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00000000-0000-0000-0000-000000000000}"/>
  <workbookPr codeName="ThisWorkbook1"/>
  <mc:AlternateContent xmlns:mc="http://schemas.openxmlformats.org/markup-compatibility/2006">
    <mc:Choice Requires="x15">
      <x15ac:absPath xmlns:x15ac="http://schemas.microsoft.com/office/spreadsheetml/2010/11/ac" url="C:\Users\yantiy012656\Downloads\"/>
    </mc:Choice>
  </mc:AlternateContent>
  <xr:revisionPtr revIDLastSave="0" documentId="8_{0AFD9279-7C04-486F-AAB0-EC5E6B0338BC}" xr6:coauthVersionLast="47" xr6:coauthVersionMax="47" xr10:uidLastSave="{00000000-0000-0000-0000-000000000000}"/>
  <bookViews>
    <workbookView xWindow="-110" yWindow="-110" windowWidth="19420" windowHeight="11500" tabRatio="500" xr2:uid="{00000000-000D-0000-FFFF-FFFF00000000}"/>
  </bookViews>
  <sheets>
    <sheet name="Dashboard" sheetId="1" r:id="rId1"/>
    <sheet name="form" sheetId="2" r:id="rId2"/>
    <sheet name="edit data" sheetId="3" r:id="rId3"/>
    <sheet name="View" sheetId="4" r:id="rId4"/>
    <sheet name="database" sheetId="5" r:id="rId5"/>
    <sheet name="Present" sheetId="7" r:id="rId6"/>
    <sheet name="log" sheetId="6" r:id="rId7"/>
  </sheets>
  <definedNames>
    <definedName name="_xlnm._FilterDatabase" localSheetId="4" hidden="1">database!$A$1:$AD$2028</definedName>
    <definedName name="_xlnm._FilterDatabase" localSheetId="5" hidden="1">Present!$B$1:$N$101</definedName>
    <definedName name="_xlnm.Print_Area" localSheetId="1">form!$A$1:$D$17</definedName>
  </definedNames>
  <calcPr calcId="191028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AC57" i="5" l="1"/>
  <c r="AD57" i="5" s="1"/>
  <c r="AA57" i="5"/>
  <c r="AB57" i="5" s="1"/>
  <c r="W57" i="5"/>
  <c r="X57" i="5" s="1"/>
  <c r="P57" i="5"/>
  <c r="N57" i="5"/>
  <c r="O57" i="5" s="1"/>
  <c r="AC6" i="5"/>
  <c r="AD6" i="5" s="1"/>
  <c r="AA6" i="5"/>
  <c r="AB6" i="5" s="1"/>
  <c r="W6" i="5"/>
  <c r="X6" i="5" s="1"/>
  <c r="P6" i="5"/>
  <c r="N6" i="5"/>
  <c r="O6" i="5" s="1"/>
  <c r="AC53" i="5"/>
  <c r="AD53" i="5" s="1"/>
  <c r="AA53" i="5"/>
  <c r="AB53" i="5" s="1"/>
  <c r="W53" i="5"/>
  <c r="X53" i="5" s="1"/>
  <c r="P53" i="5"/>
  <c r="N53" i="5"/>
  <c r="O53" i="5" s="1"/>
  <c r="AC55" i="5"/>
  <c r="AD55" i="5" s="1"/>
  <c r="AA55" i="5"/>
  <c r="AB55" i="5" s="1"/>
  <c r="W55" i="5"/>
  <c r="X55" i="5" s="1"/>
  <c r="P55" i="5"/>
  <c r="N55" i="5"/>
  <c r="O55" i="5" s="1"/>
  <c r="AC39" i="5"/>
  <c r="AD39" i="5" s="1"/>
  <c r="Y39" i="5"/>
  <c r="Z39" i="5" s="1"/>
  <c r="W39" i="5"/>
  <c r="X39" i="5" s="1"/>
  <c r="P39" i="5"/>
  <c r="N39" i="5"/>
  <c r="O39" i="5" s="1"/>
  <c r="AC27" i="5"/>
  <c r="AD27" i="5" s="1"/>
  <c r="Y27" i="5"/>
  <c r="Z27" i="5" s="1"/>
  <c r="W27" i="5"/>
  <c r="X27" i="5" s="1"/>
  <c r="P27" i="5"/>
  <c r="N27" i="5"/>
  <c r="O27" i="5" s="1"/>
  <c r="AC43" i="5"/>
  <c r="AD43" i="5" s="1"/>
  <c r="Y43" i="5"/>
  <c r="Z43" i="5" s="1"/>
  <c r="W43" i="5"/>
  <c r="X43" i="5" s="1"/>
  <c r="P43" i="5"/>
  <c r="N43" i="5"/>
  <c r="O43" i="5" s="1"/>
  <c r="AC33" i="5"/>
  <c r="AD33" i="5" s="1"/>
  <c r="Y33" i="5"/>
  <c r="Z33" i="5" s="1"/>
  <c r="W33" i="5"/>
  <c r="X33" i="5" s="1"/>
  <c r="P33" i="5"/>
  <c r="N33" i="5"/>
  <c r="O33" i="5" s="1"/>
  <c r="AC51" i="5"/>
  <c r="AD51" i="5" s="1"/>
  <c r="AA51" i="5"/>
  <c r="AB51" i="5" s="1"/>
  <c r="Y51" i="5"/>
  <c r="Z51" i="5" s="1"/>
  <c r="P51" i="5"/>
  <c r="N51" i="5"/>
  <c r="O51" i="5" s="1"/>
  <c r="AC59" i="5"/>
  <c r="AD59" i="5" s="1"/>
  <c r="AA59" i="5"/>
  <c r="AB59" i="5" s="1"/>
  <c r="W59" i="5"/>
  <c r="X59" i="5" s="1"/>
  <c r="P59" i="5"/>
  <c r="N59" i="5"/>
  <c r="O59" i="5" s="1"/>
  <c r="AC47" i="5"/>
  <c r="AD47" i="5" s="1"/>
  <c r="AA47" i="5"/>
  <c r="AB47" i="5" s="1"/>
  <c r="W47" i="5"/>
  <c r="X47" i="5" s="1"/>
  <c r="P47" i="5"/>
  <c r="N47" i="5"/>
  <c r="O47" i="5" s="1"/>
  <c r="AC49" i="5"/>
  <c r="AD49" i="5" s="1"/>
  <c r="AA49" i="5"/>
  <c r="AB49" i="5" s="1"/>
  <c r="W49" i="5"/>
  <c r="X49" i="5" s="1"/>
  <c r="P49" i="5"/>
  <c r="N49" i="5"/>
  <c r="O49" i="5" s="1"/>
  <c r="AC45" i="5"/>
  <c r="AD45" i="5" s="1"/>
  <c r="AA45" i="5"/>
  <c r="AB45" i="5" s="1"/>
  <c r="Y45" i="5"/>
  <c r="Z45" i="5" s="1"/>
  <c r="P45" i="5"/>
  <c r="N45" i="5"/>
  <c r="O45" i="5" s="1"/>
  <c r="AC18" i="5"/>
  <c r="AD18" i="5" s="1"/>
  <c r="AA18" i="5"/>
  <c r="AB18" i="5" s="1"/>
  <c r="W18" i="5"/>
  <c r="X18" i="5" s="1"/>
  <c r="P18" i="5"/>
  <c r="N18" i="5"/>
  <c r="O18" i="5" s="1"/>
  <c r="AC15" i="5"/>
  <c r="AD15" i="5" s="1"/>
  <c r="AA15" i="5"/>
  <c r="AB15" i="5" s="1"/>
  <c r="W15" i="5"/>
  <c r="X15" i="5" s="1"/>
  <c r="P15" i="5"/>
  <c r="N15" i="5"/>
  <c r="O15" i="5" s="1"/>
  <c r="AC58" i="5"/>
  <c r="AD58" i="5" s="1"/>
  <c r="AA58" i="5"/>
  <c r="AB58" i="5" s="1"/>
  <c r="W58" i="5"/>
  <c r="X58" i="5" s="1"/>
  <c r="P58" i="5"/>
  <c r="N58" i="5"/>
  <c r="O58" i="5" s="1"/>
  <c r="AC41" i="5"/>
  <c r="AD41" i="5" s="1"/>
  <c r="AA41" i="5"/>
  <c r="AB41" i="5" s="1"/>
  <c r="W41" i="5"/>
  <c r="X41" i="5" s="1"/>
  <c r="P41" i="5"/>
  <c r="N41" i="5"/>
  <c r="O41" i="5" s="1"/>
  <c r="AC12" i="5"/>
  <c r="AD12" i="5" s="1"/>
  <c r="AA12" i="5"/>
  <c r="AB12" i="5" s="1"/>
  <c r="W12" i="5"/>
  <c r="X12" i="5" s="1"/>
  <c r="P12" i="5"/>
  <c r="N12" i="5"/>
  <c r="O12" i="5" s="1"/>
  <c r="AC56" i="5"/>
  <c r="AD56" i="5" s="1"/>
  <c r="AA56" i="5"/>
  <c r="AB56" i="5" s="1"/>
  <c r="W56" i="5"/>
  <c r="X56" i="5" s="1"/>
  <c r="P56" i="5"/>
  <c r="N56" i="5"/>
  <c r="O56" i="5" s="1"/>
  <c r="AC54" i="5"/>
  <c r="AD54" i="5" s="1"/>
  <c r="AA54" i="5"/>
  <c r="AB54" i="5" s="1"/>
  <c r="W54" i="5"/>
  <c r="X54" i="5" s="1"/>
  <c r="P54" i="5"/>
  <c r="N54" i="5"/>
  <c r="O54" i="5" s="1"/>
  <c r="AC52" i="5"/>
  <c r="AD52" i="5" s="1"/>
  <c r="AA52" i="5"/>
  <c r="AB52" i="5" s="1"/>
  <c r="P52" i="5"/>
  <c r="N52" i="5"/>
  <c r="O52" i="5" s="1"/>
  <c r="AC5" i="5"/>
  <c r="AD5" i="5" s="1"/>
  <c r="AA5" i="5"/>
  <c r="AB5" i="5" s="1"/>
  <c r="W5" i="5"/>
  <c r="X5" i="5" s="1"/>
  <c r="P5" i="5"/>
  <c r="N5" i="5"/>
  <c r="O5" i="5" s="1"/>
  <c r="AC50" i="5"/>
  <c r="AD50" i="5" s="1"/>
  <c r="AA50" i="5"/>
  <c r="AB50" i="5" s="1"/>
  <c r="P50" i="5"/>
  <c r="N50" i="5"/>
  <c r="O50" i="5" s="1"/>
  <c r="AC48" i="5"/>
  <c r="AD48" i="5" s="1"/>
  <c r="AA48" i="5"/>
  <c r="AB48" i="5" s="1"/>
  <c r="W48" i="5"/>
  <c r="X48" i="5" s="1"/>
  <c r="P48" i="5"/>
  <c r="N48" i="5"/>
  <c r="O48" i="5" s="1"/>
  <c r="AC46" i="5"/>
  <c r="AD46" i="5" s="1"/>
  <c r="AA46" i="5"/>
  <c r="AB46" i="5" s="1"/>
  <c r="P46" i="5"/>
  <c r="N46" i="5"/>
  <c r="O46" i="5" s="1"/>
  <c r="AC44" i="5"/>
  <c r="AD44" i="5" s="1"/>
  <c r="Y44" i="5"/>
  <c r="Z44" i="5" s="1"/>
  <c r="P44" i="5"/>
  <c r="N44" i="5"/>
  <c r="O44" i="5" s="1"/>
  <c r="AC42" i="5"/>
  <c r="AD42" i="5" s="1"/>
  <c r="W42" i="5"/>
  <c r="X42" i="5" s="1"/>
  <c r="P42" i="5"/>
  <c r="N42" i="5"/>
  <c r="O42" i="5" s="1"/>
  <c r="AC26" i="5"/>
  <c r="AD26" i="5" s="1"/>
  <c r="Y26" i="5"/>
  <c r="Z26" i="5" s="1"/>
  <c r="W26" i="5"/>
  <c r="X26" i="5" s="1"/>
  <c r="P26" i="5"/>
  <c r="N26" i="5"/>
  <c r="O26" i="5" s="1"/>
  <c r="AC32" i="5"/>
  <c r="AD32" i="5" s="1"/>
  <c r="Y32" i="5"/>
  <c r="Z32" i="5" s="1"/>
  <c r="W32" i="5"/>
  <c r="X32" i="5" s="1"/>
  <c r="P32" i="5"/>
  <c r="N32" i="5"/>
  <c r="O32" i="5" s="1"/>
  <c r="AC38" i="5"/>
  <c r="AD38" i="5" s="1"/>
  <c r="Y38" i="5"/>
  <c r="Z38" i="5" s="1"/>
  <c r="W38" i="5"/>
  <c r="X38" i="5" s="1"/>
  <c r="P38" i="5"/>
  <c r="N38" i="5"/>
  <c r="O38" i="5" s="1"/>
  <c r="AC40" i="5"/>
  <c r="AD40" i="5" s="1"/>
  <c r="W40" i="5"/>
  <c r="X40" i="5" s="1"/>
  <c r="P40" i="5"/>
  <c r="N40" i="5"/>
  <c r="O40" i="5" s="1"/>
  <c r="AC11" i="5"/>
  <c r="AD11" i="5" s="1"/>
  <c r="AA11" i="5"/>
  <c r="AB11" i="5" s="1"/>
  <c r="W11" i="5"/>
  <c r="X11" i="5" s="1"/>
  <c r="P11" i="5"/>
  <c r="N11" i="5"/>
  <c r="O11" i="5" s="1"/>
  <c r="AC14" i="5"/>
  <c r="AD14" i="5" s="1"/>
  <c r="AA14" i="5"/>
  <c r="AB14" i="5" s="1"/>
  <c r="W14" i="5"/>
  <c r="X14" i="5" s="1"/>
  <c r="P14" i="5"/>
  <c r="N14" i="5"/>
  <c r="O14" i="5" s="1"/>
  <c r="AC17" i="5"/>
  <c r="AD17" i="5" s="1"/>
  <c r="AA17" i="5"/>
  <c r="AB17" i="5" s="1"/>
  <c r="W17" i="5"/>
  <c r="X17" i="5" s="1"/>
  <c r="P17" i="5"/>
  <c r="N17" i="5"/>
  <c r="O17" i="5" s="1"/>
  <c r="AC37" i="5"/>
  <c r="AD37" i="5" s="1"/>
  <c r="Y37" i="5"/>
  <c r="Z37" i="5" s="1"/>
  <c r="W37" i="5"/>
  <c r="X37" i="5" s="1"/>
  <c r="P37" i="5"/>
  <c r="N37" i="5"/>
  <c r="O37" i="5" s="1"/>
  <c r="AC4" i="5"/>
  <c r="AD4" i="5" s="1"/>
  <c r="AA4" i="5"/>
  <c r="AB4" i="5" s="1"/>
  <c r="W4" i="5"/>
  <c r="X4" i="5" s="1"/>
  <c r="P4" i="5"/>
  <c r="N4" i="5"/>
  <c r="O4" i="5" s="1"/>
  <c r="N31" i="5"/>
  <c r="O31" i="5"/>
  <c r="P31" i="5"/>
  <c r="Q31" i="5"/>
  <c r="R31" i="5"/>
  <c r="S31" i="5" s="1"/>
  <c r="T31" i="5" s="1"/>
  <c r="U31" i="5" s="1"/>
  <c r="AA31" i="5" s="1"/>
  <c r="W31" i="5"/>
  <c r="X31" i="5"/>
  <c r="Y31" i="5"/>
  <c r="Z31" i="5"/>
  <c r="AC31" i="5"/>
  <c r="AD31" i="5"/>
  <c r="AE31" i="5"/>
  <c r="A3" i="7"/>
  <c r="N2" i="5"/>
  <c r="O2" i="5"/>
  <c r="P2" i="5"/>
  <c r="W2" i="5"/>
  <c r="X2" i="5" s="1"/>
  <c r="AA2" i="5"/>
  <c r="AB2" i="5"/>
  <c r="AC2" i="5"/>
  <c r="AD2" i="5" s="1"/>
  <c r="N3" i="5"/>
  <c r="O3" i="5" s="1"/>
  <c r="P3" i="5"/>
  <c r="W3" i="5"/>
  <c r="X3" i="5" s="1"/>
  <c r="AA3" i="5"/>
  <c r="AB3" i="5" s="1"/>
  <c r="AC3" i="5"/>
  <c r="AD3" i="5"/>
  <c r="N7" i="5"/>
  <c r="O7" i="5" s="1"/>
  <c r="P7" i="5"/>
  <c r="W7" i="5"/>
  <c r="X7" i="5" s="1"/>
  <c r="AA7" i="5"/>
  <c r="AB7" i="5"/>
  <c r="AC7" i="5"/>
  <c r="AD7" i="5"/>
  <c r="N8" i="5"/>
  <c r="O8" i="5"/>
  <c r="P8" i="5"/>
  <c r="AE8" i="5" s="1"/>
  <c r="AF8" i="5" s="1"/>
  <c r="Q8" i="5"/>
  <c r="R8" i="5"/>
  <c r="S8" i="5" s="1"/>
  <c r="T8" i="5" s="1"/>
  <c r="U8" i="5" s="1"/>
  <c r="W8" i="5"/>
  <c r="X8" i="5" s="1"/>
  <c r="AA8" i="5"/>
  <c r="AB8" i="5" s="1"/>
  <c r="AC8" i="5"/>
  <c r="AD8" i="5"/>
  <c r="N9" i="5"/>
  <c r="O9" i="5" s="1"/>
  <c r="P9" i="5"/>
  <c r="AE9" i="5" s="1"/>
  <c r="AF9" i="5" s="1"/>
  <c r="Q9" i="5"/>
  <c r="R9" i="5"/>
  <c r="S9" i="5" s="1"/>
  <c r="T9" i="5" s="1"/>
  <c r="U9" i="5" s="1"/>
  <c r="W9" i="5"/>
  <c r="X9" i="5"/>
  <c r="AA9" i="5"/>
  <c r="AB9" i="5"/>
  <c r="AC9" i="5"/>
  <c r="AD9" i="5"/>
  <c r="N10" i="5"/>
  <c r="O10" i="5"/>
  <c r="P10" i="5"/>
  <c r="AE10" i="5" s="1"/>
  <c r="Q10" i="5"/>
  <c r="R10" i="5" s="1"/>
  <c r="S10" i="5" s="1"/>
  <c r="T10" i="5" s="1"/>
  <c r="U10" i="5" s="1"/>
  <c r="W10" i="5"/>
  <c r="X10" i="5"/>
  <c r="AA10" i="5"/>
  <c r="AB10" i="5"/>
  <c r="AC10" i="5"/>
  <c r="AD10" i="5" s="1"/>
  <c r="N13" i="5"/>
  <c r="O13" i="5" s="1"/>
  <c r="P13" i="5"/>
  <c r="W13" i="5"/>
  <c r="X13" i="5" s="1"/>
  <c r="AA13" i="5"/>
  <c r="AB13" i="5"/>
  <c r="AC13" i="5"/>
  <c r="AD13" i="5"/>
  <c r="N16" i="5"/>
  <c r="O16" i="5"/>
  <c r="P16" i="5"/>
  <c r="AE16" i="5" s="1"/>
  <c r="Q16" i="5"/>
  <c r="R16" i="5"/>
  <c r="S16" i="5" s="1"/>
  <c r="T16" i="5" s="1"/>
  <c r="U16" i="5" s="1"/>
  <c r="W16" i="5"/>
  <c r="X16" i="5" s="1"/>
  <c r="AA16" i="5"/>
  <c r="AB16" i="5" s="1"/>
  <c r="AC16" i="5"/>
  <c r="AD16" i="5"/>
  <c r="N19" i="5"/>
  <c r="O19" i="5" s="1"/>
  <c r="P19" i="5"/>
  <c r="W19" i="5"/>
  <c r="X19" i="5"/>
  <c r="Y19" i="5"/>
  <c r="Z19" i="5" s="1"/>
  <c r="AC19" i="5"/>
  <c r="AD19" i="5" s="1"/>
  <c r="N20" i="5"/>
  <c r="O20" i="5"/>
  <c r="P20" i="5"/>
  <c r="W20" i="5"/>
  <c r="X20" i="5" s="1"/>
  <c r="Y20" i="5"/>
  <c r="Z20" i="5" s="1"/>
  <c r="AC20" i="5"/>
  <c r="AD20" i="5" s="1"/>
  <c r="N21" i="5"/>
  <c r="O21" i="5"/>
  <c r="P21" i="5"/>
  <c r="W21" i="5"/>
  <c r="X21" i="5"/>
  <c r="Y21" i="5"/>
  <c r="Z21" i="5"/>
  <c r="AC21" i="5"/>
  <c r="AD21" i="5"/>
  <c r="N22" i="5"/>
  <c r="O22" i="5"/>
  <c r="P22" i="5"/>
  <c r="AE22" i="5" s="1"/>
  <c r="AF22" i="5" s="1"/>
  <c r="Q22" i="5"/>
  <c r="R22" i="5" s="1"/>
  <c r="S22" i="5" s="1"/>
  <c r="T22" i="5" s="1"/>
  <c r="U22" i="5" s="1"/>
  <c r="W22" i="5"/>
  <c r="X22" i="5" s="1"/>
  <c r="Y22" i="5"/>
  <c r="Z22" i="5"/>
  <c r="AC22" i="5"/>
  <c r="AD22" i="5"/>
  <c r="N23" i="5"/>
  <c r="O23" i="5" s="1"/>
  <c r="P23" i="5"/>
  <c r="W23" i="5"/>
  <c r="X23" i="5"/>
  <c r="Y23" i="5"/>
  <c r="Z23" i="5" s="1"/>
  <c r="AC23" i="5"/>
  <c r="AD23" i="5" s="1"/>
  <c r="N24" i="5"/>
  <c r="O24" i="5"/>
  <c r="P24" i="5"/>
  <c r="W24" i="5"/>
  <c r="X24" i="5" s="1"/>
  <c r="Y24" i="5"/>
  <c r="Z24" i="5" s="1"/>
  <c r="AC24" i="5"/>
  <c r="AD24" i="5" s="1"/>
  <c r="N25" i="5"/>
  <c r="O25" i="5"/>
  <c r="P25" i="5"/>
  <c r="W25" i="5"/>
  <c r="X25" i="5"/>
  <c r="Y25" i="5"/>
  <c r="Z25" i="5"/>
  <c r="AC25" i="5"/>
  <c r="AD25" i="5"/>
  <c r="N28" i="5"/>
  <c r="O28" i="5"/>
  <c r="P28" i="5"/>
  <c r="AE28" i="5" s="1"/>
  <c r="AF28" i="5" s="1"/>
  <c r="Q28" i="5"/>
  <c r="R28" i="5" s="1"/>
  <c r="S28" i="5" s="1"/>
  <c r="T28" i="5" s="1"/>
  <c r="U28" i="5" s="1"/>
  <c r="W28" i="5"/>
  <c r="X28" i="5" s="1"/>
  <c r="Y28" i="5"/>
  <c r="Z28" i="5"/>
  <c r="AC28" i="5"/>
  <c r="AD28" i="5"/>
  <c r="N29" i="5"/>
  <c r="O29" i="5" s="1"/>
  <c r="P29" i="5"/>
  <c r="AE29" i="5" s="1"/>
  <c r="AF29" i="5" s="1"/>
  <c r="Q29" i="5"/>
  <c r="R29" i="5" s="1"/>
  <c r="S29" i="5" s="1"/>
  <c r="T29" i="5" s="1"/>
  <c r="U29" i="5" s="1"/>
  <c r="W29" i="5"/>
  <c r="X29" i="5"/>
  <c r="Y29" i="5"/>
  <c r="Z29" i="5" s="1"/>
  <c r="AC29" i="5"/>
  <c r="AD29" i="5" s="1"/>
  <c r="N30" i="5"/>
  <c r="O30" i="5"/>
  <c r="P30" i="5"/>
  <c r="W30" i="5"/>
  <c r="X30" i="5"/>
  <c r="Y30" i="5"/>
  <c r="Z30" i="5" s="1"/>
  <c r="AC30" i="5"/>
  <c r="AD30" i="5" s="1"/>
  <c r="N34" i="5"/>
  <c r="O34" i="5"/>
  <c r="P34" i="5"/>
  <c r="W34" i="5"/>
  <c r="X34" i="5" s="1"/>
  <c r="Y34" i="5"/>
  <c r="Z34" i="5"/>
  <c r="AC34" i="5"/>
  <c r="AD34" i="5"/>
  <c r="N35" i="5"/>
  <c r="O35" i="5" s="1"/>
  <c r="P35" i="5"/>
  <c r="AE35" i="5" s="1"/>
  <c r="AF35" i="5" s="1"/>
  <c r="Q35" i="5"/>
  <c r="R35" i="5"/>
  <c r="S35" i="5" s="1"/>
  <c r="T35" i="5" s="1"/>
  <c r="U35" i="5" s="1"/>
  <c r="W35" i="5"/>
  <c r="X35" i="5" s="1"/>
  <c r="Y35" i="5"/>
  <c r="Z35" i="5"/>
  <c r="AC35" i="5"/>
  <c r="AD35" i="5"/>
  <c r="N36" i="5"/>
  <c r="O36" i="5" s="1"/>
  <c r="P36" i="5"/>
  <c r="AE36" i="5" s="1"/>
  <c r="Q36" i="5"/>
  <c r="R36" i="5" s="1"/>
  <c r="S36" i="5" s="1"/>
  <c r="T36" i="5" s="1"/>
  <c r="U36" i="5" s="1"/>
  <c r="W36" i="5"/>
  <c r="X36" i="5"/>
  <c r="Y36" i="5"/>
  <c r="Z36" i="5" s="1"/>
  <c r="AC36" i="5"/>
  <c r="AD36" i="5" s="1"/>
  <c r="AC2028" i="5"/>
  <c r="AD2028" i="5" s="1"/>
  <c r="AA2028" i="5"/>
  <c r="AB2028" i="5" s="1"/>
  <c r="Y2028" i="5"/>
  <c r="Z2028" i="5" s="1"/>
  <c r="W2028" i="5"/>
  <c r="X2028" i="5" s="1"/>
  <c r="Q2028" i="5"/>
  <c r="R2028" i="5" s="1"/>
  <c r="S2028" i="5" s="1"/>
  <c r="T2028" i="5" s="1"/>
  <c r="U2028" i="5" s="1"/>
  <c r="V2028" i="5" s="1"/>
  <c r="P2028" i="5"/>
  <c r="O2028" i="5"/>
  <c r="N2028" i="5"/>
  <c r="AC2027" i="5"/>
  <c r="AD2027" i="5" s="1"/>
  <c r="AA2027" i="5"/>
  <c r="AB2027" i="5" s="1"/>
  <c r="Y2027" i="5"/>
  <c r="Z2027" i="5" s="1"/>
  <c r="W2027" i="5"/>
  <c r="X2027" i="5" s="1"/>
  <c r="Q2027" i="5"/>
  <c r="R2027" i="5" s="1"/>
  <c r="S2027" i="5" s="1"/>
  <c r="T2027" i="5" s="1"/>
  <c r="U2027" i="5" s="1"/>
  <c r="V2027" i="5" s="1"/>
  <c r="P2027" i="5"/>
  <c r="O2027" i="5"/>
  <c r="N2027" i="5"/>
  <c r="AC2026" i="5"/>
  <c r="AD2026" i="5" s="1"/>
  <c r="AA2026" i="5"/>
  <c r="AB2026" i="5" s="1"/>
  <c r="Y2026" i="5"/>
  <c r="Z2026" i="5" s="1"/>
  <c r="W2026" i="5"/>
  <c r="X2026" i="5" s="1"/>
  <c r="Q2026" i="5"/>
  <c r="R2026" i="5" s="1"/>
  <c r="S2026" i="5" s="1"/>
  <c r="T2026" i="5" s="1"/>
  <c r="U2026" i="5" s="1"/>
  <c r="V2026" i="5" s="1"/>
  <c r="P2026" i="5"/>
  <c r="O2026" i="5"/>
  <c r="N2026" i="5"/>
  <c r="AC2025" i="5"/>
  <c r="AD2025" i="5" s="1"/>
  <c r="AA2025" i="5"/>
  <c r="AB2025" i="5" s="1"/>
  <c r="Y2025" i="5"/>
  <c r="Z2025" i="5" s="1"/>
  <c r="W2025" i="5"/>
  <c r="X2025" i="5" s="1"/>
  <c r="Q2025" i="5"/>
  <c r="R2025" i="5" s="1"/>
  <c r="S2025" i="5" s="1"/>
  <c r="T2025" i="5" s="1"/>
  <c r="U2025" i="5" s="1"/>
  <c r="V2025" i="5" s="1"/>
  <c r="P2025" i="5"/>
  <c r="O2025" i="5"/>
  <c r="N2025" i="5"/>
  <c r="AC2024" i="5"/>
  <c r="AD2024" i="5" s="1"/>
  <c r="AA2024" i="5"/>
  <c r="AB2024" i="5" s="1"/>
  <c r="Y2024" i="5"/>
  <c r="Z2024" i="5" s="1"/>
  <c r="W2024" i="5"/>
  <c r="X2024" i="5" s="1"/>
  <c r="Q2024" i="5"/>
  <c r="R2024" i="5" s="1"/>
  <c r="S2024" i="5" s="1"/>
  <c r="T2024" i="5" s="1"/>
  <c r="U2024" i="5" s="1"/>
  <c r="V2024" i="5" s="1"/>
  <c r="P2024" i="5"/>
  <c r="O2024" i="5"/>
  <c r="N2024" i="5"/>
  <c r="AC2023" i="5"/>
  <c r="AD2023" i="5" s="1"/>
  <c r="AA2023" i="5"/>
  <c r="AB2023" i="5" s="1"/>
  <c r="Y2023" i="5"/>
  <c r="Z2023" i="5" s="1"/>
  <c r="W2023" i="5"/>
  <c r="X2023" i="5" s="1"/>
  <c r="Q2023" i="5"/>
  <c r="R2023" i="5" s="1"/>
  <c r="S2023" i="5" s="1"/>
  <c r="T2023" i="5" s="1"/>
  <c r="U2023" i="5" s="1"/>
  <c r="V2023" i="5" s="1"/>
  <c r="P2023" i="5"/>
  <c r="O2023" i="5"/>
  <c r="N2023" i="5"/>
  <c r="AC2022" i="5"/>
  <c r="AD2022" i="5" s="1"/>
  <c r="AA2022" i="5"/>
  <c r="AB2022" i="5" s="1"/>
  <c r="Y2022" i="5"/>
  <c r="Z2022" i="5" s="1"/>
  <c r="W2022" i="5"/>
  <c r="X2022" i="5" s="1"/>
  <c r="Q2022" i="5"/>
  <c r="R2022" i="5" s="1"/>
  <c r="S2022" i="5" s="1"/>
  <c r="T2022" i="5" s="1"/>
  <c r="U2022" i="5" s="1"/>
  <c r="V2022" i="5" s="1"/>
  <c r="P2022" i="5"/>
  <c r="O2022" i="5"/>
  <c r="N2022" i="5"/>
  <c r="AC2021" i="5"/>
  <c r="AD2021" i="5" s="1"/>
  <c r="AA2021" i="5"/>
  <c r="AB2021" i="5" s="1"/>
  <c r="Y2021" i="5"/>
  <c r="Z2021" i="5" s="1"/>
  <c r="W2021" i="5"/>
  <c r="X2021" i="5" s="1"/>
  <c r="Q2021" i="5"/>
  <c r="R2021" i="5" s="1"/>
  <c r="S2021" i="5" s="1"/>
  <c r="T2021" i="5" s="1"/>
  <c r="U2021" i="5" s="1"/>
  <c r="V2021" i="5" s="1"/>
  <c r="P2021" i="5"/>
  <c r="O2021" i="5"/>
  <c r="N2021" i="5"/>
  <c r="AC2020" i="5"/>
  <c r="AD2020" i="5" s="1"/>
  <c r="AA2020" i="5"/>
  <c r="AB2020" i="5" s="1"/>
  <c r="Y2020" i="5"/>
  <c r="Z2020" i="5" s="1"/>
  <c r="W2020" i="5"/>
  <c r="X2020" i="5" s="1"/>
  <c r="Q2020" i="5"/>
  <c r="R2020" i="5" s="1"/>
  <c r="S2020" i="5" s="1"/>
  <c r="T2020" i="5" s="1"/>
  <c r="U2020" i="5" s="1"/>
  <c r="V2020" i="5" s="1"/>
  <c r="P2020" i="5"/>
  <c r="O2020" i="5"/>
  <c r="N2020" i="5"/>
  <c r="AC2019" i="5"/>
  <c r="AD2019" i="5" s="1"/>
  <c r="AA2019" i="5"/>
  <c r="AB2019" i="5" s="1"/>
  <c r="Y2019" i="5"/>
  <c r="Z2019" i="5" s="1"/>
  <c r="W2019" i="5"/>
  <c r="X2019" i="5" s="1"/>
  <c r="Q2019" i="5"/>
  <c r="R2019" i="5" s="1"/>
  <c r="S2019" i="5" s="1"/>
  <c r="T2019" i="5" s="1"/>
  <c r="U2019" i="5" s="1"/>
  <c r="V2019" i="5" s="1"/>
  <c r="P2019" i="5"/>
  <c r="O2019" i="5"/>
  <c r="N2019" i="5"/>
  <c r="AC2018" i="5"/>
  <c r="AD2018" i="5" s="1"/>
  <c r="AA2018" i="5"/>
  <c r="AB2018" i="5" s="1"/>
  <c r="Y2018" i="5"/>
  <c r="Z2018" i="5" s="1"/>
  <c r="W2018" i="5"/>
  <c r="X2018" i="5" s="1"/>
  <c r="Q2018" i="5"/>
  <c r="R2018" i="5" s="1"/>
  <c r="S2018" i="5" s="1"/>
  <c r="T2018" i="5" s="1"/>
  <c r="U2018" i="5" s="1"/>
  <c r="V2018" i="5" s="1"/>
  <c r="P2018" i="5"/>
  <c r="O2018" i="5"/>
  <c r="N2018" i="5"/>
  <c r="AC2017" i="5"/>
  <c r="AD2017" i="5" s="1"/>
  <c r="AA2017" i="5"/>
  <c r="AB2017" i="5" s="1"/>
  <c r="Y2017" i="5"/>
  <c r="Z2017" i="5" s="1"/>
  <c r="W2017" i="5"/>
  <c r="X2017" i="5" s="1"/>
  <c r="Q2017" i="5"/>
  <c r="R2017" i="5" s="1"/>
  <c r="S2017" i="5" s="1"/>
  <c r="T2017" i="5" s="1"/>
  <c r="U2017" i="5" s="1"/>
  <c r="V2017" i="5" s="1"/>
  <c r="P2017" i="5"/>
  <c r="O2017" i="5"/>
  <c r="N2017" i="5"/>
  <c r="AC2016" i="5"/>
  <c r="AD2016" i="5" s="1"/>
  <c r="AA2016" i="5"/>
  <c r="AB2016" i="5" s="1"/>
  <c r="Y2016" i="5"/>
  <c r="Z2016" i="5" s="1"/>
  <c r="W2016" i="5"/>
  <c r="X2016" i="5" s="1"/>
  <c r="Q2016" i="5"/>
  <c r="R2016" i="5" s="1"/>
  <c r="S2016" i="5" s="1"/>
  <c r="T2016" i="5" s="1"/>
  <c r="U2016" i="5" s="1"/>
  <c r="V2016" i="5" s="1"/>
  <c r="P2016" i="5"/>
  <c r="O2016" i="5"/>
  <c r="N2016" i="5"/>
  <c r="AC2015" i="5"/>
  <c r="AD2015" i="5" s="1"/>
  <c r="AA2015" i="5"/>
  <c r="AB2015" i="5" s="1"/>
  <c r="Y2015" i="5"/>
  <c r="Z2015" i="5" s="1"/>
  <c r="W2015" i="5"/>
  <c r="X2015" i="5" s="1"/>
  <c r="Q2015" i="5"/>
  <c r="R2015" i="5" s="1"/>
  <c r="S2015" i="5" s="1"/>
  <c r="T2015" i="5" s="1"/>
  <c r="U2015" i="5" s="1"/>
  <c r="V2015" i="5" s="1"/>
  <c r="P2015" i="5"/>
  <c r="O2015" i="5"/>
  <c r="N2015" i="5"/>
  <c r="AC2014" i="5"/>
  <c r="AD2014" i="5" s="1"/>
  <c r="AA2014" i="5"/>
  <c r="AB2014" i="5" s="1"/>
  <c r="Y2014" i="5"/>
  <c r="Z2014" i="5" s="1"/>
  <c r="W2014" i="5"/>
  <c r="X2014" i="5" s="1"/>
  <c r="Q2014" i="5"/>
  <c r="R2014" i="5" s="1"/>
  <c r="S2014" i="5" s="1"/>
  <c r="T2014" i="5" s="1"/>
  <c r="U2014" i="5" s="1"/>
  <c r="V2014" i="5" s="1"/>
  <c r="P2014" i="5"/>
  <c r="O2014" i="5"/>
  <c r="N2014" i="5"/>
  <c r="AC2013" i="5"/>
  <c r="AD2013" i="5" s="1"/>
  <c r="AA2013" i="5"/>
  <c r="AB2013" i="5" s="1"/>
  <c r="Y2013" i="5"/>
  <c r="Z2013" i="5" s="1"/>
  <c r="W2013" i="5"/>
  <c r="X2013" i="5" s="1"/>
  <c r="Q2013" i="5"/>
  <c r="R2013" i="5" s="1"/>
  <c r="S2013" i="5" s="1"/>
  <c r="T2013" i="5" s="1"/>
  <c r="U2013" i="5" s="1"/>
  <c r="V2013" i="5" s="1"/>
  <c r="P2013" i="5"/>
  <c r="O2013" i="5"/>
  <c r="N2013" i="5"/>
  <c r="AC2012" i="5"/>
  <c r="AD2012" i="5" s="1"/>
  <c r="AA2012" i="5"/>
  <c r="AB2012" i="5" s="1"/>
  <c r="Y2012" i="5"/>
  <c r="Z2012" i="5" s="1"/>
  <c r="W2012" i="5"/>
  <c r="X2012" i="5" s="1"/>
  <c r="Q2012" i="5"/>
  <c r="R2012" i="5" s="1"/>
  <c r="S2012" i="5" s="1"/>
  <c r="T2012" i="5" s="1"/>
  <c r="U2012" i="5" s="1"/>
  <c r="V2012" i="5" s="1"/>
  <c r="P2012" i="5"/>
  <c r="O2012" i="5"/>
  <c r="N2012" i="5"/>
  <c r="AC2011" i="5"/>
  <c r="AD2011" i="5" s="1"/>
  <c r="AA2011" i="5"/>
  <c r="AB2011" i="5" s="1"/>
  <c r="Y2011" i="5"/>
  <c r="Z2011" i="5" s="1"/>
  <c r="W2011" i="5"/>
  <c r="X2011" i="5" s="1"/>
  <c r="Q2011" i="5"/>
  <c r="R2011" i="5" s="1"/>
  <c r="S2011" i="5" s="1"/>
  <c r="T2011" i="5" s="1"/>
  <c r="U2011" i="5" s="1"/>
  <c r="V2011" i="5" s="1"/>
  <c r="P2011" i="5"/>
  <c r="O2011" i="5"/>
  <c r="N2011" i="5"/>
  <c r="AC2010" i="5"/>
  <c r="AD2010" i="5" s="1"/>
  <c r="AA2010" i="5"/>
  <c r="AB2010" i="5" s="1"/>
  <c r="Y2010" i="5"/>
  <c r="Z2010" i="5" s="1"/>
  <c r="W2010" i="5"/>
  <c r="X2010" i="5" s="1"/>
  <c r="Q2010" i="5"/>
  <c r="R2010" i="5" s="1"/>
  <c r="S2010" i="5" s="1"/>
  <c r="T2010" i="5" s="1"/>
  <c r="U2010" i="5" s="1"/>
  <c r="V2010" i="5" s="1"/>
  <c r="P2010" i="5"/>
  <c r="O2010" i="5"/>
  <c r="N2010" i="5"/>
  <c r="AC2009" i="5"/>
  <c r="AD2009" i="5" s="1"/>
  <c r="AA2009" i="5"/>
  <c r="AB2009" i="5" s="1"/>
  <c r="Y2009" i="5"/>
  <c r="Z2009" i="5" s="1"/>
  <c r="W2009" i="5"/>
  <c r="X2009" i="5" s="1"/>
  <c r="Q2009" i="5"/>
  <c r="R2009" i="5" s="1"/>
  <c r="S2009" i="5" s="1"/>
  <c r="T2009" i="5" s="1"/>
  <c r="U2009" i="5" s="1"/>
  <c r="V2009" i="5" s="1"/>
  <c r="P2009" i="5"/>
  <c r="O2009" i="5"/>
  <c r="N2009" i="5"/>
  <c r="AC2008" i="5"/>
  <c r="AD2008" i="5" s="1"/>
  <c r="AA2008" i="5"/>
  <c r="AB2008" i="5" s="1"/>
  <c r="Y2008" i="5"/>
  <c r="Z2008" i="5" s="1"/>
  <c r="W2008" i="5"/>
  <c r="X2008" i="5" s="1"/>
  <c r="Q2008" i="5"/>
  <c r="R2008" i="5" s="1"/>
  <c r="S2008" i="5" s="1"/>
  <c r="T2008" i="5" s="1"/>
  <c r="U2008" i="5" s="1"/>
  <c r="V2008" i="5" s="1"/>
  <c r="P2008" i="5"/>
  <c r="O2008" i="5"/>
  <c r="N2008" i="5"/>
  <c r="AC2007" i="5"/>
  <c r="AD2007" i="5" s="1"/>
  <c r="AA2007" i="5"/>
  <c r="AB2007" i="5" s="1"/>
  <c r="Y2007" i="5"/>
  <c r="Z2007" i="5" s="1"/>
  <c r="W2007" i="5"/>
  <c r="X2007" i="5" s="1"/>
  <c r="Q2007" i="5"/>
  <c r="R2007" i="5" s="1"/>
  <c r="S2007" i="5" s="1"/>
  <c r="T2007" i="5" s="1"/>
  <c r="U2007" i="5" s="1"/>
  <c r="V2007" i="5" s="1"/>
  <c r="P2007" i="5"/>
  <c r="O2007" i="5"/>
  <c r="N2007" i="5"/>
  <c r="AC2006" i="5"/>
  <c r="AD2006" i="5" s="1"/>
  <c r="AA2006" i="5"/>
  <c r="AB2006" i="5" s="1"/>
  <c r="Y2006" i="5"/>
  <c r="Z2006" i="5" s="1"/>
  <c r="W2006" i="5"/>
  <c r="X2006" i="5" s="1"/>
  <c r="Q2006" i="5"/>
  <c r="R2006" i="5" s="1"/>
  <c r="S2006" i="5" s="1"/>
  <c r="T2006" i="5" s="1"/>
  <c r="U2006" i="5" s="1"/>
  <c r="V2006" i="5" s="1"/>
  <c r="P2006" i="5"/>
  <c r="O2006" i="5"/>
  <c r="N2006" i="5"/>
  <c r="AC2005" i="5"/>
  <c r="AD2005" i="5" s="1"/>
  <c r="AA2005" i="5"/>
  <c r="AB2005" i="5" s="1"/>
  <c r="Y2005" i="5"/>
  <c r="Z2005" i="5" s="1"/>
  <c r="W2005" i="5"/>
  <c r="X2005" i="5" s="1"/>
  <c r="Q2005" i="5"/>
  <c r="R2005" i="5" s="1"/>
  <c r="S2005" i="5" s="1"/>
  <c r="T2005" i="5" s="1"/>
  <c r="U2005" i="5" s="1"/>
  <c r="V2005" i="5" s="1"/>
  <c r="P2005" i="5"/>
  <c r="O2005" i="5"/>
  <c r="N2005" i="5"/>
  <c r="AC2004" i="5"/>
  <c r="AD2004" i="5" s="1"/>
  <c r="AA2004" i="5"/>
  <c r="AB2004" i="5" s="1"/>
  <c r="Y2004" i="5"/>
  <c r="Z2004" i="5" s="1"/>
  <c r="W2004" i="5"/>
  <c r="X2004" i="5" s="1"/>
  <c r="Q2004" i="5"/>
  <c r="R2004" i="5" s="1"/>
  <c r="S2004" i="5" s="1"/>
  <c r="T2004" i="5" s="1"/>
  <c r="U2004" i="5" s="1"/>
  <c r="V2004" i="5" s="1"/>
  <c r="P2004" i="5"/>
  <c r="AE2004" i="5" s="1"/>
  <c r="AF2004" i="5" s="1"/>
  <c r="O2004" i="5"/>
  <c r="N2004" i="5"/>
  <c r="AC2003" i="5"/>
  <c r="AD2003" i="5" s="1"/>
  <c r="AA2003" i="5"/>
  <c r="AB2003" i="5" s="1"/>
  <c r="Y2003" i="5"/>
  <c r="Z2003" i="5" s="1"/>
  <c r="W2003" i="5"/>
  <c r="X2003" i="5" s="1"/>
  <c r="Q2003" i="5"/>
  <c r="R2003" i="5" s="1"/>
  <c r="S2003" i="5" s="1"/>
  <c r="T2003" i="5" s="1"/>
  <c r="U2003" i="5" s="1"/>
  <c r="V2003" i="5" s="1"/>
  <c r="P2003" i="5"/>
  <c r="AE2003" i="5" s="1"/>
  <c r="AF2003" i="5" s="1"/>
  <c r="O2003" i="5"/>
  <c r="N2003" i="5"/>
  <c r="AC2002" i="5"/>
  <c r="AD2002" i="5" s="1"/>
  <c r="AA2002" i="5"/>
  <c r="AB2002" i="5" s="1"/>
  <c r="Y2002" i="5"/>
  <c r="Z2002" i="5" s="1"/>
  <c r="W2002" i="5"/>
  <c r="X2002" i="5" s="1"/>
  <c r="Q2002" i="5"/>
  <c r="R2002" i="5" s="1"/>
  <c r="S2002" i="5" s="1"/>
  <c r="T2002" i="5" s="1"/>
  <c r="U2002" i="5" s="1"/>
  <c r="V2002" i="5" s="1"/>
  <c r="P2002" i="5"/>
  <c r="AE2002" i="5" s="1"/>
  <c r="AF2002" i="5" s="1"/>
  <c r="O2002" i="5"/>
  <c r="N2002" i="5"/>
  <c r="AC2001" i="5"/>
  <c r="AD2001" i="5" s="1"/>
  <c r="AA2001" i="5"/>
  <c r="AB2001" i="5" s="1"/>
  <c r="Y2001" i="5"/>
  <c r="Z2001" i="5" s="1"/>
  <c r="W2001" i="5"/>
  <c r="X2001" i="5" s="1"/>
  <c r="Q2001" i="5"/>
  <c r="R2001" i="5" s="1"/>
  <c r="S2001" i="5" s="1"/>
  <c r="T2001" i="5" s="1"/>
  <c r="U2001" i="5" s="1"/>
  <c r="V2001" i="5" s="1"/>
  <c r="P2001" i="5"/>
  <c r="AE2001" i="5" s="1"/>
  <c r="AF2001" i="5" s="1"/>
  <c r="O2001" i="5"/>
  <c r="N2001" i="5"/>
  <c r="AC2000" i="5"/>
  <c r="AD2000" i="5" s="1"/>
  <c r="AA2000" i="5"/>
  <c r="AB2000" i="5" s="1"/>
  <c r="Y2000" i="5"/>
  <c r="Z2000" i="5" s="1"/>
  <c r="W2000" i="5"/>
  <c r="X2000" i="5" s="1"/>
  <c r="Q2000" i="5"/>
  <c r="R2000" i="5" s="1"/>
  <c r="S2000" i="5" s="1"/>
  <c r="T2000" i="5" s="1"/>
  <c r="U2000" i="5" s="1"/>
  <c r="V2000" i="5" s="1"/>
  <c r="P2000" i="5"/>
  <c r="AE2000" i="5" s="1"/>
  <c r="AF2000" i="5" s="1"/>
  <c r="O2000" i="5"/>
  <c r="N2000" i="5"/>
  <c r="AC1999" i="5"/>
  <c r="AD1999" i="5" s="1"/>
  <c r="AA1999" i="5"/>
  <c r="AB1999" i="5" s="1"/>
  <c r="Y1999" i="5"/>
  <c r="Z1999" i="5" s="1"/>
  <c r="W1999" i="5"/>
  <c r="X1999" i="5" s="1"/>
  <c r="Q1999" i="5"/>
  <c r="R1999" i="5" s="1"/>
  <c r="S1999" i="5" s="1"/>
  <c r="T1999" i="5" s="1"/>
  <c r="U1999" i="5" s="1"/>
  <c r="V1999" i="5" s="1"/>
  <c r="P1999" i="5"/>
  <c r="AE1999" i="5" s="1"/>
  <c r="AF1999" i="5" s="1"/>
  <c r="O1999" i="5"/>
  <c r="N1999" i="5"/>
  <c r="AC1998" i="5"/>
  <c r="AD1998" i="5" s="1"/>
  <c r="AA1998" i="5"/>
  <c r="AB1998" i="5" s="1"/>
  <c r="Y1998" i="5"/>
  <c r="Z1998" i="5" s="1"/>
  <c r="W1998" i="5"/>
  <c r="X1998" i="5" s="1"/>
  <c r="Q1998" i="5"/>
  <c r="R1998" i="5" s="1"/>
  <c r="S1998" i="5" s="1"/>
  <c r="T1998" i="5" s="1"/>
  <c r="U1998" i="5" s="1"/>
  <c r="V1998" i="5" s="1"/>
  <c r="P1998" i="5"/>
  <c r="AE1998" i="5" s="1"/>
  <c r="AF1998" i="5" s="1"/>
  <c r="O1998" i="5"/>
  <c r="N1998" i="5"/>
  <c r="AC1997" i="5"/>
  <c r="AD1997" i="5" s="1"/>
  <c r="AA1997" i="5"/>
  <c r="AB1997" i="5" s="1"/>
  <c r="Y1997" i="5"/>
  <c r="Z1997" i="5" s="1"/>
  <c r="W1997" i="5"/>
  <c r="X1997" i="5" s="1"/>
  <c r="Q1997" i="5"/>
  <c r="R1997" i="5" s="1"/>
  <c r="S1997" i="5" s="1"/>
  <c r="T1997" i="5" s="1"/>
  <c r="U1997" i="5" s="1"/>
  <c r="V1997" i="5" s="1"/>
  <c r="P1997" i="5"/>
  <c r="AE1997" i="5" s="1"/>
  <c r="AF1997" i="5" s="1"/>
  <c r="O1997" i="5"/>
  <c r="N1997" i="5"/>
  <c r="AC1996" i="5"/>
  <c r="AD1996" i="5" s="1"/>
  <c r="AA1996" i="5"/>
  <c r="AB1996" i="5" s="1"/>
  <c r="Y1996" i="5"/>
  <c r="Z1996" i="5" s="1"/>
  <c r="W1996" i="5"/>
  <c r="X1996" i="5" s="1"/>
  <c r="Q1996" i="5"/>
  <c r="R1996" i="5" s="1"/>
  <c r="S1996" i="5" s="1"/>
  <c r="T1996" i="5" s="1"/>
  <c r="U1996" i="5" s="1"/>
  <c r="V1996" i="5" s="1"/>
  <c r="P1996" i="5"/>
  <c r="AE1996" i="5" s="1"/>
  <c r="AF1996" i="5" s="1"/>
  <c r="O1996" i="5"/>
  <c r="N1996" i="5"/>
  <c r="AC1995" i="5"/>
  <c r="AD1995" i="5" s="1"/>
  <c r="AA1995" i="5"/>
  <c r="AB1995" i="5" s="1"/>
  <c r="Y1995" i="5"/>
  <c r="Z1995" i="5" s="1"/>
  <c r="W1995" i="5"/>
  <c r="X1995" i="5" s="1"/>
  <c r="Q1995" i="5"/>
  <c r="R1995" i="5" s="1"/>
  <c r="S1995" i="5" s="1"/>
  <c r="T1995" i="5" s="1"/>
  <c r="U1995" i="5" s="1"/>
  <c r="V1995" i="5" s="1"/>
  <c r="P1995" i="5"/>
  <c r="AE1995" i="5" s="1"/>
  <c r="AF1995" i="5" s="1"/>
  <c r="O1995" i="5"/>
  <c r="N1995" i="5"/>
  <c r="AC1994" i="5"/>
  <c r="AD1994" i="5" s="1"/>
  <c r="AA1994" i="5"/>
  <c r="AB1994" i="5" s="1"/>
  <c r="Y1994" i="5"/>
  <c r="Z1994" i="5" s="1"/>
  <c r="W1994" i="5"/>
  <c r="X1994" i="5" s="1"/>
  <c r="Q1994" i="5"/>
  <c r="R1994" i="5" s="1"/>
  <c r="S1994" i="5" s="1"/>
  <c r="T1994" i="5" s="1"/>
  <c r="U1994" i="5" s="1"/>
  <c r="V1994" i="5" s="1"/>
  <c r="P1994" i="5"/>
  <c r="AE1994" i="5" s="1"/>
  <c r="AF1994" i="5" s="1"/>
  <c r="O1994" i="5"/>
  <c r="N1994" i="5"/>
  <c r="AC1993" i="5"/>
  <c r="AD1993" i="5" s="1"/>
  <c r="AA1993" i="5"/>
  <c r="AB1993" i="5" s="1"/>
  <c r="Y1993" i="5"/>
  <c r="Z1993" i="5" s="1"/>
  <c r="W1993" i="5"/>
  <c r="X1993" i="5" s="1"/>
  <c r="Q1993" i="5"/>
  <c r="R1993" i="5" s="1"/>
  <c r="S1993" i="5" s="1"/>
  <c r="T1993" i="5" s="1"/>
  <c r="U1993" i="5" s="1"/>
  <c r="V1993" i="5" s="1"/>
  <c r="P1993" i="5"/>
  <c r="AE1993" i="5" s="1"/>
  <c r="AF1993" i="5" s="1"/>
  <c r="O1993" i="5"/>
  <c r="N1993" i="5"/>
  <c r="AC1992" i="5"/>
  <c r="AD1992" i="5" s="1"/>
  <c r="AA1992" i="5"/>
  <c r="AB1992" i="5" s="1"/>
  <c r="Y1992" i="5"/>
  <c r="Z1992" i="5" s="1"/>
  <c r="W1992" i="5"/>
  <c r="X1992" i="5" s="1"/>
  <c r="Q1992" i="5"/>
  <c r="R1992" i="5" s="1"/>
  <c r="S1992" i="5" s="1"/>
  <c r="T1992" i="5" s="1"/>
  <c r="U1992" i="5" s="1"/>
  <c r="V1992" i="5" s="1"/>
  <c r="P1992" i="5"/>
  <c r="AE1992" i="5" s="1"/>
  <c r="AF1992" i="5" s="1"/>
  <c r="O1992" i="5"/>
  <c r="N1992" i="5"/>
  <c r="AC1991" i="5"/>
  <c r="AD1991" i="5" s="1"/>
  <c r="AA1991" i="5"/>
  <c r="AB1991" i="5" s="1"/>
  <c r="Y1991" i="5"/>
  <c r="Z1991" i="5" s="1"/>
  <c r="W1991" i="5"/>
  <c r="X1991" i="5" s="1"/>
  <c r="Q1991" i="5"/>
  <c r="R1991" i="5" s="1"/>
  <c r="S1991" i="5" s="1"/>
  <c r="T1991" i="5" s="1"/>
  <c r="U1991" i="5" s="1"/>
  <c r="V1991" i="5" s="1"/>
  <c r="P1991" i="5"/>
  <c r="AE1991" i="5" s="1"/>
  <c r="AF1991" i="5" s="1"/>
  <c r="O1991" i="5"/>
  <c r="N1991" i="5"/>
  <c r="AC1990" i="5"/>
  <c r="AD1990" i="5" s="1"/>
  <c r="AA1990" i="5"/>
  <c r="AB1990" i="5" s="1"/>
  <c r="Y1990" i="5"/>
  <c r="Z1990" i="5" s="1"/>
  <c r="W1990" i="5"/>
  <c r="X1990" i="5" s="1"/>
  <c r="Q1990" i="5"/>
  <c r="R1990" i="5" s="1"/>
  <c r="S1990" i="5" s="1"/>
  <c r="T1990" i="5" s="1"/>
  <c r="U1990" i="5" s="1"/>
  <c r="V1990" i="5" s="1"/>
  <c r="P1990" i="5"/>
  <c r="AE1990" i="5" s="1"/>
  <c r="AF1990" i="5" s="1"/>
  <c r="O1990" i="5"/>
  <c r="N1990" i="5"/>
  <c r="AC1989" i="5"/>
  <c r="AD1989" i="5" s="1"/>
  <c r="AA1989" i="5"/>
  <c r="AB1989" i="5" s="1"/>
  <c r="Y1989" i="5"/>
  <c r="Z1989" i="5" s="1"/>
  <c r="W1989" i="5"/>
  <c r="X1989" i="5" s="1"/>
  <c r="Q1989" i="5"/>
  <c r="R1989" i="5" s="1"/>
  <c r="S1989" i="5" s="1"/>
  <c r="T1989" i="5" s="1"/>
  <c r="U1989" i="5" s="1"/>
  <c r="V1989" i="5" s="1"/>
  <c r="P1989" i="5"/>
  <c r="AE1989" i="5" s="1"/>
  <c r="AF1989" i="5" s="1"/>
  <c r="O1989" i="5"/>
  <c r="N1989" i="5"/>
  <c r="AC1988" i="5"/>
  <c r="AD1988" i="5" s="1"/>
  <c r="AA1988" i="5"/>
  <c r="AB1988" i="5" s="1"/>
  <c r="Y1988" i="5"/>
  <c r="Z1988" i="5" s="1"/>
  <c r="W1988" i="5"/>
  <c r="X1988" i="5" s="1"/>
  <c r="Q1988" i="5"/>
  <c r="R1988" i="5" s="1"/>
  <c r="S1988" i="5" s="1"/>
  <c r="T1988" i="5" s="1"/>
  <c r="U1988" i="5" s="1"/>
  <c r="V1988" i="5" s="1"/>
  <c r="P1988" i="5"/>
  <c r="AE1988" i="5" s="1"/>
  <c r="AF1988" i="5" s="1"/>
  <c r="O1988" i="5"/>
  <c r="N1988" i="5"/>
  <c r="AC1987" i="5"/>
  <c r="AD1987" i="5" s="1"/>
  <c r="AA1987" i="5"/>
  <c r="AB1987" i="5" s="1"/>
  <c r="Y1987" i="5"/>
  <c r="Z1987" i="5" s="1"/>
  <c r="W1987" i="5"/>
  <c r="X1987" i="5" s="1"/>
  <c r="Q1987" i="5"/>
  <c r="R1987" i="5" s="1"/>
  <c r="S1987" i="5" s="1"/>
  <c r="T1987" i="5" s="1"/>
  <c r="U1987" i="5" s="1"/>
  <c r="V1987" i="5" s="1"/>
  <c r="P1987" i="5"/>
  <c r="AE1987" i="5" s="1"/>
  <c r="AF1987" i="5" s="1"/>
  <c r="O1987" i="5"/>
  <c r="N1987" i="5"/>
  <c r="AC1986" i="5"/>
  <c r="AD1986" i="5" s="1"/>
  <c r="AA1986" i="5"/>
  <c r="AB1986" i="5" s="1"/>
  <c r="Y1986" i="5"/>
  <c r="Z1986" i="5" s="1"/>
  <c r="W1986" i="5"/>
  <c r="X1986" i="5" s="1"/>
  <c r="Q1986" i="5"/>
  <c r="R1986" i="5" s="1"/>
  <c r="S1986" i="5" s="1"/>
  <c r="T1986" i="5" s="1"/>
  <c r="U1986" i="5" s="1"/>
  <c r="V1986" i="5" s="1"/>
  <c r="P1986" i="5"/>
  <c r="AE1986" i="5" s="1"/>
  <c r="AF1986" i="5" s="1"/>
  <c r="O1986" i="5"/>
  <c r="N1986" i="5"/>
  <c r="AC1985" i="5"/>
  <c r="AD1985" i="5" s="1"/>
  <c r="AA1985" i="5"/>
  <c r="AB1985" i="5" s="1"/>
  <c r="Y1985" i="5"/>
  <c r="Z1985" i="5" s="1"/>
  <c r="W1985" i="5"/>
  <c r="X1985" i="5" s="1"/>
  <c r="Q1985" i="5"/>
  <c r="R1985" i="5" s="1"/>
  <c r="S1985" i="5" s="1"/>
  <c r="T1985" i="5" s="1"/>
  <c r="U1985" i="5" s="1"/>
  <c r="V1985" i="5" s="1"/>
  <c r="P1985" i="5"/>
  <c r="AE1985" i="5" s="1"/>
  <c r="AF1985" i="5" s="1"/>
  <c r="O1985" i="5"/>
  <c r="N1985" i="5"/>
  <c r="AC1984" i="5"/>
  <c r="AD1984" i="5" s="1"/>
  <c r="AA1984" i="5"/>
  <c r="AB1984" i="5" s="1"/>
  <c r="Y1984" i="5"/>
  <c r="Z1984" i="5" s="1"/>
  <c r="W1984" i="5"/>
  <c r="X1984" i="5" s="1"/>
  <c r="Q1984" i="5"/>
  <c r="R1984" i="5" s="1"/>
  <c r="S1984" i="5" s="1"/>
  <c r="T1984" i="5" s="1"/>
  <c r="U1984" i="5" s="1"/>
  <c r="V1984" i="5" s="1"/>
  <c r="P1984" i="5"/>
  <c r="AE1984" i="5" s="1"/>
  <c r="AF1984" i="5" s="1"/>
  <c r="O1984" i="5"/>
  <c r="N1984" i="5"/>
  <c r="AC1983" i="5"/>
  <c r="AD1983" i="5" s="1"/>
  <c r="AA1983" i="5"/>
  <c r="AB1983" i="5" s="1"/>
  <c r="Y1983" i="5"/>
  <c r="Z1983" i="5" s="1"/>
  <c r="W1983" i="5"/>
  <c r="X1983" i="5" s="1"/>
  <c r="Q1983" i="5"/>
  <c r="R1983" i="5" s="1"/>
  <c r="S1983" i="5" s="1"/>
  <c r="T1983" i="5" s="1"/>
  <c r="U1983" i="5" s="1"/>
  <c r="V1983" i="5" s="1"/>
  <c r="P1983" i="5"/>
  <c r="AE1983" i="5" s="1"/>
  <c r="AF1983" i="5" s="1"/>
  <c r="O1983" i="5"/>
  <c r="N1983" i="5"/>
  <c r="AC1982" i="5"/>
  <c r="AD1982" i="5" s="1"/>
  <c r="AA1982" i="5"/>
  <c r="AB1982" i="5" s="1"/>
  <c r="Y1982" i="5"/>
  <c r="Z1982" i="5" s="1"/>
  <c r="W1982" i="5"/>
  <c r="X1982" i="5" s="1"/>
  <c r="Q1982" i="5"/>
  <c r="R1982" i="5" s="1"/>
  <c r="S1982" i="5" s="1"/>
  <c r="T1982" i="5" s="1"/>
  <c r="U1982" i="5" s="1"/>
  <c r="V1982" i="5" s="1"/>
  <c r="P1982" i="5"/>
  <c r="AE1982" i="5" s="1"/>
  <c r="AF1982" i="5" s="1"/>
  <c r="O1982" i="5"/>
  <c r="N1982" i="5"/>
  <c r="AC1981" i="5"/>
  <c r="AD1981" i="5" s="1"/>
  <c r="AA1981" i="5"/>
  <c r="AB1981" i="5" s="1"/>
  <c r="Y1981" i="5"/>
  <c r="Z1981" i="5" s="1"/>
  <c r="W1981" i="5"/>
  <c r="X1981" i="5" s="1"/>
  <c r="Q1981" i="5"/>
  <c r="R1981" i="5" s="1"/>
  <c r="S1981" i="5" s="1"/>
  <c r="T1981" i="5" s="1"/>
  <c r="U1981" i="5" s="1"/>
  <c r="V1981" i="5" s="1"/>
  <c r="P1981" i="5"/>
  <c r="AE1981" i="5" s="1"/>
  <c r="AF1981" i="5" s="1"/>
  <c r="O1981" i="5"/>
  <c r="N1981" i="5"/>
  <c r="AC1980" i="5"/>
  <c r="AD1980" i="5" s="1"/>
  <c r="AA1980" i="5"/>
  <c r="AB1980" i="5" s="1"/>
  <c r="Y1980" i="5"/>
  <c r="Z1980" i="5" s="1"/>
  <c r="W1980" i="5"/>
  <c r="X1980" i="5" s="1"/>
  <c r="Q1980" i="5"/>
  <c r="R1980" i="5" s="1"/>
  <c r="S1980" i="5" s="1"/>
  <c r="T1980" i="5" s="1"/>
  <c r="U1980" i="5" s="1"/>
  <c r="V1980" i="5" s="1"/>
  <c r="P1980" i="5"/>
  <c r="AE1980" i="5" s="1"/>
  <c r="AF1980" i="5" s="1"/>
  <c r="O1980" i="5"/>
  <c r="N1980" i="5"/>
  <c r="AC1979" i="5"/>
  <c r="AD1979" i="5" s="1"/>
  <c r="AA1979" i="5"/>
  <c r="AB1979" i="5" s="1"/>
  <c r="Y1979" i="5"/>
  <c r="Z1979" i="5" s="1"/>
  <c r="W1979" i="5"/>
  <c r="X1979" i="5" s="1"/>
  <c r="Q1979" i="5"/>
  <c r="R1979" i="5" s="1"/>
  <c r="S1979" i="5" s="1"/>
  <c r="T1979" i="5" s="1"/>
  <c r="U1979" i="5" s="1"/>
  <c r="V1979" i="5" s="1"/>
  <c r="P1979" i="5"/>
  <c r="AE1979" i="5" s="1"/>
  <c r="AF1979" i="5" s="1"/>
  <c r="O1979" i="5"/>
  <c r="N1979" i="5"/>
  <c r="AC1978" i="5"/>
  <c r="AD1978" i="5" s="1"/>
  <c r="AA1978" i="5"/>
  <c r="AB1978" i="5" s="1"/>
  <c r="Y1978" i="5"/>
  <c r="Z1978" i="5" s="1"/>
  <c r="W1978" i="5"/>
  <c r="X1978" i="5" s="1"/>
  <c r="Q1978" i="5"/>
  <c r="R1978" i="5" s="1"/>
  <c r="S1978" i="5" s="1"/>
  <c r="T1978" i="5" s="1"/>
  <c r="U1978" i="5" s="1"/>
  <c r="V1978" i="5" s="1"/>
  <c r="P1978" i="5"/>
  <c r="AE1978" i="5" s="1"/>
  <c r="AF1978" i="5" s="1"/>
  <c r="O1978" i="5"/>
  <c r="N1978" i="5"/>
  <c r="AC1977" i="5"/>
  <c r="AD1977" i="5" s="1"/>
  <c r="AA1977" i="5"/>
  <c r="AB1977" i="5" s="1"/>
  <c r="Y1977" i="5"/>
  <c r="Z1977" i="5" s="1"/>
  <c r="W1977" i="5"/>
  <c r="X1977" i="5" s="1"/>
  <c r="Q1977" i="5"/>
  <c r="R1977" i="5" s="1"/>
  <c r="S1977" i="5" s="1"/>
  <c r="T1977" i="5" s="1"/>
  <c r="U1977" i="5" s="1"/>
  <c r="V1977" i="5" s="1"/>
  <c r="P1977" i="5"/>
  <c r="AE1977" i="5" s="1"/>
  <c r="AF1977" i="5" s="1"/>
  <c r="O1977" i="5"/>
  <c r="N1977" i="5"/>
  <c r="AC1976" i="5"/>
  <c r="AD1976" i="5" s="1"/>
  <c r="AA1976" i="5"/>
  <c r="AB1976" i="5" s="1"/>
  <c r="Y1976" i="5"/>
  <c r="Z1976" i="5" s="1"/>
  <c r="W1976" i="5"/>
  <c r="X1976" i="5" s="1"/>
  <c r="Q1976" i="5"/>
  <c r="R1976" i="5" s="1"/>
  <c r="S1976" i="5" s="1"/>
  <c r="T1976" i="5" s="1"/>
  <c r="U1976" i="5" s="1"/>
  <c r="V1976" i="5" s="1"/>
  <c r="P1976" i="5"/>
  <c r="AE1976" i="5" s="1"/>
  <c r="AF1976" i="5" s="1"/>
  <c r="O1976" i="5"/>
  <c r="N1976" i="5"/>
  <c r="AC1975" i="5"/>
  <c r="AD1975" i="5" s="1"/>
  <c r="AA1975" i="5"/>
  <c r="AB1975" i="5" s="1"/>
  <c r="Y1975" i="5"/>
  <c r="Z1975" i="5" s="1"/>
  <c r="W1975" i="5"/>
  <c r="X1975" i="5" s="1"/>
  <c r="Q1975" i="5"/>
  <c r="R1975" i="5" s="1"/>
  <c r="S1975" i="5" s="1"/>
  <c r="T1975" i="5" s="1"/>
  <c r="U1975" i="5" s="1"/>
  <c r="V1975" i="5" s="1"/>
  <c r="P1975" i="5"/>
  <c r="AE1975" i="5" s="1"/>
  <c r="AF1975" i="5" s="1"/>
  <c r="O1975" i="5"/>
  <c r="N1975" i="5"/>
  <c r="AC1974" i="5"/>
  <c r="AD1974" i="5" s="1"/>
  <c r="AA1974" i="5"/>
  <c r="AB1974" i="5" s="1"/>
  <c r="Y1974" i="5"/>
  <c r="Z1974" i="5" s="1"/>
  <c r="W1974" i="5"/>
  <c r="X1974" i="5" s="1"/>
  <c r="Q1974" i="5"/>
  <c r="R1974" i="5" s="1"/>
  <c r="S1974" i="5" s="1"/>
  <c r="T1974" i="5" s="1"/>
  <c r="U1974" i="5" s="1"/>
  <c r="V1974" i="5" s="1"/>
  <c r="P1974" i="5"/>
  <c r="AE1974" i="5" s="1"/>
  <c r="AF1974" i="5" s="1"/>
  <c r="O1974" i="5"/>
  <c r="N1974" i="5"/>
  <c r="AC1973" i="5"/>
  <c r="AD1973" i="5" s="1"/>
  <c r="AA1973" i="5"/>
  <c r="AB1973" i="5" s="1"/>
  <c r="Y1973" i="5"/>
  <c r="Z1973" i="5" s="1"/>
  <c r="W1973" i="5"/>
  <c r="X1973" i="5" s="1"/>
  <c r="Q1973" i="5"/>
  <c r="R1973" i="5" s="1"/>
  <c r="S1973" i="5" s="1"/>
  <c r="T1973" i="5" s="1"/>
  <c r="U1973" i="5" s="1"/>
  <c r="V1973" i="5" s="1"/>
  <c r="P1973" i="5"/>
  <c r="AE1973" i="5" s="1"/>
  <c r="AF1973" i="5" s="1"/>
  <c r="O1973" i="5"/>
  <c r="N1973" i="5"/>
  <c r="AC1972" i="5"/>
  <c r="AD1972" i="5" s="1"/>
  <c r="AA1972" i="5"/>
  <c r="AB1972" i="5" s="1"/>
  <c r="Y1972" i="5"/>
  <c r="Z1972" i="5" s="1"/>
  <c r="W1972" i="5"/>
  <c r="X1972" i="5" s="1"/>
  <c r="Q1972" i="5"/>
  <c r="R1972" i="5" s="1"/>
  <c r="S1972" i="5" s="1"/>
  <c r="T1972" i="5" s="1"/>
  <c r="U1972" i="5" s="1"/>
  <c r="V1972" i="5" s="1"/>
  <c r="P1972" i="5"/>
  <c r="AE1972" i="5" s="1"/>
  <c r="AF1972" i="5" s="1"/>
  <c r="O1972" i="5"/>
  <c r="N1972" i="5"/>
  <c r="AC1971" i="5"/>
  <c r="AD1971" i="5" s="1"/>
  <c r="AA1971" i="5"/>
  <c r="AB1971" i="5" s="1"/>
  <c r="Y1971" i="5"/>
  <c r="Z1971" i="5" s="1"/>
  <c r="W1971" i="5"/>
  <c r="X1971" i="5" s="1"/>
  <c r="Q1971" i="5"/>
  <c r="R1971" i="5" s="1"/>
  <c r="S1971" i="5" s="1"/>
  <c r="T1971" i="5" s="1"/>
  <c r="U1971" i="5" s="1"/>
  <c r="V1971" i="5" s="1"/>
  <c r="P1971" i="5"/>
  <c r="AE1971" i="5" s="1"/>
  <c r="AF1971" i="5" s="1"/>
  <c r="O1971" i="5"/>
  <c r="N1971" i="5"/>
  <c r="AC1970" i="5"/>
  <c r="AD1970" i="5" s="1"/>
  <c r="AA1970" i="5"/>
  <c r="AB1970" i="5" s="1"/>
  <c r="Y1970" i="5"/>
  <c r="Z1970" i="5" s="1"/>
  <c r="W1970" i="5"/>
  <c r="X1970" i="5" s="1"/>
  <c r="Q1970" i="5"/>
  <c r="R1970" i="5" s="1"/>
  <c r="S1970" i="5" s="1"/>
  <c r="T1970" i="5" s="1"/>
  <c r="U1970" i="5" s="1"/>
  <c r="V1970" i="5" s="1"/>
  <c r="P1970" i="5"/>
  <c r="AE1970" i="5" s="1"/>
  <c r="AF1970" i="5" s="1"/>
  <c r="O1970" i="5"/>
  <c r="N1970" i="5"/>
  <c r="AC1969" i="5"/>
  <c r="AD1969" i="5" s="1"/>
  <c r="AA1969" i="5"/>
  <c r="AB1969" i="5" s="1"/>
  <c r="Y1969" i="5"/>
  <c r="Z1969" i="5" s="1"/>
  <c r="W1969" i="5"/>
  <c r="X1969" i="5" s="1"/>
  <c r="Q1969" i="5"/>
  <c r="R1969" i="5" s="1"/>
  <c r="S1969" i="5" s="1"/>
  <c r="T1969" i="5" s="1"/>
  <c r="U1969" i="5" s="1"/>
  <c r="V1969" i="5" s="1"/>
  <c r="P1969" i="5"/>
  <c r="AE1969" i="5" s="1"/>
  <c r="AF1969" i="5" s="1"/>
  <c r="O1969" i="5"/>
  <c r="N1969" i="5"/>
  <c r="AC1968" i="5"/>
  <c r="AD1968" i="5" s="1"/>
  <c r="AA1968" i="5"/>
  <c r="AB1968" i="5" s="1"/>
  <c r="Y1968" i="5"/>
  <c r="Z1968" i="5" s="1"/>
  <c r="W1968" i="5"/>
  <c r="X1968" i="5" s="1"/>
  <c r="Q1968" i="5"/>
  <c r="R1968" i="5" s="1"/>
  <c r="S1968" i="5" s="1"/>
  <c r="T1968" i="5" s="1"/>
  <c r="U1968" i="5" s="1"/>
  <c r="V1968" i="5" s="1"/>
  <c r="P1968" i="5"/>
  <c r="AE1968" i="5" s="1"/>
  <c r="AF1968" i="5" s="1"/>
  <c r="O1968" i="5"/>
  <c r="N1968" i="5"/>
  <c r="AC1967" i="5"/>
  <c r="AD1967" i="5" s="1"/>
  <c r="AA1967" i="5"/>
  <c r="AB1967" i="5" s="1"/>
  <c r="Y1967" i="5"/>
  <c r="Z1967" i="5" s="1"/>
  <c r="W1967" i="5"/>
  <c r="X1967" i="5" s="1"/>
  <c r="Q1967" i="5"/>
  <c r="R1967" i="5" s="1"/>
  <c r="S1967" i="5" s="1"/>
  <c r="T1967" i="5" s="1"/>
  <c r="U1967" i="5" s="1"/>
  <c r="V1967" i="5" s="1"/>
  <c r="P1967" i="5"/>
  <c r="AE1967" i="5" s="1"/>
  <c r="AF1967" i="5" s="1"/>
  <c r="O1967" i="5"/>
  <c r="N1967" i="5"/>
  <c r="AC1966" i="5"/>
  <c r="AD1966" i="5" s="1"/>
  <c r="AA1966" i="5"/>
  <c r="AB1966" i="5" s="1"/>
  <c r="Y1966" i="5"/>
  <c r="Z1966" i="5" s="1"/>
  <c r="W1966" i="5"/>
  <c r="X1966" i="5" s="1"/>
  <c r="Q1966" i="5"/>
  <c r="R1966" i="5" s="1"/>
  <c r="S1966" i="5" s="1"/>
  <c r="T1966" i="5" s="1"/>
  <c r="U1966" i="5" s="1"/>
  <c r="V1966" i="5" s="1"/>
  <c r="P1966" i="5"/>
  <c r="AE1966" i="5" s="1"/>
  <c r="AF1966" i="5" s="1"/>
  <c r="O1966" i="5"/>
  <c r="N1966" i="5"/>
  <c r="AC1965" i="5"/>
  <c r="AD1965" i="5" s="1"/>
  <c r="AA1965" i="5"/>
  <c r="AB1965" i="5" s="1"/>
  <c r="Y1965" i="5"/>
  <c r="Z1965" i="5" s="1"/>
  <c r="W1965" i="5"/>
  <c r="X1965" i="5" s="1"/>
  <c r="Q1965" i="5"/>
  <c r="R1965" i="5" s="1"/>
  <c r="S1965" i="5" s="1"/>
  <c r="T1965" i="5" s="1"/>
  <c r="U1965" i="5" s="1"/>
  <c r="V1965" i="5" s="1"/>
  <c r="P1965" i="5"/>
  <c r="AE1965" i="5" s="1"/>
  <c r="AF1965" i="5" s="1"/>
  <c r="O1965" i="5"/>
  <c r="N1965" i="5"/>
  <c r="AC1964" i="5"/>
  <c r="AD1964" i="5" s="1"/>
  <c r="AA1964" i="5"/>
  <c r="AB1964" i="5" s="1"/>
  <c r="Y1964" i="5"/>
  <c r="Z1964" i="5" s="1"/>
  <c r="W1964" i="5"/>
  <c r="X1964" i="5" s="1"/>
  <c r="Q1964" i="5"/>
  <c r="R1964" i="5" s="1"/>
  <c r="S1964" i="5" s="1"/>
  <c r="T1964" i="5" s="1"/>
  <c r="U1964" i="5" s="1"/>
  <c r="V1964" i="5" s="1"/>
  <c r="P1964" i="5"/>
  <c r="AE1964" i="5" s="1"/>
  <c r="AF1964" i="5" s="1"/>
  <c r="O1964" i="5"/>
  <c r="N1964" i="5"/>
  <c r="AC1963" i="5"/>
  <c r="AD1963" i="5" s="1"/>
  <c r="AA1963" i="5"/>
  <c r="AB1963" i="5" s="1"/>
  <c r="Y1963" i="5"/>
  <c r="Z1963" i="5" s="1"/>
  <c r="W1963" i="5"/>
  <c r="X1963" i="5" s="1"/>
  <c r="Q1963" i="5"/>
  <c r="R1963" i="5" s="1"/>
  <c r="S1963" i="5" s="1"/>
  <c r="T1963" i="5" s="1"/>
  <c r="U1963" i="5" s="1"/>
  <c r="V1963" i="5" s="1"/>
  <c r="P1963" i="5"/>
  <c r="AE1963" i="5" s="1"/>
  <c r="AF1963" i="5" s="1"/>
  <c r="O1963" i="5"/>
  <c r="N1963" i="5"/>
  <c r="AC1962" i="5"/>
  <c r="AD1962" i="5" s="1"/>
  <c r="AA1962" i="5"/>
  <c r="AB1962" i="5" s="1"/>
  <c r="Y1962" i="5"/>
  <c r="Z1962" i="5" s="1"/>
  <c r="W1962" i="5"/>
  <c r="X1962" i="5" s="1"/>
  <c r="Q1962" i="5"/>
  <c r="R1962" i="5" s="1"/>
  <c r="S1962" i="5" s="1"/>
  <c r="T1962" i="5" s="1"/>
  <c r="U1962" i="5" s="1"/>
  <c r="V1962" i="5" s="1"/>
  <c r="P1962" i="5"/>
  <c r="AE1962" i="5" s="1"/>
  <c r="AF1962" i="5" s="1"/>
  <c r="O1962" i="5"/>
  <c r="N1962" i="5"/>
  <c r="AC1961" i="5"/>
  <c r="AD1961" i="5" s="1"/>
  <c r="AA1961" i="5"/>
  <c r="AB1961" i="5" s="1"/>
  <c r="Y1961" i="5"/>
  <c r="Z1961" i="5" s="1"/>
  <c r="W1961" i="5"/>
  <c r="X1961" i="5" s="1"/>
  <c r="Q1961" i="5"/>
  <c r="R1961" i="5" s="1"/>
  <c r="S1961" i="5" s="1"/>
  <c r="T1961" i="5" s="1"/>
  <c r="U1961" i="5" s="1"/>
  <c r="V1961" i="5" s="1"/>
  <c r="P1961" i="5"/>
  <c r="AE1961" i="5" s="1"/>
  <c r="AF1961" i="5" s="1"/>
  <c r="O1961" i="5"/>
  <c r="N1961" i="5"/>
  <c r="AC1960" i="5"/>
  <c r="AD1960" i="5" s="1"/>
  <c r="AA1960" i="5"/>
  <c r="AB1960" i="5" s="1"/>
  <c r="Y1960" i="5"/>
  <c r="Z1960" i="5" s="1"/>
  <c r="W1960" i="5"/>
  <c r="X1960" i="5" s="1"/>
  <c r="Q1960" i="5"/>
  <c r="R1960" i="5" s="1"/>
  <c r="S1960" i="5" s="1"/>
  <c r="T1960" i="5" s="1"/>
  <c r="U1960" i="5" s="1"/>
  <c r="V1960" i="5" s="1"/>
  <c r="P1960" i="5"/>
  <c r="AE1960" i="5" s="1"/>
  <c r="AF1960" i="5" s="1"/>
  <c r="O1960" i="5"/>
  <c r="N1960" i="5"/>
  <c r="AC1959" i="5"/>
  <c r="AD1959" i="5" s="1"/>
  <c r="AA1959" i="5"/>
  <c r="AB1959" i="5" s="1"/>
  <c r="Y1959" i="5"/>
  <c r="Z1959" i="5" s="1"/>
  <c r="W1959" i="5"/>
  <c r="X1959" i="5" s="1"/>
  <c r="Q1959" i="5"/>
  <c r="R1959" i="5" s="1"/>
  <c r="S1959" i="5" s="1"/>
  <c r="T1959" i="5" s="1"/>
  <c r="U1959" i="5" s="1"/>
  <c r="V1959" i="5" s="1"/>
  <c r="P1959" i="5"/>
  <c r="AE1959" i="5" s="1"/>
  <c r="AF1959" i="5" s="1"/>
  <c r="O1959" i="5"/>
  <c r="N1959" i="5"/>
  <c r="AC1958" i="5"/>
  <c r="AD1958" i="5" s="1"/>
  <c r="AA1958" i="5"/>
  <c r="AB1958" i="5" s="1"/>
  <c r="Y1958" i="5"/>
  <c r="Z1958" i="5" s="1"/>
  <c r="W1958" i="5"/>
  <c r="X1958" i="5" s="1"/>
  <c r="Q1958" i="5"/>
  <c r="R1958" i="5" s="1"/>
  <c r="S1958" i="5" s="1"/>
  <c r="T1958" i="5" s="1"/>
  <c r="U1958" i="5" s="1"/>
  <c r="V1958" i="5" s="1"/>
  <c r="P1958" i="5"/>
  <c r="AE1958" i="5" s="1"/>
  <c r="AF1958" i="5" s="1"/>
  <c r="O1958" i="5"/>
  <c r="N1958" i="5"/>
  <c r="AC1957" i="5"/>
  <c r="AD1957" i="5" s="1"/>
  <c r="AA1957" i="5"/>
  <c r="AB1957" i="5" s="1"/>
  <c r="Y1957" i="5"/>
  <c r="Z1957" i="5" s="1"/>
  <c r="W1957" i="5"/>
  <c r="X1957" i="5" s="1"/>
  <c r="Q1957" i="5"/>
  <c r="R1957" i="5" s="1"/>
  <c r="S1957" i="5" s="1"/>
  <c r="T1957" i="5" s="1"/>
  <c r="U1957" i="5" s="1"/>
  <c r="V1957" i="5" s="1"/>
  <c r="P1957" i="5"/>
  <c r="AE1957" i="5" s="1"/>
  <c r="AF1957" i="5" s="1"/>
  <c r="O1957" i="5"/>
  <c r="N1957" i="5"/>
  <c r="AC1956" i="5"/>
  <c r="AD1956" i="5" s="1"/>
  <c r="AA1956" i="5"/>
  <c r="AB1956" i="5" s="1"/>
  <c r="Y1956" i="5"/>
  <c r="Z1956" i="5" s="1"/>
  <c r="W1956" i="5"/>
  <c r="X1956" i="5" s="1"/>
  <c r="Q1956" i="5"/>
  <c r="R1956" i="5" s="1"/>
  <c r="S1956" i="5" s="1"/>
  <c r="T1956" i="5" s="1"/>
  <c r="U1956" i="5" s="1"/>
  <c r="V1956" i="5" s="1"/>
  <c r="P1956" i="5"/>
  <c r="AE1956" i="5" s="1"/>
  <c r="AF1956" i="5" s="1"/>
  <c r="O1956" i="5"/>
  <c r="N1956" i="5"/>
  <c r="AC1955" i="5"/>
  <c r="AD1955" i="5" s="1"/>
  <c r="AA1955" i="5"/>
  <c r="AB1955" i="5" s="1"/>
  <c r="Y1955" i="5"/>
  <c r="Z1955" i="5" s="1"/>
  <c r="W1955" i="5"/>
  <c r="X1955" i="5" s="1"/>
  <c r="Q1955" i="5"/>
  <c r="R1955" i="5" s="1"/>
  <c r="S1955" i="5" s="1"/>
  <c r="T1955" i="5" s="1"/>
  <c r="U1955" i="5" s="1"/>
  <c r="V1955" i="5" s="1"/>
  <c r="P1955" i="5"/>
  <c r="AE1955" i="5" s="1"/>
  <c r="AF1955" i="5" s="1"/>
  <c r="O1955" i="5"/>
  <c r="N1955" i="5"/>
  <c r="AC1954" i="5"/>
  <c r="AD1954" i="5" s="1"/>
  <c r="AA1954" i="5"/>
  <c r="AB1954" i="5" s="1"/>
  <c r="Y1954" i="5"/>
  <c r="Z1954" i="5" s="1"/>
  <c r="W1954" i="5"/>
  <c r="X1954" i="5" s="1"/>
  <c r="Q1954" i="5"/>
  <c r="R1954" i="5" s="1"/>
  <c r="S1954" i="5" s="1"/>
  <c r="T1954" i="5" s="1"/>
  <c r="U1954" i="5" s="1"/>
  <c r="V1954" i="5" s="1"/>
  <c r="P1954" i="5"/>
  <c r="AE1954" i="5" s="1"/>
  <c r="AF1954" i="5" s="1"/>
  <c r="O1954" i="5"/>
  <c r="N1954" i="5"/>
  <c r="AC1953" i="5"/>
  <c r="AD1953" i="5" s="1"/>
  <c r="AA1953" i="5"/>
  <c r="AB1953" i="5" s="1"/>
  <c r="Y1953" i="5"/>
  <c r="Z1953" i="5" s="1"/>
  <c r="W1953" i="5"/>
  <c r="X1953" i="5" s="1"/>
  <c r="Q1953" i="5"/>
  <c r="R1953" i="5" s="1"/>
  <c r="S1953" i="5" s="1"/>
  <c r="T1953" i="5" s="1"/>
  <c r="U1953" i="5" s="1"/>
  <c r="V1953" i="5" s="1"/>
  <c r="P1953" i="5"/>
  <c r="AE1953" i="5" s="1"/>
  <c r="AF1953" i="5" s="1"/>
  <c r="O1953" i="5"/>
  <c r="N1953" i="5"/>
  <c r="AC1952" i="5"/>
  <c r="AD1952" i="5" s="1"/>
  <c r="AA1952" i="5"/>
  <c r="AB1952" i="5" s="1"/>
  <c r="Y1952" i="5"/>
  <c r="Z1952" i="5" s="1"/>
  <c r="W1952" i="5"/>
  <c r="X1952" i="5" s="1"/>
  <c r="Q1952" i="5"/>
  <c r="R1952" i="5" s="1"/>
  <c r="S1952" i="5" s="1"/>
  <c r="T1952" i="5" s="1"/>
  <c r="U1952" i="5" s="1"/>
  <c r="V1952" i="5" s="1"/>
  <c r="P1952" i="5"/>
  <c r="AE1952" i="5" s="1"/>
  <c r="AF1952" i="5" s="1"/>
  <c r="O1952" i="5"/>
  <c r="N1952" i="5"/>
  <c r="AC1951" i="5"/>
  <c r="AD1951" i="5" s="1"/>
  <c r="AA1951" i="5"/>
  <c r="AB1951" i="5" s="1"/>
  <c r="Y1951" i="5"/>
  <c r="Z1951" i="5" s="1"/>
  <c r="W1951" i="5"/>
  <c r="X1951" i="5" s="1"/>
  <c r="Q1951" i="5"/>
  <c r="R1951" i="5" s="1"/>
  <c r="S1951" i="5" s="1"/>
  <c r="T1951" i="5" s="1"/>
  <c r="U1951" i="5" s="1"/>
  <c r="V1951" i="5" s="1"/>
  <c r="P1951" i="5"/>
  <c r="AE1951" i="5" s="1"/>
  <c r="AF1951" i="5" s="1"/>
  <c r="O1951" i="5"/>
  <c r="N1951" i="5"/>
  <c r="AC1950" i="5"/>
  <c r="AD1950" i="5" s="1"/>
  <c r="AA1950" i="5"/>
  <c r="AB1950" i="5" s="1"/>
  <c r="Y1950" i="5"/>
  <c r="Z1950" i="5" s="1"/>
  <c r="W1950" i="5"/>
  <c r="X1950" i="5" s="1"/>
  <c r="Q1950" i="5"/>
  <c r="R1950" i="5" s="1"/>
  <c r="S1950" i="5" s="1"/>
  <c r="T1950" i="5" s="1"/>
  <c r="U1950" i="5" s="1"/>
  <c r="V1950" i="5" s="1"/>
  <c r="P1950" i="5"/>
  <c r="AE1950" i="5" s="1"/>
  <c r="AF1950" i="5" s="1"/>
  <c r="O1950" i="5"/>
  <c r="N1950" i="5"/>
  <c r="AC1949" i="5"/>
  <c r="AD1949" i="5" s="1"/>
  <c r="AA1949" i="5"/>
  <c r="AB1949" i="5" s="1"/>
  <c r="Y1949" i="5"/>
  <c r="Z1949" i="5" s="1"/>
  <c r="W1949" i="5"/>
  <c r="X1949" i="5" s="1"/>
  <c r="Q1949" i="5"/>
  <c r="R1949" i="5" s="1"/>
  <c r="S1949" i="5" s="1"/>
  <c r="T1949" i="5" s="1"/>
  <c r="U1949" i="5" s="1"/>
  <c r="V1949" i="5" s="1"/>
  <c r="P1949" i="5"/>
  <c r="AE1949" i="5" s="1"/>
  <c r="AF1949" i="5" s="1"/>
  <c r="O1949" i="5"/>
  <c r="N1949" i="5"/>
  <c r="AC1948" i="5"/>
  <c r="AD1948" i="5" s="1"/>
  <c r="AA1948" i="5"/>
  <c r="AB1948" i="5" s="1"/>
  <c r="Y1948" i="5"/>
  <c r="Z1948" i="5" s="1"/>
  <c r="W1948" i="5"/>
  <c r="X1948" i="5" s="1"/>
  <c r="Q1948" i="5"/>
  <c r="R1948" i="5" s="1"/>
  <c r="S1948" i="5" s="1"/>
  <c r="T1948" i="5" s="1"/>
  <c r="U1948" i="5" s="1"/>
  <c r="V1948" i="5" s="1"/>
  <c r="P1948" i="5"/>
  <c r="AE1948" i="5" s="1"/>
  <c r="AF1948" i="5" s="1"/>
  <c r="O1948" i="5"/>
  <c r="N1948" i="5"/>
  <c r="AC1947" i="5"/>
  <c r="AD1947" i="5" s="1"/>
  <c r="AA1947" i="5"/>
  <c r="AB1947" i="5" s="1"/>
  <c r="Y1947" i="5"/>
  <c r="Z1947" i="5" s="1"/>
  <c r="W1947" i="5"/>
  <c r="X1947" i="5" s="1"/>
  <c r="Q1947" i="5"/>
  <c r="R1947" i="5" s="1"/>
  <c r="S1947" i="5" s="1"/>
  <c r="T1947" i="5" s="1"/>
  <c r="U1947" i="5" s="1"/>
  <c r="V1947" i="5" s="1"/>
  <c r="P1947" i="5"/>
  <c r="AE1947" i="5" s="1"/>
  <c r="AF1947" i="5" s="1"/>
  <c r="O1947" i="5"/>
  <c r="N1947" i="5"/>
  <c r="AC1946" i="5"/>
  <c r="AD1946" i="5" s="1"/>
  <c r="AA1946" i="5"/>
  <c r="AB1946" i="5" s="1"/>
  <c r="Y1946" i="5"/>
  <c r="Z1946" i="5" s="1"/>
  <c r="W1946" i="5"/>
  <c r="X1946" i="5" s="1"/>
  <c r="Q1946" i="5"/>
  <c r="R1946" i="5" s="1"/>
  <c r="S1946" i="5" s="1"/>
  <c r="T1946" i="5" s="1"/>
  <c r="U1946" i="5" s="1"/>
  <c r="V1946" i="5" s="1"/>
  <c r="P1946" i="5"/>
  <c r="AE1946" i="5" s="1"/>
  <c r="AF1946" i="5" s="1"/>
  <c r="O1946" i="5"/>
  <c r="N1946" i="5"/>
  <c r="AC1945" i="5"/>
  <c r="AD1945" i="5" s="1"/>
  <c r="AA1945" i="5"/>
  <c r="AB1945" i="5" s="1"/>
  <c r="Y1945" i="5"/>
  <c r="Z1945" i="5" s="1"/>
  <c r="W1945" i="5"/>
  <c r="X1945" i="5" s="1"/>
  <c r="Q1945" i="5"/>
  <c r="R1945" i="5" s="1"/>
  <c r="S1945" i="5" s="1"/>
  <c r="T1945" i="5" s="1"/>
  <c r="U1945" i="5" s="1"/>
  <c r="V1945" i="5" s="1"/>
  <c r="P1945" i="5"/>
  <c r="AE1945" i="5" s="1"/>
  <c r="AF1945" i="5" s="1"/>
  <c r="O1945" i="5"/>
  <c r="N1945" i="5"/>
  <c r="AC1944" i="5"/>
  <c r="AD1944" i="5" s="1"/>
  <c r="AA1944" i="5"/>
  <c r="AB1944" i="5" s="1"/>
  <c r="Y1944" i="5"/>
  <c r="Z1944" i="5" s="1"/>
  <c r="W1944" i="5"/>
  <c r="X1944" i="5" s="1"/>
  <c r="Q1944" i="5"/>
  <c r="R1944" i="5" s="1"/>
  <c r="S1944" i="5" s="1"/>
  <c r="T1944" i="5" s="1"/>
  <c r="U1944" i="5" s="1"/>
  <c r="V1944" i="5" s="1"/>
  <c r="P1944" i="5"/>
  <c r="AE1944" i="5" s="1"/>
  <c r="AF1944" i="5" s="1"/>
  <c r="O1944" i="5"/>
  <c r="N1944" i="5"/>
  <c r="AC1943" i="5"/>
  <c r="AD1943" i="5" s="1"/>
  <c r="AA1943" i="5"/>
  <c r="AB1943" i="5" s="1"/>
  <c r="Y1943" i="5"/>
  <c r="Z1943" i="5" s="1"/>
  <c r="W1943" i="5"/>
  <c r="X1943" i="5" s="1"/>
  <c r="Q1943" i="5"/>
  <c r="R1943" i="5" s="1"/>
  <c r="S1943" i="5" s="1"/>
  <c r="T1943" i="5" s="1"/>
  <c r="U1943" i="5" s="1"/>
  <c r="V1943" i="5" s="1"/>
  <c r="P1943" i="5"/>
  <c r="AE1943" i="5" s="1"/>
  <c r="AF1943" i="5" s="1"/>
  <c r="O1943" i="5"/>
  <c r="N1943" i="5"/>
  <c r="AC1942" i="5"/>
  <c r="AD1942" i="5" s="1"/>
  <c r="AA1942" i="5"/>
  <c r="AB1942" i="5" s="1"/>
  <c r="Y1942" i="5"/>
  <c r="Z1942" i="5" s="1"/>
  <c r="W1942" i="5"/>
  <c r="X1942" i="5" s="1"/>
  <c r="Q1942" i="5"/>
  <c r="R1942" i="5" s="1"/>
  <c r="S1942" i="5" s="1"/>
  <c r="T1942" i="5" s="1"/>
  <c r="U1942" i="5" s="1"/>
  <c r="V1942" i="5" s="1"/>
  <c r="P1942" i="5"/>
  <c r="AE1942" i="5" s="1"/>
  <c r="AF1942" i="5" s="1"/>
  <c r="O1942" i="5"/>
  <c r="N1942" i="5"/>
  <c r="AC1941" i="5"/>
  <c r="AD1941" i="5" s="1"/>
  <c r="AA1941" i="5"/>
  <c r="AB1941" i="5" s="1"/>
  <c r="Y1941" i="5"/>
  <c r="Z1941" i="5" s="1"/>
  <c r="W1941" i="5"/>
  <c r="X1941" i="5" s="1"/>
  <c r="Q1941" i="5"/>
  <c r="R1941" i="5" s="1"/>
  <c r="S1941" i="5" s="1"/>
  <c r="T1941" i="5" s="1"/>
  <c r="U1941" i="5" s="1"/>
  <c r="V1941" i="5" s="1"/>
  <c r="P1941" i="5"/>
  <c r="AE1941" i="5" s="1"/>
  <c r="AF1941" i="5" s="1"/>
  <c r="O1941" i="5"/>
  <c r="N1941" i="5"/>
  <c r="AC1940" i="5"/>
  <c r="AD1940" i="5" s="1"/>
  <c r="AA1940" i="5"/>
  <c r="AB1940" i="5" s="1"/>
  <c r="Y1940" i="5"/>
  <c r="Z1940" i="5" s="1"/>
  <c r="W1940" i="5"/>
  <c r="X1940" i="5" s="1"/>
  <c r="Q1940" i="5"/>
  <c r="R1940" i="5" s="1"/>
  <c r="S1940" i="5" s="1"/>
  <c r="T1940" i="5" s="1"/>
  <c r="U1940" i="5" s="1"/>
  <c r="V1940" i="5" s="1"/>
  <c r="P1940" i="5"/>
  <c r="AE1940" i="5" s="1"/>
  <c r="AF1940" i="5" s="1"/>
  <c r="O1940" i="5"/>
  <c r="N1940" i="5"/>
  <c r="AC1939" i="5"/>
  <c r="AD1939" i="5" s="1"/>
  <c r="AA1939" i="5"/>
  <c r="AB1939" i="5" s="1"/>
  <c r="Y1939" i="5"/>
  <c r="Z1939" i="5" s="1"/>
  <c r="W1939" i="5"/>
  <c r="X1939" i="5" s="1"/>
  <c r="Q1939" i="5"/>
  <c r="R1939" i="5" s="1"/>
  <c r="S1939" i="5" s="1"/>
  <c r="T1939" i="5" s="1"/>
  <c r="U1939" i="5" s="1"/>
  <c r="V1939" i="5" s="1"/>
  <c r="P1939" i="5"/>
  <c r="AE1939" i="5" s="1"/>
  <c r="AF1939" i="5" s="1"/>
  <c r="O1939" i="5"/>
  <c r="N1939" i="5"/>
  <c r="AC1938" i="5"/>
  <c r="AD1938" i="5" s="1"/>
  <c r="AA1938" i="5"/>
  <c r="AB1938" i="5" s="1"/>
  <c r="Y1938" i="5"/>
  <c r="Z1938" i="5" s="1"/>
  <c r="W1938" i="5"/>
  <c r="X1938" i="5" s="1"/>
  <c r="Q1938" i="5"/>
  <c r="R1938" i="5" s="1"/>
  <c r="S1938" i="5" s="1"/>
  <c r="T1938" i="5" s="1"/>
  <c r="U1938" i="5" s="1"/>
  <c r="V1938" i="5" s="1"/>
  <c r="P1938" i="5"/>
  <c r="AE1938" i="5" s="1"/>
  <c r="AF1938" i="5" s="1"/>
  <c r="O1938" i="5"/>
  <c r="N1938" i="5"/>
  <c r="AC1937" i="5"/>
  <c r="AD1937" i="5" s="1"/>
  <c r="AA1937" i="5"/>
  <c r="AB1937" i="5" s="1"/>
  <c r="Y1937" i="5"/>
  <c r="Z1937" i="5" s="1"/>
  <c r="W1937" i="5"/>
  <c r="X1937" i="5" s="1"/>
  <c r="Q1937" i="5"/>
  <c r="R1937" i="5" s="1"/>
  <c r="S1937" i="5" s="1"/>
  <c r="T1937" i="5" s="1"/>
  <c r="U1937" i="5" s="1"/>
  <c r="V1937" i="5" s="1"/>
  <c r="P1937" i="5"/>
  <c r="AE1937" i="5" s="1"/>
  <c r="AF1937" i="5" s="1"/>
  <c r="O1937" i="5"/>
  <c r="N1937" i="5"/>
  <c r="AC1936" i="5"/>
  <c r="AD1936" i="5" s="1"/>
  <c r="AA1936" i="5"/>
  <c r="AB1936" i="5" s="1"/>
  <c r="Y1936" i="5"/>
  <c r="Z1936" i="5" s="1"/>
  <c r="W1936" i="5"/>
  <c r="X1936" i="5" s="1"/>
  <c r="Q1936" i="5"/>
  <c r="R1936" i="5" s="1"/>
  <c r="S1936" i="5" s="1"/>
  <c r="T1936" i="5" s="1"/>
  <c r="U1936" i="5" s="1"/>
  <c r="V1936" i="5" s="1"/>
  <c r="P1936" i="5"/>
  <c r="AE1936" i="5" s="1"/>
  <c r="AF1936" i="5" s="1"/>
  <c r="O1936" i="5"/>
  <c r="N1936" i="5"/>
  <c r="AC1935" i="5"/>
  <c r="AD1935" i="5" s="1"/>
  <c r="AA1935" i="5"/>
  <c r="AB1935" i="5" s="1"/>
  <c r="Y1935" i="5"/>
  <c r="Z1935" i="5" s="1"/>
  <c r="W1935" i="5"/>
  <c r="X1935" i="5" s="1"/>
  <c r="Q1935" i="5"/>
  <c r="R1935" i="5" s="1"/>
  <c r="S1935" i="5" s="1"/>
  <c r="T1935" i="5" s="1"/>
  <c r="U1935" i="5" s="1"/>
  <c r="V1935" i="5" s="1"/>
  <c r="P1935" i="5"/>
  <c r="AE1935" i="5" s="1"/>
  <c r="AF1935" i="5" s="1"/>
  <c r="O1935" i="5"/>
  <c r="N1935" i="5"/>
  <c r="AC1934" i="5"/>
  <c r="AD1934" i="5" s="1"/>
  <c r="AA1934" i="5"/>
  <c r="AB1934" i="5" s="1"/>
  <c r="Y1934" i="5"/>
  <c r="Z1934" i="5" s="1"/>
  <c r="W1934" i="5"/>
  <c r="X1934" i="5" s="1"/>
  <c r="Q1934" i="5"/>
  <c r="R1934" i="5" s="1"/>
  <c r="S1934" i="5" s="1"/>
  <c r="T1934" i="5" s="1"/>
  <c r="U1934" i="5" s="1"/>
  <c r="V1934" i="5" s="1"/>
  <c r="P1934" i="5"/>
  <c r="AE1934" i="5" s="1"/>
  <c r="AF1934" i="5" s="1"/>
  <c r="O1934" i="5"/>
  <c r="N1934" i="5"/>
  <c r="AC1933" i="5"/>
  <c r="AD1933" i="5" s="1"/>
  <c r="AA1933" i="5"/>
  <c r="AB1933" i="5" s="1"/>
  <c r="Y1933" i="5"/>
  <c r="Z1933" i="5" s="1"/>
  <c r="W1933" i="5"/>
  <c r="X1933" i="5" s="1"/>
  <c r="Q1933" i="5"/>
  <c r="R1933" i="5" s="1"/>
  <c r="S1933" i="5" s="1"/>
  <c r="T1933" i="5" s="1"/>
  <c r="U1933" i="5" s="1"/>
  <c r="V1933" i="5" s="1"/>
  <c r="P1933" i="5"/>
  <c r="AE1933" i="5" s="1"/>
  <c r="AF1933" i="5" s="1"/>
  <c r="O1933" i="5"/>
  <c r="N1933" i="5"/>
  <c r="AC1932" i="5"/>
  <c r="AD1932" i="5" s="1"/>
  <c r="AA1932" i="5"/>
  <c r="AB1932" i="5" s="1"/>
  <c r="Y1932" i="5"/>
  <c r="Z1932" i="5" s="1"/>
  <c r="W1932" i="5"/>
  <c r="X1932" i="5" s="1"/>
  <c r="Q1932" i="5"/>
  <c r="R1932" i="5" s="1"/>
  <c r="S1932" i="5" s="1"/>
  <c r="T1932" i="5" s="1"/>
  <c r="U1932" i="5" s="1"/>
  <c r="V1932" i="5" s="1"/>
  <c r="P1932" i="5"/>
  <c r="AE1932" i="5" s="1"/>
  <c r="AF1932" i="5" s="1"/>
  <c r="O1932" i="5"/>
  <c r="N1932" i="5"/>
  <c r="AC1931" i="5"/>
  <c r="AD1931" i="5" s="1"/>
  <c r="AA1931" i="5"/>
  <c r="AB1931" i="5" s="1"/>
  <c r="Y1931" i="5"/>
  <c r="Z1931" i="5" s="1"/>
  <c r="W1931" i="5"/>
  <c r="X1931" i="5" s="1"/>
  <c r="Q1931" i="5"/>
  <c r="R1931" i="5" s="1"/>
  <c r="S1931" i="5" s="1"/>
  <c r="T1931" i="5" s="1"/>
  <c r="U1931" i="5" s="1"/>
  <c r="V1931" i="5" s="1"/>
  <c r="P1931" i="5"/>
  <c r="AE1931" i="5" s="1"/>
  <c r="AF1931" i="5" s="1"/>
  <c r="O1931" i="5"/>
  <c r="N1931" i="5"/>
  <c r="AC1930" i="5"/>
  <c r="AD1930" i="5" s="1"/>
  <c r="AA1930" i="5"/>
  <c r="AB1930" i="5" s="1"/>
  <c r="Y1930" i="5"/>
  <c r="Z1930" i="5" s="1"/>
  <c r="W1930" i="5"/>
  <c r="X1930" i="5" s="1"/>
  <c r="Q1930" i="5"/>
  <c r="R1930" i="5" s="1"/>
  <c r="S1930" i="5" s="1"/>
  <c r="T1930" i="5" s="1"/>
  <c r="U1930" i="5" s="1"/>
  <c r="V1930" i="5" s="1"/>
  <c r="P1930" i="5"/>
  <c r="AE1930" i="5" s="1"/>
  <c r="AF1930" i="5" s="1"/>
  <c r="O1930" i="5"/>
  <c r="N1930" i="5"/>
  <c r="AC1929" i="5"/>
  <c r="AD1929" i="5" s="1"/>
  <c r="AA1929" i="5"/>
  <c r="AB1929" i="5" s="1"/>
  <c r="Y1929" i="5"/>
  <c r="Z1929" i="5" s="1"/>
  <c r="W1929" i="5"/>
  <c r="X1929" i="5" s="1"/>
  <c r="Q1929" i="5"/>
  <c r="R1929" i="5" s="1"/>
  <c r="S1929" i="5" s="1"/>
  <c r="T1929" i="5" s="1"/>
  <c r="U1929" i="5" s="1"/>
  <c r="V1929" i="5" s="1"/>
  <c r="P1929" i="5"/>
  <c r="AE1929" i="5" s="1"/>
  <c r="AF1929" i="5" s="1"/>
  <c r="O1929" i="5"/>
  <c r="N1929" i="5"/>
  <c r="AC1928" i="5"/>
  <c r="AD1928" i="5" s="1"/>
  <c r="AA1928" i="5"/>
  <c r="AB1928" i="5" s="1"/>
  <c r="Y1928" i="5"/>
  <c r="Z1928" i="5" s="1"/>
  <c r="W1928" i="5"/>
  <c r="X1928" i="5" s="1"/>
  <c r="Q1928" i="5"/>
  <c r="R1928" i="5" s="1"/>
  <c r="S1928" i="5" s="1"/>
  <c r="T1928" i="5" s="1"/>
  <c r="U1928" i="5" s="1"/>
  <c r="V1928" i="5" s="1"/>
  <c r="P1928" i="5"/>
  <c r="AE1928" i="5" s="1"/>
  <c r="AF1928" i="5" s="1"/>
  <c r="O1928" i="5"/>
  <c r="N1928" i="5"/>
  <c r="AC1927" i="5"/>
  <c r="AD1927" i="5" s="1"/>
  <c r="AA1927" i="5"/>
  <c r="AB1927" i="5" s="1"/>
  <c r="Y1927" i="5"/>
  <c r="Z1927" i="5" s="1"/>
  <c r="W1927" i="5"/>
  <c r="X1927" i="5" s="1"/>
  <c r="Q1927" i="5"/>
  <c r="R1927" i="5" s="1"/>
  <c r="S1927" i="5" s="1"/>
  <c r="T1927" i="5" s="1"/>
  <c r="U1927" i="5" s="1"/>
  <c r="V1927" i="5" s="1"/>
  <c r="P1927" i="5"/>
  <c r="AE1927" i="5" s="1"/>
  <c r="AF1927" i="5" s="1"/>
  <c r="O1927" i="5"/>
  <c r="N1927" i="5"/>
  <c r="AC1926" i="5"/>
  <c r="AD1926" i="5" s="1"/>
  <c r="AA1926" i="5"/>
  <c r="AB1926" i="5" s="1"/>
  <c r="Y1926" i="5"/>
  <c r="Z1926" i="5" s="1"/>
  <c r="W1926" i="5"/>
  <c r="X1926" i="5" s="1"/>
  <c r="Q1926" i="5"/>
  <c r="R1926" i="5" s="1"/>
  <c r="S1926" i="5" s="1"/>
  <c r="T1926" i="5" s="1"/>
  <c r="U1926" i="5" s="1"/>
  <c r="V1926" i="5" s="1"/>
  <c r="P1926" i="5"/>
  <c r="AE1926" i="5" s="1"/>
  <c r="AF1926" i="5" s="1"/>
  <c r="O1926" i="5"/>
  <c r="N1926" i="5"/>
  <c r="AC1925" i="5"/>
  <c r="AD1925" i="5" s="1"/>
  <c r="AA1925" i="5"/>
  <c r="AB1925" i="5" s="1"/>
  <c r="Y1925" i="5"/>
  <c r="Z1925" i="5" s="1"/>
  <c r="W1925" i="5"/>
  <c r="X1925" i="5" s="1"/>
  <c r="Q1925" i="5"/>
  <c r="R1925" i="5" s="1"/>
  <c r="S1925" i="5" s="1"/>
  <c r="T1925" i="5" s="1"/>
  <c r="U1925" i="5" s="1"/>
  <c r="V1925" i="5" s="1"/>
  <c r="P1925" i="5"/>
  <c r="AE1925" i="5" s="1"/>
  <c r="AF1925" i="5" s="1"/>
  <c r="O1925" i="5"/>
  <c r="N1925" i="5"/>
  <c r="AC1924" i="5"/>
  <c r="AD1924" i="5" s="1"/>
  <c r="AA1924" i="5"/>
  <c r="AB1924" i="5" s="1"/>
  <c r="Y1924" i="5"/>
  <c r="Z1924" i="5" s="1"/>
  <c r="W1924" i="5"/>
  <c r="X1924" i="5" s="1"/>
  <c r="Q1924" i="5"/>
  <c r="R1924" i="5" s="1"/>
  <c r="S1924" i="5" s="1"/>
  <c r="T1924" i="5" s="1"/>
  <c r="U1924" i="5" s="1"/>
  <c r="V1924" i="5" s="1"/>
  <c r="P1924" i="5"/>
  <c r="AE1924" i="5" s="1"/>
  <c r="AF1924" i="5" s="1"/>
  <c r="O1924" i="5"/>
  <c r="N1924" i="5"/>
  <c r="AC1923" i="5"/>
  <c r="AD1923" i="5" s="1"/>
  <c r="AA1923" i="5"/>
  <c r="AB1923" i="5" s="1"/>
  <c r="Y1923" i="5"/>
  <c r="Z1923" i="5" s="1"/>
  <c r="W1923" i="5"/>
  <c r="X1923" i="5" s="1"/>
  <c r="Q1923" i="5"/>
  <c r="R1923" i="5" s="1"/>
  <c r="S1923" i="5" s="1"/>
  <c r="T1923" i="5" s="1"/>
  <c r="U1923" i="5" s="1"/>
  <c r="V1923" i="5" s="1"/>
  <c r="P1923" i="5"/>
  <c r="AE1923" i="5" s="1"/>
  <c r="AF1923" i="5" s="1"/>
  <c r="O1923" i="5"/>
  <c r="N1923" i="5"/>
  <c r="AC1922" i="5"/>
  <c r="AD1922" i="5" s="1"/>
  <c r="AA1922" i="5"/>
  <c r="AB1922" i="5" s="1"/>
  <c r="Y1922" i="5"/>
  <c r="Z1922" i="5" s="1"/>
  <c r="W1922" i="5"/>
  <c r="X1922" i="5" s="1"/>
  <c r="Q1922" i="5"/>
  <c r="R1922" i="5" s="1"/>
  <c r="S1922" i="5" s="1"/>
  <c r="T1922" i="5" s="1"/>
  <c r="U1922" i="5" s="1"/>
  <c r="V1922" i="5" s="1"/>
  <c r="P1922" i="5"/>
  <c r="AE1922" i="5" s="1"/>
  <c r="AF1922" i="5" s="1"/>
  <c r="O1922" i="5"/>
  <c r="N1922" i="5"/>
  <c r="AC1921" i="5"/>
  <c r="AD1921" i="5" s="1"/>
  <c r="AA1921" i="5"/>
  <c r="AB1921" i="5" s="1"/>
  <c r="Y1921" i="5"/>
  <c r="Z1921" i="5" s="1"/>
  <c r="W1921" i="5"/>
  <c r="X1921" i="5" s="1"/>
  <c r="Q1921" i="5"/>
  <c r="R1921" i="5" s="1"/>
  <c r="S1921" i="5" s="1"/>
  <c r="T1921" i="5" s="1"/>
  <c r="U1921" i="5" s="1"/>
  <c r="V1921" i="5" s="1"/>
  <c r="P1921" i="5"/>
  <c r="AE1921" i="5" s="1"/>
  <c r="AF1921" i="5" s="1"/>
  <c r="O1921" i="5"/>
  <c r="N1921" i="5"/>
  <c r="AC1920" i="5"/>
  <c r="AD1920" i="5" s="1"/>
  <c r="AA1920" i="5"/>
  <c r="AB1920" i="5" s="1"/>
  <c r="Y1920" i="5"/>
  <c r="Z1920" i="5" s="1"/>
  <c r="W1920" i="5"/>
  <c r="X1920" i="5" s="1"/>
  <c r="Q1920" i="5"/>
  <c r="R1920" i="5" s="1"/>
  <c r="S1920" i="5" s="1"/>
  <c r="T1920" i="5" s="1"/>
  <c r="U1920" i="5" s="1"/>
  <c r="V1920" i="5" s="1"/>
  <c r="P1920" i="5"/>
  <c r="AE1920" i="5" s="1"/>
  <c r="AF1920" i="5" s="1"/>
  <c r="O1920" i="5"/>
  <c r="N1920" i="5"/>
  <c r="AC1919" i="5"/>
  <c r="AD1919" i="5" s="1"/>
  <c r="AA1919" i="5"/>
  <c r="AB1919" i="5" s="1"/>
  <c r="Y1919" i="5"/>
  <c r="Z1919" i="5" s="1"/>
  <c r="W1919" i="5"/>
  <c r="X1919" i="5" s="1"/>
  <c r="Q1919" i="5"/>
  <c r="R1919" i="5" s="1"/>
  <c r="S1919" i="5" s="1"/>
  <c r="T1919" i="5" s="1"/>
  <c r="U1919" i="5" s="1"/>
  <c r="V1919" i="5" s="1"/>
  <c r="P1919" i="5"/>
  <c r="AE1919" i="5" s="1"/>
  <c r="AF1919" i="5" s="1"/>
  <c r="O1919" i="5"/>
  <c r="N1919" i="5"/>
  <c r="AC1918" i="5"/>
  <c r="AD1918" i="5" s="1"/>
  <c r="AA1918" i="5"/>
  <c r="AB1918" i="5" s="1"/>
  <c r="Y1918" i="5"/>
  <c r="Z1918" i="5" s="1"/>
  <c r="W1918" i="5"/>
  <c r="X1918" i="5" s="1"/>
  <c r="Q1918" i="5"/>
  <c r="R1918" i="5" s="1"/>
  <c r="S1918" i="5" s="1"/>
  <c r="T1918" i="5" s="1"/>
  <c r="U1918" i="5" s="1"/>
  <c r="V1918" i="5" s="1"/>
  <c r="P1918" i="5"/>
  <c r="AE1918" i="5" s="1"/>
  <c r="AF1918" i="5" s="1"/>
  <c r="O1918" i="5"/>
  <c r="N1918" i="5"/>
  <c r="AC1917" i="5"/>
  <c r="AD1917" i="5" s="1"/>
  <c r="AA1917" i="5"/>
  <c r="AB1917" i="5" s="1"/>
  <c r="Y1917" i="5"/>
  <c r="Z1917" i="5" s="1"/>
  <c r="W1917" i="5"/>
  <c r="X1917" i="5" s="1"/>
  <c r="Q1917" i="5"/>
  <c r="R1917" i="5" s="1"/>
  <c r="S1917" i="5" s="1"/>
  <c r="T1917" i="5" s="1"/>
  <c r="U1917" i="5" s="1"/>
  <c r="V1917" i="5" s="1"/>
  <c r="P1917" i="5"/>
  <c r="AE1917" i="5" s="1"/>
  <c r="AF1917" i="5" s="1"/>
  <c r="O1917" i="5"/>
  <c r="N1917" i="5"/>
  <c r="AC1916" i="5"/>
  <c r="AD1916" i="5" s="1"/>
  <c r="AA1916" i="5"/>
  <c r="AB1916" i="5" s="1"/>
  <c r="Y1916" i="5"/>
  <c r="Z1916" i="5" s="1"/>
  <c r="W1916" i="5"/>
  <c r="X1916" i="5" s="1"/>
  <c r="Q1916" i="5"/>
  <c r="R1916" i="5" s="1"/>
  <c r="S1916" i="5" s="1"/>
  <c r="T1916" i="5" s="1"/>
  <c r="U1916" i="5" s="1"/>
  <c r="V1916" i="5" s="1"/>
  <c r="P1916" i="5"/>
  <c r="AE1916" i="5" s="1"/>
  <c r="AF1916" i="5" s="1"/>
  <c r="O1916" i="5"/>
  <c r="N1916" i="5"/>
  <c r="AC1915" i="5"/>
  <c r="AD1915" i="5" s="1"/>
  <c r="AA1915" i="5"/>
  <c r="AB1915" i="5" s="1"/>
  <c r="Y1915" i="5"/>
  <c r="Z1915" i="5" s="1"/>
  <c r="W1915" i="5"/>
  <c r="X1915" i="5" s="1"/>
  <c r="Q1915" i="5"/>
  <c r="R1915" i="5" s="1"/>
  <c r="S1915" i="5" s="1"/>
  <c r="T1915" i="5" s="1"/>
  <c r="U1915" i="5" s="1"/>
  <c r="V1915" i="5" s="1"/>
  <c r="P1915" i="5"/>
  <c r="AE1915" i="5" s="1"/>
  <c r="AF1915" i="5" s="1"/>
  <c r="O1915" i="5"/>
  <c r="N1915" i="5"/>
  <c r="AC1914" i="5"/>
  <c r="AD1914" i="5" s="1"/>
  <c r="AA1914" i="5"/>
  <c r="AB1914" i="5" s="1"/>
  <c r="Y1914" i="5"/>
  <c r="Z1914" i="5" s="1"/>
  <c r="W1914" i="5"/>
  <c r="X1914" i="5" s="1"/>
  <c r="Q1914" i="5"/>
  <c r="R1914" i="5" s="1"/>
  <c r="S1914" i="5" s="1"/>
  <c r="T1914" i="5" s="1"/>
  <c r="U1914" i="5" s="1"/>
  <c r="V1914" i="5" s="1"/>
  <c r="P1914" i="5"/>
  <c r="AE1914" i="5" s="1"/>
  <c r="AF1914" i="5" s="1"/>
  <c r="O1914" i="5"/>
  <c r="N1914" i="5"/>
  <c r="AC1913" i="5"/>
  <c r="AD1913" i="5" s="1"/>
  <c r="AA1913" i="5"/>
  <c r="AB1913" i="5" s="1"/>
  <c r="Y1913" i="5"/>
  <c r="Z1913" i="5" s="1"/>
  <c r="W1913" i="5"/>
  <c r="X1913" i="5" s="1"/>
  <c r="Q1913" i="5"/>
  <c r="R1913" i="5" s="1"/>
  <c r="S1913" i="5" s="1"/>
  <c r="T1913" i="5" s="1"/>
  <c r="U1913" i="5" s="1"/>
  <c r="V1913" i="5" s="1"/>
  <c r="P1913" i="5"/>
  <c r="AE1913" i="5" s="1"/>
  <c r="AF1913" i="5" s="1"/>
  <c r="O1913" i="5"/>
  <c r="N1913" i="5"/>
  <c r="AC1912" i="5"/>
  <c r="AD1912" i="5" s="1"/>
  <c r="AA1912" i="5"/>
  <c r="AB1912" i="5" s="1"/>
  <c r="Y1912" i="5"/>
  <c r="Z1912" i="5" s="1"/>
  <c r="W1912" i="5"/>
  <c r="X1912" i="5" s="1"/>
  <c r="Q1912" i="5"/>
  <c r="R1912" i="5" s="1"/>
  <c r="S1912" i="5" s="1"/>
  <c r="T1912" i="5" s="1"/>
  <c r="U1912" i="5" s="1"/>
  <c r="V1912" i="5" s="1"/>
  <c r="P1912" i="5"/>
  <c r="AE1912" i="5" s="1"/>
  <c r="AF1912" i="5" s="1"/>
  <c r="O1912" i="5"/>
  <c r="N1912" i="5"/>
  <c r="AC1911" i="5"/>
  <c r="AD1911" i="5" s="1"/>
  <c r="AA1911" i="5"/>
  <c r="AB1911" i="5" s="1"/>
  <c r="Y1911" i="5"/>
  <c r="Z1911" i="5" s="1"/>
  <c r="W1911" i="5"/>
  <c r="X1911" i="5" s="1"/>
  <c r="Q1911" i="5"/>
  <c r="R1911" i="5" s="1"/>
  <c r="S1911" i="5" s="1"/>
  <c r="T1911" i="5" s="1"/>
  <c r="U1911" i="5" s="1"/>
  <c r="V1911" i="5" s="1"/>
  <c r="P1911" i="5"/>
  <c r="AE1911" i="5" s="1"/>
  <c r="AF1911" i="5" s="1"/>
  <c r="O1911" i="5"/>
  <c r="N1911" i="5"/>
  <c r="AC1910" i="5"/>
  <c r="AD1910" i="5" s="1"/>
  <c r="AA1910" i="5"/>
  <c r="AB1910" i="5" s="1"/>
  <c r="Y1910" i="5"/>
  <c r="Z1910" i="5" s="1"/>
  <c r="W1910" i="5"/>
  <c r="X1910" i="5" s="1"/>
  <c r="Q1910" i="5"/>
  <c r="R1910" i="5" s="1"/>
  <c r="S1910" i="5" s="1"/>
  <c r="T1910" i="5" s="1"/>
  <c r="U1910" i="5" s="1"/>
  <c r="V1910" i="5" s="1"/>
  <c r="P1910" i="5"/>
  <c r="AE1910" i="5" s="1"/>
  <c r="AF1910" i="5" s="1"/>
  <c r="O1910" i="5"/>
  <c r="N1910" i="5"/>
  <c r="AC1909" i="5"/>
  <c r="AD1909" i="5" s="1"/>
  <c r="AA1909" i="5"/>
  <c r="AB1909" i="5" s="1"/>
  <c r="Y1909" i="5"/>
  <c r="Z1909" i="5" s="1"/>
  <c r="W1909" i="5"/>
  <c r="X1909" i="5" s="1"/>
  <c r="Q1909" i="5"/>
  <c r="R1909" i="5" s="1"/>
  <c r="S1909" i="5" s="1"/>
  <c r="T1909" i="5" s="1"/>
  <c r="U1909" i="5" s="1"/>
  <c r="V1909" i="5" s="1"/>
  <c r="P1909" i="5"/>
  <c r="AE1909" i="5" s="1"/>
  <c r="AF1909" i="5" s="1"/>
  <c r="O1909" i="5"/>
  <c r="N1909" i="5"/>
  <c r="AC1908" i="5"/>
  <c r="AD1908" i="5" s="1"/>
  <c r="AA1908" i="5"/>
  <c r="AB1908" i="5" s="1"/>
  <c r="Y1908" i="5"/>
  <c r="Z1908" i="5" s="1"/>
  <c r="W1908" i="5"/>
  <c r="X1908" i="5" s="1"/>
  <c r="Q1908" i="5"/>
  <c r="R1908" i="5" s="1"/>
  <c r="S1908" i="5" s="1"/>
  <c r="T1908" i="5" s="1"/>
  <c r="U1908" i="5" s="1"/>
  <c r="V1908" i="5" s="1"/>
  <c r="P1908" i="5"/>
  <c r="AE1908" i="5" s="1"/>
  <c r="AF1908" i="5" s="1"/>
  <c r="O1908" i="5"/>
  <c r="N1908" i="5"/>
  <c r="AC1907" i="5"/>
  <c r="AD1907" i="5" s="1"/>
  <c r="AA1907" i="5"/>
  <c r="AB1907" i="5" s="1"/>
  <c r="Y1907" i="5"/>
  <c r="Z1907" i="5" s="1"/>
  <c r="W1907" i="5"/>
  <c r="X1907" i="5" s="1"/>
  <c r="Q1907" i="5"/>
  <c r="R1907" i="5" s="1"/>
  <c r="S1907" i="5" s="1"/>
  <c r="T1907" i="5" s="1"/>
  <c r="U1907" i="5" s="1"/>
  <c r="V1907" i="5" s="1"/>
  <c r="P1907" i="5"/>
  <c r="AE1907" i="5" s="1"/>
  <c r="AF1907" i="5" s="1"/>
  <c r="O1907" i="5"/>
  <c r="N1907" i="5"/>
  <c r="AC1906" i="5"/>
  <c r="AD1906" i="5" s="1"/>
  <c r="AA1906" i="5"/>
  <c r="AB1906" i="5" s="1"/>
  <c r="Y1906" i="5"/>
  <c r="Z1906" i="5" s="1"/>
  <c r="W1906" i="5"/>
  <c r="X1906" i="5" s="1"/>
  <c r="Q1906" i="5"/>
  <c r="R1906" i="5" s="1"/>
  <c r="S1906" i="5" s="1"/>
  <c r="T1906" i="5" s="1"/>
  <c r="U1906" i="5" s="1"/>
  <c r="V1906" i="5" s="1"/>
  <c r="P1906" i="5"/>
  <c r="AE1906" i="5" s="1"/>
  <c r="AF1906" i="5" s="1"/>
  <c r="O1906" i="5"/>
  <c r="N1906" i="5"/>
  <c r="AC1905" i="5"/>
  <c r="AD1905" i="5" s="1"/>
  <c r="AA1905" i="5"/>
  <c r="AB1905" i="5" s="1"/>
  <c r="Y1905" i="5"/>
  <c r="Z1905" i="5" s="1"/>
  <c r="W1905" i="5"/>
  <c r="X1905" i="5" s="1"/>
  <c r="Q1905" i="5"/>
  <c r="R1905" i="5" s="1"/>
  <c r="S1905" i="5" s="1"/>
  <c r="T1905" i="5" s="1"/>
  <c r="U1905" i="5" s="1"/>
  <c r="V1905" i="5" s="1"/>
  <c r="P1905" i="5"/>
  <c r="AE1905" i="5" s="1"/>
  <c r="AF1905" i="5" s="1"/>
  <c r="O1905" i="5"/>
  <c r="N1905" i="5"/>
  <c r="AC1904" i="5"/>
  <c r="AD1904" i="5" s="1"/>
  <c r="AA1904" i="5"/>
  <c r="AB1904" i="5" s="1"/>
  <c r="Y1904" i="5"/>
  <c r="Z1904" i="5" s="1"/>
  <c r="W1904" i="5"/>
  <c r="X1904" i="5" s="1"/>
  <c r="Q1904" i="5"/>
  <c r="R1904" i="5" s="1"/>
  <c r="S1904" i="5" s="1"/>
  <c r="T1904" i="5" s="1"/>
  <c r="U1904" i="5" s="1"/>
  <c r="V1904" i="5" s="1"/>
  <c r="P1904" i="5"/>
  <c r="AE1904" i="5" s="1"/>
  <c r="AF1904" i="5" s="1"/>
  <c r="O1904" i="5"/>
  <c r="N1904" i="5"/>
  <c r="AC1903" i="5"/>
  <c r="AD1903" i="5" s="1"/>
  <c r="AA1903" i="5"/>
  <c r="AB1903" i="5" s="1"/>
  <c r="Y1903" i="5"/>
  <c r="Z1903" i="5" s="1"/>
  <c r="W1903" i="5"/>
  <c r="X1903" i="5" s="1"/>
  <c r="Q1903" i="5"/>
  <c r="R1903" i="5" s="1"/>
  <c r="S1903" i="5" s="1"/>
  <c r="T1903" i="5" s="1"/>
  <c r="U1903" i="5" s="1"/>
  <c r="V1903" i="5" s="1"/>
  <c r="P1903" i="5"/>
  <c r="AE1903" i="5" s="1"/>
  <c r="AF1903" i="5" s="1"/>
  <c r="O1903" i="5"/>
  <c r="N1903" i="5"/>
  <c r="AC1902" i="5"/>
  <c r="AD1902" i="5" s="1"/>
  <c r="AA1902" i="5"/>
  <c r="AB1902" i="5" s="1"/>
  <c r="Y1902" i="5"/>
  <c r="Z1902" i="5" s="1"/>
  <c r="W1902" i="5"/>
  <c r="X1902" i="5" s="1"/>
  <c r="Q1902" i="5"/>
  <c r="R1902" i="5" s="1"/>
  <c r="S1902" i="5" s="1"/>
  <c r="T1902" i="5" s="1"/>
  <c r="U1902" i="5" s="1"/>
  <c r="V1902" i="5" s="1"/>
  <c r="P1902" i="5"/>
  <c r="AE1902" i="5" s="1"/>
  <c r="AF1902" i="5" s="1"/>
  <c r="O1902" i="5"/>
  <c r="N1902" i="5"/>
  <c r="AC1901" i="5"/>
  <c r="AD1901" i="5" s="1"/>
  <c r="AA1901" i="5"/>
  <c r="AB1901" i="5" s="1"/>
  <c r="Y1901" i="5"/>
  <c r="Z1901" i="5" s="1"/>
  <c r="W1901" i="5"/>
  <c r="X1901" i="5" s="1"/>
  <c r="Q1901" i="5"/>
  <c r="R1901" i="5" s="1"/>
  <c r="S1901" i="5" s="1"/>
  <c r="T1901" i="5" s="1"/>
  <c r="U1901" i="5" s="1"/>
  <c r="V1901" i="5" s="1"/>
  <c r="P1901" i="5"/>
  <c r="AE1901" i="5" s="1"/>
  <c r="AF1901" i="5" s="1"/>
  <c r="O1901" i="5"/>
  <c r="N1901" i="5"/>
  <c r="AC1900" i="5"/>
  <c r="AD1900" i="5" s="1"/>
  <c r="AA1900" i="5"/>
  <c r="AB1900" i="5" s="1"/>
  <c r="Y1900" i="5"/>
  <c r="Z1900" i="5" s="1"/>
  <c r="W1900" i="5"/>
  <c r="X1900" i="5" s="1"/>
  <c r="Q1900" i="5"/>
  <c r="R1900" i="5" s="1"/>
  <c r="S1900" i="5" s="1"/>
  <c r="T1900" i="5" s="1"/>
  <c r="U1900" i="5" s="1"/>
  <c r="V1900" i="5" s="1"/>
  <c r="P1900" i="5"/>
  <c r="AE1900" i="5" s="1"/>
  <c r="AF1900" i="5" s="1"/>
  <c r="O1900" i="5"/>
  <c r="N1900" i="5"/>
  <c r="AC1899" i="5"/>
  <c r="AD1899" i="5" s="1"/>
  <c r="AA1899" i="5"/>
  <c r="AB1899" i="5" s="1"/>
  <c r="Y1899" i="5"/>
  <c r="Z1899" i="5" s="1"/>
  <c r="W1899" i="5"/>
  <c r="X1899" i="5" s="1"/>
  <c r="Q1899" i="5"/>
  <c r="R1899" i="5" s="1"/>
  <c r="S1899" i="5" s="1"/>
  <c r="T1899" i="5" s="1"/>
  <c r="U1899" i="5" s="1"/>
  <c r="V1899" i="5" s="1"/>
  <c r="P1899" i="5"/>
  <c r="AE1899" i="5" s="1"/>
  <c r="AF1899" i="5" s="1"/>
  <c r="O1899" i="5"/>
  <c r="N1899" i="5"/>
  <c r="AC1898" i="5"/>
  <c r="AD1898" i="5" s="1"/>
  <c r="AA1898" i="5"/>
  <c r="AB1898" i="5" s="1"/>
  <c r="Y1898" i="5"/>
  <c r="Z1898" i="5" s="1"/>
  <c r="W1898" i="5"/>
  <c r="X1898" i="5" s="1"/>
  <c r="Q1898" i="5"/>
  <c r="R1898" i="5" s="1"/>
  <c r="S1898" i="5" s="1"/>
  <c r="T1898" i="5" s="1"/>
  <c r="U1898" i="5" s="1"/>
  <c r="V1898" i="5" s="1"/>
  <c r="P1898" i="5"/>
  <c r="AE1898" i="5" s="1"/>
  <c r="AF1898" i="5" s="1"/>
  <c r="O1898" i="5"/>
  <c r="N1898" i="5"/>
  <c r="AC1897" i="5"/>
  <c r="AD1897" i="5" s="1"/>
  <c r="AA1897" i="5"/>
  <c r="AB1897" i="5" s="1"/>
  <c r="Y1897" i="5"/>
  <c r="Z1897" i="5" s="1"/>
  <c r="W1897" i="5"/>
  <c r="X1897" i="5" s="1"/>
  <c r="Q1897" i="5"/>
  <c r="R1897" i="5" s="1"/>
  <c r="S1897" i="5" s="1"/>
  <c r="T1897" i="5" s="1"/>
  <c r="U1897" i="5" s="1"/>
  <c r="V1897" i="5" s="1"/>
  <c r="P1897" i="5"/>
  <c r="AE1897" i="5" s="1"/>
  <c r="AF1897" i="5" s="1"/>
  <c r="O1897" i="5"/>
  <c r="N1897" i="5"/>
  <c r="AC1896" i="5"/>
  <c r="AD1896" i="5" s="1"/>
  <c r="AA1896" i="5"/>
  <c r="AB1896" i="5" s="1"/>
  <c r="Y1896" i="5"/>
  <c r="Z1896" i="5" s="1"/>
  <c r="W1896" i="5"/>
  <c r="X1896" i="5" s="1"/>
  <c r="Q1896" i="5"/>
  <c r="R1896" i="5" s="1"/>
  <c r="S1896" i="5" s="1"/>
  <c r="T1896" i="5" s="1"/>
  <c r="U1896" i="5" s="1"/>
  <c r="V1896" i="5" s="1"/>
  <c r="P1896" i="5"/>
  <c r="AE1896" i="5" s="1"/>
  <c r="AF1896" i="5" s="1"/>
  <c r="O1896" i="5"/>
  <c r="N1896" i="5"/>
  <c r="AC1895" i="5"/>
  <c r="AD1895" i="5" s="1"/>
  <c r="AA1895" i="5"/>
  <c r="AB1895" i="5" s="1"/>
  <c r="Y1895" i="5"/>
  <c r="Z1895" i="5" s="1"/>
  <c r="W1895" i="5"/>
  <c r="X1895" i="5" s="1"/>
  <c r="Q1895" i="5"/>
  <c r="R1895" i="5" s="1"/>
  <c r="S1895" i="5" s="1"/>
  <c r="T1895" i="5" s="1"/>
  <c r="U1895" i="5" s="1"/>
  <c r="V1895" i="5" s="1"/>
  <c r="P1895" i="5"/>
  <c r="AE1895" i="5" s="1"/>
  <c r="AF1895" i="5" s="1"/>
  <c r="O1895" i="5"/>
  <c r="N1895" i="5"/>
  <c r="AC1894" i="5"/>
  <c r="AD1894" i="5" s="1"/>
  <c r="AA1894" i="5"/>
  <c r="AB1894" i="5" s="1"/>
  <c r="Y1894" i="5"/>
  <c r="Z1894" i="5" s="1"/>
  <c r="W1894" i="5"/>
  <c r="X1894" i="5" s="1"/>
  <c r="Q1894" i="5"/>
  <c r="R1894" i="5" s="1"/>
  <c r="S1894" i="5" s="1"/>
  <c r="T1894" i="5" s="1"/>
  <c r="U1894" i="5" s="1"/>
  <c r="V1894" i="5" s="1"/>
  <c r="P1894" i="5"/>
  <c r="AE1894" i="5" s="1"/>
  <c r="AF1894" i="5" s="1"/>
  <c r="O1894" i="5"/>
  <c r="N1894" i="5"/>
  <c r="AC1893" i="5"/>
  <c r="AD1893" i="5" s="1"/>
  <c r="AA1893" i="5"/>
  <c r="AB1893" i="5" s="1"/>
  <c r="Y1893" i="5"/>
  <c r="Z1893" i="5" s="1"/>
  <c r="W1893" i="5"/>
  <c r="X1893" i="5" s="1"/>
  <c r="Q1893" i="5"/>
  <c r="R1893" i="5" s="1"/>
  <c r="S1893" i="5" s="1"/>
  <c r="T1893" i="5" s="1"/>
  <c r="U1893" i="5" s="1"/>
  <c r="V1893" i="5" s="1"/>
  <c r="P1893" i="5"/>
  <c r="AE1893" i="5" s="1"/>
  <c r="AF1893" i="5" s="1"/>
  <c r="O1893" i="5"/>
  <c r="N1893" i="5"/>
  <c r="AC1892" i="5"/>
  <c r="AD1892" i="5" s="1"/>
  <c r="AA1892" i="5"/>
  <c r="AB1892" i="5" s="1"/>
  <c r="Y1892" i="5"/>
  <c r="Z1892" i="5" s="1"/>
  <c r="W1892" i="5"/>
  <c r="X1892" i="5" s="1"/>
  <c r="Q1892" i="5"/>
  <c r="R1892" i="5" s="1"/>
  <c r="S1892" i="5" s="1"/>
  <c r="T1892" i="5" s="1"/>
  <c r="U1892" i="5" s="1"/>
  <c r="V1892" i="5" s="1"/>
  <c r="P1892" i="5"/>
  <c r="AE1892" i="5" s="1"/>
  <c r="AF1892" i="5" s="1"/>
  <c r="O1892" i="5"/>
  <c r="N1892" i="5"/>
  <c r="AC1891" i="5"/>
  <c r="AD1891" i="5" s="1"/>
  <c r="AA1891" i="5"/>
  <c r="AB1891" i="5" s="1"/>
  <c r="Y1891" i="5"/>
  <c r="Z1891" i="5" s="1"/>
  <c r="W1891" i="5"/>
  <c r="X1891" i="5" s="1"/>
  <c r="Q1891" i="5"/>
  <c r="R1891" i="5" s="1"/>
  <c r="S1891" i="5" s="1"/>
  <c r="T1891" i="5" s="1"/>
  <c r="U1891" i="5" s="1"/>
  <c r="V1891" i="5" s="1"/>
  <c r="P1891" i="5"/>
  <c r="AE1891" i="5" s="1"/>
  <c r="AF1891" i="5" s="1"/>
  <c r="O1891" i="5"/>
  <c r="N1891" i="5"/>
  <c r="AC1890" i="5"/>
  <c r="AD1890" i="5" s="1"/>
  <c r="AA1890" i="5"/>
  <c r="AB1890" i="5" s="1"/>
  <c r="Y1890" i="5"/>
  <c r="Z1890" i="5" s="1"/>
  <c r="W1890" i="5"/>
  <c r="X1890" i="5" s="1"/>
  <c r="Q1890" i="5"/>
  <c r="R1890" i="5" s="1"/>
  <c r="S1890" i="5" s="1"/>
  <c r="T1890" i="5" s="1"/>
  <c r="U1890" i="5" s="1"/>
  <c r="V1890" i="5" s="1"/>
  <c r="P1890" i="5"/>
  <c r="AE1890" i="5" s="1"/>
  <c r="AF1890" i="5" s="1"/>
  <c r="O1890" i="5"/>
  <c r="N1890" i="5"/>
  <c r="AC1889" i="5"/>
  <c r="AD1889" i="5" s="1"/>
  <c r="AA1889" i="5"/>
  <c r="AB1889" i="5" s="1"/>
  <c r="Y1889" i="5"/>
  <c r="Z1889" i="5" s="1"/>
  <c r="W1889" i="5"/>
  <c r="X1889" i="5" s="1"/>
  <c r="Q1889" i="5"/>
  <c r="R1889" i="5" s="1"/>
  <c r="S1889" i="5" s="1"/>
  <c r="T1889" i="5" s="1"/>
  <c r="U1889" i="5" s="1"/>
  <c r="V1889" i="5" s="1"/>
  <c r="P1889" i="5"/>
  <c r="AE1889" i="5" s="1"/>
  <c r="AF1889" i="5" s="1"/>
  <c r="O1889" i="5"/>
  <c r="N1889" i="5"/>
  <c r="AC1888" i="5"/>
  <c r="AD1888" i="5" s="1"/>
  <c r="AA1888" i="5"/>
  <c r="AB1888" i="5" s="1"/>
  <c r="Y1888" i="5"/>
  <c r="Z1888" i="5" s="1"/>
  <c r="W1888" i="5"/>
  <c r="X1888" i="5" s="1"/>
  <c r="Q1888" i="5"/>
  <c r="R1888" i="5" s="1"/>
  <c r="S1888" i="5" s="1"/>
  <c r="T1888" i="5" s="1"/>
  <c r="U1888" i="5" s="1"/>
  <c r="V1888" i="5" s="1"/>
  <c r="P1888" i="5"/>
  <c r="AE1888" i="5" s="1"/>
  <c r="AF1888" i="5" s="1"/>
  <c r="O1888" i="5"/>
  <c r="N1888" i="5"/>
  <c r="AC1887" i="5"/>
  <c r="AD1887" i="5" s="1"/>
  <c r="AA1887" i="5"/>
  <c r="AB1887" i="5" s="1"/>
  <c r="Y1887" i="5"/>
  <c r="Z1887" i="5" s="1"/>
  <c r="W1887" i="5"/>
  <c r="X1887" i="5" s="1"/>
  <c r="Q1887" i="5"/>
  <c r="R1887" i="5" s="1"/>
  <c r="S1887" i="5" s="1"/>
  <c r="T1887" i="5" s="1"/>
  <c r="U1887" i="5" s="1"/>
  <c r="V1887" i="5" s="1"/>
  <c r="P1887" i="5"/>
  <c r="AE1887" i="5" s="1"/>
  <c r="AF1887" i="5" s="1"/>
  <c r="O1887" i="5"/>
  <c r="N1887" i="5"/>
  <c r="AC1886" i="5"/>
  <c r="AD1886" i="5" s="1"/>
  <c r="AA1886" i="5"/>
  <c r="AB1886" i="5" s="1"/>
  <c r="Y1886" i="5"/>
  <c r="Z1886" i="5" s="1"/>
  <c r="W1886" i="5"/>
  <c r="X1886" i="5" s="1"/>
  <c r="Q1886" i="5"/>
  <c r="R1886" i="5" s="1"/>
  <c r="S1886" i="5" s="1"/>
  <c r="T1886" i="5" s="1"/>
  <c r="U1886" i="5" s="1"/>
  <c r="V1886" i="5" s="1"/>
  <c r="P1886" i="5"/>
  <c r="AE1886" i="5" s="1"/>
  <c r="AF1886" i="5" s="1"/>
  <c r="O1886" i="5"/>
  <c r="N1886" i="5"/>
  <c r="AC1885" i="5"/>
  <c r="AD1885" i="5" s="1"/>
  <c r="AA1885" i="5"/>
  <c r="AB1885" i="5" s="1"/>
  <c r="Y1885" i="5"/>
  <c r="Z1885" i="5" s="1"/>
  <c r="W1885" i="5"/>
  <c r="X1885" i="5" s="1"/>
  <c r="Q1885" i="5"/>
  <c r="R1885" i="5" s="1"/>
  <c r="S1885" i="5" s="1"/>
  <c r="T1885" i="5" s="1"/>
  <c r="U1885" i="5" s="1"/>
  <c r="V1885" i="5" s="1"/>
  <c r="P1885" i="5"/>
  <c r="AE1885" i="5" s="1"/>
  <c r="AF1885" i="5" s="1"/>
  <c r="O1885" i="5"/>
  <c r="N1885" i="5"/>
  <c r="AC1884" i="5"/>
  <c r="AD1884" i="5" s="1"/>
  <c r="AA1884" i="5"/>
  <c r="AB1884" i="5" s="1"/>
  <c r="Y1884" i="5"/>
  <c r="Z1884" i="5" s="1"/>
  <c r="W1884" i="5"/>
  <c r="X1884" i="5" s="1"/>
  <c r="Q1884" i="5"/>
  <c r="R1884" i="5" s="1"/>
  <c r="S1884" i="5" s="1"/>
  <c r="T1884" i="5" s="1"/>
  <c r="U1884" i="5" s="1"/>
  <c r="V1884" i="5" s="1"/>
  <c r="P1884" i="5"/>
  <c r="AE1884" i="5" s="1"/>
  <c r="AF1884" i="5" s="1"/>
  <c r="O1884" i="5"/>
  <c r="N1884" i="5"/>
  <c r="AC1883" i="5"/>
  <c r="AD1883" i="5" s="1"/>
  <c r="AA1883" i="5"/>
  <c r="AB1883" i="5" s="1"/>
  <c r="Y1883" i="5"/>
  <c r="Z1883" i="5" s="1"/>
  <c r="W1883" i="5"/>
  <c r="X1883" i="5" s="1"/>
  <c r="Q1883" i="5"/>
  <c r="R1883" i="5" s="1"/>
  <c r="S1883" i="5" s="1"/>
  <c r="T1883" i="5" s="1"/>
  <c r="U1883" i="5" s="1"/>
  <c r="V1883" i="5" s="1"/>
  <c r="P1883" i="5"/>
  <c r="AE1883" i="5" s="1"/>
  <c r="AF1883" i="5" s="1"/>
  <c r="O1883" i="5"/>
  <c r="N1883" i="5"/>
  <c r="AC1882" i="5"/>
  <c r="AD1882" i="5" s="1"/>
  <c r="AA1882" i="5"/>
  <c r="AB1882" i="5" s="1"/>
  <c r="Y1882" i="5"/>
  <c r="Z1882" i="5" s="1"/>
  <c r="W1882" i="5"/>
  <c r="X1882" i="5" s="1"/>
  <c r="Q1882" i="5"/>
  <c r="R1882" i="5" s="1"/>
  <c r="S1882" i="5" s="1"/>
  <c r="T1882" i="5" s="1"/>
  <c r="U1882" i="5" s="1"/>
  <c r="V1882" i="5" s="1"/>
  <c r="P1882" i="5"/>
  <c r="AE1882" i="5" s="1"/>
  <c r="AF1882" i="5" s="1"/>
  <c r="O1882" i="5"/>
  <c r="N1882" i="5"/>
  <c r="AC1881" i="5"/>
  <c r="AD1881" i="5" s="1"/>
  <c r="AA1881" i="5"/>
  <c r="AB1881" i="5" s="1"/>
  <c r="Y1881" i="5"/>
  <c r="Z1881" i="5" s="1"/>
  <c r="W1881" i="5"/>
  <c r="X1881" i="5" s="1"/>
  <c r="Q1881" i="5"/>
  <c r="R1881" i="5" s="1"/>
  <c r="S1881" i="5" s="1"/>
  <c r="T1881" i="5" s="1"/>
  <c r="U1881" i="5" s="1"/>
  <c r="V1881" i="5" s="1"/>
  <c r="P1881" i="5"/>
  <c r="AE1881" i="5" s="1"/>
  <c r="AF1881" i="5" s="1"/>
  <c r="O1881" i="5"/>
  <c r="N1881" i="5"/>
  <c r="AC1880" i="5"/>
  <c r="AD1880" i="5" s="1"/>
  <c r="AA1880" i="5"/>
  <c r="AB1880" i="5" s="1"/>
  <c r="Y1880" i="5"/>
  <c r="Z1880" i="5" s="1"/>
  <c r="W1880" i="5"/>
  <c r="X1880" i="5" s="1"/>
  <c r="Q1880" i="5"/>
  <c r="R1880" i="5" s="1"/>
  <c r="S1880" i="5" s="1"/>
  <c r="T1880" i="5" s="1"/>
  <c r="U1880" i="5" s="1"/>
  <c r="V1880" i="5" s="1"/>
  <c r="P1880" i="5"/>
  <c r="AE1880" i="5" s="1"/>
  <c r="AF1880" i="5" s="1"/>
  <c r="O1880" i="5"/>
  <c r="N1880" i="5"/>
  <c r="AC1879" i="5"/>
  <c r="AD1879" i="5" s="1"/>
  <c r="AA1879" i="5"/>
  <c r="AB1879" i="5" s="1"/>
  <c r="Y1879" i="5"/>
  <c r="Z1879" i="5" s="1"/>
  <c r="W1879" i="5"/>
  <c r="X1879" i="5" s="1"/>
  <c r="Q1879" i="5"/>
  <c r="R1879" i="5" s="1"/>
  <c r="S1879" i="5" s="1"/>
  <c r="T1879" i="5" s="1"/>
  <c r="U1879" i="5" s="1"/>
  <c r="V1879" i="5" s="1"/>
  <c r="P1879" i="5"/>
  <c r="AE1879" i="5" s="1"/>
  <c r="AF1879" i="5" s="1"/>
  <c r="O1879" i="5"/>
  <c r="N1879" i="5"/>
  <c r="AC1878" i="5"/>
  <c r="AD1878" i="5" s="1"/>
  <c r="AA1878" i="5"/>
  <c r="AB1878" i="5" s="1"/>
  <c r="Y1878" i="5"/>
  <c r="Z1878" i="5" s="1"/>
  <c r="W1878" i="5"/>
  <c r="X1878" i="5" s="1"/>
  <c r="Q1878" i="5"/>
  <c r="R1878" i="5" s="1"/>
  <c r="S1878" i="5" s="1"/>
  <c r="T1878" i="5" s="1"/>
  <c r="U1878" i="5" s="1"/>
  <c r="V1878" i="5" s="1"/>
  <c r="P1878" i="5"/>
  <c r="AE1878" i="5" s="1"/>
  <c r="AF1878" i="5" s="1"/>
  <c r="O1878" i="5"/>
  <c r="N1878" i="5"/>
  <c r="AC1877" i="5"/>
  <c r="AD1877" i="5" s="1"/>
  <c r="AA1877" i="5"/>
  <c r="AB1877" i="5" s="1"/>
  <c r="Y1877" i="5"/>
  <c r="Z1877" i="5" s="1"/>
  <c r="W1877" i="5"/>
  <c r="X1877" i="5" s="1"/>
  <c r="Q1877" i="5"/>
  <c r="R1877" i="5" s="1"/>
  <c r="S1877" i="5" s="1"/>
  <c r="T1877" i="5" s="1"/>
  <c r="U1877" i="5" s="1"/>
  <c r="V1877" i="5" s="1"/>
  <c r="P1877" i="5"/>
  <c r="AE1877" i="5" s="1"/>
  <c r="AF1877" i="5" s="1"/>
  <c r="O1877" i="5"/>
  <c r="N1877" i="5"/>
  <c r="AC1876" i="5"/>
  <c r="AD1876" i="5" s="1"/>
  <c r="AA1876" i="5"/>
  <c r="AB1876" i="5" s="1"/>
  <c r="Y1876" i="5"/>
  <c r="Z1876" i="5" s="1"/>
  <c r="W1876" i="5"/>
  <c r="X1876" i="5" s="1"/>
  <c r="Q1876" i="5"/>
  <c r="R1876" i="5" s="1"/>
  <c r="S1876" i="5" s="1"/>
  <c r="T1876" i="5" s="1"/>
  <c r="U1876" i="5" s="1"/>
  <c r="V1876" i="5" s="1"/>
  <c r="P1876" i="5"/>
  <c r="AE1876" i="5" s="1"/>
  <c r="AF1876" i="5" s="1"/>
  <c r="O1876" i="5"/>
  <c r="N1876" i="5"/>
  <c r="AC1875" i="5"/>
  <c r="AD1875" i="5" s="1"/>
  <c r="AA1875" i="5"/>
  <c r="AB1875" i="5" s="1"/>
  <c r="Y1875" i="5"/>
  <c r="Z1875" i="5" s="1"/>
  <c r="W1875" i="5"/>
  <c r="X1875" i="5" s="1"/>
  <c r="Q1875" i="5"/>
  <c r="R1875" i="5" s="1"/>
  <c r="S1875" i="5" s="1"/>
  <c r="T1875" i="5" s="1"/>
  <c r="U1875" i="5" s="1"/>
  <c r="V1875" i="5" s="1"/>
  <c r="P1875" i="5"/>
  <c r="AE1875" i="5" s="1"/>
  <c r="AF1875" i="5" s="1"/>
  <c r="O1875" i="5"/>
  <c r="N1875" i="5"/>
  <c r="AC1874" i="5"/>
  <c r="AD1874" i="5" s="1"/>
  <c r="AA1874" i="5"/>
  <c r="AB1874" i="5" s="1"/>
  <c r="Y1874" i="5"/>
  <c r="Z1874" i="5" s="1"/>
  <c r="W1874" i="5"/>
  <c r="X1874" i="5" s="1"/>
  <c r="Q1874" i="5"/>
  <c r="R1874" i="5" s="1"/>
  <c r="S1874" i="5" s="1"/>
  <c r="T1874" i="5" s="1"/>
  <c r="U1874" i="5" s="1"/>
  <c r="V1874" i="5" s="1"/>
  <c r="P1874" i="5"/>
  <c r="AE1874" i="5" s="1"/>
  <c r="AF1874" i="5" s="1"/>
  <c r="O1874" i="5"/>
  <c r="N1874" i="5"/>
  <c r="AC1873" i="5"/>
  <c r="AD1873" i="5" s="1"/>
  <c r="AA1873" i="5"/>
  <c r="AB1873" i="5" s="1"/>
  <c r="Y1873" i="5"/>
  <c r="Z1873" i="5" s="1"/>
  <c r="W1873" i="5"/>
  <c r="X1873" i="5" s="1"/>
  <c r="Q1873" i="5"/>
  <c r="R1873" i="5" s="1"/>
  <c r="S1873" i="5" s="1"/>
  <c r="T1873" i="5" s="1"/>
  <c r="U1873" i="5" s="1"/>
  <c r="V1873" i="5" s="1"/>
  <c r="P1873" i="5"/>
  <c r="AE1873" i="5" s="1"/>
  <c r="AF1873" i="5" s="1"/>
  <c r="O1873" i="5"/>
  <c r="N1873" i="5"/>
  <c r="AC1872" i="5"/>
  <c r="AD1872" i="5" s="1"/>
  <c r="AA1872" i="5"/>
  <c r="AB1872" i="5" s="1"/>
  <c r="Y1872" i="5"/>
  <c r="Z1872" i="5" s="1"/>
  <c r="W1872" i="5"/>
  <c r="X1872" i="5" s="1"/>
  <c r="Q1872" i="5"/>
  <c r="R1872" i="5" s="1"/>
  <c r="S1872" i="5" s="1"/>
  <c r="T1872" i="5" s="1"/>
  <c r="U1872" i="5" s="1"/>
  <c r="V1872" i="5" s="1"/>
  <c r="P1872" i="5"/>
  <c r="AE1872" i="5" s="1"/>
  <c r="AF1872" i="5" s="1"/>
  <c r="O1872" i="5"/>
  <c r="N1872" i="5"/>
  <c r="AC1871" i="5"/>
  <c r="AD1871" i="5" s="1"/>
  <c r="AA1871" i="5"/>
  <c r="AB1871" i="5" s="1"/>
  <c r="Y1871" i="5"/>
  <c r="Z1871" i="5" s="1"/>
  <c r="W1871" i="5"/>
  <c r="X1871" i="5" s="1"/>
  <c r="Q1871" i="5"/>
  <c r="R1871" i="5" s="1"/>
  <c r="S1871" i="5" s="1"/>
  <c r="T1871" i="5" s="1"/>
  <c r="U1871" i="5" s="1"/>
  <c r="V1871" i="5" s="1"/>
  <c r="P1871" i="5"/>
  <c r="AE1871" i="5" s="1"/>
  <c r="AF1871" i="5" s="1"/>
  <c r="O1871" i="5"/>
  <c r="N1871" i="5"/>
  <c r="AC1870" i="5"/>
  <c r="AD1870" i="5" s="1"/>
  <c r="AA1870" i="5"/>
  <c r="AB1870" i="5" s="1"/>
  <c r="Y1870" i="5"/>
  <c r="Z1870" i="5" s="1"/>
  <c r="W1870" i="5"/>
  <c r="X1870" i="5" s="1"/>
  <c r="Q1870" i="5"/>
  <c r="R1870" i="5" s="1"/>
  <c r="S1870" i="5" s="1"/>
  <c r="T1870" i="5" s="1"/>
  <c r="U1870" i="5" s="1"/>
  <c r="V1870" i="5" s="1"/>
  <c r="P1870" i="5"/>
  <c r="AE1870" i="5" s="1"/>
  <c r="AF1870" i="5" s="1"/>
  <c r="O1870" i="5"/>
  <c r="N1870" i="5"/>
  <c r="AC1869" i="5"/>
  <c r="AD1869" i="5" s="1"/>
  <c r="AA1869" i="5"/>
  <c r="AB1869" i="5" s="1"/>
  <c r="Y1869" i="5"/>
  <c r="Z1869" i="5" s="1"/>
  <c r="W1869" i="5"/>
  <c r="X1869" i="5" s="1"/>
  <c r="Q1869" i="5"/>
  <c r="R1869" i="5" s="1"/>
  <c r="S1869" i="5" s="1"/>
  <c r="T1869" i="5" s="1"/>
  <c r="U1869" i="5" s="1"/>
  <c r="V1869" i="5" s="1"/>
  <c r="P1869" i="5"/>
  <c r="AE1869" i="5" s="1"/>
  <c r="AF1869" i="5" s="1"/>
  <c r="O1869" i="5"/>
  <c r="N1869" i="5"/>
  <c r="AC1868" i="5"/>
  <c r="AD1868" i="5" s="1"/>
  <c r="AA1868" i="5"/>
  <c r="AB1868" i="5" s="1"/>
  <c r="Y1868" i="5"/>
  <c r="Z1868" i="5" s="1"/>
  <c r="W1868" i="5"/>
  <c r="X1868" i="5" s="1"/>
  <c r="Q1868" i="5"/>
  <c r="R1868" i="5" s="1"/>
  <c r="S1868" i="5" s="1"/>
  <c r="T1868" i="5" s="1"/>
  <c r="U1868" i="5" s="1"/>
  <c r="V1868" i="5" s="1"/>
  <c r="P1868" i="5"/>
  <c r="AE1868" i="5" s="1"/>
  <c r="AF1868" i="5" s="1"/>
  <c r="O1868" i="5"/>
  <c r="N1868" i="5"/>
  <c r="AC1867" i="5"/>
  <c r="AD1867" i="5" s="1"/>
  <c r="AA1867" i="5"/>
  <c r="AB1867" i="5" s="1"/>
  <c r="Y1867" i="5"/>
  <c r="Z1867" i="5" s="1"/>
  <c r="W1867" i="5"/>
  <c r="X1867" i="5" s="1"/>
  <c r="Q1867" i="5"/>
  <c r="R1867" i="5" s="1"/>
  <c r="S1867" i="5" s="1"/>
  <c r="T1867" i="5" s="1"/>
  <c r="U1867" i="5" s="1"/>
  <c r="V1867" i="5" s="1"/>
  <c r="P1867" i="5"/>
  <c r="AE1867" i="5" s="1"/>
  <c r="AF1867" i="5" s="1"/>
  <c r="O1867" i="5"/>
  <c r="N1867" i="5"/>
  <c r="AC1866" i="5"/>
  <c r="AD1866" i="5" s="1"/>
  <c r="AA1866" i="5"/>
  <c r="AB1866" i="5" s="1"/>
  <c r="Y1866" i="5"/>
  <c r="Z1866" i="5" s="1"/>
  <c r="W1866" i="5"/>
  <c r="X1866" i="5" s="1"/>
  <c r="Q1866" i="5"/>
  <c r="R1866" i="5" s="1"/>
  <c r="S1866" i="5" s="1"/>
  <c r="T1866" i="5" s="1"/>
  <c r="U1866" i="5" s="1"/>
  <c r="V1866" i="5" s="1"/>
  <c r="P1866" i="5"/>
  <c r="AE1866" i="5" s="1"/>
  <c r="AF1866" i="5" s="1"/>
  <c r="O1866" i="5"/>
  <c r="N1866" i="5"/>
  <c r="AC1865" i="5"/>
  <c r="AD1865" i="5" s="1"/>
  <c r="AA1865" i="5"/>
  <c r="AB1865" i="5" s="1"/>
  <c r="Y1865" i="5"/>
  <c r="Z1865" i="5" s="1"/>
  <c r="W1865" i="5"/>
  <c r="X1865" i="5" s="1"/>
  <c r="Q1865" i="5"/>
  <c r="R1865" i="5" s="1"/>
  <c r="S1865" i="5" s="1"/>
  <c r="T1865" i="5" s="1"/>
  <c r="U1865" i="5" s="1"/>
  <c r="V1865" i="5" s="1"/>
  <c r="P1865" i="5"/>
  <c r="AE1865" i="5" s="1"/>
  <c r="AF1865" i="5" s="1"/>
  <c r="O1865" i="5"/>
  <c r="N1865" i="5"/>
  <c r="AC1864" i="5"/>
  <c r="AD1864" i="5" s="1"/>
  <c r="AA1864" i="5"/>
  <c r="AB1864" i="5" s="1"/>
  <c r="Y1864" i="5"/>
  <c r="Z1864" i="5" s="1"/>
  <c r="W1864" i="5"/>
  <c r="X1864" i="5" s="1"/>
  <c r="Q1864" i="5"/>
  <c r="R1864" i="5" s="1"/>
  <c r="S1864" i="5" s="1"/>
  <c r="T1864" i="5" s="1"/>
  <c r="U1864" i="5" s="1"/>
  <c r="V1864" i="5" s="1"/>
  <c r="P1864" i="5"/>
  <c r="AE1864" i="5" s="1"/>
  <c r="AF1864" i="5" s="1"/>
  <c r="O1864" i="5"/>
  <c r="N1864" i="5"/>
  <c r="AC1863" i="5"/>
  <c r="AD1863" i="5" s="1"/>
  <c r="AA1863" i="5"/>
  <c r="AB1863" i="5" s="1"/>
  <c r="Y1863" i="5"/>
  <c r="Z1863" i="5" s="1"/>
  <c r="W1863" i="5"/>
  <c r="X1863" i="5" s="1"/>
  <c r="Q1863" i="5"/>
  <c r="R1863" i="5" s="1"/>
  <c r="S1863" i="5" s="1"/>
  <c r="T1863" i="5" s="1"/>
  <c r="U1863" i="5" s="1"/>
  <c r="V1863" i="5" s="1"/>
  <c r="P1863" i="5"/>
  <c r="AE1863" i="5" s="1"/>
  <c r="AF1863" i="5" s="1"/>
  <c r="O1863" i="5"/>
  <c r="N1863" i="5"/>
  <c r="AC1862" i="5"/>
  <c r="AD1862" i="5" s="1"/>
  <c r="AA1862" i="5"/>
  <c r="AB1862" i="5" s="1"/>
  <c r="Y1862" i="5"/>
  <c r="Z1862" i="5" s="1"/>
  <c r="W1862" i="5"/>
  <c r="X1862" i="5" s="1"/>
  <c r="Q1862" i="5"/>
  <c r="R1862" i="5" s="1"/>
  <c r="S1862" i="5" s="1"/>
  <c r="T1862" i="5" s="1"/>
  <c r="U1862" i="5" s="1"/>
  <c r="V1862" i="5" s="1"/>
  <c r="P1862" i="5"/>
  <c r="AE1862" i="5" s="1"/>
  <c r="AF1862" i="5" s="1"/>
  <c r="O1862" i="5"/>
  <c r="N1862" i="5"/>
  <c r="AC1861" i="5"/>
  <c r="AD1861" i="5" s="1"/>
  <c r="AA1861" i="5"/>
  <c r="AB1861" i="5" s="1"/>
  <c r="Y1861" i="5"/>
  <c r="Z1861" i="5" s="1"/>
  <c r="W1861" i="5"/>
  <c r="X1861" i="5" s="1"/>
  <c r="Q1861" i="5"/>
  <c r="R1861" i="5" s="1"/>
  <c r="S1861" i="5" s="1"/>
  <c r="T1861" i="5" s="1"/>
  <c r="U1861" i="5" s="1"/>
  <c r="V1861" i="5" s="1"/>
  <c r="P1861" i="5"/>
  <c r="AE1861" i="5" s="1"/>
  <c r="AF1861" i="5" s="1"/>
  <c r="O1861" i="5"/>
  <c r="N1861" i="5"/>
  <c r="AC1860" i="5"/>
  <c r="AD1860" i="5" s="1"/>
  <c r="AA1860" i="5"/>
  <c r="AB1860" i="5" s="1"/>
  <c r="Y1860" i="5"/>
  <c r="Z1860" i="5" s="1"/>
  <c r="W1860" i="5"/>
  <c r="X1860" i="5" s="1"/>
  <c r="Q1860" i="5"/>
  <c r="R1860" i="5" s="1"/>
  <c r="S1860" i="5" s="1"/>
  <c r="T1860" i="5" s="1"/>
  <c r="U1860" i="5" s="1"/>
  <c r="V1860" i="5" s="1"/>
  <c r="P1860" i="5"/>
  <c r="AE1860" i="5" s="1"/>
  <c r="AF1860" i="5" s="1"/>
  <c r="O1860" i="5"/>
  <c r="N1860" i="5"/>
  <c r="AC1859" i="5"/>
  <c r="AD1859" i="5" s="1"/>
  <c r="AA1859" i="5"/>
  <c r="AB1859" i="5" s="1"/>
  <c r="Y1859" i="5"/>
  <c r="Z1859" i="5" s="1"/>
  <c r="W1859" i="5"/>
  <c r="X1859" i="5" s="1"/>
  <c r="Q1859" i="5"/>
  <c r="R1859" i="5" s="1"/>
  <c r="S1859" i="5" s="1"/>
  <c r="T1859" i="5" s="1"/>
  <c r="U1859" i="5" s="1"/>
  <c r="V1859" i="5" s="1"/>
  <c r="P1859" i="5"/>
  <c r="AE1859" i="5" s="1"/>
  <c r="AF1859" i="5" s="1"/>
  <c r="O1859" i="5"/>
  <c r="N1859" i="5"/>
  <c r="AC1858" i="5"/>
  <c r="AD1858" i="5" s="1"/>
  <c r="AA1858" i="5"/>
  <c r="AB1858" i="5" s="1"/>
  <c r="Y1858" i="5"/>
  <c r="Z1858" i="5" s="1"/>
  <c r="W1858" i="5"/>
  <c r="X1858" i="5" s="1"/>
  <c r="Q1858" i="5"/>
  <c r="R1858" i="5" s="1"/>
  <c r="S1858" i="5" s="1"/>
  <c r="T1858" i="5" s="1"/>
  <c r="U1858" i="5" s="1"/>
  <c r="V1858" i="5" s="1"/>
  <c r="P1858" i="5"/>
  <c r="AE1858" i="5" s="1"/>
  <c r="AF1858" i="5" s="1"/>
  <c r="O1858" i="5"/>
  <c r="N1858" i="5"/>
  <c r="AC1857" i="5"/>
  <c r="AD1857" i="5" s="1"/>
  <c r="AA1857" i="5"/>
  <c r="AB1857" i="5" s="1"/>
  <c r="Y1857" i="5"/>
  <c r="Z1857" i="5" s="1"/>
  <c r="W1857" i="5"/>
  <c r="X1857" i="5" s="1"/>
  <c r="Q1857" i="5"/>
  <c r="R1857" i="5" s="1"/>
  <c r="S1857" i="5" s="1"/>
  <c r="T1857" i="5" s="1"/>
  <c r="U1857" i="5" s="1"/>
  <c r="V1857" i="5" s="1"/>
  <c r="P1857" i="5"/>
  <c r="AE1857" i="5" s="1"/>
  <c r="AF1857" i="5" s="1"/>
  <c r="O1857" i="5"/>
  <c r="N1857" i="5"/>
  <c r="AC1856" i="5"/>
  <c r="AD1856" i="5" s="1"/>
  <c r="AA1856" i="5"/>
  <c r="AB1856" i="5" s="1"/>
  <c r="Y1856" i="5"/>
  <c r="Z1856" i="5" s="1"/>
  <c r="W1856" i="5"/>
  <c r="X1856" i="5" s="1"/>
  <c r="Q1856" i="5"/>
  <c r="R1856" i="5" s="1"/>
  <c r="S1856" i="5" s="1"/>
  <c r="T1856" i="5" s="1"/>
  <c r="U1856" i="5" s="1"/>
  <c r="V1856" i="5" s="1"/>
  <c r="P1856" i="5"/>
  <c r="AE1856" i="5" s="1"/>
  <c r="AF1856" i="5" s="1"/>
  <c r="O1856" i="5"/>
  <c r="N1856" i="5"/>
  <c r="AC1855" i="5"/>
  <c r="AD1855" i="5" s="1"/>
  <c r="AA1855" i="5"/>
  <c r="AB1855" i="5" s="1"/>
  <c r="Y1855" i="5"/>
  <c r="Z1855" i="5" s="1"/>
  <c r="W1855" i="5"/>
  <c r="X1855" i="5" s="1"/>
  <c r="Q1855" i="5"/>
  <c r="R1855" i="5" s="1"/>
  <c r="S1855" i="5" s="1"/>
  <c r="T1855" i="5" s="1"/>
  <c r="U1855" i="5" s="1"/>
  <c r="V1855" i="5" s="1"/>
  <c r="P1855" i="5"/>
  <c r="AE1855" i="5" s="1"/>
  <c r="AF1855" i="5" s="1"/>
  <c r="O1855" i="5"/>
  <c r="N1855" i="5"/>
  <c r="AC1854" i="5"/>
  <c r="AD1854" i="5" s="1"/>
  <c r="AA1854" i="5"/>
  <c r="AB1854" i="5" s="1"/>
  <c r="Y1854" i="5"/>
  <c r="Z1854" i="5" s="1"/>
  <c r="W1854" i="5"/>
  <c r="X1854" i="5" s="1"/>
  <c r="Q1854" i="5"/>
  <c r="R1854" i="5" s="1"/>
  <c r="S1854" i="5" s="1"/>
  <c r="T1854" i="5" s="1"/>
  <c r="U1854" i="5" s="1"/>
  <c r="V1854" i="5" s="1"/>
  <c r="P1854" i="5"/>
  <c r="AE1854" i="5" s="1"/>
  <c r="AF1854" i="5" s="1"/>
  <c r="O1854" i="5"/>
  <c r="N1854" i="5"/>
  <c r="AC1853" i="5"/>
  <c r="AD1853" i="5" s="1"/>
  <c r="AA1853" i="5"/>
  <c r="AB1853" i="5" s="1"/>
  <c r="Y1853" i="5"/>
  <c r="Z1853" i="5" s="1"/>
  <c r="W1853" i="5"/>
  <c r="X1853" i="5" s="1"/>
  <c r="Q1853" i="5"/>
  <c r="R1853" i="5" s="1"/>
  <c r="S1853" i="5" s="1"/>
  <c r="T1853" i="5" s="1"/>
  <c r="U1853" i="5" s="1"/>
  <c r="V1853" i="5" s="1"/>
  <c r="P1853" i="5"/>
  <c r="AE1853" i="5" s="1"/>
  <c r="AF1853" i="5" s="1"/>
  <c r="O1853" i="5"/>
  <c r="N1853" i="5"/>
  <c r="AC1852" i="5"/>
  <c r="AD1852" i="5" s="1"/>
  <c r="AA1852" i="5"/>
  <c r="AB1852" i="5" s="1"/>
  <c r="Y1852" i="5"/>
  <c r="Z1852" i="5" s="1"/>
  <c r="W1852" i="5"/>
  <c r="X1852" i="5" s="1"/>
  <c r="Q1852" i="5"/>
  <c r="R1852" i="5" s="1"/>
  <c r="S1852" i="5" s="1"/>
  <c r="T1852" i="5" s="1"/>
  <c r="U1852" i="5" s="1"/>
  <c r="V1852" i="5" s="1"/>
  <c r="P1852" i="5"/>
  <c r="AE1852" i="5" s="1"/>
  <c r="AF1852" i="5" s="1"/>
  <c r="O1852" i="5"/>
  <c r="N1852" i="5"/>
  <c r="AC1851" i="5"/>
  <c r="AD1851" i="5" s="1"/>
  <c r="AA1851" i="5"/>
  <c r="AB1851" i="5" s="1"/>
  <c r="Y1851" i="5"/>
  <c r="Z1851" i="5" s="1"/>
  <c r="W1851" i="5"/>
  <c r="X1851" i="5" s="1"/>
  <c r="Q1851" i="5"/>
  <c r="R1851" i="5" s="1"/>
  <c r="S1851" i="5" s="1"/>
  <c r="T1851" i="5" s="1"/>
  <c r="U1851" i="5" s="1"/>
  <c r="V1851" i="5" s="1"/>
  <c r="P1851" i="5"/>
  <c r="AE1851" i="5" s="1"/>
  <c r="AF1851" i="5" s="1"/>
  <c r="O1851" i="5"/>
  <c r="N1851" i="5"/>
  <c r="AC1850" i="5"/>
  <c r="AD1850" i="5" s="1"/>
  <c r="AA1850" i="5"/>
  <c r="AB1850" i="5" s="1"/>
  <c r="Y1850" i="5"/>
  <c r="Z1850" i="5" s="1"/>
  <c r="W1850" i="5"/>
  <c r="X1850" i="5" s="1"/>
  <c r="Q1850" i="5"/>
  <c r="R1850" i="5" s="1"/>
  <c r="S1850" i="5" s="1"/>
  <c r="T1850" i="5" s="1"/>
  <c r="U1850" i="5" s="1"/>
  <c r="V1850" i="5" s="1"/>
  <c r="P1850" i="5"/>
  <c r="AE1850" i="5" s="1"/>
  <c r="AF1850" i="5" s="1"/>
  <c r="O1850" i="5"/>
  <c r="N1850" i="5"/>
  <c r="AC1849" i="5"/>
  <c r="AD1849" i="5" s="1"/>
  <c r="AA1849" i="5"/>
  <c r="AB1849" i="5" s="1"/>
  <c r="Y1849" i="5"/>
  <c r="Z1849" i="5" s="1"/>
  <c r="W1849" i="5"/>
  <c r="X1849" i="5" s="1"/>
  <c r="Q1849" i="5"/>
  <c r="R1849" i="5" s="1"/>
  <c r="S1849" i="5" s="1"/>
  <c r="T1849" i="5" s="1"/>
  <c r="U1849" i="5" s="1"/>
  <c r="V1849" i="5" s="1"/>
  <c r="P1849" i="5"/>
  <c r="AE1849" i="5" s="1"/>
  <c r="AF1849" i="5" s="1"/>
  <c r="O1849" i="5"/>
  <c r="N1849" i="5"/>
  <c r="AC1848" i="5"/>
  <c r="AD1848" i="5" s="1"/>
  <c r="AA1848" i="5"/>
  <c r="AB1848" i="5" s="1"/>
  <c r="Y1848" i="5"/>
  <c r="Z1848" i="5" s="1"/>
  <c r="W1848" i="5"/>
  <c r="X1848" i="5" s="1"/>
  <c r="Q1848" i="5"/>
  <c r="R1848" i="5" s="1"/>
  <c r="S1848" i="5" s="1"/>
  <c r="T1848" i="5" s="1"/>
  <c r="U1848" i="5" s="1"/>
  <c r="V1848" i="5" s="1"/>
  <c r="P1848" i="5"/>
  <c r="AE1848" i="5" s="1"/>
  <c r="AF1848" i="5" s="1"/>
  <c r="O1848" i="5"/>
  <c r="N1848" i="5"/>
  <c r="AC1847" i="5"/>
  <c r="AD1847" i="5" s="1"/>
  <c r="AA1847" i="5"/>
  <c r="AB1847" i="5" s="1"/>
  <c r="Y1847" i="5"/>
  <c r="Z1847" i="5" s="1"/>
  <c r="W1847" i="5"/>
  <c r="X1847" i="5" s="1"/>
  <c r="Q1847" i="5"/>
  <c r="R1847" i="5" s="1"/>
  <c r="S1847" i="5" s="1"/>
  <c r="T1847" i="5" s="1"/>
  <c r="U1847" i="5" s="1"/>
  <c r="V1847" i="5" s="1"/>
  <c r="P1847" i="5"/>
  <c r="AE1847" i="5" s="1"/>
  <c r="AF1847" i="5" s="1"/>
  <c r="O1847" i="5"/>
  <c r="N1847" i="5"/>
  <c r="AC1846" i="5"/>
  <c r="AD1846" i="5" s="1"/>
  <c r="AA1846" i="5"/>
  <c r="AB1846" i="5" s="1"/>
  <c r="Y1846" i="5"/>
  <c r="Z1846" i="5" s="1"/>
  <c r="W1846" i="5"/>
  <c r="X1846" i="5" s="1"/>
  <c r="Q1846" i="5"/>
  <c r="R1846" i="5" s="1"/>
  <c r="S1846" i="5" s="1"/>
  <c r="T1846" i="5" s="1"/>
  <c r="U1846" i="5" s="1"/>
  <c r="V1846" i="5" s="1"/>
  <c r="P1846" i="5"/>
  <c r="AE1846" i="5" s="1"/>
  <c r="AF1846" i="5" s="1"/>
  <c r="O1846" i="5"/>
  <c r="N1846" i="5"/>
  <c r="AC1845" i="5"/>
  <c r="AD1845" i="5" s="1"/>
  <c r="AA1845" i="5"/>
  <c r="AB1845" i="5" s="1"/>
  <c r="Y1845" i="5"/>
  <c r="Z1845" i="5" s="1"/>
  <c r="W1845" i="5"/>
  <c r="X1845" i="5" s="1"/>
  <c r="Q1845" i="5"/>
  <c r="R1845" i="5" s="1"/>
  <c r="S1845" i="5" s="1"/>
  <c r="T1845" i="5" s="1"/>
  <c r="U1845" i="5" s="1"/>
  <c r="V1845" i="5" s="1"/>
  <c r="P1845" i="5"/>
  <c r="AE1845" i="5" s="1"/>
  <c r="AF1845" i="5" s="1"/>
  <c r="O1845" i="5"/>
  <c r="N1845" i="5"/>
  <c r="AC1844" i="5"/>
  <c r="AD1844" i="5" s="1"/>
  <c r="AA1844" i="5"/>
  <c r="AB1844" i="5" s="1"/>
  <c r="Y1844" i="5"/>
  <c r="Z1844" i="5" s="1"/>
  <c r="W1844" i="5"/>
  <c r="X1844" i="5" s="1"/>
  <c r="Q1844" i="5"/>
  <c r="R1844" i="5" s="1"/>
  <c r="S1844" i="5" s="1"/>
  <c r="T1844" i="5" s="1"/>
  <c r="U1844" i="5" s="1"/>
  <c r="V1844" i="5" s="1"/>
  <c r="P1844" i="5"/>
  <c r="AE1844" i="5" s="1"/>
  <c r="AF1844" i="5" s="1"/>
  <c r="O1844" i="5"/>
  <c r="N1844" i="5"/>
  <c r="AC1843" i="5"/>
  <c r="AD1843" i="5" s="1"/>
  <c r="AA1843" i="5"/>
  <c r="AB1843" i="5" s="1"/>
  <c r="Y1843" i="5"/>
  <c r="Z1843" i="5" s="1"/>
  <c r="W1843" i="5"/>
  <c r="X1843" i="5" s="1"/>
  <c r="Q1843" i="5"/>
  <c r="R1843" i="5" s="1"/>
  <c r="S1843" i="5" s="1"/>
  <c r="T1843" i="5" s="1"/>
  <c r="U1843" i="5" s="1"/>
  <c r="V1843" i="5" s="1"/>
  <c r="P1843" i="5"/>
  <c r="AE1843" i="5" s="1"/>
  <c r="AF1843" i="5" s="1"/>
  <c r="O1843" i="5"/>
  <c r="N1843" i="5"/>
  <c r="AC1842" i="5"/>
  <c r="AD1842" i="5" s="1"/>
  <c r="AA1842" i="5"/>
  <c r="AB1842" i="5" s="1"/>
  <c r="Y1842" i="5"/>
  <c r="Z1842" i="5" s="1"/>
  <c r="W1842" i="5"/>
  <c r="X1842" i="5" s="1"/>
  <c r="Q1842" i="5"/>
  <c r="R1842" i="5" s="1"/>
  <c r="S1842" i="5" s="1"/>
  <c r="T1842" i="5" s="1"/>
  <c r="U1842" i="5" s="1"/>
  <c r="V1842" i="5" s="1"/>
  <c r="P1842" i="5"/>
  <c r="AE1842" i="5" s="1"/>
  <c r="AF1842" i="5" s="1"/>
  <c r="O1842" i="5"/>
  <c r="N1842" i="5"/>
  <c r="AC1841" i="5"/>
  <c r="AD1841" i="5" s="1"/>
  <c r="AA1841" i="5"/>
  <c r="AB1841" i="5" s="1"/>
  <c r="Y1841" i="5"/>
  <c r="Z1841" i="5" s="1"/>
  <c r="W1841" i="5"/>
  <c r="X1841" i="5" s="1"/>
  <c r="Q1841" i="5"/>
  <c r="R1841" i="5" s="1"/>
  <c r="S1841" i="5" s="1"/>
  <c r="T1841" i="5" s="1"/>
  <c r="U1841" i="5" s="1"/>
  <c r="V1841" i="5" s="1"/>
  <c r="P1841" i="5"/>
  <c r="AE1841" i="5" s="1"/>
  <c r="AF1841" i="5" s="1"/>
  <c r="O1841" i="5"/>
  <c r="N1841" i="5"/>
  <c r="AC1840" i="5"/>
  <c r="AD1840" i="5" s="1"/>
  <c r="AA1840" i="5"/>
  <c r="AB1840" i="5" s="1"/>
  <c r="Y1840" i="5"/>
  <c r="Z1840" i="5" s="1"/>
  <c r="W1840" i="5"/>
  <c r="X1840" i="5" s="1"/>
  <c r="Q1840" i="5"/>
  <c r="R1840" i="5" s="1"/>
  <c r="S1840" i="5" s="1"/>
  <c r="T1840" i="5" s="1"/>
  <c r="U1840" i="5" s="1"/>
  <c r="V1840" i="5" s="1"/>
  <c r="P1840" i="5"/>
  <c r="AE1840" i="5" s="1"/>
  <c r="AF1840" i="5" s="1"/>
  <c r="O1840" i="5"/>
  <c r="N1840" i="5"/>
  <c r="AC1839" i="5"/>
  <c r="AD1839" i="5" s="1"/>
  <c r="AA1839" i="5"/>
  <c r="AB1839" i="5" s="1"/>
  <c r="Y1839" i="5"/>
  <c r="Z1839" i="5" s="1"/>
  <c r="W1839" i="5"/>
  <c r="X1839" i="5" s="1"/>
  <c r="Q1839" i="5"/>
  <c r="R1839" i="5" s="1"/>
  <c r="S1839" i="5" s="1"/>
  <c r="T1839" i="5" s="1"/>
  <c r="U1839" i="5" s="1"/>
  <c r="V1839" i="5" s="1"/>
  <c r="P1839" i="5"/>
  <c r="AE1839" i="5" s="1"/>
  <c r="AF1839" i="5" s="1"/>
  <c r="O1839" i="5"/>
  <c r="N1839" i="5"/>
  <c r="AC1838" i="5"/>
  <c r="AD1838" i="5" s="1"/>
  <c r="AA1838" i="5"/>
  <c r="AB1838" i="5" s="1"/>
  <c r="Y1838" i="5"/>
  <c r="Z1838" i="5" s="1"/>
  <c r="W1838" i="5"/>
  <c r="X1838" i="5" s="1"/>
  <c r="Q1838" i="5"/>
  <c r="R1838" i="5" s="1"/>
  <c r="S1838" i="5" s="1"/>
  <c r="T1838" i="5" s="1"/>
  <c r="U1838" i="5" s="1"/>
  <c r="V1838" i="5" s="1"/>
  <c r="P1838" i="5"/>
  <c r="AE1838" i="5" s="1"/>
  <c r="AF1838" i="5" s="1"/>
  <c r="O1838" i="5"/>
  <c r="N1838" i="5"/>
  <c r="AC1837" i="5"/>
  <c r="AD1837" i="5" s="1"/>
  <c r="AA1837" i="5"/>
  <c r="AB1837" i="5" s="1"/>
  <c r="Y1837" i="5"/>
  <c r="Z1837" i="5" s="1"/>
  <c r="W1837" i="5"/>
  <c r="X1837" i="5" s="1"/>
  <c r="Q1837" i="5"/>
  <c r="R1837" i="5" s="1"/>
  <c r="S1837" i="5" s="1"/>
  <c r="T1837" i="5" s="1"/>
  <c r="U1837" i="5" s="1"/>
  <c r="V1837" i="5" s="1"/>
  <c r="P1837" i="5"/>
  <c r="AE1837" i="5" s="1"/>
  <c r="AF1837" i="5" s="1"/>
  <c r="O1837" i="5"/>
  <c r="N1837" i="5"/>
  <c r="AC1836" i="5"/>
  <c r="AD1836" i="5" s="1"/>
  <c r="AA1836" i="5"/>
  <c r="AB1836" i="5" s="1"/>
  <c r="Y1836" i="5"/>
  <c r="Z1836" i="5" s="1"/>
  <c r="W1836" i="5"/>
  <c r="X1836" i="5" s="1"/>
  <c r="Q1836" i="5"/>
  <c r="R1836" i="5" s="1"/>
  <c r="S1836" i="5" s="1"/>
  <c r="T1836" i="5" s="1"/>
  <c r="U1836" i="5" s="1"/>
  <c r="V1836" i="5" s="1"/>
  <c r="P1836" i="5"/>
  <c r="AE1836" i="5" s="1"/>
  <c r="AF1836" i="5" s="1"/>
  <c r="O1836" i="5"/>
  <c r="N1836" i="5"/>
  <c r="AC1835" i="5"/>
  <c r="AD1835" i="5" s="1"/>
  <c r="AA1835" i="5"/>
  <c r="AB1835" i="5" s="1"/>
  <c r="Y1835" i="5"/>
  <c r="Z1835" i="5" s="1"/>
  <c r="W1835" i="5"/>
  <c r="X1835" i="5" s="1"/>
  <c r="Q1835" i="5"/>
  <c r="R1835" i="5" s="1"/>
  <c r="S1835" i="5" s="1"/>
  <c r="T1835" i="5" s="1"/>
  <c r="U1835" i="5" s="1"/>
  <c r="V1835" i="5" s="1"/>
  <c r="P1835" i="5"/>
  <c r="AE1835" i="5" s="1"/>
  <c r="AF1835" i="5" s="1"/>
  <c r="O1835" i="5"/>
  <c r="N1835" i="5"/>
  <c r="AC1834" i="5"/>
  <c r="AD1834" i="5" s="1"/>
  <c r="AA1834" i="5"/>
  <c r="AB1834" i="5" s="1"/>
  <c r="Y1834" i="5"/>
  <c r="Z1834" i="5" s="1"/>
  <c r="W1834" i="5"/>
  <c r="X1834" i="5" s="1"/>
  <c r="Q1834" i="5"/>
  <c r="R1834" i="5" s="1"/>
  <c r="S1834" i="5" s="1"/>
  <c r="T1834" i="5" s="1"/>
  <c r="U1834" i="5" s="1"/>
  <c r="V1834" i="5" s="1"/>
  <c r="P1834" i="5"/>
  <c r="AE1834" i="5" s="1"/>
  <c r="AF1834" i="5" s="1"/>
  <c r="O1834" i="5"/>
  <c r="N1834" i="5"/>
  <c r="AC1833" i="5"/>
  <c r="AD1833" i="5" s="1"/>
  <c r="AA1833" i="5"/>
  <c r="AB1833" i="5" s="1"/>
  <c r="Y1833" i="5"/>
  <c r="Z1833" i="5" s="1"/>
  <c r="W1833" i="5"/>
  <c r="X1833" i="5" s="1"/>
  <c r="Q1833" i="5"/>
  <c r="R1833" i="5" s="1"/>
  <c r="S1833" i="5" s="1"/>
  <c r="T1833" i="5" s="1"/>
  <c r="U1833" i="5" s="1"/>
  <c r="V1833" i="5" s="1"/>
  <c r="P1833" i="5"/>
  <c r="AE1833" i="5" s="1"/>
  <c r="AF1833" i="5" s="1"/>
  <c r="O1833" i="5"/>
  <c r="N1833" i="5"/>
  <c r="AC1832" i="5"/>
  <c r="AD1832" i="5" s="1"/>
  <c r="AA1832" i="5"/>
  <c r="AB1832" i="5" s="1"/>
  <c r="Y1832" i="5"/>
  <c r="Z1832" i="5" s="1"/>
  <c r="W1832" i="5"/>
  <c r="X1832" i="5" s="1"/>
  <c r="Q1832" i="5"/>
  <c r="R1832" i="5" s="1"/>
  <c r="S1832" i="5" s="1"/>
  <c r="T1832" i="5" s="1"/>
  <c r="U1832" i="5" s="1"/>
  <c r="V1832" i="5" s="1"/>
  <c r="P1832" i="5"/>
  <c r="AE1832" i="5" s="1"/>
  <c r="AF1832" i="5" s="1"/>
  <c r="O1832" i="5"/>
  <c r="N1832" i="5"/>
  <c r="AC1831" i="5"/>
  <c r="AD1831" i="5" s="1"/>
  <c r="AA1831" i="5"/>
  <c r="AB1831" i="5" s="1"/>
  <c r="Y1831" i="5"/>
  <c r="Z1831" i="5" s="1"/>
  <c r="W1831" i="5"/>
  <c r="X1831" i="5" s="1"/>
  <c r="Q1831" i="5"/>
  <c r="R1831" i="5" s="1"/>
  <c r="S1831" i="5" s="1"/>
  <c r="T1831" i="5" s="1"/>
  <c r="U1831" i="5" s="1"/>
  <c r="V1831" i="5" s="1"/>
  <c r="P1831" i="5"/>
  <c r="AE1831" i="5" s="1"/>
  <c r="AF1831" i="5" s="1"/>
  <c r="O1831" i="5"/>
  <c r="N1831" i="5"/>
  <c r="AC1830" i="5"/>
  <c r="AD1830" i="5" s="1"/>
  <c r="AA1830" i="5"/>
  <c r="AB1830" i="5" s="1"/>
  <c r="Y1830" i="5"/>
  <c r="Z1830" i="5" s="1"/>
  <c r="W1830" i="5"/>
  <c r="X1830" i="5" s="1"/>
  <c r="Q1830" i="5"/>
  <c r="R1830" i="5" s="1"/>
  <c r="S1830" i="5" s="1"/>
  <c r="T1830" i="5" s="1"/>
  <c r="U1830" i="5" s="1"/>
  <c r="V1830" i="5" s="1"/>
  <c r="P1830" i="5"/>
  <c r="AE1830" i="5" s="1"/>
  <c r="AF1830" i="5" s="1"/>
  <c r="O1830" i="5"/>
  <c r="N1830" i="5"/>
  <c r="AC1829" i="5"/>
  <c r="AD1829" i="5" s="1"/>
  <c r="AA1829" i="5"/>
  <c r="AB1829" i="5" s="1"/>
  <c r="Y1829" i="5"/>
  <c r="Z1829" i="5" s="1"/>
  <c r="W1829" i="5"/>
  <c r="X1829" i="5" s="1"/>
  <c r="Q1829" i="5"/>
  <c r="R1829" i="5" s="1"/>
  <c r="S1829" i="5" s="1"/>
  <c r="T1829" i="5" s="1"/>
  <c r="U1829" i="5" s="1"/>
  <c r="V1829" i="5" s="1"/>
  <c r="P1829" i="5"/>
  <c r="AE1829" i="5" s="1"/>
  <c r="AF1829" i="5" s="1"/>
  <c r="O1829" i="5"/>
  <c r="N1829" i="5"/>
  <c r="AC1828" i="5"/>
  <c r="AD1828" i="5" s="1"/>
  <c r="AA1828" i="5"/>
  <c r="AB1828" i="5" s="1"/>
  <c r="Y1828" i="5"/>
  <c r="Z1828" i="5" s="1"/>
  <c r="W1828" i="5"/>
  <c r="X1828" i="5" s="1"/>
  <c r="Q1828" i="5"/>
  <c r="R1828" i="5" s="1"/>
  <c r="S1828" i="5" s="1"/>
  <c r="T1828" i="5" s="1"/>
  <c r="U1828" i="5" s="1"/>
  <c r="V1828" i="5" s="1"/>
  <c r="P1828" i="5"/>
  <c r="AE1828" i="5" s="1"/>
  <c r="AF1828" i="5" s="1"/>
  <c r="O1828" i="5"/>
  <c r="N1828" i="5"/>
  <c r="AC1827" i="5"/>
  <c r="AD1827" i="5" s="1"/>
  <c r="AA1827" i="5"/>
  <c r="AB1827" i="5" s="1"/>
  <c r="Y1827" i="5"/>
  <c r="Z1827" i="5" s="1"/>
  <c r="W1827" i="5"/>
  <c r="X1827" i="5" s="1"/>
  <c r="Q1827" i="5"/>
  <c r="R1827" i="5" s="1"/>
  <c r="S1827" i="5" s="1"/>
  <c r="T1827" i="5" s="1"/>
  <c r="U1827" i="5" s="1"/>
  <c r="V1827" i="5" s="1"/>
  <c r="P1827" i="5"/>
  <c r="AE1827" i="5" s="1"/>
  <c r="AF1827" i="5" s="1"/>
  <c r="O1827" i="5"/>
  <c r="N1827" i="5"/>
  <c r="AC1826" i="5"/>
  <c r="AD1826" i="5" s="1"/>
  <c r="AA1826" i="5"/>
  <c r="AB1826" i="5" s="1"/>
  <c r="Y1826" i="5"/>
  <c r="Z1826" i="5" s="1"/>
  <c r="W1826" i="5"/>
  <c r="X1826" i="5" s="1"/>
  <c r="Q1826" i="5"/>
  <c r="R1826" i="5" s="1"/>
  <c r="S1826" i="5" s="1"/>
  <c r="T1826" i="5" s="1"/>
  <c r="U1826" i="5" s="1"/>
  <c r="V1826" i="5" s="1"/>
  <c r="P1826" i="5"/>
  <c r="AE1826" i="5" s="1"/>
  <c r="AF1826" i="5" s="1"/>
  <c r="O1826" i="5"/>
  <c r="N1826" i="5"/>
  <c r="AC1825" i="5"/>
  <c r="AD1825" i="5" s="1"/>
  <c r="AA1825" i="5"/>
  <c r="AB1825" i="5" s="1"/>
  <c r="Y1825" i="5"/>
  <c r="Z1825" i="5" s="1"/>
  <c r="W1825" i="5"/>
  <c r="X1825" i="5" s="1"/>
  <c r="Q1825" i="5"/>
  <c r="R1825" i="5" s="1"/>
  <c r="S1825" i="5" s="1"/>
  <c r="T1825" i="5" s="1"/>
  <c r="U1825" i="5" s="1"/>
  <c r="V1825" i="5" s="1"/>
  <c r="P1825" i="5"/>
  <c r="AE1825" i="5" s="1"/>
  <c r="AF1825" i="5" s="1"/>
  <c r="O1825" i="5"/>
  <c r="N1825" i="5"/>
  <c r="AC1824" i="5"/>
  <c r="AD1824" i="5" s="1"/>
  <c r="AA1824" i="5"/>
  <c r="AB1824" i="5" s="1"/>
  <c r="Y1824" i="5"/>
  <c r="Z1824" i="5" s="1"/>
  <c r="W1824" i="5"/>
  <c r="X1824" i="5" s="1"/>
  <c r="Q1824" i="5"/>
  <c r="R1824" i="5" s="1"/>
  <c r="S1824" i="5" s="1"/>
  <c r="T1824" i="5" s="1"/>
  <c r="U1824" i="5" s="1"/>
  <c r="V1824" i="5" s="1"/>
  <c r="P1824" i="5"/>
  <c r="AE1824" i="5" s="1"/>
  <c r="AF1824" i="5" s="1"/>
  <c r="O1824" i="5"/>
  <c r="N1824" i="5"/>
  <c r="AC1823" i="5"/>
  <c r="AD1823" i="5" s="1"/>
  <c r="AA1823" i="5"/>
  <c r="AB1823" i="5" s="1"/>
  <c r="Y1823" i="5"/>
  <c r="Z1823" i="5" s="1"/>
  <c r="W1823" i="5"/>
  <c r="X1823" i="5" s="1"/>
  <c r="Q1823" i="5"/>
  <c r="R1823" i="5" s="1"/>
  <c r="S1823" i="5" s="1"/>
  <c r="T1823" i="5" s="1"/>
  <c r="U1823" i="5" s="1"/>
  <c r="V1823" i="5" s="1"/>
  <c r="P1823" i="5"/>
  <c r="AE1823" i="5" s="1"/>
  <c r="AF1823" i="5" s="1"/>
  <c r="O1823" i="5"/>
  <c r="N1823" i="5"/>
  <c r="AC1822" i="5"/>
  <c r="AD1822" i="5" s="1"/>
  <c r="AA1822" i="5"/>
  <c r="AB1822" i="5" s="1"/>
  <c r="Y1822" i="5"/>
  <c r="Z1822" i="5" s="1"/>
  <c r="W1822" i="5"/>
  <c r="X1822" i="5" s="1"/>
  <c r="Q1822" i="5"/>
  <c r="R1822" i="5" s="1"/>
  <c r="S1822" i="5" s="1"/>
  <c r="T1822" i="5" s="1"/>
  <c r="U1822" i="5" s="1"/>
  <c r="V1822" i="5" s="1"/>
  <c r="P1822" i="5"/>
  <c r="AE1822" i="5" s="1"/>
  <c r="AF1822" i="5" s="1"/>
  <c r="O1822" i="5"/>
  <c r="N1822" i="5"/>
  <c r="AC1821" i="5"/>
  <c r="AD1821" i="5" s="1"/>
  <c r="AA1821" i="5"/>
  <c r="AB1821" i="5" s="1"/>
  <c r="Y1821" i="5"/>
  <c r="Z1821" i="5" s="1"/>
  <c r="W1821" i="5"/>
  <c r="X1821" i="5" s="1"/>
  <c r="Q1821" i="5"/>
  <c r="R1821" i="5" s="1"/>
  <c r="S1821" i="5" s="1"/>
  <c r="T1821" i="5" s="1"/>
  <c r="U1821" i="5" s="1"/>
  <c r="V1821" i="5" s="1"/>
  <c r="P1821" i="5"/>
  <c r="AE1821" i="5" s="1"/>
  <c r="AF1821" i="5" s="1"/>
  <c r="O1821" i="5"/>
  <c r="N1821" i="5"/>
  <c r="AC1820" i="5"/>
  <c r="AD1820" i="5" s="1"/>
  <c r="AA1820" i="5"/>
  <c r="AB1820" i="5" s="1"/>
  <c r="Y1820" i="5"/>
  <c r="Z1820" i="5" s="1"/>
  <c r="W1820" i="5"/>
  <c r="X1820" i="5" s="1"/>
  <c r="Q1820" i="5"/>
  <c r="R1820" i="5" s="1"/>
  <c r="S1820" i="5" s="1"/>
  <c r="T1820" i="5" s="1"/>
  <c r="U1820" i="5" s="1"/>
  <c r="V1820" i="5" s="1"/>
  <c r="P1820" i="5"/>
  <c r="AE1820" i="5" s="1"/>
  <c r="AF1820" i="5" s="1"/>
  <c r="O1820" i="5"/>
  <c r="N1820" i="5"/>
  <c r="AC1819" i="5"/>
  <c r="AD1819" i="5" s="1"/>
  <c r="AA1819" i="5"/>
  <c r="AB1819" i="5" s="1"/>
  <c r="Y1819" i="5"/>
  <c r="Z1819" i="5" s="1"/>
  <c r="W1819" i="5"/>
  <c r="X1819" i="5" s="1"/>
  <c r="Q1819" i="5"/>
  <c r="R1819" i="5" s="1"/>
  <c r="S1819" i="5" s="1"/>
  <c r="T1819" i="5" s="1"/>
  <c r="U1819" i="5" s="1"/>
  <c r="V1819" i="5" s="1"/>
  <c r="P1819" i="5"/>
  <c r="AE1819" i="5" s="1"/>
  <c r="AF1819" i="5" s="1"/>
  <c r="O1819" i="5"/>
  <c r="N1819" i="5"/>
  <c r="AC1818" i="5"/>
  <c r="AD1818" i="5" s="1"/>
  <c r="AA1818" i="5"/>
  <c r="AB1818" i="5" s="1"/>
  <c r="Y1818" i="5"/>
  <c r="Z1818" i="5" s="1"/>
  <c r="W1818" i="5"/>
  <c r="X1818" i="5" s="1"/>
  <c r="Q1818" i="5"/>
  <c r="R1818" i="5" s="1"/>
  <c r="S1818" i="5" s="1"/>
  <c r="T1818" i="5" s="1"/>
  <c r="U1818" i="5" s="1"/>
  <c r="V1818" i="5" s="1"/>
  <c r="P1818" i="5"/>
  <c r="AE1818" i="5" s="1"/>
  <c r="AF1818" i="5" s="1"/>
  <c r="O1818" i="5"/>
  <c r="N1818" i="5"/>
  <c r="AC1817" i="5"/>
  <c r="AD1817" i="5" s="1"/>
  <c r="AA1817" i="5"/>
  <c r="AB1817" i="5" s="1"/>
  <c r="Y1817" i="5"/>
  <c r="Z1817" i="5" s="1"/>
  <c r="W1817" i="5"/>
  <c r="X1817" i="5" s="1"/>
  <c r="Q1817" i="5"/>
  <c r="R1817" i="5" s="1"/>
  <c r="S1817" i="5" s="1"/>
  <c r="T1817" i="5" s="1"/>
  <c r="U1817" i="5" s="1"/>
  <c r="V1817" i="5" s="1"/>
  <c r="P1817" i="5"/>
  <c r="AE1817" i="5" s="1"/>
  <c r="AF1817" i="5" s="1"/>
  <c r="O1817" i="5"/>
  <c r="N1817" i="5"/>
  <c r="AC1816" i="5"/>
  <c r="AD1816" i="5" s="1"/>
  <c r="AA1816" i="5"/>
  <c r="AB1816" i="5" s="1"/>
  <c r="Y1816" i="5"/>
  <c r="Z1816" i="5" s="1"/>
  <c r="W1816" i="5"/>
  <c r="X1816" i="5" s="1"/>
  <c r="Q1816" i="5"/>
  <c r="R1816" i="5" s="1"/>
  <c r="S1816" i="5" s="1"/>
  <c r="T1816" i="5" s="1"/>
  <c r="U1816" i="5" s="1"/>
  <c r="V1816" i="5" s="1"/>
  <c r="P1816" i="5"/>
  <c r="AE1816" i="5" s="1"/>
  <c r="AF1816" i="5" s="1"/>
  <c r="O1816" i="5"/>
  <c r="N1816" i="5"/>
  <c r="AC1815" i="5"/>
  <c r="AD1815" i="5" s="1"/>
  <c r="AA1815" i="5"/>
  <c r="AB1815" i="5" s="1"/>
  <c r="Y1815" i="5"/>
  <c r="Z1815" i="5" s="1"/>
  <c r="W1815" i="5"/>
  <c r="X1815" i="5" s="1"/>
  <c r="Q1815" i="5"/>
  <c r="R1815" i="5" s="1"/>
  <c r="S1815" i="5" s="1"/>
  <c r="T1815" i="5" s="1"/>
  <c r="U1815" i="5" s="1"/>
  <c r="V1815" i="5" s="1"/>
  <c r="P1815" i="5"/>
  <c r="AE1815" i="5" s="1"/>
  <c r="AF1815" i="5" s="1"/>
  <c r="O1815" i="5"/>
  <c r="N1815" i="5"/>
  <c r="AC1814" i="5"/>
  <c r="AD1814" i="5" s="1"/>
  <c r="AA1814" i="5"/>
  <c r="AB1814" i="5" s="1"/>
  <c r="Y1814" i="5"/>
  <c r="Z1814" i="5" s="1"/>
  <c r="W1814" i="5"/>
  <c r="X1814" i="5" s="1"/>
  <c r="Q1814" i="5"/>
  <c r="R1814" i="5" s="1"/>
  <c r="S1814" i="5" s="1"/>
  <c r="T1814" i="5" s="1"/>
  <c r="U1814" i="5" s="1"/>
  <c r="V1814" i="5" s="1"/>
  <c r="P1814" i="5"/>
  <c r="AE1814" i="5" s="1"/>
  <c r="AF1814" i="5" s="1"/>
  <c r="O1814" i="5"/>
  <c r="N1814" i="5"/>
  <c r="AC1813" i="5"/>
  <c r="AD1813" i="5" s="1"/>
  <c r="AA1813" i="5"/>
  <c r="AB1813" i="5" s="1"/>
  <c r="Y1813" i="5"/>
  <c r="Z1813" i="5" s="1"/>
  <c r="W1813" i="5"/>
  <c r="X1813" i="5" s="1"/>
  <c r="Q1813" i="5"/>
  <c r="R1813" i="5" s="1"/>
  <c r="S1813" i="5" s="1"/>
  <c r="T1813" i="5" s="1"/>
  <c r="U1813" i="5" s="1"/>
  <c r="V1813" i="5" s="1"/>
  <c r="P1813" i="5"/>
  <c r="AE1813" i="5" s="1"/>
  <c r="AF1813" i="5" s="1"/>
  <c r="O1813" i="5"/>
  <c r="N1813" i="5"/>
  <c r="AC1812" i="5"/>
  <c r="AD1812" i="5" s="1"/>
  <c r="AA1812" i="5"/>
  <c r="AB1812" i="5" s="1"/>
  <c r="Y1812" i="5"/>
  <c r="Z1812" i="5" s="1"/>
  <c r="W1812" i="5"/>
  <c r="X1812" i="5" s="1"/>
  <c r="Q1812" i="5"/>
  <c r="R1812" i="5" s="1"/>
  <c r="S1812" i="5" s="1"/>
  <c r="T1812" i="5" s="1"/>
  <c r="U1812" i="5" s="1"/>
  <c r="V1812" i="5" s="1"/>
  <c r="P1812" i="5"/>
  <c r="AE1812" i="5" s="1"/>
  <c r="AF1812" i="5" s="1"/>
  <c r="O1812" i="5"/>
  <c r="N1812" i="5"/>
  <c r="AC1811" i="5"/>
  <c r="AD1811" i="5" s="1"/>
  <c r="AA1811" i="5"/>
  <c r="AB1811" i="5" s="1"/>
  <c r="Y1811" i="5"/>
  <c r="Z1811" i="5" s="1"/>
  <c r="W1811" i="5"/>
  <c r="X1811" i="5" s="1"/>
  <c r="Q1811" i="5"/>
  <c r="R1811" i="5" s="1"/>
  <c r="S1811" i="5" s="1"/>
  <c r="T1811" i="5" s="1"/>
  <c r="U1811" i="5" s="1"/>
  <c r="V1811" i="5" s="1"/>
  <c r="P1811" i="5"/>
  <c r="AE1811" i="5" s="1"/>
  <c r="AF1811" i="5" s="1"/>
  <c r="O1811" i="5"/>
  <c r="N1811" i="5"/>
  <c r="AC1810" i="5"/>
  <c r="AD1810" i="5" s="1"/>
  <c r="AA1810" i="5"/>
  <c r="AB1810" i="5" s="1"/>
  <c r="Y1810" i="5"/>
  <c r="Z1810" i="5" s="1"/>
  <c r="W1810" i="5"/>
  <c r="X1810" i="5" s="1"/>
  <c r="Q1810" i="5"/>
  <c r="R1810" i="5" s="1"/>
  <c r="S1810" i="5" s="1"/>
  <c r="T1810" i="5" s="1"/>
  <c r="U1810" i="5" s="1"/>
  <c r="V1810" i="5" s="1"/>
  <c r="P1810" i="5"/>
  <c r="AE1810" i="5" s="1"/>
  <c r="AF1810" i="5" s="1"/>
  <c r="O1810" i="5"/>
  <c r="N1810" i="5"/>
  <c r="AC1809" i="5"/>
  <c r="AD1809" i="5" s="1"/>
  <c r="AA1809" i="5"/>
  <c r="AB1809" i="5" s="1"/>
  <c r="Y1809" i="5"/>
  <c r="Z1809" i="5" s="1"/>
  <c r="W1809" i="5"/>
  <c r="X1809" i="5" s="1"/>
  <c r="Q1809" i="5"/>
  <c r="R1809" i="5" s="1"/>
  <c r="S1809" i="5" s="1"/>
  <c r="T1809" i="5" s="1"/>
  <c r="U1809" i="5" s="1"/>
  <c r="V1809" i="5" s="1"/>
  <c r="P1809" i="5"/>
  <c r="AE1809" i="5" s="1"/>
  <c r="AF1809" i="5" s="1"/>
  <c r="O1809" i="5"/>
  <c r="N1809" i="5"/>
  <c r="AC1808" i="5"/>
  <c r="AD1808" i="5" s="1"/>
  <c r="AA1808" i="5"/>
  <c r="AB1808" i="5" s="1"/>
  <c r="Y1808" i="5"/>
  <c r="Z1808" i="5" s="1"/>
  <c r="W1808" i="5"/>
  <c r="X1808" i="5" s="1"/>
  <c r="Q1808" i="5"/>
  <c r="R1808" i="5" s="1"/>
  <c r="S1808" i="5" s="1"/>
  <c r="T1808" i="5" s="1"/>
  <c r="U1808" i="5" s="1"/>
  <c r="V1808" i="5" s="1"/>
  <c r="P1808" i="5"/>
  <c r="AE1808" i="5" s="1"/>
  <c r="AF1808" i="5" s="1"/>
  <c r="O1808" i="5"/>
  <c r="N1808" i="5"/>
  <c r="AC1807" i="5"/>
  <c r="AD1807" i="5" s="1"/>
  <c r="AA1807" i="5"/>
  <c r="AB1807" i="5" s="1"/>
  <c r="Y1807" i="5"/>
  <c r="Z1807" i="5" s="1"/>
  <c r="W1807" i="5"/>
  <c r="X1807" i="5" s="1"/>
  <c r="Q1807" i="5"/>
  <c r="R1807" i="5" s="1"/>
  <c r="S1807" i="5" s="1"/>
  <c r="T1807" i="5" s="1"/>
  <c r="U1807" i="5" s="1"/>
  <c r="V1807" i="5" s="1"/>
  <c r="P1807" i="5"/>
  <c r="AE1807" i="5" s="1"/>
  <c r="AF1807" i="5" s="1"/>
  <c r="O1807" i="5"/>
  <c r="N1807" i="5"/>
  <c r="AC1806" i="5"/>
  <c r="AD1806" i="5" s="1"/>
  <c r="AA1806" i="5"/>
  <c r="AB1806" i="5" s="1"/>
  <c r="Y1806" i="5"/>
  <c r="Z1806" i="5" s="1"/>
  <c r="W1806" i="5"/>
  <c r="X1806" i="5" s="1"/>
  <c r="Q1806" i="5"/>
  <c r="R1806" i="5" s="1"/>
  <c r="S1806" i="5" s="1"/>
  <c r="T1806" i="5" s="1"/>
  <c r="U1806" i="5" s="1"/>
  <c r="V1806" i="5" s="1"/>
  <c r="P1806" i="5"/>
  <c r="AE1806" i="5" s="1"/>
  <c r="AF1806" i="5" s="1"/>
  <c r="O1806" i="5"/>
  <c r="N1806" i="5"/>
  <c r="AC1805" i="5"/>
  <c r="AD1805" i="5" s="1"/>
  <c r="AA1805" i="5"/>
  <c r="AB1805" i="5" s="1"/>
  <c r="Y1805" i="5"/>
  <c r="Z1805" i="5" s="1"/>
  <c r="W1805" i="5"/>
  <c r="X1805" i="5" s="1"/>
  <c r="Q1805" i="5"/>
  <c r="R1805" i="5" s="1"/>
  <c r="S1805" i="5" s="1"/>
  <c r="T1805" i="5" s="1"/>
  <c r="U1805" i="5" s="1"/>
  <c r="V1805" i="5" s="1"/>
  <c r="P1805" i="5"/>
  <c r="AE1805" i="5" s="1"/>
  <c r="AF1805" i="5" s="1"/>
  <c r="O1805" i="5"/>
  <c r="N1805" i="5"/>
  <c r="AC1804" i="5"/>
  <c r="AD1804" i="5" s="1"/>
  <c r="AA1804" i="5"/>
  <c r="AB1804" i="5" s="1"/>
  <c r="Y1804" i="5"/>
  <c r="Z1804" i="5" s="1"/>
  <c r="W1804" i="5"/>
  <c r="X1804" i="5" s="1"/>
  <c r="Q1804" i="5"/>
  <c r="R1804" i="5" s="1"/>
  <c r="S1804" i="5" s="1"/>
  <c r="T1804" i="5" s="1"/>
  <c r="U1804" i="5" s="1"/>
  <c r="V1804" i="5" s="1"/>
  <c r="P1804" i="5"/>
  <c r="AE1804" i="5" s="1"/>
  <c r="AF1804" i="5" s="1"/>
  <c r="O1804" i="5"/>
  <c r="N1804" i="5"/>
  <c r="AC1803" i="5"/>
  <c r="AD1803" i="5" s="1"/>
  <c r="AA1803" i="5"/>
  <c r="AB1803" i="5" s="1"/>
  <c r="Y1803" i="5"/>
  <c r="Z1803" i="5" s="1"/>
  <c r="W1803" i="5"/>
  <c r="X1803" i="5" s="1"/>
  <c r="Q1803" i="5"/>
  <c r="R1803" i="5" s="1"/>
  <c r="S1803" i="5" s="1"/>
  <c r="T1803" i="5" s="1"/>
  <c r="U1803" i="5" s="1"/>
  <c r="V1803" i="5" s="1"/>
  <c r="P1803" i="5"/>
  <c r="AE1803" i="5" s="1"/>
  <c r="AF1803" i="5" s="1"/>
  <c r="O1803" i="5"/>
  <c r="N1803" i="5"/>
  <c r="AC1802" i="5"/>
  <c r="AD1802" i="5" s="1"/>
  <c r="AA1802" i="5"/>
  <c r="AB1802" i="5" s="1"/>
  <c r="Y1802" i="5"/>
  <c r="Z1802" i="5" s="1"/>
  <c r="W1802" i="5"/>
  <c r="X1802" i="5" s="1"/>
  <c r="Q1802" i="5"/>
  <c r="R1802" i="5" s="1"/>
  <c r="S1802" i="5" s="1"/>
  <c r="T1802" i="5" s="1"/>
  <c r="U1802" i="5" s="1"/>
  <c r="V1802" i="5" s="1"/>
  <c r="P1802" i="5"/>
  <c r="AE1802" i="5" s="1"/>
  <c r="AF1802" i="5" s="1"/>
  <c r="O1802" i="5"/>
  <c r="N1802" i="5"/>
  <c r="AC1801" i="5"/>
  <c r="AD1801" i="5" s="1"/>
  <c r="AA1801" i="5"/>
  <c r="AB1801" i="5" s="1"/>
  <c r="Y1801" i="5"/>
  <c r="Z1801" i="5" s="1"/>
  <c r="W1801" i="5"/>
  <c r="X1801" i="5" s="1"/>
  <c r="Q1801" i="5"/>
  <c r="R1801" i="5" s="1"/>
  <c r="S1801" i="5" s="1"/>
  <c r="T1801" i="5" s="1"/>
  <c r="U1801" i="5" s="1"/>
  <c r="V1801" i="5" s="1"/>
  <c r="P1801" i="5"/>
  <c r="AE1801" i="5" s="1"/>
  <c r="AF1801" i="5" s="1"/>
  <c r="O1801" i="5"/>
  <c r="N1801" i="5"/>
  <c r="AC1800" i="5"/>
  <c r="AD1800" i="5" s="1"/>
  <c r="AA1800" i="5"/>
  <c r="AB1800" i="5" s="1"/>
  <c r="Y1800" i="5"/>
  <c r="Z1800" i="5" s="1"/>
  <c r="W1800" i="5"/>
  <c r="X1800" i="5" s="1"/>
  <c r="Q1800" i="5"/>
  <c r="R1800" i="5" s="1"/>
  <c r="S1800" i="5" s="1"/>
  <c r="T1800" i="5" s="1"/>
  <c r="U1800" i="5" s="1"/>
  <c r="V1800" i="5" s="1"/>
  <c r="P1800" i="5"/>
  <c r="AE1800" i="5" s="1"/>
  <c r="AF1800" i="5" s="1"/>
  <c r="O1800" i="5"/>
  <c r="N1800" i="5"/>
  <c r="AC1799" i="5"/>
  <c r="AD1799" i="5" s="1"/>
  <c r="AA1799" i="5"/>
  <c r="AB1799" i="5" s="1"/>
  <c r="Y1799" i="5"/>
  <c r="Z1799" i="5" s="1"/>
  <c r="W1799" i="5"/>
  <c r="X1799" i="5" s="1"/>
  <c r="Q1799" i="5"/>
  <c r="R1799" i="5" s="1"/>
  <c r="S1799" i="5" s="1"/>
  <c r="T1799" i="5" s="1"/>
  <c r="U1799" i="5" s="1"/>
  <c r="V1799" i="5" s="1"/>
  <c r="P1799" i="5"/>
  <c r="AE1799" i="5" s="1"/>
  <c r="AF1799" i="5" s="1"/>
  <c r="O1799" i="5"/>
  <c r="N1799" i="5"/>
  <c r="AC1798" i="5"/>
  <c r="AD1798" i="5" s="1"/>
  <c r="AA1798" i="5"/>
  <c r="AB1798" i="5" s="1"/>
  <c r="Y1798" i="5"/>
  <c r="Z1798" i="5" s="1"/>
  <c r="W1798" i="5"/>
  <c r="X1798" i="5" s="1"/>
  <c r="Q1798" i="5"/>
  <c r="R1798" i="5" s="1"/>
  <c r="S1798" i="5" s="1"/>
  <c r="T1798" i="5" s="1"/>
  <c r="U1798" i="5" s="1"/>
  <c r="V1798" i="5" s="1"/>
  <c r="P1798" i="5"/>
  <c r="AE1798" i="5" s="1"/>
  <c r="AF1798" i="5" s="1"/>
  <c r="O1798" i="5"/>
  <c r="N1798" i="5"/>
  <c r="AC1797" i="5"/>
  <c r="AD1797" i="5" s="1"/>
  <c r="AA1797" i="5"/>
  <c r="AB1797" i="5" s="1"/>
  <c r="Y1797" i="5"/>
  <c r="Z1797" i="5" s="1"/>
  <c r="W1797" i="5"/>
  <c r="X1797" i="5" s="1"/>
  <c r="Q1797" i="5"/>
  <c r="R1797" i="5" s="1"/>
  <c r="S1797" i="5" s="1"/>
  <c r="T1797" i="5" s="1"/>
  <c r="U1797" i="5" s="1"/>
  <c r="V1797" i="5" s="1"/>
  <c r="P1797" i="5"/>
  <c r="AE1797" i="5" s="1"/>
  <c r="AF1797" i="5" s="1"/>
  <c r="O1797" i="5"/>
  <c r="N1797" i="5"/>
  <c r="AC1796" i="5"/>
  <c r="AD1796" i="5" s="1"/>
  <c r="AA1796" i="5"/>
  <c r="AB1796" i="5" s="1"/>
  <c r="Y1796" i="5"/>
  <c r="Z1796" i="5" s="1"/>
  <c r="W1796" i="5"/>
  <c r="X1796" i="5" s="1"/>
  <c r="Q1796" i="5"/>
  <c r="R1796" i="5" s="1"/>
  <c r="S1796" i="5" s="1"/>
  <c r="T1796" i="5" s="1"/>
  <c r="U1796" i="5" s="1"/>
  <c r="V1796" i="5" s="1"/>
  <c r="P1796" i="5"/>
  <c r="AE1796" i="5" s="1"/>
  <c r="AF1796" i="5" s="1"/>
  <c r="O1796" i="5"/>
  <c r="N1796" i="5"/>
  <c r="AC1795" i="5"/>
  <c r="AD1795" i="5" s="1"/>
  <c r="AA1795" i="5"/>
  <c r="AB1795" i="5" s="1"/>
  <c r="Y1795" i="5"/>
  <c r="Z1795" i="5" s="1"/>
  <c r="W1795" i="5"/>
  <c r="X1795" i="5" s="1"/>
  <c r="Q1795" i="5"/>
  <c r="R1795" i="5" s="1"/>
  <c r="S1795" i="5" s="1"/>
  <c r="T1795" i="5" s="1"/>
  <c r="U1795" i="5" s="1"/>
  <c r="V1795" i="5" s="1"/>
  <c r="P1795" i="5"/>
  <c r="AE1795" i="5" s="1"/>
  <c r="AF1795" i="5" s="1"/>
  <c r="O1795" i="5"/>
  <c r="N1795" i="5"/>
  <c r="AC1794" i="5"/>
  <c r="AD1794" i="5" s="1"/>
  <c r="AA1794" i="5"/>
  <c r="AB1794" i="5" s="1"/>
  <c r="Y1794" i="5"/>
  <c r="Z1794" i="5" s="1"/>
  <c r="W1794" i="5"/>
  <c r="X1794" i="5" s="1"/>
  <c r="Q1794" i="5"/>
  <c r="R1794" i="5" s="1"/>
  <c r="S1794" i="5" s="1"/>
  <c r="T1794" i="5" s="1"/>
  <c r="U1794" i="5" s="1"/>
  <c r="V1794" i="5" s="1"/>
  <c r="P1794" i="5"/>
  <c r="AE1794" i="5" s="1"/>
  <c r="AF1794" i="5" s="1"/>
  <c r="O1794" i="5"/>
  <c r="N1794" i="5"/>
  <c r="AC1793" i="5"/>
  <c r="AD1793" i="5" s="1"/>
  <c r="AA1793" i="5"/>
  <c r="AB1793" i="5" s="1"/>
  <c r="Y1793" i="5"/>
  <c r="Z1793" i="5" s="1"/>
  <c r="W1793" i="5"/>
  <c r="X1793" i="5" s="1"/>
  <c r="Q1793" i="5"/>
  <c r="R1793" i="5" s="1"/>
  <c r="S1793" i="5" s="1"/>
  <c r="T1793" i="5" s="1"/>
  <c r="U1793" i="5" s="1"/>
  <c r="V1793" i="5" s="1"/>
  <c r="P1793" i="5"/>
  <c r="AE1793" i="5" s="1"/>
  <c r="AF1793" i="5" s="1"/>
  <c r="O1793" i="5"/>
  <c r="N1793" i="5"/>
  <c r="AC1792" i="5"/>
  <c r="AD1792" i="5" s="1"/>
  <c r="AA1792" i="5"/>
  <c r="AB1792" i="5" s="1"/>
  <c r="Y1792" i="5"/>
  <c r="Z1792" i="5" s="1"/>
  <c r="W1792" i="5"/>
  <c r="X1792" i="5" s="1"/>
  <c r="Q1792" i="5"/>
  <c r="R1792" i="5" s="1"/>
  <c r="S1792" i="5" s="1"/>
  <c r="T1792" i="5" s="1"/>
  <c r="U1792" i="5" s="1"/>
  <c r="V1792" i="5" s="1"/>
  <c r="P1792" i="5"/>
  <c r="AE1792" i="5" s="1"/>
  <c r="AF1792" i="5" s="1"/>
  <c r="O1792" i="5"/>
  <c r="N1792" i="5"/>
  <c r="AC1791" i="5"/>
  <c r="AD1791" i="5" s="1"/>
  <c r="AA1791" i="5"/>
  <c r="AB1791" i="5" s="1"/>
  <c r="Y1791" i="5"/>
  <c r="Z1791" i="5" s="1"/>
  <c r="W1791" i="5"/>
  <c r="X1791" i="5" s="1"/>
  <c r="Q1791" i="5"/>
  <c r="R1791" i="5" s="1"/>
  <c r="S1791" i="5" s="1"/>
  <c r="T1791" i="5" s="1"/>
  <c r="U1791" i="5" s="1"/>
  <c r="V1791" i="5" s="1"/>
  <c r="P1791" i="5"/>
  <c r="AE1791" i="5" s="1"/>
  <c r="AF1791" i="5" s="1"/>
  <c r="O1791" i="5"/>
  <c r="N1791" i="5"/>
  <c r="AC1790" i="5"/>
  <c r="AD1790" i="5" s="1"/>
  <c r="AA1790" i="5"/>
  <c r="AB1790" i="5" s="1"/>
  <c r="Y1790" i="5"/>
  <c r="Z1790" i="5" s="1"/>
  <c r="W1790" i="5"/>
  <c r="X1790" i="5" s="1"/>
  <c r="Q1790" i="5"/>
  <c r="R1790" i="5" s="1"/>
  <c r="S1790" i="5" s="1"/>
  <c r="T1790" i="5" s="1"/>
  <c r="U1790" i="5" s="1"/>
  <c r="V1790" i="5" s="1"/>
  <c r="P1790" i="5"/>
  <c r="AE1790" i="5" s="1"/>
  <c r="AF1790" i="5" s="1"/>
  <c r="O1790" i="5"/>
  <c r="N1790" i="5"/>
  <c r="AC1789" i="5"/>
  <c r="AD1789" i="5" s="1"/>
  <c r="AA1789" i="5"/>
  <c r="AB1789" i="5" s="1"/>
  <c r="Y1789" i="5"/>
  <c r="Z1789" i="5" s="1"/>
  <c r="W1789" i="5"/>
  <c r="X1789" i="5" s="1"/>
  <c r="Q1789" i="5"/>
  <c r="R1789" i="5" s="1"/>
  <c r="S1789" i="5" s="1"/>
  <c r="T1789" i="5" s="1"/>
  <c r="U1789" i="5" s="1"/>
  <c r="V1789" i="5" s="1"/>
  <c r="P1789" i="5"/>
  <c r="AE1789" i="5" s="1"/>
  <c r="AF1789" i="5" s="1"/>
  <c r="O1789" i="5"/>
  <c r="N1789" i="5"/>
  <c r="AC1788" i="5"/>
  <c r="AD1788" i="5" s="1"/>
  <c r="AA1788" i="5"/>
  <c r="AB1788" i="5" s="1"/>
  <c r="Y1788" i="5"/>
  <c r="Z1788" i="5" s="1"/>
  <c r="W1788" i="5"/>
  <c r="X1788" i="5" s="1"/>
  <c r="Q1788" i="5"/>
  <c r="R1788" i="5" s="1"/>
  <c r="S1788" i="5" s="1"/>
  <c r="T1788" i="5" s="1"/>
  <c r="U1788" i="5" s="1"/>
  <c r="V1788" i="5" s="1"/>
  <c r="P1788" i="5"/>
  <c r="AE1788" i="5" s="1"/>
  <c r="AF1788" i="5" s="1"/>
  <c r="O1788" i="5"/>
  <c r="N1788" i="5"/>
  <c r="AC1787" i="5"/>
  <c r="AD1787" i="5" s="1"/>
  <c r="AA1787" i="5"/>
  <c r="AB1787" i="5" s="1"/>
  <c r="Y1787" i="5"/>
  <c r="Z1787" i="5" s="1"/>
  <c r="W1787" i="5"/>
  <c r="X1787" i="5" s="1"/>
  <c r="Q1787" i="5"/>
  <c r="R1787" i="5" s="1"/>
  <c r="S1787" i="5" s="1"/>
  <c r="T1787" i="5" s="1"/>
  <c r="U1787" i="5" s="1"/>
  <c r="V1787" i="5" s="1"/>
  <c r="P1787" i="5"/>
  <c r="AE1787" i="5" s="1"/>
  <c r="AF1787" i="5" s="1"/>
  <c r="O1787" i="5"/>
  <c r="N1787" i="5"/>
  <c r="AC1786" i="5"/>
  <c r="AD1786" i="5" s="1"/>
  <c r="AA1786" i="5"/>
  <c r="AB1786" i="5" s="1"/>
  <c r="Y1786" i="5"/>
  <c r="Z1786" i="5" s="1"/>
  <c r="W1786" i="5"/>
  <c r="X1786" i="5" s="1"/>
  <c r="Q1786" i="5"/>
  <c r="R1786" i="5" s="1"/>
  <c r="S1786" i="5" s="1"/>
  <c r="T1786" i="5" s="1"/>
  <c r="U1786" i="5" s="1"/>
  <c r="V1786" i="5" s="1"/>
  <c r="P1786" i="5"/>
  <c r="AE1786" i="5" s="1"/>
  <c r="AF1786" i="5" s="1"/>
  <c r="O1786" i="5"/>
  <c r="N1786" i="5"/>
  <c r="AC1785" i="5"/>
  <c r="AD1785" i="5" s="1"/>
  <c r="AA1785" i="5"/>
  <c r="AB1785" i="5" s="1"/>
  <c r="Y1785" i="5"/>
  <c r="Z1785" i="5" s="1"/>
  <c r="W1785" i="5"/>
  <c r="X1785" i="5" s="1"/>
  <c r="Q1785" i="5"/>
  <c r="R1785" i="5" s="1"/>
  <c r="S1785" i="5" s="1"/>
  <c r="T1785" i="5" s="1"/>
  <c r="U1785" i="5" s="1"/>
  <c r="V1785" i="5" s="1"/>
  <c r="P1785" i="5"/>
  <c r="AE1785" i="5" s="1"/>
  <c r="AF1785" i="5" s="1"/>
  <c r="O1785" i="5"/>
  <c r="N1785" i="5"/>
  <c r="AC1784" i="5"/>
  <c r="AD1784" i="5" s="1"/>
  <c r="AA1784" i="5"/>
  <c r="AB1784" i="5" s="1"/>
  <c r="Y1784" i="5"/>
  <c r="Z1784" i="5" s="1"/>
  <c r="W1784" i="5"/>
  <c r="X1784" i="5" s="1"/>
  <c r="Q1784" i="5"/>
  <c r="R1784" i="5" s="1"/>
  <c r="S1784" i="5" s="1"/>
  <c r="T1784" i="5" s="1"/>
  <c r="U1784" i="5" s="1"/>
  <c r="V1784" i="5" s="1"/>
  <c r="P1784" i="5"/>
  <c r="AE1784" i="5" s="1"/>
  <c r="AF1784" i="5" s="1"/>
  <c r="O1784" i="5"/>
  <c r="N1784" i="5"/>
  <c r="AC1783" i="5"/>
  <c r="AD1783" i="5" s="1"/>
  <c r="AA1783" i="5"/>
  <c r="AB1783" i="5" s="1"/>
  <c r="Y1783" i="5"/>
  <c r="Z1783" i="5" s="1"/>
  <c r="W1783" i="5"/>
  <c r="X1783" i="5" s="1"/>
  <c r="Q1783" i="5"/>
  <c r="R1783" i="5" s="1"/>
  <c r="S1783" i="5" s="1"/>
  <c r="T1783" i="5" s="1"/>
  <c r="U1783" i="5" s="1"/>
  <c r="V1783" i="5" s="1"/>
  <c r="P1783" i="5"/>
  <c r="AE1783" i="5" s="1"/>
  <c r="AF1783" i="5" s="1"/>
  <c r="O1783" i="5"/>
  <c r="N1783" i="5"/>
  <c r="AC1782" i="5"/>
  <c r="AD1782" i="5" s="1"/>
  <c r="AA1782" i="5"/>
  <c r="AB1782" i="5" s="1"/>
  <c r="Y1782" i="5"/>
  <c r="Z1782" i="5" s="1"/>
  <c r="W1782" i="5"/>
  <c r="X1782" i="5" s="1"/>
  <c r="Q1782" i="5"/>
  <c r="R1782" i="5" s="1"/>
  <c r="S1782" i="5" s="1"/>
  <c r="T1782" i="5" s="1"/>
  <c r="U1782" i="5" s="1"/>
  <c r="V1782" i="5" s="1"/>
  <c r="P1782" i="5"/>
  <c r="AE1782" i="5" s="1"/>
  <c r="AF1782" i="5" s="1"/>
  <c r="O1782" i="5"/>
  <c r="N1782" i="5"/>
  <c r="AC1781" i="5"/>
  <c r="AD1781" i="5" s="1"/>
  <c r="AA1781" i="5"/>
  <c r="AB1781" i="5" s="1"/>
  <c r="Y1781" i="5"/>
  <c r="Z1781" i="5" s="1"/>
  <c r="W1781" i="5"/>
  <c r="X1781" i="5" s="1"/>
  <c r="Q1781" i="5"/>
  <c r="R1781" i="5" s="1"/>
  <c r="S1781" i="5" s="1"/>
  <c r="T1781" i="5" s="1"/>
  <c r="U1781" i="5" s="1"/>
  <c r="V1781" i="5" s="1"/>
  <c r="P1781" i="5"/>
  <c r="AE1781" i="5" s="1"/>
  <c r="AF1781" i="5" s="1"/>
  <c r="O1781" i="5"/>
  <c r="N1781" i="5"/>
  <c r="AC1780" i="5"/>
  <c r="AD1780" i="5" s="1"/>
  <c r="AA1780" i="5"/>
  <c r="AB1780" i="5" s="1"/>
  <c r="Y1780" i="5"/>
  <c r="Z1780" i="5" s="1"/>
  <c r="W1780" i="5"/>
  <c r="X1780" i="5" s="1"/>
  <c r="Q1780" i="5"/>
  <c r="R1780" i="5" s="1"/>
  <c r="S1780" i="5" s="1"/>
  <c r="T1780" i="5" s="1"/>
  <c r="U1780" i="5" s="1"/>
  <c r="V1780" i="5" s="1"/>
  <c r="P1780" i="5"/>
  <c r="AE1780" i="5" s="1"/>
  <c r="AF1780" i="5" s="1"/>
  <c r="O1780" i="5"/>
  <c r="N1780" i="5"/>
  <c r="AC1779" i="5"/>
  <c r="AD1779" i="5" s="1"/>
  <c r="AA1779" i="5"/>
  <c r="AB1779" i="5" s="1"/>
  <c r="Y1779" i="5"/>
  <c r="Z1779" i="5" s="1"/>
  <c r="W1779" i="5"/>
  <c r="X1779" i="5" s="1"/>
  <c r="Q1779" i="5"/>
  <c r="R1779" i="5" s="1"/>
  <c r="S1779" i="5" s="1"/>
  <c r="T1779" i="5" s="1"/>
  <c r="U1779" i="5" s="1"/>
  <c r="V1779" i="5" s="1"/>
  <c r="P1779" i="5"/>
  <c r="AE1779" i="5" s="1"/>
  <c r="AF1779" i="5" s="1"/>
  <c r="O1779" i="5"/>
  <c r="N1779" i="5"/>
  <c r="AC1778" i="5"/>
  <c r="AD1778" i="5" s="1"/>
  <c r="AA1778" i="5"/>
  <c r="AB1778" i="5" s="1"/>
  <c r="Y1778" i="5"/>
  <c r="Z1778" i="5" s="1"/>
  <c r="W1778" i="5"/>
  <c r="X1778" i="5" s="1"/>
  <c r="Q1778" i="5"/>
  <c r="R1778" i="5" s="1"/>
  <c r="S1778" i="5" s="1"/>
  <c r="T1778" i="5" s="1"/>
  <c r="U1778" i="5" s="1"/>
  <c r="V1778" i="5" s="1"/>
  <c r="P1778" i="5"/>
  <c r="AE1778" i="5" s="1"/>
  <c r="AF1778" i="5" s="1"/>
  <c r="O1778" i="5"/>
  <c r="N1778" i="5"/>
  <c r="AC1777" i="5"/>
  <c r="AD1777" i="5" s="1"/>
  <c r="AA1777" i="5"/>
  <c r="AB1777" i="5" s="1"/>
  <c r="Y1777" i="5"/>
  <c r="Z1777" i="5" s="1"/>
  <c r="W1777" i="5"/>
  <c r="X1777" i="5" s="1"/>
  <c r="Q1777" i="5"/>
  <c r="R1777" i="5" s="1"/>
  <c r="S1777" i="5" s="1"/>
  <c r="T1777" i="5" s="1"/>
  <c r="U1777" i="5" s="1"/>
  <c r="V1777" i="5" s="1"/>
  <c r="P1777" i="5"/>
  <c r="AE1777" i="5" s="1"/>
  <c r="AF1777" i="5" s="1"/>
  <c r="O1777" i="5"/>
  <c r="N1777" i="5"/>
  <c r="AC1776" i="5"/>
  <c r="AD1776" i="5" s="1"/>
  <c r="AA1776" i="5"/>
  <c r="AB1776" i="5" s="1"/>
  <c r="Y1776" i="5"/>
  <c r="Z1776" i="5" s="1"/>
  <c r="W1776" i="5"/>
  <c r="X1776" i="5" s="1"/>
  <c r="Q1776" i="5"/>
  <c r="R1776" i="5" s="1"/>
  <c r="S1776" i="5" s="1"/>
  <c r="T1776" i="5" s="1"/>
  <c r="U1776" i="5" s="1"/>
  <c r="V1776" i="5" s="1"/>
  <c r="P1776" i="5"/>
  <c r="AE1776" i="5" s="1"/>
  <c r="AF1776" i="5" s="1"/>
  <c r="O1776" i="5"/>
  <c r="N1776" i="5"/>
  <c r="AC1775" i="5"/>
  <c r="AD1775" i="5" s="1"/>
  <c r="AA1775" i="5"/>
  <c r="AB1775" i="5" s="1"/>
  <c r="Y1775" i="5"/>
  <c r="Z1775" i="5" s="1"/>
  <c r="W1775" i="5"/>
  <c r="X1775" i="5" s="1"/>
  <c r="Q1775" i="5"/>
  <c r="R1775" i="5" s="1"/>
  <c r="S1775" i="5" s="1"/>
  <c r="T1775" i="5" s="1"/>
  <c r="U1775" i="5" s="1"/>
  <c r="V1775" i="5" s="1"/>
  <c r="P1775" i="5"/>
  <c r="AE1775" i="5" s="1"/>
  <c r="AF1775" i="5" s="1"/>
  <c r="O1775" i="5"/>
  <c r="N1775" i="5"/>
  <c r="AC1774" i="5"/>
  <c r="AD1774" i="5" s="1"/>
  <c r="AA1774" i="5"/>
  <c r="AB1774" i="5" s="1"/>
  <c r="Y1774" i="5"/>
  <c r="Z1774" i="5" s="1"/>
  <c r="W1774" i="5"/>
  <c r="X1774" i="5" s="1"/>
  <c r="Q1774" i="5"/>
  <c r="R1774" i="5" s="1"/>
  <c r="S1774" i="5" s="1"/>
  <c r="T1774" i="5" s="1"/>
  <c r="U1774" i="5" s="1"/>
  <c r="V1774" i="5" s="1"/>
  <c r="P1774" i="5"/>
  <c r="AE1774" i="5" s="1"/>
  <c r="AF1774" i="5" s="1"/>
  <c r="O1774" i="5"/>
  <c r="N1774" i="5"/>
  <c r="AC1773" i="5"/>
  <c r="AD1773" i="5" s="1"/>
  <c r="AA1773" i="5"/>
  <c r="AB1773" i="5" s="1"/>
  <c r="Y1773" i="5"/>
  <c r="Z1773" i="5" s="1"/>
  <c r="W1773" i="5"/>
  <c r="X1773" i="5" s="1"/>
  <c r="Q1773" i="5"/>
  <c r="R1773" i="5" s="1"/>
  <c r="S1773" i="5" s="1"/>
  <c r="T1773" i="5" s="1"/>
  <c r="U1773" i="5" s="1"/>
  <c r="V1773" i="5" s="1"/>
  <c r="P1773" i="5"/>
  <c r="AE1773" i="5" s="1"/>
  <c r="AF1773" i="5" s="1"/>
  <c r="O1773" i="5"/>
  <c r="N1773" i="5"/>
  <c r="AC1772" i="5"/>
  <c r="AD1772" i="5" s="1"/>
  <c r="AA1772" i="5"/>
  <c r="AB1772" i="5" s="1"/>
  <c r="Y1772" i="5"/>
  <c r="Z1772" i="5" s="1"/>
  <c r="W1772" i="5"/>
  <c r="X1772" i="5" s="1"/>
  <c r="Q1772" i="5"/>
  <c r="R1772" i="5" s="1"/>
  <c r="S1772" i="5" s="1"/>
  <c r="T1772" i="5" s="1"/>
  <c r="U1772" i="5" s="1"/>
  <c r="V1772" i="5" s="1"/>
  <c r="P1772" i="5"/>
  <c r="AE1772" i="5" s="1"/>
  <c r="AF1772" i="5" s="1"/>
  <c r="O1772" i="5"/>
  <c r="N1772" i="5"/>
  <c r="AC1771" i="5"/>
  <c r="AD1771" i="5" s="1"/>
  <c r="AA1771" i="5"/>
  <c r="AB1771" i="5" s="1"/>
  <c r="Y1771" i="5"/>
  <c r="Z1771" i="5" s="1"/>
  <c r="W1771" i="5"/>
  <c r="X1771" i="5" s="1"/>
  <c r="Q1771" i="5"/>
  <c r="R1771" i="5" s="1"/>
  <c r="S1771" i="5" s="1"/>
  <c r="T1771" i="5" s="1"/>
  <c r="U1771" i="5" s="1"/>
  <c r="V1771" i="5" s="1"/>
  <c r="P1771" i="5"/>
  <c r="AE1771" i="5" s="1"/>
  <c r="AF1771" i="5" s="1"/>
  <c r="O1771" i="5"/>
  <c r="N1771" i="5"/>
  <c r="AC1770" i="5"/>
  <c r="AD1770" i="5" s="1"/>
  <c r="AA1770" i="5"/>
  <c r="AB1770" i="5" s="1"/>
  <c r="Y1770" i="5"/>
  <c r="Z1770" i="5" s="1"/>
  <c r="W1770" i="5"/>
  <c r="X1770" i="5" s="1"/>
  <c r="Q1770" i="5"/>
  <c r="R1770" i="5" s="1"/>
  <c r="S1770" i="5" s="1"/>
  <c r="T1770" i="5" s="1"/>
  <c r="U1770" i="5" s="1"/>
  <c r="V1770" i="5" s="1"/>
  <c r="P1770" i="5"/>
  <c r="AE1770" i="5" s="1"/>
  <c r="AF1770" i="5" s="1"/>
  <c r="O1770" i="5"/>
  <c r="N1770" i="5"/>
  <c r="AC1769" i="5"/>
  <c r="AD1769" i="5" s="1"/>
  <c r="AA1769" i="5"/>
  <c r="AB1769" i="5" s="1"/>
  <c r="Y1769" i="5"/>
  <c r="Z1769" i="5" s="1"/>
  <c r="W1769" i="5"/>
  <c r="X1769" i="5" s="1"/>
  <c r="Q1769" i="5"/>
  <c r="R1769" i="5" s="1"/>
  <c r="S1769" i="5" s="1"/>
  <c r="T1769" i="5" s="1"/>
  <c r="U1769" i="5" s="1"/>
  <c r="V1769" i="5" s="1"/>
  <c r="P1769" i="5"/>
  <c r="AE1769" i="5" s="1"/>
  <c r="AF1769" i="5" s="1"/>
  <c r="O1769" i="5"/>
  <c r="N1769" i="5"/>
  <c r="AC1768" i="5"/>
  <c r="AD1768" i="5" s="1"/>
  <c r="AA1768" i="5"/>
  <c r="AB1768" i="5" s="1"/>
  <c r="Y1768" i="5"/>
  <c r="Z1768" i="5" s="1"/>
  <c r="W1768" i="5"/>
  <c r="X1768" i="5" s="1"/>
  <c r="Q1768" i="5"/>
  <c r="R1768" i="5" s="1"/>
  <c r="S1768" i="5" s="1"/>
  <c r="T1768" i="5" s="1"/>
  <c r="U1768" i="5" s="1"/>
  <c r="V1768" i="5" s="1"/>
  <c r="P1768" i="5"/>
  <c r="AE1768" i="5" s="1"/>
  <c r="AF1768" i="5" s="1"/>
  <c r="O1768" i="5"/>
  <c r="N1768" i="5"/>
  <c r="AC1767" i="5"/>
  <c r="AD1767" i="5" s="1"/>
  <c r="AA1767" i="5"/>
  <c r="AB1767" i="5" s="1"/>
  <c r="Y1767" i="5"/>
  <c r="Z1767" i="5" s="1"/>
  <c r="W1767" i="5"/>
  <c r="X1767" i="5" s="1"/>
  <c r="Q1767" i="5"/>
  <c r="R1767" i="5" s="1"/>
  <c r="S1767" i="5" s="1"/>
  <c r="T1767" i="5" s="1"/>
  <c r="U1767" i="5" s="1"/>
  <c r="V1767" i="5" s="1"/>
  <c r="P1767" i="5"/>
  <c r="AE1767" i="5" s="1"/>
  <c r="AF1767" i="5" s="1"/>
  <c r="O1767" i="5"/>
  <c r="N1767" i="5"/>
  <c r="AC1766" i="5"/>
  <c r="AD1766" i="5" s="1"/>
  <c r="AA1766" i="5"/>
  <c r="AB1766" i="5" s="1"/>
  <c r="Y1766" i="5"/>
  <c r="Z1766" i="5" s="1"/>
  <c r="W1766" i="5"/>
  <c r="X1766" i="5" s="1"/>
  <c r="Q1766" i="5"/>
  <c r="R1766" i="5" s="1"/>
  <c r="S1766" i="5" s="1"/>
  <c r="T1766" i="5" s="1"/>
  <c r="U1766" i="5" s="1"/>
  <c r="V1766" i="5" s="1"/>
  <c r="P1766" i="5"/>
  <c r="AE1766" i="5" s="1"/>
  <c r="AF1766" i="5" s="1"/>
  <c r="O1766" i="5"/>
  <c r="N1766" i="5"/>
  <c r="AC1765" i="5"/>
  <c r="AD1765" i="5" s="1"/>
  <c r="AA1765" i="5"/>
  <c r="AB1765" i="5" s="1"/>
  <c r="Y1765" i="5"/>
  <c r="Z1765" i="5" s="1"/>
  <c r="W1765" i="5"/>
  <c r="X1765" i="5" s="1"/>
  <c r="Q1765" i="5"/>
  <c r="R1765" i="5" s="1"/>
  <c r="S1765" i="5" s="1"/>
  <c r="T1765" i="5" s="1"/>
  <c r="U1765" i="5" s="1"/>
  <c r="V1765" i="5" s="1"/>
  <c r="P1765" i="5"/>
  <c r="AE1765" i="5" s="1"/>
  <c r="AF1765" i="5" s="1"/>
  <c r="O1765" i="5"/>
  <c r="N1765" i="5"/>
  <c r="AC1764" i="5"/>
  <c r="AD1764" i="5" s="1"/>
  <c r="AA1764" i="5"/>
  <c r="AB1764" i="5" s="1"/>
  <c r="Y1764" i="5"/>
  <c r="Z1764" i="5" s="1"/>
  <c r="W1764" i="5"/>
  <c r="X1764" i="5" s="1"/>
  <c r="Q1764" i="5"/>
  <c r="R1764" i="5" s="1"/>
  <c r="S1764" i="5" s="1"/>
  <c r="T1764" i="5" s="1"/>
  <c r="U1764" i="5" s="1"/>
  <c r="V1764" i="5" s="1"/>
  <c r="P1764" i="5"/>
  <c r="AE1764" i="5" s="1"/>
  <c r="AF1764" i="5" s="1"/>
  <c r="O1764" i="5"/>
  <c r="N1764" i="5"/>
  <c r="AC1763" i="5"/>
  <c r="AD1763" i="5" s="1"/>
  <c r="AA1763" i="5"/>
  <c r="AB1763" i="5" s="1"/>
  <c r="Y1763" i="5"/>
  <c r="Z1763" i="5" s="1"/>
  <c r="W1763" i="5"/>
  <c r="X1763" i="5" s="1"/>
  <c r="Q1763" i="5"/>
  <c r="R1763" i="5" s="1"/>
  <c r="S1763" i="5" s="1"/>
  <c r="T1763" i="5" s="1"/>
  <c r="U1763" i="5" s="1"/>
  <c r="V1763" i="5" s="1"/>
  <c r="P1763" i="5"/>
  <c r="AE1763" i="5" s="1"/>
  <c r="AF1763" i="5" s="1"/>
  <c r="O1763" i="5"/>
  <c r="N1763" i="5"/>
  <c r="AC1762" i="5"/>
  <c r="AD1762" i="5" s="1"/>
  <c r="AA1762" i="5"/>
  <c r="AB1762" i="5" s="1"/>
  <c r="Y1762" i="5"/>
  <c r="Z1762" i="5" s="1"/>
  <c r="W1762" i="5"/>
  <c r="X1762" i="5" s="1"/>
  <c r="Q1762" i="5"/>
  <c r="R1762" i="5" s="1"/>
  <c r="S1762" i="5" s="1"/>
  <c r="T1762" i="5" s="1"/>
  <c r="U1762" i="5" s="1"/>
  <c r="V1762" i="5" s="1"/>
  <c r="P1762" i="5"/>
  <c r="AE1762" i="5" s="1"/>
  <c r="AF1762" i="5" s="1"/>
  <c r="O1762" i="5"/>
  <c r="N1762" i="5"/>
  <c r="AC1761" i="5"/>
  <c r="AD1761" i="5" s="1"/>
  <c r="AA1761" i="5"/>
  <c r="AB1761" i="5" s="1"/>
  <c r="Y1761" i="5"/>
  <c r="Z1761" i="5" s="1"/>
  <c r="W1761" i="5"/>
  <c r="X1761" i="5" s="1"/>
  <c r="Q1761" i="5"/>
  <c r="R1761" i="5" s="1"/>
  <c r="S1761" i="5" s="1"/>
  <c r="T1761" i="5" s="1"/>
  <c r="U1761" i="5" s="1"/>
  <c r="V1761" i="5" s="1"/>
  <c r="P1761" i="5"/>
  <c r="AE1761" i="5" s="1"/>
  <c r="AF1761" i="5" s="1"/>
  <c r="O1761" i="5"/>
  <c r="N1761" i="5"/>
  <c r="AC1760" i="5"/>
  <c r="AD1760" i="5" s="1"/>
  <c r="AA1760" i="5"/>
  <c r="AB1760" i="5" s="1"/>
  <c r="Y1760" i="5"/>
  <c r="Z1760" i="5" s="1"/>
  <c r="W1760" i="5"/>
  <c r="X1760" i="5" s="1"/>
  <c r="Q1760" i="5"/>
  <c r="R1760" i="5" s="1"/>
  <c r="S1760" i="5" s="1"/>
  <c r="T1760" i="5" s="1"/>
  <c r="U1760" i="5" s="1"/>
  <c r="V1760" i="5" s="1"/>
  <c r="P1760" i="5"/>
  <c r="AE1760" i="5" s="1"/>
  <c r="AF1760" i="5" s="1"/>
  <c r="O1760" i="5"/>
  <c r="N1760" i="5"/>
  <c r="AC1759" i="5"/>
  <c r="AD1759" i="5" s="1"/>
  <c r="AA1759" i="5"/>
  <c r="AB1759" i="5" s="1"/>
  <c r="Y1759" i="5"/>
  <c r="Z1759" i="5" s="1"/>
  <c r="W1759" i="5"/>
  <c r="X1759" i="5" s="1"/>
  <c r="Q1759" i="5"/>
  <c r="R1759" i="5" s="1"/>
  <c r="S1759" i="5" s="1"/>
  <c r="T1759" i="5" s="1"/>
  <c r="U1759" i="5" s="1"/>
  <c r="V1759" i="5" s="1"/>
  <c r="P1759" i="5"/>
  <c r="AE1759" i="5" s="1"/>
  <c r="AF1759" i="5" s="1"/>
  <c r="O1759" i="5"/>
  <c r="N1759" i="5"/>
  <c r="AC1758" i="5"/>
  <c r="AD1758" i="5" s="1"/>
  <c r="AA1758" i="5"/>
  <c r="AB1758" i="5" s="1"/>
  <c r="Y1758" i="5"/>
  <c r="Z1758" i="5" s="1"/>
  <c r="W1758" i="5"/>
  <c r="X1758" i="5" s="1"/>
  <c r="Q1758" i="5"/>
  <c r="R1758" i="5" s="1"/>
  <c r="S1758" i="5" s="1"/>
  <c r="T1758" i="5" s="1"/>
  <c r="U1758" i="5" s="1"/>
  <c r="V1758" i="5" s="1"/>
  <c r="P1758" i="5"/>
  <c r="AE1758" i="5" s="1"/>
  <c r="AF1758" i="5" s="1"/>
  <c r="O1758" i="5"/>
  <c r="N1758" i="5"/>
  <c r="AC1757" i="5"/>
  <c r="AD1757" i="5" s="1"/>
  <c r="AA1757" i="5"/>
  <c r="AB1757" i="5" s="1"/>
  <c r="Y1757" i="5"/>
  <c r="Z1757" i="5" s="1"/>
  <c r="W1757" i="5"/>
  <c r="X1757" i="5" s="1"/>
  <c r="Q1757" i="5"/>
  <c r="R1757" i="5" s="1"/>
  <c r="S1757" i="5" s="1"/>
  <c r="T1757" i="5" s="1"/>
  <c r="U1757" i="5" s="1"/>
  <c r="V1757" i="5" s="1"/>
  <c r="P1757" i="5"/>
  <c r="AE1757" i="5" s="1"/>
  <c r="AF1757" i="5" s="1"/>
  <c r="O1757" i="5"/>
  <c r="N1757" i="5"/>
  <c r="AC1756" i="5"/>
  <c r="AD1756" i="5" s="1"/>
  <c r="AA1756" i="5"/>
  <c r="AB1756" i="5" s="1"/>
  <c r="Y1756" i="5"/>
  <c r="Z1756" i="5" s="1"/>
  <c r="W1756" i="5"/>
  <c r="X1756" i="5" s="1"/>
  <c r="Q1756" i="5"/>
  <c r="R1756" i="5" s="1"/>
  <c r="S1756" i="5" s="1"/>
  <c r="T1756" i="5" s="1"/>
  <c r="U1756" i="5" s="1"/>
  <c r="V1756" i="5" s="1"/>
  <c r="P1756" i="5"/>
  <c r="AE1756" i="5" s="1"/>
  <c r="AF1756" i="5" s="1"/>
  <c r="O1756" i="5"/>
  <c r="N1756" i="5"/>
  <c r="AC1755" i="5"/>
  <c r="AD1755" i="5" s="1"/>
  <c r="AA1755" i="5"/>
  <c r="AB1755" i="5" s="1"/>
  <c r="Y1755" i="5"/>
  <c r="Z1755" i="5" s="1"/>
  <c r="W1755" i="5"/>
  <c r="X1755" i="5" s="1"/>
  <c r="Q1755" i="5"/>
  <c r="R1755" i="5" s="1"/>
  <c r="S1755" i="5" s="1"/>
  <c r="T1755" i="5" s="1"/>
  <c r="U1755" i="5" s="1"/>
  <c r="V1755" i="5" s="1"/>
  <c r="P1755" i="5"/>
  <c r="AE1755" i="5" s="1"/>
  <c r="AF1755" i="5" s="1"/>
  <c r="O1755" i="5"/>
  <c r="N1755" i="5"/>
  <c r="AC1754" i="5"/>
  <c r="AD1754" i="5" s="1"/>
  <c r="AA1754" i="5"/>
  <c r="AB1754" i="5" s="1"/>
  <c r="Y1754" i="5"/>
  <c r="Z1754" i="5" s="1"/>
  <c r="W1754" i="5"/>
  <c r="X1754" i="5" s="1"/>
  <c r="Q1754" i="5"/>
  <c r="R1754" i="5" s="1"/>
  <c r="S1754" i="5" s="1"/>
  <c r="T1754" i="5" s="1"/>
  <c r="U1754" i="5" s="1"/>
  <c r="V1754" i="5" s="1"/>
  <c r="P1754" i="5"/>
  <c r="AE1754" i="5" s="1"/>
  <c r="AF1754" i="5" s="1"/>
  <c r="O1754" i="5"/>
  <c r="N1754" i="5"/>
  <c r="AC1753" i="5"/>
  <c r="AD1753" i="5" s="1"/>
  <c r="AA1753" i="5"/>
  <c r="AB1753" i="5" s="1"/>
  <c r="Y1753" i="5"/>
  <c r="Z1753" i="5" s="1"/>
  <c r="W1753" i="5"/>
  <c r="X1753" i="5" s="1"/>
  <c r="Q1753" i="5"/>
  <c r="R1753" i="5" s="1"/>
  <c r="S1753" i="5" s="1"/>
  <c r="T1753" i="5" s="1"/>
  <c r="U1753" i="5" s="1"/>
  <c r="V1753" i="5" s="1"/>
  <c r="P1753" i="5"/>
  <c r="AE1753" i="5" s="1"/>
  <c r="AF1753" i="5" s="1"/>
  <c r="O1753" i="5"/>
  <c r="N1753" i="5"/>
  <c r="AC1752" i="5"/>
  <c r="AD1752" i="5" s="1"/>
  <c r="AA1752" i="5"/>
  <c r="AB1752" i="5" s="1"/>
  <c r="Y1752" i="5"/>
  <c r="Z1752" i="5" s="1"/>
  <c r="W1752" i="5"/>
  <c r="X1752" i="5" s="1"/>
  <c r="Q1752" i="5"/>
  <c r="R1752" i="5" s="1"/>
  <c r="S1752" i="5" s="1"/>
  <c r="T1752" i="5" s="1"/>
  <c r="U1752" i="5" s="1"/>
  <c r="V1752" i="5" s="1"/>
  <c r="P1752" i="5"/>
  <c r="AE1752" i="5" s="1"/>
  <c r="AF1752" i="5" s="1"/>
  <c r="O1752" i="5"/>
  <c r="N1752" i="5"/>
  <c r="AC1751" i="5"/>
  <c r="AD1751" i="5" s="1"/>
  <c r="AA1751" i="5"/>
  <c r="AB1751" i="5" s="1"/>
  <c r="Y1751" i="5"/>
  <c r="Z1751" i="5" s="1"/>
  <c r="W1751" i="5"/>
  <c r="X1751" i="5" s="1"/>
  <c r="Q1751" i="5"/>
  <c r="R1751" i="5" s="1"/>
  <c r="S1751" i="5" s="1"/>
  <c r="T1751" i="5" s="1"/>
  <c r="U1751" i="5" s="1"/>
  <c r="V1751" i="5" s="1"/>
  <c r="P1751" i="5"/>
  <c r="AE1751" i="5" s="1"/>
  <c r="AF1751" i="5" s="1"/>
  <c r="O1751" i="5"/>
  <c r="N1751" i="5"/>
  <c r="AC1750" i="5"/>
  <c r="AD1750" i="5" s="1"/>
  <c r="AA1750" i="5"/>
  <c r="AB1750" i="5" s="1"/>
  <c r="Y1750" i="5"/>
  <c r="Z1750" i="5" s="1"/>
  <c r="W1750" i="5"/>
  <c r="X1750" i="5" s="1"/>
  <c r="Q1750" i="5"/>
  <c r="R1750" i="5" s="1"/>
  <c r="S1750" i="5" s="1"/>
  <c r="T1750" i="5" s="1"/>
  <c r="U1750" i="5" s="1"/>
  <c r="V1750" i="5" s="1"/>
  <c r="P1750" i="5"/>
  <c r="AE1750" i="5" s="1"/>
  <c r="AF1750" i="5" s="1"/>
  <c r="O1750" i="5"/>
  <c r="N1750" i="5"/>
  <c r="AC1749" i="5"/>
  <c r="AD1749" i="5" s="1"/>
  <c r="AA1749" i="5"/>
  <c r="AB1749" i="5" s="1"/>
  <c r="Y1749" i="5"/>
  <c r="Z1749" i="5" s="1"/>
  <c r="W1749" i="5"/>
  <c r="X1749" i="5" s="1"/>
  <c r="Q1749" i="5"/>
  <c r="R1749" i="5" s="1"/>
  <c r="S1749" i="5" s="1"/>
  <c r="T1749" i="5" s="1"/>
  <c r="U1749" i="5" s="1"/>
  <c r="V1749" i="5" s="1"/>
  <c r="P1749" i="5"/>
  <c r="AE1749" i="5" s="1"/>
  <c r="AF1749" i="5" s="1"/>
  <c r="O1749" i="5"/>
  <c r="N1749" i="5"/>
  <c r="AC1748" i="5"/>
  <c r="AD1748" i="5" s="1"/>
  <c r="AA1748" i="5"/>
  <c r="AB1748" i="5" s="1"/>
  <c r="Y1748" i="5"/>
  <c r="Z1748" i="5" s="1"/>
  <c r="W1748" i="5"/>
  <c r="X1748" i="5" s="1"/>
  <c r="Q1748" i="5"/>
  <c r="R1748" i="5" s="1"/>
  <c r="S1748" i="5" s="1"/>
  <c r="T1748" i="5" s="1"/>
  <c r="U1748" i="5" s="1"/>
  <c r="V1748" i="5" s="1"/>
  <c r="P1748" i="5"/>
  <c r="AE1748" i="5" s="1"/>
  <c r="AF1748" i="5" s="1"/>
  <c r="O1748" i="5"/>
  <c r="N1748" i="5"/>
  <c r="AC1747" i="5"/>
  <c r="AD1747" i="5" s="1"/>
  <c r="AA1747" i="5"/>
  <c r="AB1747" i="5" s="1"/>
  <c r="Y1747" i="5"/>
  <c r="Z1747" i="5" s="1"/>
  <c r="W1747" i="5"/>
  <c r="X1747" i="5" s="1"/>
  <c r="Q1747" i="5"/>
  <c r="R1747" i="5" s="1"/>
  <c r="S1747" i="5" s="1"/>
  <c r="T1747" i="5" s="1"/>
  <c r="U1747" i="5" s="1"/>
  <c r="V1747" i="5" s="1"/>
  <c r="P1747" i="5"/>
  <c r="AE1747" i="5" s="1"/>
  <c r="AF1747" i="5" s="1"/>
  <c r="O1747" i="5"/>
  <c r="N1747" i="5"/>
  <c r="AC1746" i="5"/>
  <c r="AD1746" i="5" s="1"/>
  <c r="AA1746" i="5"/>
  <c r="AB1746" i="5" s="1"/>
  <c r="Y1746" i="5"/>
  <c r="Z1746" i="5" s="1"/>
  <c r="W1746" i="5"/>
  <c r="X1746" i="5" s="1"/>
  <c r="Q1746" i="5"/>
  <c r="R1746" i="5" s="1"/>
  <c r="S1746" i="5" s="1"/>
  <c r="T1746" i="5" s="1"/>
  <c r="U1746" i="5" s="1"/>
  <c r="V1746" i="5" s="1"/>
  <c r="P1746" i="5"/>
  <c r="AE1746" i="5" s="1"/>
  <c r="AF1746" i="5" s="1"/>
  <c r="O1746" i="5"/>
  <c r="N1746" i="5"/>
  <c r="AC1745" i="5"/>
  <c r="AD1745" i="5" s="1"/>
  <c r="AA1745" i="5"/>
  <c r="AB1745" i="5" s="1"/>
  <c r="Y1745" i="5"/>
  <c r="Z1745" i="5" s="1"/>
  <c r="W1745" i="5"/>
  <c r="X1745" i="5" s="1"/>
  <c r="Q1745" i="5"/>
  <c r="R1745" i="5" s="1"/>
  <c r="S1745" i="5" s="1"/>
  <c r="T1745" i="5" s="1"/>
  <c r="U1745" i="5" s="1"/>
  <c r="V1745" i="5" s="1"/>
  <c r="P1745" i="5"/>
  <c r="AE1745" i="5" s="1"/>
  <c r="AF1745" i="5" s="1"/>
  <c r="O1745" i="5"/>
  <c r="N1745" i="5"/>
  <c r="AC1744" i="5"/>
  <c r="AD1744" i="5" s="1"/>
  <c r="AA1744" i="5"/>
  <c r="AB1744" i="5" s="1"/>
  <c r="Y1744" i="5"/>
  <c r="Z1744" i="5" s="1"/>
  <c r="W1744" i="5"/>
  <c r="X1744" i="5" s="1"/>
  <c r="Q1744" i="5"/>
  <c r="R1744" i="5" s="1"/>
  <c r="S1744" i="5" s="1"/>
  <c r="T1744" i="5" s="1"/>
  <c r="U1744" i="5" s="1"/>
  <c r="V1744" i="5" s="1"/>
  <c r="P1744" i="5"/>
  <c r="AE1744" i="5" s="1"/>
  <c r="AF1744" i="5" s="1"/>
  <c r="O1744" i="5"/>
  <c r="N1744" i="5"/>
  <c r="AC1743" i="5"/>
  <c r="AD1743" i="5" s="1"/>
  <c r="AA1743" i="5"/>
  <c r="AB1743" i="5" s="1"/>
  <c r="Y1743" i="5"/>
  <c r="Z1743" i="5" s="1"/>
  <c r="W1743" i="5"/>
  <c r="X1743" i="5" s="1"/>
  <c r="Q1743" i="5"/>
  <c r="R1743" i="5" s="1"/>
  <c r="S1743" i="5" s="1"/>
  <c r="T1743" i="5" s="1"/>
  <c r="U1743" i="5" s="1"/>
  <c r="V1743" i="5" s="1"/>
  <c r="P1743" i="5"/>
  <c r="AE1743" i="5" s="1"/>
  <c r="AF1743" i="5" s="1"/>
  <c r="O1743" i="5"/>
  <c r="N1743" i="5"/>
  <c r="AC1742" i="5"/>
  <c r="AD1742" i="5" s="1"/>
  <c r="AA1742" i="5"/>
  <c r="AB1742" i="5" s="1"/>
  <c r="Y1742" i="5"/>
  <c r="Z1742" i="5" s="1"/>
  <c r="W1742" i="5"/>
  <c r="X1742" i="5" s="1"/>
  <c r="Q1742" i="5"/>
  <c r="R1742" i="5" s="1"/>
  <c r="S1742" i="5" s="1"/>
  <c r="T1742" i="5" s="1"/>
  <c r="U1742" i="5" s="1"/>
  <c r="V1742" i="5" s="1"/>
  <c r="P1742" i="5"/>
  <c r="AE1742" i="5" s="1"/>
  <c r="AF1742" i="5" s="1"/>
  <c r="O1742" i="5"/>
  <c r="N1742" i="5"/>
  <c r="AC1741" i="5"/>
  <c r="AD1741" i="5" s="1"/>
  <c r="AA1741" i="5"/>
  <c r="AB1741" i="5" s="1"/>
  <c r="Y1741" i="5"/>
  <c r="Z1741" i="5" s="1"/>
  <c r="W1741" i="5"/>
  <c r="X1741" i="5" s="1"/>
  <c r="Q1741" i="5"/>
  <c r="R1741" i="5" s="1"/>
  <c r="S1741" i="5" s="1"/>
  <c r="T1741" i="5" s="1"/>
  <c r="U1741" i="5" s="1"/>
  <c r="V1741" i="5" s="1"/>
  <c r="P1741" i="5"/>
  <c r="AE1741" i="5" s="1"/>
  <c r="AF1741" i="5" s="1"/>
  <c r="O1741" i="5"/>
  <c r="N1741" i="5"/>
  <c r="AC1740" i="5"/>
  <c r="AD1740" i="5" s="1"/>
  <c r="AA1740" i="5"/>
  <c r="AB1740" i="5" s="1"/>
  <c r="Y1740" i="5"/>
  <c r="Z1740" i="5" s="1"/>
  <c r="W1740" i="5"/>
  <c r="X1740" i="5" s="1"/>
  <c r="Q1740" i="5"/>
  <c r="R1740" i="5" s="1"/>
  <c r="S1740" i="5" s="1"/>
  <c r="T1740" i="5" s="1"/>
  <c r="U1740" i="5" s="1"/>
  <c r="V1740" i="5" s="1"/>
  <c r="P1740" i="5"/>
  <c r="AE1740" i="5" s="1"/>
  <c r="AF1740" i="5" s="1"/>
  <c r="O1740" i="5"/>
  <c r="N1740" i="5"/>
  <c r="AC1739" i="5"/>
  <c r="AD1739" i="5" s="1"/>
  <c r="AA1739" i="5"/>
  <c r="AB1739" i="5" s="1"/>
  <c r="Y1739" i="5"/>
  <c r="Z1739" i="5" s="1"/>
  <c r="W1739" i="5"/>
  <c r="X1739" i="5" s="1"/>
  <c r="Q1739" i="5"/>
  <c r="R1739" i="5" s="1"/>
  <c r="S1739" i="5" s="1"/>
  <c r="T1739" i="5" s="1"/>
  <c r="U1739" i="5" s="1"/>
  <c r="V1739" i="5" s="1"/>
  <c r="P1739" i="5"/>
  <c r="AE1739" i="5" s="1"/>
  <c r="AF1739" i="5" s="1"/>
  <c r="O1739" i="5"/>
  <c r="N1739" i="5"/>
  <c r="AC1738" i="5"/>
  <c r="AD1738" i="5" s="1"/>
  <c r="AA1738" i="5"/>
  <c r="AB1738" i="5" s="1"/>
  <c r="Y1738" i="5"/>
  <c r="Z1738" i="5" s="1"/>
  <c r="W1738" i="5"/>
  <c r="X1738" i="5" s="1"/>
  <c r="Q1738" i="5"/>
  <c r="R1738" i="5" s="1"/>
  <c r="S1738" i="5" s="1"/>
  <c r="T1738" i="5" s="1"/>
  <c r="U1738" i="5" s="1"/>
  <c r="V1738" i="5" s="1"/>
  <c r="P1738" i="5"/>
  <c r="AE1738" i="5" s="1"/>
  <c r="AF1738" i="5" s="1"/>
  <c r="O1738" i="5"/>
  <c r="N1738" i="5"/>
  <c r="AC1737" i="5"/>
  <c r="AD1737" i="5" s="1"/>
  <c r="AA1737" i="5"/>
  <c r="AB1737" i="5" s="1"/>
  <c r="Y1737" i="5"/>
  <c r="Z1737" i="5" s="1"/>
  <c r="W1737" i="5"/>
  <c r="X1737" i="5" s="1"/>
  <c r="Q1737" i="5"/>
  <c r="R1737" i="5" s="1"/>
  <c r="S1737" i="5" s="1"/>
  <c r="T1737" i="5" s="1"/>
  <c r="U1737" i="5" s="1"/>
  <c r="V1737" i="5" s="1"/>
  <c r="P1737" i="5"/>
  <c r="AE1737" i="5" s="1"/>
  <c r="AF1737" i="5" s="1"/>
  <c r="O1737" i="5"/>
  <c r="N1737" i="5"/>
  <c r="AC1736" i="5"/>
  <c r="AD1736" i="5" s="1"/>
  <c r="AA1736" i="5"/>
  <c r="AB1736" i="5" s="1"/>
  <c r="Y1736" i="5"/>
  <c r="Z1736" i="5" s="1"/>
  <c r="W1736" i="5"/>
  <c r="X1736" i="5" s="1"/>
  <c r="Q1736" i="5"/>
  <c r="R1736" i="5" s="1"/>
  <c r="S1736" i="5" s="1"/>
  <c r="T1736" i="5" s="1"/>
  <c r="U1736" i="5" s="1"/>
  <c r="V1736" i="5" s="1"/>
  <c r="P1736" i="5"/>
  <c r="AE1736" i="5" s="1"/>
  <c r="AF1736" i="5" s="1"/>
  <c r="O1736" i="5"/>
  <c r="N1736" i="5"/>
  <c r="AC1735" i="5"/>
  <c r="AD1735" i="5" s="1"/>
  <c r="AA1735" i="5"/>
  <c r="AB1735" i="5" s="1"/>
  <c r="Y1735" i="5"/>
  <c r="Z1735" i="5" s="1"/>
  <c r="W1735" i="5"/>
  <c r="X1735" i="5" s="1"/>
  <c r="Q1735" i="5"/>
  <c r="R1735" i="5" s="1"/>
  <c r="S1735" i="5" s="1"/>
  <c r="T1735" i="5" s="1"/>
  <c r="U1735" i="5" s="1"/>
  <c r="V1735" i="5" s="1"/>
  <c r="P1735" i="5"/>
  <c r="AE1735" i="5" s="1"/>
  <c r="AF1735" i="5" s="1"/>
  <c r="O1735" i="5"/>
  <c r="N1735" i="5"/>
  <c r="AC1734" i="5"/>
  <c r="AD1734" i="5" s="1"/>
  <c r="AA1734" i="5"/>
  <c r="AB1734" i="5" s="1"/>
  <c r="Y1734" i="5"/>
  <c r="Z1734" i="5" s="1"/>
  <c r="W1734" i="5"/>
  <c r="X1734" i="5" s="1"/>
  <c r="Q1734" i="5"/>
  <c r="R1734" i="5" s="1"/>
  <c r="S1734" i="5" s="1"/>
  <c r="T1734" i="5" s="1"/>
  <c r="U1734" i="5" s="1"/>
  <c r="V1734" i="5" s="1"/>
  <c r="P1734" i="5"/>
  <c r="AE1734" i="5" s="1"/>
  <c r="AF1734" i="5" s="1"/>
  <c r="O1734" i="5"/>
  <c r="N1734" i="5"/>
  <c r="AC1733" i="5"/>
  <c r="AD1733" i="5" s="1"/>
  <c r="AA1733" i="5"/>
  <c r="AB1733" i="5" s="1"/>
  <c r="Y1733" i="5"/>
  <c r="Z1733" i="5" s="1"/>
  <c r="W1733" i="5"/>
  <c r="X1733" i="5" s="1"/>
  <c r="Q1733" i="5"/>
  <c r="R1733" i="5" s="1"/>
  <c r="S1733" i="5" s="1"/>
  <c r="T1733" i="5" s="1"/>
  <c r="U1733" i="5" s="1"/>
  <c r="V1733" i="5" s="1"/>
  <c r="P1733" i="5"/>
  <c r="AE1733" i="5" s="1"/>
  <c r="AF1733" i="5" s="1"/>
  <c r="O1733" i="5"/>
  <c r="N1733" i="5"/>
  <c r="AC1732" i="5"/>
  <c r="AD1732" i="5" s="1"/>
  <c r="AA1732" i="5"/>
  <c r="AB1732" i="5" s="1"/>
  <c r="Y1732" i="5"/>
  <c r="Z1732" i="5" s="1"/>
  <c r="W1732" i="5"/>
  <c r="X1732" i="5" s="1"/>
  <c r="Q1732" i="5"/>
  <c r="R1732" i="5" s="1"/>
  <c r="S1732" i="5" s="1"/>
  <c r="T1732" i="5" s="1"/>
  <c r="U1732" i="5" s="1"/>
  <c r="V1732" i="5" s="1"/>
  <c r="P1732" i="5"/>
  <c r="AE1732" i="5" s="1"/>
  <c r="AF1732" i="5" s="1"/>
  <c r="O1732" i="5"/>
  <c r="N1732" i="5"/>
  <c r="AC1731" i="5"/>
  <c r="AD1731" i="5" s="1"/>
  <c r="AA1731" i="5"/>
  <c r="AB1731" i="5" s="1"/>
  <c r="Y1731" i="5"/>
  <c r="Z1731" i="5" s="1"/>
  <c r="W1731" i="5"/>
  <c r="X1731" i="5" s="1"/>
  <c r="Q1731" i="5"/>
  <c r="R1731" i="5" s="1"/>
  <c r="S1731" i="5" s="1"/>
  <c r="T1731" i="5" s="1"/>
  <c r="U1731" i="5" s="1"/>
  <c r="V1731" i="5" s="1"/>
  <c r="P1731" i="5"/>
  <c r="AE1731" i="5" s="1"/>
  <c r="AF1731" i="5" s="1"/>
  <c r="O1731" i="5"/>
  <c r="N1731" i="5"/>
  <c r="AC1730" i="5"/>
  <c r="AD1730" i="5" s="1"/>
  <c r="AA1730" i="5"/>
  <c r="AB1730" i="5" s="1"/>
  <c r="Y1730" i="5"/>
  <c r="Z1730" i="5" s="1"/>
  <c r="W1730" i="5"/>
  <c r="X1730" i="5" s="1"/>
  <c r="Q1730" i="5"/>
  <c r="R1730" i="5" s="1"/>
  <c r="S1730" i="5" s="1"/>
  <c r="T1730" i="5" s="1"/>
  <c r="U1730" i="5" s="1"/>
  <c r="V1730" i="5" s="1"/>
  <c r="P1730" i="5"/>
  <c r="AE1730" i="5" s="1"/>
  <c r="AF1730" i="5" s="1"/>
  <c r="O1730" i="5"/>
  <c r="N1730" i="5"/>
  <c r="AC1729" i="5"/>
  <c r="AD1729" i="5" s="1"/>
  <c r="AA1729" i="5"/>
  <c r="AB1729" i="5" s="1"/>
  <c r="Y1729" i="5"/>
  <c r="Z1729" i="5" s="1"/>
  <c r="W1729" i="5"/>
  <c r="X1729" i="5" s="1"/>
  <c r="Q1729" i="5"/>
  <c r="R1729" i="5" s="1"/>
  <c r="S1729" i="5" s="1"/>
  <c r="T1729" i="5" s="1"/>
  <c r="U1729" i="5" s="1"/>
  <c r="V1729" i="5" s="1"/>
  <c r="P1729" i="5"/>
  <c r="AE1729" i="5" s="1"/>
  <c r="AF1729" i="5" s="1"/>
  <c r="O1729" i="5"/>
  <c r="N1729" i="5"/>
  <c r="AC1728" i="5"/>
  <c r="AD1728" i="5" s="1"/>
  <c r="AA1728" i="5"/>
  <c r="AB1728" i="5" s="1"/>
  <c r="Y1728" i="5"/>
  <c r="Z1728" i="5" s="1"/>
  <c r="W1728" i="5"/>
  <c r="X1728" i="5" s="1"/>
  <c r="Q1728" i="5"/>
  <c r="R1728" i="5" s="1"/>
  <c r="S1728" i="5" s="1"/>
  <c r="T1728" i="5" s="1"/>
  <c r="U1728" i="5" s="1"/>
  <c r="V1728" i="5" s="1"/>
  <c r="P1728" i="5"/>
  <c r="AE1728" i="5" s="1"/>
  <c r="AF1728" i="5" s="1"/>
  <c r="O1728" i="5"/>
  <c r="N1728" i="5"/>
  <c r="AC1727" i="5"/>
  <c r="AD1727" i="5" s="1"/>
  <c r="AA1727" i="5"/>
  <c r="AB1727" i="5" s="1"/>
  <c r="Y1727" i="5"/>
  <c r="Z1727" i="5" s="1"/>
  <c r="W1727" i="5"/>
  <c r="X1727" i="5" s="1"/>
  <c r="Q1727" i="5"/>
  <c r="R1727" i="5" s="1"/>
  <c r="S1727" i="5" s="1"/>
  <c r="T1727" i="5" s="1"/>
  <c r="U1727" i="5" s="1"/>
  <c r="V1727" i="5" s="1"/>
  <c r="P1727" i="5"/>
  <c r="AE1727" i="5" s="1"/>
  <c r="AF1727" i="5" s="1"/>
  <c r="O1727" i="5"/>
  <c r="N1727" i="5"/>
  <c r="AC1726" i="5"/>
  <c r="AD1726" i="5" s="1"/>
  <c r="AA1726" i="5"/>
  <c r="AB1726" i="5" s="1"/>
  <c r="Y1726" i="5"/>
  <c r="Z1726" i="5" s="1"/>
  <c r="W1726" i="5"/>
  <c r="X1726" i="5" s="1"/>
  <c r="Q1726" i="5"/>
  <c r="R1726" i="5" s="1"/>
  <c r="S1726" i="5" s="1"/>
  <c r="T1726" i="5" s="1"/>
  <c r="U1726" i="5" s="1"/>
  <c r="V1726" i="5" s="1"/>
  <c r="P1726" i="5"/>
  <c r="AE1726" i="5" s="1"/>
  <c r="AF1726" i="5" s="1"/>
  <c r="O1726" i="5"/>
  <c r="N1726" i="5"/>
  <c r="AC1725" i="5"/>
  <c r="AD1725" i="5" s="1"/>
  <c r="AA1725" i="5"/>
  <c r="AB1725" i="5" s="1"/>
  <c r="Y1725" i="5"/>
  <c r="Z1725" i="5" s="1"/>
  <c r="W1725" i="5"/>
  <c r="X1725" i="5" s="1"/>
  <c r="Q1725" i="5"/>
  <c r="R1725" i="5" s="1"/>
  <c r="S1725" i="5" s="1"/>
  <c r="T1725" i="5" s="1"/>
  <c r="U1725" i="5" s="1"/>
  <c r="V1725" i="5" s="1"/>
  <c r="P1725" i="5"/>
  <c r="AE1725" i="5" s="1"/>
  <c r="AF1725" i="5" s="1"/>
  <c r="O1725" i="5"/>
  <c r="N1725" i="5"/>
  <c r="AC1724" i="5"/>
  <c r="AD1724" i="5" s="1"/>
  <c r="AA1724" i="5"/>
  <c r="AB1724" i="5" s="1"/>
  <c r="Y1724" i="5"/>
  <c r="Z1724" i="5" s="1"/>
  <c r="W1724" i="5"/>
  <c r="X1724" i="5" s="1"/>
  <c r="Q1724" i="5"/>
  <c r="R1724" i="5" s="1"/>
  <c r="S1724" i="5" s="1"/>
  <c r="T1724" i="5" s="1"/>
  <c r="U1724" i="5" s="1"/>
  <c r="V1724" i="5" s="1"/>
  <c r="P1724" i="5"/>
  <c r="AE1724" i="5" s="1"/>
  <c r="AF1724" i="5" s="1"/>
  <c r="O1724" i="5"/>
  <c r="N1724" i="5"/>
  <c r="AC1723" i="5"/>
  <c r="AD1723" i="5" s="1"/>
  <c r="AA1723" i="5"/>
  <c r="AB1723" i="5" s="1"/>
  <c r="Y1723" i="5"/>
  <c r="Z1723" i="5" s="1"/>
  <c r="W1723" i="5"/>
  <c r="X1723" i="5" s="1"/>
  <c r="Q1723" i="5"/>
  <c r="R1723" i="5" s="1"/>
  <c r="S1723" i="5" s="1"/>
  <c r="T1723" i="5" s="1"/>
  <c r="U1723" i="5" s="1"/>
  <c r="V1723" i="5" s="1"/>
  <c r="P1723" i="5"/>
  <c r="AE1723" i="5" s="1"/>
  <c r="AF1723" i="5" s="1"/>
  <c r="O1723" i="5"/>
  <c r="N1723" i="5"/>
  <c r="AC1722" i="5"/>
  <c r="AD1722" i="5" s="1"/>
  <c r="AA1722" i="5"/>
  <c r="AB1722" i="5" s="1"/>
  <c r="Y1722" i="5"/>
  <c r="Z1722" i="5" s="1"/>
  <c r="W1722" i="5"/>
  <c r="X1722" i="5" s="1"/>
  <c r="Q1722" i="5"/>
  <c r="R1722" i="5" s="1"/>
  <c r="S1722" i="5" s="1"/>
  <c r="T1722" i="5" s="1"/>
  <c r="U1722" i="5" s="1"/>
  <c r="V1722" i="5" s="1"/>
  <c r="P1722" i="5"/>
  <c r="AE1722" i="5" s="1"/>
  <c r="AF1722" i="5" s="1"/>
  <c r="O1722" i="5"/>
  <c r="N1722" i="5"/>
  <c r="AC1721" i="5"/>
  <c r="AD1721" i="5" s="1"/>
  <c r="AA1721" i="5"/>
  <c r="AB1721" i="5" s="1"/>
  <c r="Y1721" i="5"/>
  <c r="Z1721" i="5" s="1"/>
  <c r="W1721" i="5"/>
  <c r="X1721" i="5" s="1"/>
  <c r="Q1721" i="5"/>
  <c r="R1721" i="5" s="1"/>
  <c r="S1721" i="5" s="1"/>
  <c r="T1721" i="5" s="1"/>
  <c r="U1721" i="5" s="1"/>
  <c r="V1721" i="5" s="1"/>
  <c r="P1721" i="5"/>
  <c r="AE1721" i="5" s="1"/>
  <c r="AF1721" i="5" s="1"/>
  <c r="O1721" i="5"/>
  <c r="N1721" i="5"/>
  <c r="AC1720" i="5"/>
  <c r="AD1720" i="5" s="1"/>
  <c r="AA1720" i="5"/>
  <c r="AB1720" i="5" s="1"/>
  <c r="Y1720" i="5"/>
  <c r="Z1720" i="5" s="1"/>
  <c r="W1720" i="5"/>
  <c r="X1720" i="5" s="1"/>
  <c r="Q1720" i="5"/>
  <c r="R1720" i="5" s="1"/>
  <c r="S1720" i="5" s="1"/>
  <c r="T1720" i="5" s="1"/>
  <c r="U1720" i="5" s="1"/>
  <c r="V1720" i="5" s="1"/>
  <c r="P1720" i="5"/>
  <c r="AE1720" i="5" s="1"/>
  <c r="AF1720" i="5" s="1"/>
  <c r="O1720" i="5"/>
  <c r="N1720" i="5"/>
  <c r="AC1719" i="5"/>
  <c r="AD1719" i="5" s="1"/>
  <c r="AA1719" i="5"/>
  <c r="AB1719" i="5" s="1"/>
  <c r="Y1719" i="5"/>
  <c r="Z1719" i="5" s="1"/>
  <c r="W1719" i="5"/>
  <c r="X1719" i="5" s="1"/>
  <c r="Q1719" i="5"/>
  <c r="R1719" i="5" s="1"/>
  <c r="S1719" i="5" s="1"/>
  <c r="T1719" i="5" s="1"/>
  <c r="U1719" i="5" s="1"/>
  <c r="V1719" i="5" s="1"/>
  <c r="P1719" i="5"/>
  <c r="AE1719" i="5" s="1"/>
  <c r="AF1719" i="5" s="1"/>
  <c r="O1719" i="5"/>
  <c r="N1719" i="5"/>
  <c r="AC1718" i="5"/>
  <c r="AD1718" i="5" s="1"/>
  <c r="AA1718" i="5"/>
  <c r="AB1718" i="5" s="1"/>
  <c r="Y1718" i="5"/>
  <c r="Z1718" i="5" s="1"/>
  <c r="W1718" i="5"/>
  <c r="X1718" i="5" s="1"/>
  <c r="Q1718" i="5"/>
  <c r="R1718" i="5" s="1"/>
  <c r="S1718" i="5" s="1"/>
  <c r="T1718" i="5" s="1"/>
  <c r="U1718" i="5" s="1"/>
  <c r="V1718" i="5" s="1"/>
  <c r="P1718" i="5"/>
  <c r="AE1718" i="5" s="1"/>
  <c r="AF1718" i="5" s="1"/>
  <c r="O1718" i="5"/>
  <c r="N1718" i="5"/>
  <c r="AC1717" i="5"/>
  <c r="AD1717" i="5" s="1"/>
  <c r="AA1717" i="5"/>
  <c r="AB1717" i="5" s="1"/>
  <c r="Y1717" i="5"/>
  <c r="Z1717" i="5" s="1"/>
  <c r="W1717" i="5"/>
  <c r="X1717" i="5" s="1"/>
  <c r="Q1717" i="5"/>
  <c r="R1717" i="5" s="1"/>
  <c r="S1717" i="5" s="1"/>
  <c r="T1717" i="5" s="1"/>
  <c r="U1717" i="5" s="1"/>
  <c r="V1717" i="5" s="1"/>
  <c r="P1717" i="5"/>
  <c r="AE1717" i="5" s="1"/>
  <c r="AF1717" i="5" s="1"/>
  <c r="O1717" i="5"/>
  <c r="N1717" i="5"/>
  <c r="AC1716" i="5"/>
  <c r="AD1716" i="5" s="1"/>
  <c r="AA1716" i="5"/>
  <c r="AB1716" i="5" s="1"/>
  <c r="Y1716" i="5"/>
  <c r="Z1716" i="5" s="1"/>
  <c r="W1716" i="5"/>
  <c r="X1716" i="5" s="1"/>
  <c r="Q1716" i="5"/>
  <c r="R1716" i="5" s="1"/>
  <c r="S1716" i="5" s="1"/>
  <c r="T1716" i="5" s="1"/>
  <c r="U1716" i="5" s="1"/>
  <c r="V1716" i="5" s="1"/>
  <c r="P1716" i="5"/>
  <c r="AE1716" i="5" s="1"/>
  <c r="AF1716" i="5" s="1"/>
  <c r="O1716" i="5"/>
  <c r="N1716" i="5"/>
  <c r="AC1715" i="5"/>
  <c r="AD1715" i="5" s="1"/>
  <c r="AA1715" i="5"/>
  <c r="AB1715" i="5" s="1"/>
  <c r="Y1715" i="5"/>
  <c r="Z1715" i="5" s="1"/>
  <c r="W1715" i="5"/>
  <c r="X1715" i="5" s="1"/>
  <c r="Q1715" i="5"/>
  <c r="R1715" i="5" s="1"/>
  <c r="S1715" i="5" s="1"/>
  <c r="T1715" i="5" s="1"/>
  <c r="U1715" i="5" s="1"/>
  <c r="V1715" i="5" s="1"/>
  <c r="P1715" i="5"/>
  <c r="AE1715" i="5" s="1"/>
  <c r="AF1715" i="5" s="1"/>
  <c r="O1715" i="5"/>
  <c r="N1715" i="5"/>
  <c r="AC1714" i="5"/>
  <c r="AD1714" i="5" s="1"/>
  <c r="AA1714" i="5"/>
  <c r="AB1714" i="5" s="1"/>
  <c r="Y1714" i="5"/>
  <c r="Z1714" i="5" s="1"/>
  <c r="W1714" i="5"/>
  <c r="X1714" i="5" s="1"/>
  <c r="Q1714" i="5"/>
  <c r="R1714" i="5" s="1"/>
  <c r="S1714" i="5" s="1"/>
  <c r="T1714" i="5" s="1"/>
  <c r="U1714" i="5" s="1"/>
  <c r="V1714" i="5" s="1"/>
  <c r="P1714" i="5"/>
  <c r="AE1714" i="5" s="1"/>
  <c r="AF1714" i="5" s="1"/>
  <c r="O1714" i="5"/>
  <c r="N1714" i="5"/>
  <c r="AC1713" i="5"/>
  <c r="AD1713" i="5" s="1"/>
  <c r="AA1713" i="5"/>
  <c r="AB1713" i="5" s="1"/>
  <c r="Y1713" i="5"/>
  <c r="Z1713" i="5" s="1"/>
  <c r="W1713" i="5"/>
  <c r="X1713" i="5" s="1"/>
  <c r="Q1713" i="5"/>
  <c r="R1713" i="5" s="1"/>
  <c r="S1713" i="5" s="1"/>
  <c r="T1713" i="5" s="1"/>
  <c r="U1713" i="5" s="1"/>
  <c r="V1713" i="5" s="1"/>
  <c r="P1713" i="5"/>
  <c r="AE1713" i="5" s="1"/>
  <c r="AF1713" i="5" s="1"/>
  <c r="O1713" i="5"/>
  <c r="N1713" i="5"/>
  <c r="AC1712" i="5"/>
  <c r="AD1712" i="5" s="1"/>
  <c r="AA1712" i="5"/>
  <c r="AB1712" i="5" s="1"/>
  <c r="Y1712" i="5"/>
  <c r="Z1712" i="5" s="1"/>
  <c r="W1712" i="5"/>
  <c r="X1712" i="5" s="1"/>
  <c r="Q1712" i="5"/>
  <c r="R1712" i="5" s="1"/>
  <c r="S1712" i="5" s="1"/>
  <c r="T1712" i="5" s="1"/>
  <c r="U1712" i="5" s="1"/>
  <c r="V1712" i="5" s="1"/>
  <c r="P1712" i="5"/>
  <c r="AE1712" i="5" s="1"/>
  <c r="AF1712" i="5" s="1"/>
  <c r="O1712" i="5"/>
  <c r="N1712" i="5"/>
  <c r="AC1711" i="5"/>
  <c r="AD1711" i="5" s="1"/>
  <c r="AA1711" i="5"/>
  <c r="AB1711" i="5" s="1"/>
  <c r="Y1711" i="5"/>
  <c r="Z1711" i="5" s="1"/>
  <c r="W1711" i="5"/>
  <c r="X1711" i="5" s="1"/>
  <c r="Q1711" i="5"/>
  <c r="R1711" i="5" s="1"/>
  <c r="S1711" i="5" s="1"/>
  <c r="T1711" i="5" s="1"/>
  <c r="U1711" i="5" s="1"/>
  <c r="V1711" i="5" s="1"/>
  <c r="P1711" i="5"/>
  <c r="AE1711" i="5" s="1"/>
  <c r="AF1711" i="5" s="1"/>
  <c r="O1711" i="5"/>
  <c r="N1711" i="5"/>
  <c r="AC1710" i="5"/>
  <c r="AD1710" i="5" s="1"/>
  <c r="AA1710" i="5"/>
  <c r="AB1710" i="5" s="1"/>
  <c r="Y1710" i="5"/>
  <c r="Z1710" i="5" s="1"/>
  <c r="W1710" i="5"/>
  <c r="X1710" i="5" s="1"/>
  <c r="Q1710" i="5"/>
  <c r="R1710" i="5" s="1"/>
  <c r="S1710" i="5" s="1"/>
  <c r="T1710" i="5" s="1"/>
  <c r="U1710" i="5" s="1"/>
  <c r="V1710" i="5" s="1"/>
  <c r="P1710" i="5"/>
  <c r="AE1710" i="5" s="1"/>
  <c r="AF1710" i="5" s="1"/>
  <c r="O1710" i="5"/>
  <c r="N1710" i="5"/>
  <c r="AC1709" i="5"/>
  <c r="AD1709" i="5" s="1"/>
  <c r="AA1709" i="5"/>
  <c r="AB1709" i="5" s="1"/>
  <c r="Y1709" i="5"/>
  <c r="Z1709" i="5" s="1"/>
  <c r="W1709" i="5"/>
  <c r="X1709" i="5" s="1"/>
  <c r="Q1709" i="5"/>
  <c r="R1709" i="5" s="1"/>
  <c r="S1709" i="5" s="1"/>
  <c r="T1709" i="5" s="1"/>
  <c r="U1709" i="5" s="1"/>
  <c r="V1709" i="5" s="1"/>
  <c r="P1709" i="5"/>
  <c r="AE1709" i="5" s="1"/>
  <c r="AF1709" i="5" s="1"/>
  <c r="O1709" i="5"/>
  <c r="N1709" i="5"/>
  <c r="AC1708" i="5"/>
  <c r="AD1708" i="5" s="1"/>
  <c r="AA1708" i="5"/>
  <c r="AB1708" i="5" s="1"/>
  <c r="Y1708" i="5"/>
  <c r="Z1708" i="5" s="1"/>
  <c r="W1708" i="5"/>
  <c r="X1708" i="5" s="1"/>
  <c r="Q1708" i="5"/>
  <c r="R1708" i="5" s="1"/>
  <c r="S1708" i="5" s="1"/>
  <c r="T1708" i="5" s="1"/>
  <c r="U1708" i="5" s="1"/>
  <c r="V1708" i="5" s="1"/>
  <c r="P1708" i="5"/>
  <c r="AE1708" i="5" s="1"/>
  <c r="AF1708" i="5" s="1"/>
  <c r="O1708" i="5"/>
  <c r="N1708" i="5"/>
  <c r="AC1707" i="5"/>
  <c r="AD1707" i="5" s="1"/>
  <c r="AA1707" i="5"/>
  <c r="AB1707" i="5" s="1"/>
  <c r="Y1707" i="5"/>
  <c r="Z1707" i="5" s="1"/>
  <c r="W1707" i="5"/>
  <c r="X1707" i="5" s="1"/>
  <c r="Q1707" i="5"/>
  <c r="R1707" i="5" s="1"/>
  <c r="S1707" i="5" s="1"/>
  <c r="T1707" i="5" s="1"/>
  <c r="U1707" i="5" s="1"/>
  <c r="V1707" i="5" s="1"/>
  <c r="P1707" i="5"/>
  <c r="AE1707" i="5" s="1"/>
  <c r="AF1707" i="5" s="1"/>
  <c r="O1707" i="5"/>
  <c r="N1707" i="5"/>
  <c r="AC1706" i="5"/>
  <c r="AD1706" i="5" s="1"/>
  <c r="AA1706" i="5"/>
  <c r="AB1706" i="5" s="1"/>
  <c r="Y1706" i="5"/>
  <c r="Z1706" i="5" s="1"/>
  <c r="W1706" i="5"/>
  <c r="X1706" i="5" s="1"/>
  <c r="Q1706" i="5"/>
  <c r="R1706" i="5" s="1"/>
  <c r="S1706" i="5" s="1"/>
  <c r="T1706" i="5" s="1"/>
  <c r="U1706" i="5" s="1"/>
  <c r="V1706" i="5" s="1"/>
  <c r="P1706" i="5"/>
  <c r="AE1706" i="5" s="1"/>
  <c r="AF1706" i="5" s="1"/>
  <c r="O1706" i="5"/>
  <c r="N1706" i="5"/>
  <c r="AC1705" i="5"/>
  <c r="AD1705" i="5" s="1"/>
  <c r="AA1705" i="5"/>
  <c r="AB1705" i="5" s="1"/>
  <c r="Y1705" i="5"/>
  <c r="Z1705" i="5" s="1"/>
  <c r="W1705" i="5"/>
  <c r="X1705" i="5" s="1"/>
  <c r="Q1705" i="5"/>
  <c r="R1705" i="5" s="1"/>
  <c r="S1705" i="5" s="1"/>
  <c r="T1705" i="5" s="1"/>
  <c r="U1705" i="5" s="1"/>
  <c r="V1705" i="5" s="1"/>
  <c r="P1705" i="5"/>
  <c r="AE1705" i="5" s="1"/>
  <c r="AF1705" i="5" s="1"/>
  <c r="O1705" i="5"/>
  <c r="N1705" i="5"/>
  <c r="AC1704" i="5"/>
  <c r="AD1704" i="5" s="1"/>
  <c r="AA1704" i="5"/>
  <c r="AB1704" i="5" s="1"/>
  <c r="Y1704" i="5"/>
  <c r="Z1704" i="5" s="1"/>
  <c r="W1704" i="5"/>
  <c r="X1704" i="5" s="1"/>
  <c r="Q1704" i="5"/>
  <c r="R1704" i="5" s="1"/>
  <c r="S1704" i="5" s="1"/>
  <c r="T1704" i="5" s="1"/>
  <c r="U1704" i="5" s="1"/>
  <c r="V1704" i="5" s="1"/>
  <c r="P1704" i="5"/>
  <c r="AE1704" i="5" s="1"/>
  <c r="AF1704" i="5" s="1"/>
  <c r="O1704" i="5"/>
  <c r="N1704" i="5"/>
  <c r="AC1703" i="5"/>
  <c r="AD1703" i="5" s="1"/>
  <c r="AA1703" i="5"/>
  <c r="AB1703" i="5" s="1"/>
  <c r="Y1703" i="5"/>
  <c r="Z1703" i="5" s="1"/>
  <c r="W1703" i="5"/>
  <c r="X1703" i="5" s="1"/>
  <c r="Q1703" i="5"/>
  <c r="R1703" i="5" s="1"/>
  <c r="S1703" i="5" s="1"/>
  <c r="T1703" i="5" s="1"/>
  <c r="U1703" i="5" s="1"/>
  <c r="V1703" i="5" s="1"/>
  <c r="P1703" i="5"/>
  <c r="AE1703" i="5" s="1"/>
  <c r="AF1703" i="5" s="1"/>
  <c r="O1703" i="5"/>
  <c r="N1703" i="5"/>
  <c r="AC1702" i="5"/>
  <c r="AD1702" i="5" s="1"/>
  <c r="AA1702" i="5"/>
  <c r="AB1702" i="5" s="1"/>
  <c r="Y1702" i="5"/>
  <c r="Z1702" i="5" s="1"/>
  <c r="W1702" i="5"/>
  <c r="X1702" i="5" s="1"/>
  <c r="Q1702" i="5"/>
  <c r="R1702" i="5" s="1"/>
  <c r="S1702" i="5" s="1"/>
  <c r="T1702" i="5" s="1"/>
  <c r="U1702" i="5" s="1"/>
  <c r="V1702" i="5" s="1"/>
  <c r="P1702" i="5"/>
  <c r="AE1702" i="5" s="1"/>
  <c r="AF1702" i="5" s="1"/>
  <c r="O1702" i="5"/>
  <c r="N1702" i="5"/>
  <c r="AC1701" i="5"/>
  <c r="AD1701" i="5" s="1"/>
  <c r="AA1701" i="5"/>
  <c r="AB1701" i="5" s="1"/>
  <c r="Y1701" i="5"/>
  <c r="Z1701" i="5" s="1"/>
  <c r="W1701" i="5"/>
  <c r="X1701" i="5" s="1"/>
  <c r="Q1701" i="5"/>
  <c r="R1701" i="5" s="1"/>
  <c r="S1701" i="5" s="1"/>
  <c r="T1701" i="5" s="1"/>
  <c r="U1701" i="5" s="1"/>
  <c r="V1701" i="5" s="1"/>
  <c r="P1701" i="5"/>
  <c r="AE1701" i="5" s="1"/>
  <c r="AF1701" i="5" s="1"/>
  <c r="O1701" i="5"/>
  <c r="N1701" i="5"/>
  <c r="AC1700" i="5"/>
  <c r="AD1700" i="5" s="1"/>
  <c r="AA1700" i="5"/>
  <c r="AB1700" i="5" s="1"/>
  <c r="Y1700" i="5"/>
  <c r="Z1700" i="5" s="1"/>
  <c r="W1700" i="5"/>
  <c r="X1700" i="5" s="1"/>
  <c r="Q1700" i="5"/>
  <c r="R1700" i="5" s="1"/>
  <c r="S1700" i="5" s="1"/>
  <c r="T1700" i="5" s="1"/>
  <c r="U1700" i="5" s="1"/>
  <c r="V1700" i="5" s="1"/>
  <c r="P1700" i="5"/>
  <c r="AE1700" i="5" s="1"/>
  <c r="AF1700" i="5" s="1"/>
  <c r="O1700" i="5"/>
  <c r="N1700" i="5"/>
  <c r="AC1699" i="5"/>
  <c r="AD1699" i="5" s="1"/>
  <c r="AA1699" i="5"/>
  <c r="AB1699" i="5" s="1"/>
  <c r="Y1699" i="5"/>
  <c r="Z1699" i="5" s="1"/>
  <c r="W1699" i="5"/>
  <c r="X1699" i="5" s="1"/>
  <c r="Q1699" i="5"/>
  <c r="R1699" i="5" s="1"/>
  <c r="S1699" i="5" s="1"/>
  <c r="T1699" i="5" s="1"/>
  <c r="U1699" i="5" s="1"/>
  <c r="V1699" i="5" s="1"/>
  <c r="P1699" i="5"/>
  <c r="AE1699" i="5" s="1"/>
  <c r="AF1699" i="5" s="1"/>
  <c r="O1699" i="5"/>
  <c r="N1699" i="5"/>
  <c r="AC1698" i="5"/>
  <c r="AD1698" i="5" s="1"/>
  <c r="AA1698" i="5"/>
  <c r="AB1698" i="5" s="1"/>
  <c r="Y1698" i="5"/>
  <c r="Z1698" i="5" s="1"/>
  <c r="W1698" i="5"/>
  <c r="X1698" i="5" s="1"/>
  <c r="Q1698" i="5"/>
  <c r="R1698" i="5" s="1"/>
  <c r="S1698" i="5" s="1"/>
  <c r="T1698" i="5" s="1"/>
  <c r="U1698" i="5" s="1"/>
  <c r="V1698" i="5" s="1"/>
  <c r="P1698" i="5"/>
  <c r="AE1698" i="5" s="1"/>
  <c r="AF1698" i="5" s="1"/>
  <c r="O1698" i="5"/>
  <c r="N1698" i="5"/>
  <c r="AC1697" i="5"/>
  <c r="AD1697" i="5" s="1"/>
  <c r="AA1697" i="5"/>
  <c r="AB1697" i="5" s="1"/>
  <c r="Y1697" i="5"/>
  <c r="Z1697" i="5" s="1"/>
  <c r="W1697" i="5"/>
  <c r="X1697" i="5" s="1"/>
  <c r="Q1697" i="5"/>
  <c r="R1697" i="5" s="1"/>
  <c r="S1697" i="5" s="1"/>
  <c r="T1697" i="5" s="1"/>
  <c r="U1697" i="5" s="1"/>
  <c r="V1697" i="5" s="1"/>
  <c r="P1697" i="5"/>
  <c r="AE1697" i="5" s="1"/>
  <c r="AF1697" i="5" s="1"/>
  <c r="O1697" i="5"/>
  <c r="N1697" i="5"/>
  <c r="AC1696" i="5"/>
  <c r="AD1696" i="5" s="1"/>
  <c r="AA1696" i="5"/>
  <c r="AB1696" i="5" s="1"/>
  <c r="Y1696" i="5"/>
  <c r="Z1696" i="5" s="1"/>
  <c r="W1696" i="5"/>
  <c r="X1696" i="5" s="1"/>
  <c r="Q1696" i="5"/>
  <c r="R1696" i="5" s="1"/>
  <c r="S1696" i="5" s="1"/>
  <c r="T1696" i="5" s="1"/>
  <c r="U1696" i="5" s="1"/>
  <c r="V1696" i="5" s="1"/>
  <c r="P1696" i="5"/>
  <c r="AE1696" i="5" s="1"/>
  <c r="AF1696" i="5" s="1"/>
  <c r="O1696" i="5"/>
  <c r="N1696" i="5"/>
  <c r="AC1695" i="5"/>
  <c r="AD1695" i="5" s="1"/>
  <c r="AA1695" i="5"/>
  <c r="AB1695" i="5" s="1"/>
  <c r="Y1695" i="5"/>
  <c r="Z1695" i="5" s="1"/>
  <c r="W1695" i="5"/>
  <c r="X1695" i="5" s="1"/>
  <c r="Q1695" i="5"/>
  <c r="R1695" i="5" s="1"/>
  <c r="S1695" i="5" s="1"/>
  <c r="T1695" i="5" s="1"/>
  <c r="U1695" i="5" s="1"/>
  <c r="V1695" i="5" s="1"/>
  <c r="P1695" i="5"/>
  <c r="AE1695" i="5" s="1"/>
  <c r="AF1695" i="5" s="1"/>
  <c r="O1695" i="5"/>
  <c r="N1695" i="5"/>
  <c r="AC1694" i="5"/>
  <c r="AD1694" i="5" s="1"/>
  <c r="AA1694" i="5"/>
  <c r="AB1694" i="5" s="1"/>
  <c r="Y1694" i="5"/>
  <c r="Z1694" i="5" s="1"/>
  <c r="W1694" i="5"/>
  <c r="X1694" i="5" s="1"/>
  <c r="Q1694" i="5"/>
  <c r="R1694" i="5" s="1"/>
  <c r="S1694" i="5" s="1"/>
  <c r="T1694" i="5" s="1"/>
  <c r="U1694" i="5" s="1"/>
  <c r="V1694" i="5" s="1"/>
  <c r="P1694" i="5"/>
  <c r="AE1694" i="5" s="1"/>
  <c r="AF1694" i="5" s="1"/>
  <c r="O1694" i="5"/>
  <c r="N1694" i="5"/>
  <c r="AC1693" i="5"/>
  <c r="AD1693" i="5" s="1"/>
  <c r="AA1693" i="5"/>
  <c r="AB1693" i="5" s="1"/>
  <c r="Y1693" i="5"/>
  <c r="Z1693" i="5" s="1"/>
  <c r="W1693" i="5"/>
  <c r="X1693" i="5" s="1"/>
  <c r="Q1693" i="5"/>
  <c r="R1693" i="5" s="1"/>
  <c r="S1693" i="5" s="1"/>
  <c r="T1693" i="5" s="1"/>
  <c r="U1693" i="5" s="1"/>
  <c r="V1693" i="5" s="1"/>
  <c r="P1693" i="5"/>
  <c r="AE1693" i="5" s="1"/>
  <c r="AF1693" i="5" s="1"/>
  <c r="O1693" i="5"/>
  <c r="N1693" i="5"/>
  <c r="AC1692" i="5"/>
  <c r="AD1692" i="5" s="1"/>
  <c r="AA1692" i="5"/>
  <c r="AB1692" i="5" s="1"/>
  <c r="Y1692" i="5"/>
  <c r="Z1692" i="5" s="1"/>
  <c r="W1692" i="5"/>
  <c r="X1692" i="5" s="1"/>
  <c r="Q1692" i="5"/>
  <c r="R1692" i="5" s="1"/>
  <c r="S1692" i="5" s="1"/>
  <c r="T1692" i="5" s="1"/>
  <c r="U1692" i="5" s="1"/>
  <c r="V1692" i="5" s="1"/>
  <c r="P1692" i="5"/>
  <c r="AE1692" i="5" s="1"/>
  <c r="AF1692" i="5" s="1"/>
  <c r="O1692" i="5"/>
  <c r="N1692" i="5"/>
  <c r="AC1691" i="5"/>
  <c r="AD1691" i="5" s="1"/>
  <c r="AA1691" i="5"/>
  <c r="AB1691" i="5" s="1"/>
  <c r="Y1691" i="5"/>
  <c r="Z1691" i="5" s="1"/>
  <c r="W1691" i="5"/>
  <c r="X1691" i="5" s="1"/>
  <c r="Q1691" i="5"/>
  <c r="R1691" i="5" s="1"/>
  <c r="S1691" i="5" s="1"/>
  <c r="T1691" i="5" s="1"/>
  <c r="U1691" i="5" s="1"/>
  <c r="V1691" i="5" s="1"/>
  <c r="P1691" i="5"/>
  <c r="AE1691" i="5" s="1"/>
  <c r="AF1691" i="5" s="1"/>
  <c r="O1691" i="5"/>
  <c r="N1691" i="5"/>
  <c r="AC1690" i="5"/>
  <c r="AD1690" i="5" s="1"/>
  <c r="AA1690" i="5"/>
  <c r="AB1690" i="5" s="1"/>
  <c r="Y1690" i="5"/>
  <c r="Z1690" i="5" s="1"/>
  <c r="W1690" i="5"/>
  <c r="X1690" i="5" s="1"/>
  <c r="Q1690" i="5"/>
  <c r="R1690" i="5" s="1"/>
  <c r="S1690" i="5" s="1"/>
  <c r="T1690" i="5" s="1"/>
  <c r="U1690" i="5" s="1"/>
  <c r="V1690" i="5" s="1"/>
  <c r="P1690" i="5"/>
  <c r="AE1690" i="5" s="1"/>
  <c r="AF1690" i="5" s="1"/>
  <c r="O1690" i="5"/>
  <c r="N1690" i="5"/>
  <c r="AC1689" i="5"/>
  <c r="AD1689" i="5" s="1"/>
  <c r="AA1689" i="5"/>
  <c r="AB1689" i="5" s="1"/>
  <c r="Y1689" i="5"/>
  <c r="Z1689" i="5" s="1"/>
  <c r="W1689" i="5"/>
  <c r="X1689" i="5" s="1"/>
  <c r="Q1689" i="5"/>
  <c r="R1689" i="5" s="1"/>
  <c r="S1689" i="5" s="1"/>
  <c r="T1689" i="5" s="1"/>
  <c r="U1689" i="5" s="1"/>
  <c r="V1689" i="5" s="1"/>
  <c r="P1689" i="5"/>
  <c r="AE1689" i="5" s="1"/>
  <c r="AF1689" i="5" s="1"/>
  <c r="O1689" i="5"/>
  <c r="N1689" i="5"/>
  <c r="AC1688" i="5"/>
  <c r="AD1688" i="5" s="1"/>
  <c r="AA1688" i="5"/>
  <c r="AB1688" i="5" s="1"/>
  <c r="Y1688" i="5"/>
  <c r="Z1688" i="5" s="1"/>
  <c r="W1688" i="5"/>
  <c r="X1688" i="5" s="1"/>
  <c r="Q1688" i="5"/>
  <c r="R1688" i="5" s="1"/>
  <c r="S1688" i="5" s="1"/>
  <c r="T1688" i="5" s="1"/>
  <c r="U1688" i="5" s="1"/>
  <c r="V1688" i="5" s="1"/>
  <c r="P1688" i="5"/>
  <c r="AE1688" i="5" s="1"/>
  <c r="AF1688" i="5" s="1"/>
  <c r="O1688" i="5"/>
  <c r="N1688" i="5"/>
  <c r="AC1687" i="5"/>
  <c r="AD1687" i="5" s="1"/>
  <c r="AA1687" i="5"/>
  <c r="AB1687" i="5" s="1"/>
  <c r="Y1687" i="5"/>
  <c r="Z1687" i="5" s="1"/>
  <c r="W1687" i="5"/>
  <c r="X1687" i="5" s="1"/>
  <c r="Q1687" i="5"/>
  <c r="R1687" i="5" s="1"/>
  <c r="S1687" i="5" s="1"/>
  <c r="T1687" i="5" s="1"/>
  <c r="U1687" i="5" s="1"/>
  <c r="V1687" i="5" s="1"/>
  <c r="P1687" i="5"/>
  <c r="AE1687" i="5" s="1"/>
  <c r="AF1687" i="5" s="1"/>
  <c r="O1687" i="5"/>
  <c r="N1687" i="5"/>
  <c r="AC1686" i="5"/>
  <c r="AD1686" i="5" s="1"/>
  <c r="AA1686" i="5"/>
  <c r="AB1686" i="5" s="1"/>
  <c r="Y1686" i="5"/>
  <c r="Z1686" i="5" s="1"/>
  <c r="W1686" i="5"/>
  <c r="X1686" i="5" s="1"/>
  <c r="Q1686" i="5"/>
  <c r="R1686" i="5" s="1"/>
  <c r="S1686" i="5" s="1"/>
  <c r="T1686" i="5" s="1"/>
  <c r="U1686" i="5" s="1"/>
  <c r="V1686" i="5" s="1"/>
  <c r="P1686" i="5"/>
  <c r="AE1686" i="5" s="1"/>
  <c r="AF1686" i="5" s="1"/>
  <c r="O1686" i="5"/>
  <c r="N1686" i="5"/>
  <c r="AC1685" i="5"/>
  <c r="AD1685" i="5" s="1"/>
  <c r="AA1685" i="5"/>
  <c r="AB1685" i="5" s="1"/>
  <c r="Y1685" i="5"/>
  <c r="Z1685" i="5" s="1"/>
  <c r="W1685" i="5"/>
  <c r="X1685" i="5" s="1"/>
  <c r="Q1685" i="5"/>
  <c r="R1685" i="5" s="1"/>
  <c r="S1685" i="5" s="1"/>
  <c r="T1685" i="5" s="1"/>
  <c r="U1685" i="5" s="1"/>
  <c r="V1685" i="5" s="1"/>
  <c r="P1685" i="5"/>
  <c r="AE1685" i="5" s="1"/>
  <c r="AF1685" i="5" s="1"/>
  <c r="O1685" i="5"/>
  <c r="N1685" i="5"/>
  <c r="AC1684" i="5"/>
  <c r="AD1684" i="5" s="1"/>
  <c r="AA1684" i="5"/>
  <c r="AB1684" i="5" s="1"/>
  <c r="Y1684" i="5"/>
  <c r="Z1684" i="5" s="1"/>
  <c r="W1684" i="5"/>
  <c r="X1684" i="5" s="1"/>
  <c r="Q1684" i="5"/>
  <c r="R1684" i="5" s="1"/>
  <c r="S1684" i="5" s="1"/>
  <c r="T1684" i="5" s="1"/>
  <c r="U1684" i="5" s="1"/>
  <c r="V1684" i="5" s="1"/>
  <c r="P1684" i="5"/>
  <c r="AE1684" i="5" s="1"/>
  <c r="AF1684" i="5" s="1"/>
  <c r="O1684" i="5"/>
  <c r="N1684" i="5"/>
  <c r="AC1683" i="5"/>
  <c r="AD1683" i="5" s="1"/>
  <c r="AA1683" i="5"/>
  <c r="AB1683" i="5" s="1"/>
  <c r="Y1683" i="5"/>
  <c r="Z1683" i="5" s="1"/>
  <c r="W1683" i="5"/>
  <c r="X1683" i="5" s="1"/>
  <c r="Q1683" i="5"/>
  <c r="R1683" i="5" s="1"/>
  <c r="S1683" i="5" s="1"/>
  <c r="T1683" i="5" s="1"/>
  <c r="U1683" i="5" s="1"/>
  <c r="V1683" i="5" s="1"/>
  <c r="P1683" i="5"/>
  <c r="AE1683" i="5" s="1"/>
  <c r="AF1683" i="5" s="1"/>
  <c r="O1683" i="5"/>
  <c r="N1683" i="5"/>
  <c r="AC1682" i="5"/>
  <c r="AD1682" i="5" s="1"/>
  <c r="AA1682" i="5"/>
  <c r="AB1682" i="5" s="1"/>
  <c r="Y1682" i="5"/>
  <c r="Z1682" i="5" s="1"/>
  <c r="W1682" i="5"/>
  <c r="X1682" i="5" s="1"/>
  <c r="Q1682" i="5"/>
  <c r="R1682" i="5" s="1"/>
  <c r="S1682" i="5" s="1"/>
  <c r="T1682" i="5" s="1"/>
  <c r="U1682" i="5" s="1"/>
  <c r="V1682" i="5" s="1"/>
  <c r="P1682" i="5"/>
  <c r="AE1682" i="5" s="1"/>
  <c r="AF1682" i="5" s="1"/>
  <c r="O1682" i="5"/>
  <c r="N1682" i="5"/>
  <c r="AC1681" i="5"/>
  <c r="AD1681" i="5" s="1"/>
  <c r="AA1681" i="5"/>
  <c r="AB1681" i="5" s="1"/>
  <c r="Y1681" i="5"/>
  <c r="Z1681" i="5" s="1"/>
  <c r="W1681" i="5"/>
  <c r="X1681" i="5" s="1"/>
  <c r="Q1681" i="5"/>
  <c r="R1681" i="5" s="1"/>
  <c r="S1681" i="5" s="1"/>
  <c r="T1681" i="5" s="1"/>
  <c r="U1681" i="5" s="1"/>
  <c r="V1681" i="5" s="1"/>
  <c r="P1681" i="5"/>
  <c r="AE1681" i="5" s="1"/>
  <c r="AF1681" i="5" s="1"/>
  <c r="O1681" i="5"/>
  <c r="N1681" i="5"/>
  <c r="AC1680" i="5"/>
  <c r="AD1680" i="5" s="1"/>
  <c r="AA1680" i="5"/>
  <c r="AB1680" i="5" s="1"/>
  <c r="Y1680" i="5"/>
  <c r="Z1680" i="5" s="1"/>
  <c r="W1680" i="5"/>
  <c r="X1680" i="5" s="1"/>
  <c r="Q1680" i="5"/>
  <c r="R1680" i="5" s="1"/>
  <c r="S1680" i="5" s="1"/>
  <c r="T1680" i="5" s="1"/>
  <c r="U1680" i="5" s="1"/>
  <c r="V1680" i="5" s="1"/>
  <c r="P1680" i="5"/>
  <c r="AE1680" i="5" s="1"/>
  <c r="AF1680" i="5" s="1"/>
  <c r="O1680" i="5"/>
  <c r="N1680" i="5"/>
  <c r="AC1679" i="5"/>
  <c r="AD1679" i="5" s="1"/>
  <c r="AA1679" i="5"/>
  <c r="AB1679" i="5" s="1"/>
  <c r="Y1679" i="5"/>
  <c r="Z1679" i="5" s="1"/>
  <c r="W1679" i="5"/>
  <c r="X1679" i="5" s="1"/>
  <c r="Q1679" i="5"/>
  <c r="R1679" i="5" s="1"/>
  <c r="S1679" i="5" s="1"/>
  <c r="T1679" i="5" s="1"/>
  <c r="U1679" i="5" s="1"/>
  <c r="V1679" i="5" s="1"/>
  <c r="P1679" i="5"/>
  <c r="AE1679" i="5" s="1"/>
  <c r="AF1679" i="5" s="1"/>
  <c r="O1679" i="5"/>
  <c r="N1679" i="5"/>
  <c r="AC1678" i="5"/>
  <c r="AD1678" i="5" s="1"/>
  <c r="AA1678" i="5"/>
  <c r="AB1678" i="5" s="1"/>
  <c r="Y1678" i="5"/>
  <c r="Z1678" i="5" s="1"/>
  <c r="W1678" i="5"/>
  <c r="X1678" i="5" s="1"/>
  <c r="Q1678" i="5"/>
  <c r="R1678" i="5" s="1"/>
  <c r="S1678" i="5" s="1"/>
  <c r="T1678" i="5" s="1"/>
  <c r="U1678" i="5" s="1"/>
  <c r="V1678" i="5" s="1"/>
  <c r="P1678" i="5"/>
  <c r="AE1678" i="5" s="1"/>
  <c r="AF1678" i="5" s="1"/>
  <c r="O1678" i="5"/>
  <c r="N1678" i="5"/>
  <c r="AC1677" i="5"/>
  <c r="AD1677" i="5" s="1"/>
  <c r="AA1677" i="5"/>
  <c r="AB1677" i="5" s="1"/>
  <c r="Y1677" i="5"/>
  <c r="Z1677" i="5" s="1"/>
  <c r="W1677" i="5"/>
  <c r="X1677" i="5" s="1"/>
  <c r="Q1677" i="5"/>
  <c r="R1677" i="5" s="1"/>
  <c r="S1677" i="5" s="1"/>
  <c r="T1677" i="5" s="1"/>
  <c r="U1677" i="5" s="1"/>
  <c r="V1677" i="5" s="1"/>
  <c r="P1677" i="5"/>
  <c r="AE1677" i="5" s="1"/>
  <c r="AF1677" i="5" s="1"/>
  <c r="O1677" i="5"/>
  <c r="N1677" i="5"/>
  <c r="AC1676" i="5"/>
  <c r="AD1676" i="5" s="1"/>
  <c r="AA1676" i="5"/>
  <c r="AB1676" i="5" s="1"/>
  <c r="Y1676" i="5"/>
  <c r="Z1676" i="5" s="1"/>
  <c r="W1676" i="5"/>
  <c r="X1676" i="5" s="1"/>
  <c r="Q1676" i="5"/>
  <c r="R1676" i="5" s="1"/>
  <c r="S1676" i="5" s="1"/>
  <c r="T1676" i="5" s="1"/>
  <c r="U1676" i="5" s="1"/>
  <c r="V1676" i="5" s="1"/>
  <c r="P1676" i="5"/>
  <c r="AE1676" i="5" s="1"/>
  <c r="AF1676" i="5" s="1"/>
  <c r="O1676" i="5"/>
  <c r="N1676" i="5"/>
  <c r="AC1675" i="5"/>
  <c r="AD1675" i="5" s="1"/>
  <c r="AA1675" i="5"/>
  <c r="AB1675" i="5" s="1"/>
  <c r="Y1675" i="5"/>
  <c r="Z1675" i="5" s="1"/>
  <c r="W1675" i="5"/>
  <c r="X1675" i="5" s="1"/>
  <c r="Q1675" i="5"/>
  <c r="R1675" i="5" s="1"/>
  <c r="S1675" i="5" s="1"/>
  <c r="T1675" i="5" s="1"/>
  <c r="U1675" i="5" s="1"/>
  <c r="V1675" i="5" s="1"/>
  <c r="P1675" i="5"/>
  <c r="AE1675" i="5" s="1"/>
  <c r="AF1675" i="5" s="1"/>
  <c r="O1675" i="5"/>
  <c r="N1675" i="5"/>
  <c r="AC1674" i="5"/>
  <c r="AD1674" i="5" s="1"/>
  <c r="AA1674" i="5"/>
  <c r="AB1674" i="5" s="1"/>
  <c r="Y1674" i="5"/>
  <c r="Z1674" i="5" s="1"/>
  <c r="W1674" i="5"/>
  <c r="X1674" i="5" s="1"/>
  <c r="Q1674" i="5"/>
  <c r="R1674" i="5" s="1"/>
  <c r="S1674" i="5" s="1"/>
  <c r="T1674" i="5" s="1"/>
  <c r="U1674" i="5" s="1"/>
  <c r="V1674" i="5" s="1"/>
  <c r="P1674" i="5"/>
  <c r="AE1674" i="5" s="1"/>
  <c r="AF1674" i="5" s="1"/>
  <c r="O1674" i="5"/>
  <c r="N1674" i="5"/>
  <c r="AC1673" i="5"/>
  <c r="AD1673" i="5" s="1"/>
  <c r="AA1673" i="5"/>
  <c r="AB1673" i="5" s="1"/>
  <c r="Y1673" i="5"/>
  <c r="Z1673" i="5" s="1"/>
  <c r="W1673" i="5"/>
  <c r="X1673" i="5" s="1"/>
  <c r="Q1673" i="5"/>
  <c r="R1673" i="5" s="1"/>
  <c r="S1673" i="5" s="1"/>
  <c r="T1673" i="5" s="1"/>
  <c r="U1673" i="5" s="1"/>
  <c r="V1673" i="5" s="1"/>
  <c r="P1673" i="5"/>
  <c r="AE1673" i="5" s="1"/>
  <c r="AF1673" i="5" s="1"/>
  <c r="O1673" i="5"/>
  <c r="N1673" i="5"/>
  <c r="AC1672" i="5"/>
  <c r="AD1672" i="5" s="1"/>
  <c r="AA1672" i="5"/>
  <c r="AB1672" i="5" s="1"/>
  <c r="Y1672" i="5"/>
  <c r="Z1672" i="5" s="1"/>
  <c r="W1672" i="5"/>
  <c r="X1672" i="5" s="1"/>
  <c r="Q1672" i="5"/>
  <c r="R1672" i="5" s="1"/>
  <c r="S1672" i="5" s="1"/>
  <c r="T1672" i="5" s="1"/>
  <c r="U1672" i="5" s="1"/>
  <c r="V1672" i="5" s="1"/>
  <c r="P1672" i="5"/>
  <c r="AE1672" i="5" s="1"/>
  <c r="AF1672" i="5" s="1"/>
  <c r="O1672" i="5"/>
  <c r="N1672" i="5"/>
  <c r="AC1671" i="5"/>
  <c r="AD1671" i="5" s="1"/>
  <c r="AA1671" i="5"/>
  <c r="AB1671" i="5" s="1"/>
  <c r="Y1671" i="5"/>
  <c r="Z1671" i="5" s="1"/>
  <c r="W1671" i="5"/>
  <c r="X1671" i="5" s="1"/>
  <c r="Q1671" i="5"/>
  <c r="R1671" i="5" s="1"/>
  <c r="S1671" i="5" s="1"/>
  <c r="T1671" i="5" s="1"/>
  <c r="U1671" i="5" s="1"/>
  <c r="V1671" i="5" s="1"/>
  <c r="P1671" i="5"/>
  <c r="AE1671" i="5" s="1"/>
  <c r="AF1671" i="5" s="1"/>
  <c r="O1671" i="5"/>
  <c r="N1671" i="5"/>
  <c r="AC1670" i="5"/>
  <c r="AD1670" i="5" s="1"/>
  <c r="AA1670" i="5"/>
  <c r="AB1670" i="5" s="1"/>
  <c r="Y1670" i="5"/>
  <c r="Z1670" i="5" s="1"/>
  <c r="W1670" i="5"/>
  <c r="X1670" i="5" s="1"/>
  <c r="Q1670" i="5"/>
  <c r="R1670" i="5" s="1"/>
  <c r="S1670" i="5" s="1"/>
  <c r="T1670" i="5" s="1"/>
  <c r="U1670" i="5" s="1"/>
  <c r="V1670" i="5" s="1"/>
  <c r="P1670" i="5"/>
  <c r="AE1670" i="5" s="1"/>
  <c r="AF1670" i="5" s="1"/>
  <c r="O1670" i="5"/>
  <c r="N1670" i="5"/>
  <c r="AC1669" i="5"/>
  <c r="AD1669" i="5" s="1"/>
  <c r="AA1669" i="5"/>
  <c r="AB1669" i="5" s="1"/>
  <c r="Y1669" i="5"/>
  <c r="Z1669" i="5" s="1"/>
  <c r="W1669" i="5"/>
  <c r="X1669" i="5" s="1"/>
  <c r="Q1669" i="5"/>
  <c r="R1669" i="5" s="1"/>
  <c r="S1669" i="5" s="1"/>
  <c r="T1669" i="5" s="1"/>
  <c r="U1669" i="5" s="1"/>
  <c r="V1669" i="5" s="1"/>
  <c r="P1669" i="5"/>
  <c r="AE1669" i="5" s="1"/>
  <c r="AF1669" i="5" s="1"/>
  <c r="O1669" i="5"/>
  <c r="N1669" i="5"/>
  <c r="AC1668" i="5"/>
  <c r="AD1668" i="5" s="1"/>
  <c r="AA1668" i="5"/>
  <c r="AB1668" i="5" s="1"/>
  <c r="Y1668" i="5"/>
  <c r="Z1668" i="5" s="1"/>
  <c r="W1668" i="5"/>
  <c r="X1668" i="5" s="1"/>
  <c r="Q1668" i="5"/>
  <c r="R1668" i="5" s="1"/>
  <c r="S1668" i="5" s="1"/>
  <c r="T1668" i="5" s="1"/>
  <c r="U1668" i="5" s="1"/>
  <c r="V1668" i="5" s="1"/>
  <c r="P1668" i="5"/>
  <c r="AE1668" i="5" s="1"/>
  <c r="AF1668" i="5" s="1"/>
  <c r="O1668" i="5"/>
  <c r="N1668" i="5"/>
  <c r="AC1667" i="5"/>
  <c r="AD1667" i="5" s="1"/>
  <c r="AA1667" i="5"/>
  <c r="AB1667" i="5" s="1"/>
  <c r="Y1667" i="5"/>
  <c r="Z1667" i="5" s="1"/>
  <c r="W1667" i="5"/>
  <c r="X1667" i="5" s="1"/>
  <c r="Q1667" i="5"/>
  <c r="R1667" i="5" s="1"/>
  <c r="S1667" i="5" s="1"/>
  <c r="T1667" i="5" s="1"/>
  <c r="U1667" i="5" s="1"/>
  <c r="V1667" i="5" s="1"/>
  <c r="P1667" i="5"/>
  <c r="AE1667" i="5" s="1"/>
  <c r="AF1667" i="5" s="1"/>
  <c r="O1667" i="5"/>
  <c r="N1667" i="5"/>
  <c r="AC1666" i="5"/>
  <c r="AD1666" i="5" s="1"/>
  <c r="AA1666" i="5"/>
  <c r="AB1666" i="5" s="1"/>
  <c r="Y1666" i="5"/>
  <c r="Z1666" i="5" s="1"/>
  <c r="W1666" i="5"/>
  <c r="X1666" i="5" s="1"/>
  <c r="Q1666" i="5"/>
  <c r="R1666" i="5" s="1"/>
  <c r="S1666" i="5" s="1"/>
  <c r="T1666" i="5" s="1"/>
  <c r="U1666" i="5" s="1"/>
  <c r="V1666" i="5" s="1"/>
  <c r="P1666" i="5"/>
  <c r="AE1666" i="5" s="1"/>
  <c r="AF1666" i="5" s="1"/>
  <c r="O1666" i="5"/>
  <c r="N1666" i="5"/>
  <c r="AC1665" i="5"/>
  <c r="AD1665" i="5" s="1"/>
  <c r="AA1665" i="5"/>
  <c r="AB1665" i="5" s="1"/>
  <c r="Y1665" i="5"/>
  <c r="Z1665" i="5" s="1"/>
  <c r="W1665" i="5"/>
  <c r="X1665" i="5" s="1"/>
  <c r="Q1665" i="5"/>
  <c r="R1665" i="5" s="1"/>
  <c r="S1665" i="5" s="1"/>
  <c r="T1665" i="5" s="1"/>
  <c r="U1665" i="5" s="1"/>
  <c r="V1665" i="5" s="1"/>
  <c r="P1665" i="5"/>
  <c r="AE1665" i="5" s="1"/>
  <c r="AF1665" i="5" s="1"/>
  <c r="O1665" i="5"/>
  <c r="N1665" i="5"/>
  <c r="AC1664" i="5"/>
  <c r="AD1664" i="5" s="1"/>
  <c r="AA1664" i="5"/>
  <c r="AB1664" i="5" s="1"/>
  <c r="Y1664" i="5"/>
  <c r="Z1664" i="5" s="1"/>
  <c r="W1664" i="5"/>
  <c r="X1664" i="5" s="1"/>
  <c r="Q1664" i="5"/>
  <c r="R1664" i="5" s="1"/>
  <c r="S1664" i="5" s="1"/>
  <c r="T1664" i="5" s="1"/>
  <c r="U1664" i="5" s="1"/>
  <c r="V1664" i="5" s="1"/>
  <c r="P1664" i="5"/>
  <c r="AE1664" i="5" s="1"/>
  <c r="AF1664" i="5" s="1"/>
  <c r="O1664" i="5"/>
  <c r="N1664" i="5"/>
  <c r="AC1663" i="5"/>
  <c r="AD1663" i="5" s="1"/>
  <c r="AA1663" i="5"/>
  <c r="AB1663" i="5" s="1"/>
  <c r="Y1663" i="5"/>
  <c r="Z1663" i="5" s="1"/>
  <c r="W1663" i="5"/>
  <c r="X1663" i="5" s="1"/>
  <c r="Q1663" i="5"/>
  <c r="R1663" i="5" s="1"/>
  <c r="S1663" i="5" s="1"/>
  <c r="T1663" i="5" s="1"/>
  <c r="U1663" i="5" s="1"/>
  <c r="V1663" i="5" s="1"/>
  <c r="P1663" i="5"/>
  <c r="AE1663" i="5" s="1"/>
  <c r="AF1663" i="5" s="1"/>
  <c r="O1663" i="5"/>
  <c r="N1663" i="5"/>
  <c r="AC1662" i="5"/>
  <c r="AD1662" i="5" s="1"/>
  <c r="AA1662" i="5"/>
  <c r="AB1662" i="5" s="1"/>
  <c r="Y1662" i="5"/>
  <c r="Z1662" i="5" s="1"/>
  <c r="W1662" i="5"/>
  <c r="X1662" i="5" s="1"/>
  <c r="Q1662" i="5"/>
  <c r="R1662" i="5" s="1"/>
  <c r="S1662" i="5" s="1"/>
  <c r="T1662" i="5" s="1"/>
  <c r="U1662" i="5" s="1"/>
  <c r="V1662" i="5" s="1"/>
  <c r="P1662" i="5"/>
  <c r="AE1662" i="5" s="1"/>
  <c r="AF1662" i="5" s="1"/>
  <c r="O1662" i="5"/>
  <c r="N1662" i="5"/>
  <c r="AC1661" i="5"/>
  <c r="AD1661" i="5" s="1"/>
  <c r="AA1661" i="5"/>
  <c r="AB1661" i="5" s="1"/>
  <c r="Y1661" i="5"/>
  <c r="Z1661" i="5" s="1"/>
  <c r="W1661" i="5"/>
  <c r="X1661" i="5" s="1"/>
  <c r="Q1661" i="5"/>
  <c r="R1661" i="5" s="1"/>
  <c r="S1661" i="5" s="1"/>
  <c r="T1661" i="5" s="1"/>
  <c r="U1661" i="5" s="1"/>
  <c r="V1661" i="5" s="1"/>
  <c r="P1661" i="5"/>
  <c r="AE1661" i="5" s="1"/>
  <c r="AF1661" i="5" s="1"/>
  <c r="O1661" i="5"/>
  <c r="N1661" i="5"/>
  <c r="AC1660" i="5"/>
  <c r="AD1660" i="5" s="1"/>
  <c r="AA1660" i="5"/>
  <c r="AB1660" i="5" s="1"/>
  <c r="Y1660" i="5"/>
  <c r="Z1660" i="5" s="1"/>
  <c r="W1660" i="5"/>
  <c r="X1660" i="5" s="1"/>
  <c r="Q1660" i="5"/>
  <c r="R1660" i="5" s="1"/>
  <c r="S1660" i="5" s="1"/>
  <c r="T1660" i="5" s="1"/>
  <c r="U1660" i="5" s="1"/>
  <c r="V1660" i="5" s="1"/>
  <c r="P1660" i="5"/>
  <c r="AE1660" i="5" s="1"/>
  <c r="AF1660" i="5" s="1"/>
  <c r="O1660" i="5"/>
  <c r="N1660" i="5"/>
  <c r="AC1659" i="5"/>
  <c r="AD1659" i="5" s="1"/>
  <c r="AA1659" i="5"/>
  <c r="AB1659" i="5" s="1"/>
  <c r="Y1659" i="5"/>
  <c r="Z1659" i="5" s="1"/>
  <c r="W1659" i="5"/>
  <c r="X1659" i="5" s="1"/>
  <c r="Q1659" i="5"/>
  <c r="R1659" i="5" s="1"/>
  <c r="S1659" i="5" s="1"/>
  <c r="T1659" i="5" s="1"/>
  <c r="U1659" i="5" s="1"/>
  <c r="V1659" i="5" s="1"/>
  <c r="P1659" i="5"/>
  <c r="AE1659" i="5" s="1"/>
  <c r="AF1659" i="5" s="1"/>
  <c r="O1659" i="5"/>
  <c r="N1659" i="5"/>
  <c r="AC1658" i="5"/>
  <c r="AD1658" i="5" s="1"/>
  <c r="AA1658" i="5"/>
  <c r="AB1658" i="5" s="1"/>
  <c r="Y1658" i="5"/>
  <c r="Z1658" i="5" s="1"/>
  <c r="W1658" i="5"/>
  <c r="X1658" i="5" s="1"/>
  <c r="Q1658" i="5"/>
  <c r="R1658" i="5" s="1"/>
  <c r="S1658" i="5" s="1"/>
  <c r="T1658" i="5" s="1"/>
  <c r="U1658" i="5" s="1"/>
  <c r="V1658" i="5" s="1"/>
  <c r="P1658" i="5"/>
  <c r="AE1658" i="5" s="1"/>
  <c r="AF1658" i="5" s="1"/>
  <c r="O1658" i="5"/>
  <c r="N1658" i="5"/>
  <c r="AC1657" i="5"/>
  <c r="AD1657" i="5" s="1"/>
  <c r="AA1657" i="5"/>
  <c r="AB1657" i="5" s="1"/>
  <c r="Y1657" i="5"/>
  <c r="Z1657" i="5" s="1"/>
  <c r="W1657" i="5"/>
  <c r="X1657" i="5" s="1"/>
  <c r="Q1657" i="5"/>
  <c r="R1657" i="5" s="1"/>
  <c r="S1657" i="5" s="1"/>
  <c r="T1657" i="5" s="1"/>
  <c r="U1657" i="5" s="1"/>
  <c r="V1657" i="5" s="1"/>
  <c r="P1657" i="5"/>
  <c r="AE1657" i="5" s="1"/>
  <c r="AF1657" i="5" s="1"/>
  <c r="O1657" i="5"/>
  <c r="N1657" i="5"/>
  <c r="AC1656" i="5"/>
  <c r="AD1656" i="5" s="1"/>
  <c r="AA1656" i="5"/>
  <c r="AB1656" i="5" s="1"/>
  <c r="Y1656" i="5"/>
  <c r="Z1656" i="5" s="1"/>
  <c r="W1656" i="5"/>
  <c r="X1656" i="5" s="1"/>
  <c r="Q1656" i="5"/>
  <c r="R1656" i="5" s="1"/>
  <c r="S1656" i="5" s="1"/>
  <c r="T1656" i="5" s="1"/>
  <c r="U1656" i="5" s="1"/>
  <c r="V1656" i="5" s="1"/>
  <c r="P1656" i="5"/>
  <c r="AE1656" i="5" s="1"/>
  <c r="AF1656" i="5" s="1"/>
  <c r="O1656" i="5"/>
  <c r="N1656" i="5"/>
  <c r="AC1655" i="5"/>
  <c r="AD1655" i="5" s="1"/>
  <c r="AA1655" i="5"/>
  <c r="AB1655" i="5" s="1"/>
  <c r="Y1655" i="5"/>
  <c r="Z1655" i="5" s="1"/>
  <c r="W1655" i="5"/>
  <c r="X1655" i="5" s="1"/>
  <c r="Q1655" i="5"/>
  <c r="R1655" i="5" s="1"/>
  <c r="S1655" i="5" s="1"/>
  <c r="T1655" i="5" s="1"/>
  <c r="U1655" i="5" s="1"/>
  <c r="V1655" i="5" s="1"/>
  <c r="P1655" i="5"/>
  <c r="AE1655" i="5" s="1"/>
  <c r="AF1655" i="5" s="1"/>
  <c r="O1655" i="5"/>
  <c r="N1655" i="5"/>
  <c r="AC1654" i="5"/>
  <c r="AD1654" i="5" s="1"/>
  <c r="AA1654" i="5"/>
  <c r="AB1654" i="5" s="1"/>
  <c r="Y1654" i="5"/>
  <c r="Z1654" i="5" s="1"/>
  <c r="W1654" i="5"/>
  <c r="X1654" i="5" s="1"/>
  <c r="Q1654" i="5"/>
  <c r="R1654" i="5" s="1"/>
  <c r="S1654" i="5" s="1"/>
  <c r="T1654" i="5" s="1"/>
  <c r="U1654" i="5" s="1"/>
  <c r="V1654" i="5" s="1"/>
  <c r="P1654" i="5"/>
  <c r="AE1654" i="5" s="1"/>
  <c r="AF1654" i="5" s="1"/>
  <c r="O1654" i="5"/>
  <c r="N1654" i="5"/>
  <c r="AC1653" i="5"/>
  <c r="AD1653" i="5" s="1"/>
  <c r="AA1653" i="5"/>
  <c r="AB1653" i="5" s="1"/>
  <c r="Y1653" i="5"/>
  <c r="Z1653" i="5" s="1"/>
  <c r="W1653" i="5"/>
  <c r="X1653" i="5" s="1"/>
  <c r="Q1653" i="5"/>
  <c r="R1653" i="5" s="1"/>
  <c r="S1653" i="5" s="1"/>
  <c r="T1653" i="5" s="1"/>
  <c r="U1653" i="5" s="1"/>
  <c r="V1653" i="5" s="1"/>
  <c r="P1653" i="5"/>
  <c r="AE1653" i="5" s="1"/>
  <c r="AF1653" i="5" s="1"/>
  <c r="O1653" i="5"/>
  <c r="N1653" i="5"/>
  <c r="AC1652" i="5"/>
  <c r="AD1652" i="5" s="1"/>
  <c r="AA1652" i="5"/>
  <c r="AB1652" i="5" s="1"/>
  <c r="Y1652" i="5"/>
  <c r="Z1652" i="5" s="1"/>
  <c r="W1652" i="5"/>
  <c r="X1652" i="5" s="1"/>
  <c r="Q1652" i="5"/>
  <c r="R1652" i="5" s="1"/>
  <c r="S1652" i="5" s="1"/>
  <c r="T1652" i="5" s="1"/>
  <c r="U1652" i="5" s="1"/>
  <c r="V1652" i="5" s="1"/>
  <c r="P1652" i="5"/>
  <c r="AE1652" i="5" s="1"/>
  <c r="AF1652" i="5" s="1"/>
  <c r="O1652" i="5"/>
  <c r="N1652" i="5"/>
  <c r="AC1651" i="5"/>
  <c r="AD1651" i="5" s="1"/>
  <c r="AA1651" i="5"/>
  <c r="AB1651" i="5" s="1"/>
  <c r="Y1651" i="5"/>
  <c r="Z1651" i="5" s="1"/>
  <c r="W1651" i="5"/>
  <c r="X1651" i="5" s="1"/>
  <c r="Q1651" i="5"/>
  <c r="R1651" i="5" s="1"/>
  <c r="S1651" i="5" s="1"/>
  <c r="T1651" i="5" s="1"/>
  <c r="U1651" i="5" s="1"/>
  <c r="V1651" i="5" s="1"/>
  <c r="P1651" i="5"/>
  <c r="AE1651" i="5" s="1"/>
  <c r="AF1651" i="5" s="1"/>
  <c r="O1651" i="5"/>
  <c r="N1651" i="5"/>
  <c r="AC1650" i="5"/>
  <c r="AD1650" i="5" s="1"/>
  <c r="AA1650" i="5"/>
  <c r="AB1650" i="5" s="1"/>
  <c r="Y1650" i="5"/>
  <c r="Z1650" i="5" s="1"/>
  <c r="W1650" i="5"/>
  <c r="X1650" i="5" s="1"/>
  <c r="Q1650" i="5"/>
  <c r="R1650" i="5" s="1"/>
  <c r="S1650" i="5" s="1"/>
  <c r="T1650" i="5" s="1"/>
  <c r="U1650" i="5" s="1"/>
  <c r="V1650" i="5" s="1"/>
  <c r="P1650" i="5"/>
  <c r="AE1650" i="5" s="1"/>
  <c r="AF1650" i="5" s="1"/>
  <c r="O1650" i="5"/>
  <c r="N1650" i="5"/>
  <c r="AC1649" i="5"/>
  <c r="AD1649" i="5" s="1"/>
  <c r="AA1649" i="5"/>
  <c r="AB1649" i="5" s="1"/>
  <c r="Y1649" i="5"/>
  <c r="Z1649" i="5" s="1"/>
  <c r="W1649" i="5"/>
  <c r="X1649" i="5" s="1"/>
  <c r="Q1649" i="5"/>
  <c r="R1649" i="5" s="1"/>
  <c r="S1649" i="5" s="1"/>
  <c r="T1649" i="5" s="1"/>
  <c r="U1649" i="5" s="1"/>
  <c r="V1649" i="5" s="1"/>
  <c r="P1649" i="5"/>
  <c r="AE1649" i="5" s="1"/>
  <c r="AF1649" i="5" s="1"/>
  <c r="O1649" i="5"/>
  <c r="N1649" i="5"/>
  <c r="AC1648" i="5"/>
  <c r="AD1648" i="5" s="1"/>
  <c r="AA1648" i="5"/>
  <c r="AB1648" i="5" s="1"/>
  <c r="Y1648" i="5"/>
  <c r="Z1648" i="5" s="1"/>
  <c r="W1648" i="5"/>
  <c r="X1648" i="5" s="1"/>
  <c r="Q1648" i="5"/>
  <c r="R1648" i="5" s="1"/>
  <c r="S1648" i="5" s="1"/>
  <c r="T1648" i="5" s="1"/>
  <c r="U1648" i="5" s="1"/>
  <c r="V1648" i="5" s="1"/>
  <c r="P1648" i="5"/>
  <c r="AE1648" i="5" s="1"/>
  <c r="AF1648" i="5" s="1"/>
  <c r="O1648" i="5"/>
  <c r="N1648" i="5"/>
  <c r="AC1647" i="5"/>
  <c r="AD1647" i="5" s="1"/>
  <c r="AA1647" i="5"/>
  <c r="AB1647" i="5" s="1"/>
  <c r="Y1647" i="5"/>
  <c r="Z1647" i="5" s="1"/>
  <c r="W1647" i="5"/>
  <c r="X1647" i="5" s="1"/>
  <c r="Q1647" i="5"/>
  <c r="R1647" i="5" s="1"/>
  <c r="S1647" i="5" s="1"/>
  <c r="T1647" i="5" s="1"/>
  <c r="U1647" i="5" s="1"/>
  <c r="V1647" i="5" s="1"/>
  <c r="P1647" i="5"/>
  <c r="AE1647" i="5" s="1"/>
  <c r="AF1647" i="5" s="1"/>
  <c r="O1647" i="5"/>
  <c r="N1647" i="5"/>
  <c r="AC1646" i="5"/>
  <c r="AD1646" i="5" s="1"/>
  <c r="AA1646" i="5"/>
  <c r="AB1646" i="5" s="1"/>
  <c r="Y1646" i="5"/>
  <c r="Z1646" i="5" s="1"/>
  <c r="W1646" i="5"/>
  <c r="X1646" i="5" s="1"/>
  <c r="Q1646" i="5"/>
  <c r="R1646" i="5" s="1"/>
  <c r="S1646" i="5" s="1"/>
  <c r="T1646" i="5" s="1"/>
  <c r="U1646" i="5" s="1"/>
  <c r="V1646" i="5" s="1"/>
  <c r="P1646" i="5"/>
  <c r="AE1646" i="5" s="1"/>
  <c r="AF1646" i="5" s="1"/>
  <c r="O1646" i="5"/>
  <c r="N1646" i="5"/>
  <c r="AC1645" i="5"/>
  <c r="AD1645" i="5" s="1"/>
  <c r="AA1645" i="5"/>
  <c r="AB1645" i="5" s="1"/>
  <c r="Y1645" i="5"/>
  <c r="Z1645" i="5" s="1"/>
  <c r="W1645" i="5"/>
  <c r="X1645" i="5" s="1"/>
  <c r="Q1645" i="5"/>
  <c r="R1645" i="5" s="1"/>
  <c r="S1645" i="5" s="1"/>
  <c r="T1645" i="5" s="1"/>
  <c r="U1645" i="5" s="1"/>
  <c r="V1645" i="5" s="1"/>
  <c r="P1645" i="5"/>
  <c r="AE1645" i="5" s="1"/>
  <c r="AF1645" i="5" s="1"/>
  <c r="O1645" i="5"/>
  <c r="N1645" i="5"/>
  <c r="AC1644" i="5"/>
  <c r="AD1644" i="5" s="1"/>
  <c r="AA1644" i="5"/>
  <c r="AB1644" i="5" s="1"/>
  <c r="Y1644" i="5"/>
  <c r="Z1644" i="5" s="1"/>
  <c r="W1644" i="5"/>
  <c r="X1644" i="5" s="1"/>
  <c r="Q1644" i="5"/>
  <c r="R1644" i="5" s="1"/>
  <c r="S1644" i="5" s="1"/>
  <c r="T1644" i="5" s="1"/>
  <c r="U1644" i="5" s="1"/>
  <c r="V1644" i="5" s="1"/>
  <c r="P1644" i="5"/>
  <c r="AE1644" i="5" s="1"/>
  <c r="AF1644" i="5" s="1"/>
  <c r="O1644" i="5"/>
  <c r="N1644" i="5"/>
  <c r="AC1643" i="5"/>
  <c r="AD1643" i="5" s="1"/>
  <c r="AA1643" i="5"/>
  <c r="AB1643" i="5" s="1"/>
  <c r="Y1643" i="5"/>
  <c r="Z1643" i="5" s="1"/>
  <c r="W1643" i="5"/>
  <c r="X1643" i="5" s="1"/>
  <c r="Q1643" i="5"/>
  <c r="R1643" i="5" s="1"/>
  <c r="S1643" i="5" s="1"/>
  <c r="T1643" i="5" s="1"/>
  <c r="U1643" i="5" s="1"/>
  <c r="V1643" i="5" s="1"/>
  <c r="P1643" i="5"/>
  <c r="AE1643" i="5" s="1"/>
  <c r="AF1643" i="5" s="1"/>
  <c r="O1643" i="5"/>
  <c r="N1643" i="5"/>
  <c r="AC1642" i="5"/>
  <c r="AD1642" i="5" s="1"/>
  <c r="AA1642" i="5"/>
  <c r="AB1642" i="5" s="1"/>
  <c r="Y1642" i="5"/>
  <c r="Z1642" i="5" s="1"/>
  <c r="W1642" i="5"/>
  <c r="X1642" i="5" s="1"/>
  <c r="Q1642" i="5"/>
  <c r="R1642" i="5" s="1"/>
  <c r="S1642" i="5" s="1"/>
  <c r="T1642" i="5" s="1"/>
  <c r="U1642" i="5" s="1"/>
  <c r="V1642" i="5" s="1"/>
  <c r="P1642" i="5"/>
  <c r="AE1642" i="5" s="1"/>
  <c r="AF1642" i="5" s="1"/>
  <c r="O1642" i="5"/>
  <c r="N1642" i="5"/>
  <c r="AC1641" i="5"/>
  <c r="AD1641" i="5" s="1"/>
  <c r="AA1641" i="5"/>
  <c r="AB1641" i="5" s="1"/>
  <c r="Y1641" i="5"/>
  <c r="Z1641" i="5" s="1"/>
  <c r="W1641" i="5"/>
  <c r="X1641" i="5" s="1"/>
  <c r="Q1641" i="5"/>
  <c r="R1641" i="5" s="1"/>
  <c r="S1641" i="5" s="1"/>
  <c r="T1641" i="5" s="1"/>
  <c r="U1641" i="5" s="1"/>
  <c r="V1641" i="5" s="1"/>
  <c r="P1641" i="5"/>
  <c r="AE1641" i="5" s="1"/>
  <c r="AF1641" i="5" s="1"/>
  <c r="O1641" i="5"/>
  <c r="N1641" i="5"/>
  <c r="AC1640" i="5"/>
  <c r="AD1640" i="5" s="1"/>
  <c r="AA1640" i="5"/>
  <c r="AB1640" i="5" s="1"/>
  <c r="Y1640" i="5"/>
  <c r="Z1640" i="5" s="1"/>
  <c r="W1640" i="5"/>
  <c r="X1640" i="5" s="1"/>
  <c r="Q1640" i="5"/>
  <c r="R1640" i="5" s="1"/>
  <c r="S1640" i="5" s="1"/>
  <c r="T1640" i="5" s="1"/>
  <c r="U1640" i="5" s="1"/>
  <c r="V1640" i="5" s="1"/>
  <c r="P1640" i="5"/>
  <c r="AE1640" i="5" s="1"/>
  <c r="AF1640" i="5" s="1"/>
  <c r="O1640" i="5"/>
  <c r="N1640" i="5"/>
  <c r="AC1639" i="5"/>
  <c r="AD1639" i="5" s="1"/>
  <c r="AA1639" i="5"/>
  <c r="AB1639" i="5" s="1"/>
  <c r="Y1639" i="5"/>
  <c r="Z1639" i="5" s="1"/>
  <c r="W1639" i="5"/>
  <c r="X1639" i="5" s="1"/>
  <c r="Q1639" i="5"/>
  <c r="R1639" i="5" s="1"/>
  <c r="S1639" i="5" s="1"/>
  <c r="T1639" i="5" s="1"/>
  <c r="U1639" i="5" s="1"/>
  <c r="V1639" i="5" s="1"/>
  <c r="P1639" i="5"/>
  <c r="AE1639" i="5" s="1"/>
  <c r="AF1639" i="5" s="1"/>
  <c r="O1639" i="5"/>
  <c r="N1639" i="5"/>
  <c r="AC1638" i="5"/>
  <c r="AD1638" i="5" s="1"/>
  <c r="AA1638" i="5"/>
  <c r="AB1638" i="5" s="1"/>
  <c r="Y1638" i="5"/>
  <c r="Z1638" i="5" s="1"/>
  <c r="W1638" i="5"/>
  <c r="X1638" i="5" s="1"/>
  <c r="Q1638" i="5"/>
  <c r="R1638" i="5" s="1"/>
  <c r="S1638" i="5" s="1"/>
  <c r="T1638" i="5" s="1"/>
  <c r="U1638" i="5" s="1"/>
  <c r="V1638" i="5" s="1"/>
  <c r="P1638" i="5"/>
  <c r="AE1638" i="5" s="1"/>
  <c r="AF1638" i="5" s="1"/>
  <c r="O1638" i="5"/>
  <c r="N1638" i="5"/>
  <c r="AC1637" i="5"/>
  <c r="AD1637" i="5" s="1"/>
  <c r="AA1637" i="5"/>
  <c r="AB1637" i="5" s="1"/>
  <c r="Y1637" i="5"/>
  <c r="Z1637" i="5" s="1"/>
  <c r="W1637" i="5"/>
  <c r="X1637" i="5" s="1"/>
  <c r="Q1637" i="5"/>
  <c r="R1637" i="5" s="1"/>
  <c r="S1637" i="5" s="1"/>
  <c r="T1637" i="5" s="1"/>
  <c r="U1637" i="5" s="1"/>
  <c r="V1637" i="5" s="1"/>
  <c r="P1637" i="5"/>
  <c r="AE1637" i="5" s="1"/>
  <c r="AF1637" i="5" s="1"/>
  <c r="O1637" i="5"/>
  <c r="N1637" i="5"/>
  <c r="AC1636" i="5"/>
  <c r="AD1636" i="5" s="1"/>
  <c r="AA1636" i="5"/>
  <c r="AB1636" i="5" s="1"/>
  <c r="Y1636" i="5"/>
  <c r="Z1636" i="5" s="1"/>
  <c r="W1636" i="5"/>
  <c r="X1636" i="5" s="1"/>
  <c r="Q1636" i="5"/>
  <c r="R1636" i="5" s="1"/>
  <c r="S1636" i="5" s="1"/>
  <c r="T1636" i="5" s="1"/>
  <c r="U1636" i="5" s="1"/>
  <c r="V1636" i="5" s="1"/>
  <c r="P1636" i="5"/>
  <c r="AE1636" i="5" s="1"/>
  <c r="AF1636" i="5" s="1"/>
  <c r="O1636" i="5"/>
  <c r="N1636" i="5"/>
  <c r="AC1635" i="5"/>
  <c r="AD1635" i="5" s="1"/>
  <c r="AA1635" i="5"/>
  <c r="AB1635" i="5" s="1"/>
  <c r="Y1635" i="5"/>
  <c r="Z1635" i="5" s="1"/>
  <c r="W1635" i="5"/>
  <c r="X1635" i="5" s="1"/>
  <c r="Q1635" i="5"/>
  <c r="R1635" i="5" s="1"/>
  <c r="S1635" i="5" s="1"/>
  <c r="T1635" i="5" s="1"/>
  <c r="U1635" i="5" s="1"/>
  <c r="V1635" i="5" s="1"/>
  <c r="P1635" i="5"/>
  <c r="AE1635" i="5" s="1"/>
  <c r="AF1635" i="5" s="1"/>
  <c r="O1635" i="5"/>
  <c r="N1635" i="5"/>
  <c r="AC1634" i="5"/>
  <c r="AD1634" i="5" s="1"/>
  <c r="AA1634" i="5"/>
  <c r="AB1634" i="5" s="1"/>
  <c r="Y1634" i="5"/>
  <c r="Z1634" i="5" s="1"/>
  <c r="W1634" i="5"/>
  <c r="X1634" i="5" s="1"/>
  <c r="Q1634" i="5"/>
  <c r="R1634" i="5" s="1"/>
  <c r="S1634" i="5" s="1"/>
  <c r="T1634" i="5" s="1"/>
  <c r="U1634" i="5" s="1"/>
  <c r="V1634" i="5" s="1"/>
  <c r="P1634" i="5"/>
  <c r="AE1634" i="5" s="1"/>
  <c r="AF1634" i="5" s="1"/>
  <c r="O1634" i="5"/>
  <c r="N1634" i="5"/>
  <c r="AC1633" i="5"/>
  <c r="AD1633" i="5" s="1"/>
  <c r="AA1633" i="5"/>
  <c r="AB1633" i="5" s="1"/>
  <c r="Y1633" i="5"/>
  <c r="Z1633" i="5" s="1"/>
  <c r="W1633" i="5"/>
  <c r="X1633" i="5" s="1"/>
  <c r="Q1633" i="5"/>
  <c r="R1633" i="5" s="1"/>
  <c r="S1633" i="5" s="1"/>
  <c r="T1633" i="5" s="1"/>
  <c r="U1633" i="5" s="1"/>
  <c r="V1633" i="5" s="1"/>
  <c r="P1633" i="5"/>
  <c r="AE1633" i="5" s="1"/>
  <c r="AF1633" i="5" s="1"/>
  <c r="O1633" i="5"/>
  <c r="N1633" i="5"/>
  <c r="AC1632" i="5"/>
  <c r="AD1632" i="5" s="1"/>
  <c r="AA1632" i="5"/>
  <c r="AB1632" i="5" s="1"/>
  <c r="Y1632" i="5"/>
  <c r="Z1632" i="5" s="1"/>
  <c r="W1632" i="5"/>
  <c r="X1632" i="5" s="1"/>
  <c r="Q1632" i="5"/>
  <c r="R1632" i="5" s="1"/>
  <c r="S1632" i="5" s="1"/>
  <c r="T1632" i="5" s="1"/>
  <c r="U1632" i="5" s="1"/>
  <c r="V1632" i="5" s="1"/>
  <c r="P1632" i="5"/>
  <c r="AE1632" i="5" s="1"/>
  <c r="AF1632" i="5" s="1"/>
  <c r="O1632" i="5"/>
  <c r="N1632" i="5"/>
  <c r="AC1631" i="5"/>
  <c r="AD1631" i="5" s="1"/>
  <c r="AA1631" i="5"/>
  <c r="AB1631" i="5" s="1"/>
  <c r="Y1631" i="5"/>
  <c r="Z1631" i="5" s="1"/>
  <c r="W1631" i="5"/>
  <c r="X1631" i="5" s="1"/>
  <c r="Q1631" i="5"/>
  <c r="R1631" i="5" s="1"/>
  <c r="S1631" i="5" s="1"/>
  <c r="T1631" i="5" s="1"/>
  <c r="U1631" i="5" s="1"/>
  <c r="V1631" i="5" s="1"/>
  <c r="P1631" i="5"/>
  <c r="AE1631" i="5" s="1"/>
  <c r="AF1631" i="5" s="1"/>
  <c r="O1631" i="5"/>
  <c r="N1631" i="5"/>
  <c r="AC1630" i="5"/>
  <c r="AD1630" i="5" s="1"/>
  <c r="AA1630" i="5"/>
  <c r="AB1630" i="5" s="1"/>
  <c r="Y1630" i="5"/>
  <c r="Z1630" i="5" s="1"/>
  <c r="W1630" i="5"/>
  <c r="X1630" i="5" s="1"/>
  <c r="Q1630" i="5"/>
  <c r="R1630" i="5" s="1"/>
  <c r="S1630" i="5" s="1"/>
  <c r="T1630" i="5" s="1"/>
  <c r="U1630" i="5" s="1"/>
  <c r="V1630" i="5" s="1"/>
  <c r="P1630" i="5"/>
  <c r="AE1630" i="5" s="1"/>
  <c r="AF1630" i="5" s="1"/>
  <c r="O1630" i="5"/>
  <c r="N1630" i="5"/>
  <c r="AC1629" i="5"/>
  <c r="AD1629" i="5" s="1"/>
  <c r="AA1629" i="5"/>
  <c r="AB1629" i="5" s="1"/>
  <c r="Y1629" i="5"/>
  <c r="Z1629" i="5" s="1"/>
  <c r="W1629" i="5"/>
  <c r="X1629" i="5" s="1"/>
  <c r="Q1629" i="5"/>
  <c r="R1629" i="5" s="1"/>
  <c r="S1629" i="5" s="1"/>
  <c r="T1629" i="5" s="1"/>
  <c r="U1629" i="5" s="1"/>
  <c r="V1629" i="5" s="1"/>
  <c r="P1629" i="5"/>
  <c r="AE1629" i="5" s="1"/>
  <c r="AF1629" i="5" s="1"/>
  <c r="O1629" i="5"/>
  <c r="N1629" i="5"/>
  <c r="AC1628" i="5"/>
  <c r="AD1628" i="5" s="1"/>
  <c r="AA1628" i="5"/>
  <c r="AB1628" i="5" s="1"/>
  <c r="Y1628" i="5"/>
  <c r="Z1628" i="5" s="1"/>
  <c r="W1628" i="5"/>
  <c r="X1628" i="5" s="1"/>
  <c r="Q1628" i="5"/>
  <c r="R1628" i="5" s="1"/>
  <c r="S1628" i="5" s="1"/>
  <c r="T1628" i="5" s="1"/>
  <c r="U1628" i="5" s="1"/>
  <c r="V1628" i="5" s="1"/>
  <c r="P1628" i="5"/>
  <c r="AE1628" i="5" s="1"/>
  <c r="AF1628" i="5" s="1"/>
  <c r="O1628" i="5"/>
  <c r="N1628" i="5"/>
  <c r="AC1627" i="5"/>
  <c r="AD1627" i="5" s="1"/>
  <c r="AA1627" i="5"/>
  <c r="AB1627" i="5" s="1"/>
  <c r="Y1627" i="5"/>
  <c r="Z1627" i="5" s="1"/>
  <c r="W1627" i="5"/>
  <c r="X1627" i="5" s="1"/>
  <c r="Q1627" i="5"/>
  <c r="R1627" i="5" s="1"/>
  <c r="S1627" i="5" s="1"/>
  <c r="T1627" i="5" s="1"/>
  <c r="U1627" i="5" s="1"/>
  <c r="V1627" i="5" s="1"/>
  <c r="P1627" i="5"/>
  <c r="AE1627" i="5" s="1"/>
  <c r="AF1627" i="5" s="1"/>
  <c r="O1627" i="5"/>
  <c r="N1627" i="5"/>
  <c r="AC1626" i="5"/>
  <c r="AD1626" i="5" s="1"/>
  <c r="AA1626" i="5"/>
  <c r="AB1626" i="5" s="1"/>
  <c r="Y1626" i="5"/>
  <c r="Z1626" i="5" s="1"/>
  <c r="W1626" i="5"/>
  <c r="X1626" i="5" s="1"/>
  <c r="Q1626" i="5"/>
  <c r="R1626" i="5" s="1"/>
  <c r="S1626" i="5" s="1"/>
  <c r="T1626" i="5" s="1"/>
  <c r="U1626" i="5" s="1"/>
  <c r="V1626" i="5" s="1"/>
  <c r="P1626" i="5"/>
  <c r="AE1626" i="5" s="1"/>
  <c r="AF1626" i="5" s="1"/>
  <c r="O1626" i="5"/>
  <c r="N1626" i="5"/>
  <c r="AC1625" i="5"/>
  <c r="AD1625" i="5" s="1"/>
  <c r="AA1625" i="5"/>
  <c r="AB1625" i="5" s="1"/>
  <c r="Y1625" i="5"/>
  <c r="Z1625" i="5" s="1"/>
  <c r="W1625" i="5"/>
  <c r="X1625" i="5" s="1"/>
  <c r="Q1625" i="5"/>
  <c r="R1625" i="5" s="1"/>
  <c r="S1625" i="5" s="1"/>
  <c r="T1625" i="5" s="1"/>
  <c r="U1625" i="5" s="1"/>
  <c r="V1625" i="5" s="1"/>
  <c r="P1625" i="5"/>
  <c r="AE1625" i="5" s="1"/>
  <c r="AF1625" i="5" s="1"/>
  <c r="O1625" i="5"/>
  <c r="N1625" i="5"/>
  <c r="AC1624" i="5"/>
  <c r="AD1624" i="5" s="1"/>
  <c r="AA1624" i="5"/>
  <c r="AB1624" i="5" s="1"/>
  <c r="Y1624" i="5"/>
  <c r="Z1624" i="5" s="1"/>
  <c r="W1624" i="5"/>
  <c r="X1624" i="5" s="1"/>
  <c r="Q1624" i="5"/>
  <c r="R1624" i="5" s="1"/>
  <c r="S1624" i="5" s="1"/>
  <c r="T1624" i="5" s="1"/>
  <c r="U1624" i="5" s="1"/>
  <c r="V1624" i="5" s="1"/>
  <c r="P1624" i="5"/>
  <c r="AE1624" i="5" s="1"/>
  <c r="AF1624" i="5" s="1"/>
  <c r="O1624" i="5"/>
  <c r="N1624" i="5"/>
  <c r="AC1623" i="5"/>
  <c r="AD1623" i="5" s="1"/>
  <c r="AA1623" i="5"/>
  <c r="AB1623" i="5" s="1"/>
  <c r="Y1623" i="5"/>
  <c r="Z1623" i="5" s="1"/>
  <c r="W1623" i="5"/>
  <c r="X1623" i="5" s="1"/>
  <c r="Q1623" i="5"/>
  <c r="R1623" i="5" s="1"/>
  <c r="S1623" i="5" s="1"/>
  <c r="T1623" i="5" s="1"/>
  <c r="U1623" i="5" s="1"/>
  <c r="V1623" i="5" s="1"/>
  <c r="P1623" i="5"/>
  <c r="AE1623" i="5" s="1"/>
  <c r="AF1623" i="5" s="1"/>
  <c r="O1623" i="5"/>
  <c r="N1623" i="5"/>
  <c r="AC1622" i="5"/>
  <c r="AD1622" i="5" s="1"/>
  <c r="AA1622" i="5"/>
  <c r="AB1622" i="5" s="1"/>
  <c r="Y1622" i="5"/>
  <c r="Z1622" i="5" s="1"/>
  <c r="W1622" i="5"/>
  <c r="X1622" i="5" s="1"/>
  <c r="Q1622" i="5"/>
  <c r="R1622" i="5" s="1"/>
  <c r="S1622" i="5" s="1"/>
  <c r="T1622" i="5" s="1"/>
  <c r="U1622" i="5" s="1"/>
  <c r="V1622" i="5" s="1"/>
  <c r="P1622" i="5"/>
  <c r="AE1622" i="5" s="1"/>
  <c r="AF1622" i="5" s="1"/>
  <c r="O1622" i="5"/>
  <c r="N1622" i="5"/>
  <c r="AC1621" i="5"/>
  <c r="AD1621" i="5" s="1"/>
  <c r="AA1621" i="5"/>
  <c r="AB1621" i="5" s="1"/>
  <c r="Y1621" i="5"/>
  <c r="Z1621" i="5" s="1"/>
  <c r="W1621" i="5"/>
  <c r="X1621" i="5" s="1"/>
  <c r="Q1621" i="5"/>
  <c r="R1621" i="5" s="1"/>
  <c r="S1621" i="5" s="1"/>
  <c r="T1621" i="5" s="1"/>
  <c r="U1621" i="5" s="1"/>
  <c r="V1621" i="5" s="1"/>
  <c r="P1621" i="5"/>
  <c r="AE1621" i="5" s="1"/>
  <c r="AF1621" i="5" s="1"/>
  <c r="O1621" i="5"/>
  <c r="N1621" i="5"/>
  <c r="AC1620" i="5"/>
  <c r="AD1620" i="5" s="1"/>
  <c r="AA1620" i="5"/>
  <c r="AB1620" i="5" s="1"/>
  <c r="Y1620" i="5"/>
  <c r="Z1620" i="5" s="1"/>
  <c r="W1620" i="5"/>
  <c r="X1620" i="5" s="1"/>
  <c r="Q1620" i="5"/>
  <c r="R1620" i="5" s="1"/>
  <c r="S1620" i="5" s="1"/>
  <c r="T1620" i="5" s="1"/>
  <c r="U1620" i="5" s="1"/>
  <c r="V1620" i="5" s="1"/>
  <c r="P1620" i="5"/>
  <c r="AE1620" i="5" s="1"/>
  <c r="AF1620" i="5" s="1"/>
  <c r="O1620" i="5"/>
  <c r="N1620" i="5"/>
  <c r="AC1619" i="5"/>
  <c r="AD1619" i="5" s="1"/>
  <c r="AA1619" i="5"/>
  <c r="AB1619" i="5" s="1"/>
  <c r="Y1619" i="5"/>
  <c r="Z1619" i="5" s="1"/>
  <c r="W1619" i="5"/>
  <c r="X1619" i="5" s="1"/>
  <c r="Q1619" i="5"/>
  <c r="R1619" i="5" s="1"/>
  <c r="S1619" i="5" s="1"/>
  <c r="T1619" i="5" s="1"/>
  <c r="U1619" i="5" s="1"/>
  <c r="V1619" i="5" s="1"/>
  <c r="P1619" i="5"/>
  <c r="AE1619" i="5" s="1"/>
  <c r="AF1619" i="5" s="1"/>
  <c r="O1619" i="5"/>
  <c r="N1619" i="5"/>
  <c r="AC1618" i="5"/>
  <c r="AD1618" i="5" s="1"/>
  <c r="AA1618" i="5"/>
  <c r="AB1618" i="5" s="1"/>
  <c r="Y1618" i="5"/>
  <c r="Z1618" i="5" s="1"/>
  <c r="W1618" i="5"/>
  <c r="X1618" i="5" s="1"/>
  <c r="Q1618" i="5"/>
  <c r="R1618" i="5" s="1"/>
  <c r="S1618" i="5" s="1"/>
  <c r="T1618" i="5" s="1"/>
  <c r="U1618" i="5" s="1"/>
  <c r="V1618" i="5" s="1"/>
  <c r="P1618" i="5"/>
  <c r="AE1618" i="5" s="1"/>
  <c r="AF1618" i="5" s="1"/>
  <c r="O1618" i="5"/>
  <c r="N1618" i="5"/>
  <c r="AC1617" i="5"/>
  <c r="AD1617" i="5" s="1"/>
  <c r="AA1617" i="5"/>
  <c r="AB1617" i="5" s="1"/>
  <c r="Y1617" i="5"/>
  <c r="Z1617" i="5" s="1"/>
  <c r="W1617" i="5"/>
  <c r="X1617" i="5" s="1"/>
  <c r="Q1617" i="5"/>
  <c r="R1617" i="5" s="1"/>
  <c r="S1617" i="5" s="1"/>
  <c r="T1617" i="5" s="1"/>
  <c r="U1617" i="5" s="1"/>
  <c r="V1617" i="5" s="1"/>
  <c r="P1617" i="5"/>
  <c r="AE1617" i="5" s="1"/>
  <c r="AF1617" i="5" s="1"/>
  <c r="O1617" i="5"/>
  <c r="N1617" i="5"/>
  <c r="AC1616" i="5"/>
  <c r="AD1616" i="5" s="1"/>
  <c r="AA1616" i="5"/>
  <c r="AB1616" i="5" s="1"/>
  <c r="Y1616" i="5"/>
  <c r="Z1616" i="5" s="1"/>
  <c r="W1616" i="5"/>
  <c r="X1616" i="5" s="1"/>
  <c r="Q1616" i="5"/>
  <c r="R1616" i="5" s="1"/>
  <c r="S1616" i="5" s="1"/>
  <c r="T1616" i="5" s="1"/>
  <c r="U1616" i="5" s="1"/>
  <c r="V1616" i="5" s="1"/>
  <c r="P1616" i="5"/>
  <c r="AE1616" i="5" s="1"/>
  <c r="AF1616" i="5" s="1"/>
  <c r="O1616" i="5"/>
  <c r="N1616" i="5"/>
  <c r="AC1615" i="5"/>
  <c r="AD1615" i="5" s="1"/>
  <c r="AA1615" i="5"/>
  <c r="AB1615" i="5" s="1"/>
  <c r="Y1615" i="5"/>
  <c r="Z1615" i="5" s="1"/>
  <c r="W1615" i="5"/>
  <c r="X1615" i="5" s="1"/>
  <c r="Q1615" i="5"/>
  <c r="R1615" i="5" s="1"/>
  <c r="S1615" i="5" s="1"/>
  <c r="T1615" i="5" s="1"/>
  <c r="U1615" i="5" s="1"/>
  <c r="V1615" i="5" s="1"/>
  <c r="P1615" i="5"/>
  <c r="AE1615" i="5" s="1"/>
  <c r="AF1615" i="5" s="1"/>
  <c r="O1615" i="5"/>
  <c r="N1615" i="5"/>
  <c r="AC1614" i="5"/>
  <c r="AD1614" i="5" s="1"/>
  <c r="AA1614" i="5"/>
  <c r="AB1614" i="5" s="1"/>
  <c r="Y1614" i="5"/>
  <c r="Z1614" i="5" s="1"/>
  <c r="W1614" i="5"/>
  <c r="X1614" i="5" s="1"/>
  <c r="Q1614" i="5"/>
  <c r="R1614" i="5" s="1"/>
  <c r="S1614" i="5" s="1"/>
  <c r="T1614" i="5" s="1"/>
  <c r="U1614" i="5" s="1"/>
  <c r="V1614" i="5" s="1"/>
  <c r="P1614" i="5"/>
  <c r="AE1614" i="5" s="1"/>
  <c r="AF1614" i="5" s="1"/>
  <c r="O1614" i="5"/>
  <c r="N1614" i="5"/>
  <c r="AC1613" i="5"/>
  <c r="AD1613" i="5" s="1"/>
  <c r="AA1613" i="5"/>
  <c r="AB1613" i="5" s="1"/>
  <c r="Y1613" i="5"/>
  <c r="Z1613" i="5" s="1"/>
  <c r="W1613" i="5"/>
  <c r="X1613" i="5" s="1"/>
  <c r="Q1613" i="5"/>
  <c r="R1613" i="5" s="1"/>
  <c r="S1613" i="5" s="1"/>
  <c r="T1613" i="5" s="1"/>
  <c r="U1613" i="5" s="1"/>
  <c r="V1613" i="5" s="1"/>
  <c r="P1613" i="5"/>
  <c r="AE1613" i="5" s="1"/>
  <c r="AF1613" i="5" s="1"/>
  <c r="O1613" i="5"/>
  <c r="N1613" i="5"/>
  <c r="AC1612" i="5"/>
  <c r="AD1612" i="5" s="1"/>
  <c r="AA1612" i="5"/>
  <c r="AB1612" i="5" s="1"/>
  <c r="Y1612" i="5"/>
  <c r="Z1612" i="5" s="1"/>
  <c r="W1612" i="5"/>
  <c r="X1612" i="5" s="1"/>
  <c r="Q1612" i="5"/>
  <c r="R1612" i="5" s="1"/>
  <c r="S1612" i="5" s="1"/>
  <c r="T1612" i="5" s="1"/>
  <c r="U1612" i="5" s="1"/>
  <c r="V1612" i="5" s="1"/>
  <c r="P1612" i="5"/>
  <c r="AE1612" i="5" s="1"/>
  <c r="AF1612" i="5" s="1"/>
  <c r="O1612" i="5"/>
  <c r="N1612" i="5"/>
  <c r="AC1611" i="5"/>
  <c r="AD1611" i="5" s="1"/>
  <c r="AA1611" i="5"/>
  <c r="AB1611" i="5" s="1"/>
  <c r="Y1611" i="5"/>
  <c r="Z1611" i="5" s="1"/>
  <c r="W1611" i="5"/>
  <c r="X1611" i="5" s="1"/>
  <c r="Q1611" i="5"/>
  <c r="R1611" i="5" s="1"/>
  <c r="S1611" i="5" s="1"/>
  <c r="T1611" i="5" s="1"/>
  <c r="U1611" i="5" s="1"/>
  <c r="V1611" i="5" s="1"/>
  <c r="P1611" i="5"/>
  <c r="AE1611" i="5" s="1"/>
  <c r="AF1611" i="5" s="1"/>
  <c r="O1611" i="5"/>
  <c r="N1611" i="5"/>
  <c r="AC1610" i="5"/>
  <c r="AD1610" i="5" s="1"/>
  <c r="AA1610" i="5"/>
  <c r="AB1610" i="5" s="1"/>
  <c r="Y1610" i="5"/>
  <c r="Z1610" i="5" s="1"/>
  <c r="W1610" i="5"/>
  <c r="X1610" i="5" s="1"/>
  <c r="Q1610" i="5"/>
  <c r="R1610" i="5" s="1"/>
  <c r="S1610" i="5" s="1"/>
  <c r="T1610" i="5" s="1"/>
  <c r="U1610" i="5" s="1"/>
  <c r="V1610" i="5" s="1"/>
  <c r="P1610" i="5"/>
  <c r="AE1610" i="5" s="1"/>
  <c r="AF1610" i="5" s="1"/>
  <c r="O1610" i="5"/>
  <c r="N1610" i="5"/>
  <c r="AC1609" i="5"/>
  <c r="AD1609" i="5" s="1"/>
  <c r="AA1609" i="5"/>
  <c r="AB1609" i="5" s="1"/>
  <c r="Y1609" i="5"/>
  <c r="Z1609" i="5" s="1"/>
  <c r="W1609" i="5"/>
  <c r="X1609" i="5" s="1"/>
  <c r="Q1609" i="5"/>
  <c r="R1609" i="5" s="1"/>
  <c r="S1609" i="5" s="1"/>
  <c r="T1609" i="5" s="1"/>
  <c r="U1609" i="5" s="1"/>
  <c r="V1609" i="5" s="1"/>
  <c r="P1609" i="5"/>
  <c r="AE1609" i="5" s="1"/>
  <c r="AF1609" i="5" s="1"/>
  <c r="O1609" i="5"/>
  <c r="N1609" i="5"/>
  <c r="AC1608" i="5"/>
  <c r="AD1608" i="5" s="1"/>
  <c r="AA1608" i="5"/>
  <c r="AB1608" i="5" s="1"/>
  <c r="Y1608" i="5"/>
  <c r="Z1608" i="5" s="1"/>
  <c r="W1608" i="5"/>
  <c r="X1608" i="5" s="1"/>
  <c r="Q1608" i="5"/>
  <c r="R1608" i="5" s="1"/>
  <c r="S1608" i="5" s="1"/>
  <c r="T1608" i="5" s="1"/>
  <c r="U1608" i="5" s="1"/>
  <c r="V1608" i="5" s="1"/>
  <c r="P1608" i="5"/>
  <c r="AE1608" i="5" s="1"/>
  <c r="AF1608" i="5" s="1"/>
  <c r="O1608" i="5"/>
  <c r="N1608" i="5"/>
  <c r="AC1607" i="5"/>
  <c r="AD1607" i="5" s="1"/>
  <c r="AA1607" i="5"/>
  <c r="AB1607" i="5" s="1"/>
  <c r="Y1607" i="5"/>
  <c r="Z1607" i="5" s="1"/>
  <c r="W1607" i="5"/>
  <c r="X1607" i="5" s="1"/>
  <c r="Q1607" i="5"/>
  <c r="R1607" i="5" s="1"/>
  <c r="S1607" i="5" s="1"/>
  <c r="T1607" i="5" s="1"/>
  <c r="U1607" i="5" s="1"/>
  <c r="V1607" i="5" s="1"/>
  <c r="P1607" i="5"/>
  <c r="AE1607" i="5" s="1"/>
  <c r="AF1607" i="5" s="1"/>
  <c r="O1607" i="5"/>
  <c r="N1607" i="5"/>
  <c r="AC1606" i="5"/>
  <c r="AD1606" i="5" s="1"/>
  <c r="AA1606" i="5"/>
  <c r="AB1606" i="5" s="1"/>
  <c r="Y1606" i="5"/>
  <c r="Z1606" i="5" s="1"/>
  <c r="W1606" i="5"/>
  <c r="X1606" i="5" s="1"/>
  <c r="Q1606" i="5"/>
  <c r="R1606" i="5" s="1"/>
  <c r="S1606" i="5" s="1"/>
  <c r="T1606" i="5" s="1"/>
  <c r="U1606" i="5" s="1"/>
  <c r="V1606" i="5" s="1"/>
  <c r="P1606" i="5"/>
  <c r="AE1606" i="5" s="1"/>
  <c r="AF1606" i="5" s="1"/>
  <c r="O1606" i="5"/>
  <c r="N1606" i="5"/>
  <c r="AC1605" i="5"/>
  <c r="AD1605" i="5" s="1"/>
  <c r="AA1605" i="5"/>
  <c r="AB1605" i="5" s="1"/>
  <c r="Y1605" i="5"/>
  <c r="Z1605" i="5" s="1"/>
  <c r="W1605" i="5"/>
  <c r="X1605" i="5" s="1"/>
  <c r="Q1605" i="5"/>
  <c r="R1605" i="5" s="1"/>
  <c r="S1605" i="5" s="1"/>
  <c r="T1605" i="5" s="1"/>
  <c r="U1605" i="5" s="1"/>
  <c r="V1605" i="5" s="1"/>
  <c r="P1605" i="5"/>
  <c r="AE1605" i="5" s="1"/>
  <c r="AF1605" i="5" s="1"/>
  <c r="O1605" i="5"/>
  <c r="N1605" i="5"/>
  <c r="AC1604" i="5"/>
  <c r="AD1604" i="5" s="1"/>
  <c r="AA1604" i="5"/>
  <c r="AB1604" i="5" s="1"/>
  <c r="Y1604" i="5"/>
  <c r="Z1604" i="5" s="1"/>
  <c r="W1604" i="5"/>
  <c r="X1604" i="5" s="1"/>
  <c r="Q1604" i="5"/>
  <c r="R1604" i="5" s="1"/>
  <c r="S1604" i="5" s="1"/>
  <c r="T1604" i="5" s="1"/>
  <c r="U1604" i="5" s="1"/>
  <c r="V1604" i="5" s="1"/>
  <c r="P1604" i="5"/>
  <c r="AE1604" i="5" s="1"/>
  <c r="AF1604" i="5" s="1"/>
  <c r="O1604" i="5"/>
  <c r="N1604" i="5"/>
  <c r="AC1603" i="5"/>
  <c r="AD1603" i="5" s="1"/>
  <c r="AA1603" i="5"/>
  <c r="AB1603" i="5" s="1"/>
  <c r="Y1603" i="5"/>
  <c r="Z1603" i="5" s="1"/>
  <c r="W1603" i="5"/>
  <c r="X1603" i="5" s="1"/>
  <c r="Q1603" i="5"/>
  <c r="R1603" i="5" s="1"/>
  <c r="S1603" i="5" s="1"/>
  <c r="T1603" i="5" s="1"/>
  <c r="U1603" i="5" s="1"/>
  <c r="V1603" i="5" s="1"/>
  <c r="P1603" i="5"/>
  <c r="AE1603" i="5" s="1"/>
  <c r="AF1603" i="5" s="1"/>
  <c r="O1603" i="5"/>
  <c r="N1603" i="5"/>
  <c r="AC1602" i="5"/>
  <c r="AD1602" i="5" s="1"/>
  <c r="AA1602" i="5"/>
  <c r="AB1602" i="5" s="1"/>
  <c r="Y1602" i="5"/>
  <c r="Z1602" i="5" s="1"/>
  <c r="W1602" i="5"/>
  <c r="X1602" i="5" s="1"/>
  <c r="Q1602" i="5"/>
  <c r="R1602" i="5" s="1"/>
  <c r="S1602" i="5" s="1"/>
  <c r="T1602" i="5" s="1"/>
  <c r="U1602" i="5" s="1"/>
  <c r="V1602" i="5" s="1"/>
  <c r="P1602" i="5"/>
  <c r="AE1602" i="5" s="1"/>
  <c r="AF1602" i="5" s="1"/>
  <c r="O1602" i="5"/>
  <c r="N1602" i="5"/>
  <c r="AC1601" i="5"/>
  <c r="AD1601" i="5" s="1"/>
  <c r="AA1601" i="5"/>
  <c r="AB1601" i="5" s="1"/>
  <c r="Y1601" i="5"/>
  <c r="Z1601" i="5" s="1"/>
  <c r="W1601" i="5"/>
  <c r="X1601" i="5" s="1"/>
  <c r="Q1601" i="5"/>
  <c r="R1601" i="5" s="1"/>
  <c r="S1601" i="5" s="1"/>
  <c r="T1601" i="5" s="1"/>
  <c r="U1601" i="5" s="1"/>
  <c r="V1601" i="5" s="1"/>
  <c r="P1601" i="5"/>
  <c r="AE1601" i="5" s="1"/>
  <c r="AF1601" i="5" s="1"/>
  <c r="O1601" i="5"/>
  <c r="N1601" i="5"/>
  <c r="AC1600" i="5"/>
  <c r="AD1600" i="5" s="1"/>
  <c r="AA1600" i="5"/>
  <c r="AB1600" i="5" s="1"/>
  <c r="Y1600" i="5"/>
  <c r="Z1600" i="5" s="1"/>
  <c r="W1600" i="5"/>
  <c r="X1600" i="5" s="1"/>
  <c r="Q1600" i="5"/>
  <c r="R1600" i="5" s="1"/>
  <c r="S1600" i="5" s="1"/>
  <c r="T1600" i="5" s="1"/>
  <c r="U1600" i="5" s="1"/>
  <c r="V1600" i="5" s="1"/>
  <c r="P1600" i="5"/>
  <c r="AE1600" i="5" s="1"/>
  <c r="AF1600" i="5" s="1"/>
  <c r="O1600" i="5"/>
  <c r="N1600" i="5"/>
  <c r="AC1599" i="5"/>
  <c r="AD1599" i="5" s="1"/>
  <c r="AA1599" i="5"/>
  <c r="AB1599" i="5" s="1"/>
  <c r="Y1599" i="5"/>
  <c r="Z1599" i="5" s="1"/>
  <c r="W1599" i="5"/>
  <c r="X1599" i="5" s="1"/>
  <c r="Q1599" i="5"/>
  <c r="R1599" i="5" s="1"/>
  <c r="S1599" i="5" s="1"/>
  <c r="T1599" i="5" s="1"/>
  <c r="U1599" i="5" s="1"/>
  <c r="V1599" i="5" s="1"/>
  <c r="P1599" i="5"/>
  <c r="AE1599" i="5" s="1"/>
  <c r="AF1599" i="5" s="1"/>
  <c r="O1599" i="5"/>
  <c r="N1599" i="5"/>
  <c r="AC1598" i="5"/>
  <c r="AD1598" i="5" s="1"/>
  <c r="AA1598" i="5"/>
  <c r="AB1598" i="5" s="1"/>
  <c r="Y1598" i="5"/>
  <c r="Z1598" i="5" s="1"/>
  <c r="W1598" i="5"/>
  <c r="X1598" i="5" s="1"/>
  <c r="Q1598" i="5"/>
  <c r="R1598" i="5" s="1"/>
  <c r="S1598" i="5" s="1"/>
  <c r="T1598" i="5" s="1"/>
  <c r="U1598" i="5" s="1"/>
  <c r="V1598" i="5" s="1"/>
  <c r="P1598" i="5"/>
  <c r="AE1598" i="5" s="1"/>
  <c r="AF1598" i="5" s="1"/>
  <c r="O1598" i="5"/>
  <c r="N1598" i="5"/>
  <c r="AC1597" i="5"/>
  <c r="AD1597" i="5" s="1"/>
  <c r="AA1597" i="5"/>
  <c r="AB1597" i="5" s="1"/>
  <c r="Y1597" i="5"/>
  <c r="Z1597" i="5" s="1"/>
  <c r="W1597" i="5"/>
  <c r="X1597" i="5" s="1"/>
  <c r="Q1597" i="5"/>
  <c r="R1597" i="5" s="1"/>
  <c r="S1597" i="5" s="1"/>
  <c r="T1597" i="5" s="1"/>
  <c r="U1597" i="5" s="1"/>
  <c r="V1597" i="5" s="1"/>
  <c r="P1597" i="5"/>
  <c r="AE1597" i="5" s="1"/>
  <c r="AF1597" i="5" s="1"/>
  <c r="O1597" i="5"/>
  <c r="N1597" i="5"/>
  <c r="AC1596" i="5"/>
  <c r="AD1596" i="5" s="1"/>
  <c r="AA1596" i="5"/>
  <c r="AB1596" i="5" s="1"/>
  <c r="Y1596" i="5"/>
  <c r="Z1596" i="5" s="1"/>
  <c r="W1596" i="5"/>
  <c r="X1596" i="5" s="1"/>
  <c r="Q1596" i="5"/>
  <c r="R1596" i="5" s="1"/>
  <c r="S1596" i="5" s="1"/>
  <c r="T1596" i="5" s="1"/>
  <c r="U1596" i="5" s="1"/>
  <c r="V1596" i="5" s="1"/>
  <c r="P1596" i="5"/>
  <c r="AE1596" i="5" s="1"/>
  <c r="AF1596" i="5" s="1"/>
  <c r="O1596" i="5"/>
  <c r="N1596" i="5"/>
  <c r="AC1595" i="5"/>
  <c r="AD1595" i="5" s="1"/>
  <c r="AA1595" i="5"/>
  <c r="AB1595" i="5" s="1"/>
  <c r="Y1595" i="5"/>
  <c r="Z1595" i="5" s="1"/>
  <c r="W1595" i="5"/>
  <c r="X1595" i="5" s="1"/>
  <c r="Q1595" i="5"/>
  <c r="R1595" i="5" s="1"/>
  <c r="S1595" i="5" s="1"/>
  <c r="T1595" i="5" s="1"/>
  <c r="U1595" i="5" s="1"/>
  <c r="V1595" i="5" s="1"/>
  <c r="P1595" i="5"/>
  <c r="AE1595" i="5" s="1"/>
  <c r="AF1595" i="5" s="1"/>
  <c r="O1595" i="5"/>
  <c r="N1595" i="5"/>
  <c r="AC1594" i="5"/>
  <c r="AD1594" i="5" s="1"/>
  <c r="AA1594" i="5"/>
  <c r="AB1594" i="5" s="1"/>
  <c r="Y1594" i="5"/>
  <c r="Z1594" i="5" s="1"/>
  <c r="W1594" i="5"/>
  <c r="X1594" i="5" s="1"/>
  <c r="Q1594" i="5"/>
  <c r="R1594" i="5" s="1"/>
  <c r="S1594" i="5" s="1"/>
  <c r="T1594" i="5" s="1"/>
  <c r="U1594" i="5" s="1"/>
  <c r="V1594" i="5" s="1"/>
  <c r="P1594" i="5"/>
  <c r="AE1594" i="5" s="1"/>
  <c r="AF1594" i="5" s="1"/>
  <c r="O1594" i="5"/>
  <c r="N1594" i="5"/>
  <c r="AC1593" i="5"/>
  <c r="AD1593" i="5" s="1"/>
  <c r="AA1593" i="5"/>
  <c r="AB1593" i="5" s="1"/>
  <c r="Y1593" i="5"/>
  <c r="Z1593" i="5" s="1"/>
  <c r="W1593" i="5"/>
  <c r="X1593" i="5" s="1"/>
  <c r="Q1593" i="5"/>
  <c r="R1593" i="5" s="1"/>
  <c r="S1593" i="5" s="1"/>
  <c r="T1593" i="5" s="1"/>
  <c r="U1593" i="5" s="1"/>
  <c r="V1593" i="5" s="1"/>
  <c r="P1593" i="5"/>
  <c r="AE1593" i="5" s="1"/>
  <c r="AF1593" i="5" s="1"/>
  <c r="O1593" i="5"/>
  <c r="N1593" i="5"/>
  <c r="AC1592" i="5"/>
  <c r="AD1592" i="5" s="1"/>
  <c r="AA1592" i="5"/>
  <c r="AB1592" i="5" s="1"/>
  <c r="Y1592" i="5"/>
  <c r="Z1592" i="5" s="1"/>
  <c r="W1592" i="5"/>
  <c r="X1592" i="5" s="1"/>
  <c r="Q1592" i="5"/>
  <c r="R1592" i="5" s="1"/>
  <c r="S1592" i="5" s="1"/>
  <c r="T1592" i="5" s="1"/>
  <c r="U1592" i="5" s="1"/>
  <c r="V1592" i="5" s="1"/>
  <c r="P1592" i="5"/>
  <c r="AE1592" i="5" s="1"/>
  <c r="AF1592" i="5" s="1"/>
  <c r="O1592" i="5"/>
  <c r="N1592" i="5"/>
  <c r="AC1591" i="5"/>
  <c r="AD1591" i="5" s="1"/>
  <c r="AA1591" i="5"/>
  <c r="AB1591" i="5" s="1"/>
  <c r="Y1591" i="5"/>
  <c r="Z1591" i="5" s="1"/>
  <c r="W1591" i="5"/>
  <c r="X1591" i="5" s="1"/>
  <c r="Q1591" i="5"/>
  <c r="R1591" i="5" s="1"/>
  <c r="S1591" i="5" s="1"/>
  <c r="T1591" i="5" s="1"/>
  <c r="U1591" i="5" s="1"/>
  <c r="V1591" i="5" s="1"/>
  <c r="P1591" i="5"/>
  <c r="AE1591" i="5" s="1"/>
  <c r="AF1591" i="5" s="1"/>
  <c r="O1591" i="5"/>
  <c r="N1591" i="5"/>
  <c r="AC1590" i="5"/>
  <c r="AD1590" i="5" s="1"/>
  <c r="AA1590" i="5"/>
  <c r="AB1590" i="5" s="1"/>
  <c r="Y1590" i="5"/>
  <c r="Z1590" i="5" s="1"/>
  <c r="W1590" i="5"/>
  <c r="X1590" i="5" s="1"/>
  <c r="Q1590" i="5"/>
  <c r="R1590" i="5" s="1"/>
  <c r="S1590" i="5" s="1"/>
  <c r="T1590" i="5" s="1"/>
  <c r="U1590" i="5" s="1"/>
  <c r="V1590" i="5" s="1"/>
  <c r="P1590" i="5"/>
  <c r="AE1590" i="5" s="1"/>
  <c r="AF1590" i="5" s="1"/>
  <c r="O1590" i="5"/>
  <c r="N1590" i="5"/>
  <c r="AC1589" i="5"/>
  <c r="AD1589" i="5" s="1"/>
  <c r="AA1589" i="5"/>
  <c r="AB1589" i="5" s="1"/>
  <c r="Y1589" i="5"/>
  <c r="Z1589" i="5" s="1"/>
  <c r="W1589" i="5"/>
  <c r="X1589" i="5" s="1"/>
  <c r="Q1589" i="5"/>
  <c r="R1589" i="5" s="1"/>
  <c r="S1589" i="5" s="1"/>
  <c r="T1589" i="5" s="1"/>
  <c r="U1589" i="5" s="1"/>
  <c r="V1589" i="5" s="1"/>
  <c r="P1589" i="5"/>
  <c r="AE1589" i="5" s="1"/>
  <c r="AF1589" i="5" s="1"/>
  <c r="O1589" i="5"/>
  <c r="N1589" i="5"/>
  <c r="AC1588" i="5"/>
  <c r="AD1588" i="5" s="1"/>
  <c r="AA1588" i="5"/>
  <c r="AB1588" i="5" s="1"/>
  <c r="Y1588" i="5"/>
  <c r="Z1588" i="5" s="1"/>
  <c r="W1588" i="5"/>
  <c r="X1588" i="5" s="1"/>
  <c r="Q1588" i="5"/>
  <c r="R1588" i="5" s="1"/>
  <c r="S1588" i="5" s="1"/>
  <c r="T1588" i="5" s="1"/>
  <c r="U1588" i="5" s="1"/>
  <c r="V1588" i="5" s="1"/>
  <c r="P1588" i="5"/>
  <c r="AE1588" i="5" s="1"/>
  <c r="AF1588" i="5" s="1"/>
  <c r="O1588" i="5"/>
  <c r="N1588" i="5"/>
  <c r="AC1587" i="5"/>
  <c r="AD1587" i="5" s="1"/>
  <c r="AA1587" i="5"/>
  <c r="AB1587" i="5" s="1"/>
  <c r="Y1587" i="5"/>
  <c r="Z1587" i="5" s="1"/>
  <c r="W1587" i="5"/>
  <c r="X1587" i="5" s="1"/>
  <c r="Q1587" i="5"/>
  <c r="R1587" i="5" s="1"/>
  <c r="S1587" i="5" s="1"/>
  <c r="T1587" i="5" s="1"/>
  <c r="U1587" i="5" s="1"/>
  <c r="V1587" i="5" s="1"/>
  <c r="P1587" i="5"/>
  <c r="AE1587" i="5" s="1"/>
  <c r="AF1587" i="5" s="1"/>
  <c r="O1587" i="5"/>
  <c r="N1587" i="5"/>
  <c r="AC1586" i="5"/>
  <c r="AD1586" i="5" s="1"/>
  <c r="AA1586" i="5"/>
  <c r="AB1586" i="5" s="1"/>
  <c r="Y1586" i="5"/>
  <c r="Z1586" i="5" s="1"/>
  <c r="W1586" i="5"/>
  <c r="X1586" i="5" s="1"/>
  <c r="Q1586" i="5"/>
  <c r="R1586" i="5" s="1"/>
  <c r="S1586" i="5" s="1"/>
  <c r="T1586" i="5" s="1"/>
  <c r="U1586" i="5" s="1"/>
  <c r="V1586" i="5" s="1"/>
  <c r="P1586" i="5"/>
  <c r="AE1586" i="5" s="1"/>
  <c r="AF1586" i="5" s="1"/>
  <c r="O1586" i="5"/>
  <c r="N1586" i="5"/>
  <c r="AC1585" i="5"/>
  <c r="AD1585" i="5" s="1"/>
  <c r="AA1585" i="5"/>
  <c r="AB1585" i="5" s="1"/>
  <c r="Y1585" i="5"/>
  <c r="Z1585" i="5" s="1"/>
  <c r="W1585" i="5"/>
  <c r="X1585" i="5" s="1"/>
  <c r="Q1585" i="5"/>
  <c r="R1585" i="5" s="1"/>
  <c r="S1585" i="5" s="1"/>
  <c r="T1585" i="5" s="1"/>
  <c r="U1585" i="5" s="1"/>
  <c r="V1585" i="5" s="1"/>
  <c r="P1585" i="5"/>
  <c r="AE1585" i="5" s="1"/>
  <c r="AF1585" i="5" s="1"/>
  <c r="O1585" i="5"/>
  <c r="N1585" i="5"/>
  <c r="AC1584" i="5"/>
  <c r="AD1584" i="5" s="1"/>
  <c r="AA1584" i="5"/>
  <c r="AB1584" i="5" s="1"/>
  <c r="Y1584" i="5"/>
  <c r="Z1584" i="5" s="1"/>
  <c r="W1584" i="5"/>
  <c r="X1584" i="5" s="1"/>
  <c r="Q1584" i="5"/>
  <c r="R1584" i="5" s="1"/>
  <c r="S1584" i="5" s="1"/>
  <c r="T1584" i="5" s="1"/>
  <c r="U1584" i="5" s="1"/>
  <c r="V1584" i="5" s="1"/>
  <c r="P1584" i="5"/>
  <c r="AE1584" i="5" s="1"/>
  <c r="AF1584" i="5" s="1"/>
  <c r="O1584" i="5"/>
  <c r="N1584" i="5"/>
  <c r="AC1583" i="5"/>
  <c r="AD1583" i="5" s="1"/>
  <c r="AA1583" i="5"/>
  <c r="AB1583" i="5" s="1"/>
  <c r="Y1583" i="5"/>
  <c r="Z1583" i="5" s="1"/>
  <c r="W1583" i="5"/>
  <c r="X1583" i="5" s="1"/>
  <c r="Q1583" i="5"/>
  <c r="R1583" i="5" s="1"/>
  <c r="S1583" i="5" s="1"/>
  <c r="T1583" i="5" s="1"/>
  <c r="U1583" i="5" s="1"/>
  <c r="V1583" i="5" s="1"/>
  <c r="P1583" i="5"/>
  <c r="AE1583" i="5" s="1"/>
  <c r="AF1583" i="5" s="1"/>
  <c r="O1583" i="5"/>
  <c r="N1583" i="5"/>
  <c r="AC1582" i="5"/>
  <c r="AD1582" i="5" s="1"/>
  <c r="AA1582" i="5"/>
  <c r="AB1582" i="5" s="1"/>
  <c r="Y1582" i="5"/>
  <c r="Z1582" i="5" s="1"/>
  <c r="W1582" i="5"/>
  <c r="X1582" i="5" s="1"/>
  <c r="Q1582" i="5"/>
  <c r="R1582" i="5" s="1"/>
  <c r="S1582" i="5" s="1"/>
  <c r="T1582" i="5" s="1"/>
  <c r="U1582" i="5" s="1"/>
  <c r="V1582" i="5" s="1"/>
  <c r="P1582" i="5"/>
  <c r="AE1582" i="5" s="1"/>
  <c r="AF1582" i="5" s="1"/>
  <c r="O1582" i="5"/>
  <c r="N1582" i="5"/>
  <c r="AC1581" i="5"/>
  <c r="AD1581" i="5" s="1"/>
  <c r="AA1581" i="5"/>
  <c r="AB1581" i="5" s="1"/>
  <c r="Y1581" i="5"/>
  <c r="Z1581" i="5" s="1"/>
  <c r="W1581" i="5"/>
  <c r="X1581" i="5" s="1"/>
  <c r="Q1581" i="5"/>
  <c r="R1581" i="5" s="1"/>
  <c r="S1581" i="5" s="1"/>
  <c r="T1581" i="5" s="1"/>
  <c r="U1581" i="5" s="1"/>
  <c r="V1581" i="5" s="1"/>
  <c r="P1581" i="5"/>
  <c r="AE1581" i="5" s="1"/>
  <c r="AF1581" i="5" s="1"/>
  <c r="O1581" i="5"/>
  <c r="N1581" i="5"/>
  <c r="AC1580" i="5"/>
  <c r="AD1580" i="5" s="1"/>
  <c r="AA1580" i="5"/>
  <c r="AB1580" i="5" s="1"/>
  <c r="Y1580" i="5"/>
  <c r="Z1580" i="5" s="1"/>
  <c r="W1580" i="5"/>
  <c r="X1580" i="5" s="1"/>
  <c r="Q1580" i="5"/>
  <c r="R1580" i="5" s="1"/>
  <c r="S1580" i="5" s="1"/>
  <c r="T1580" i="5" s="1"/>
  <c r="U1580" i="5" s="1"/>
  <c r="V1580" i="5" s="1"/>
  <c r="P1580" i="5"/>
  <c r="AE1580" i="5" s="1"/>
  <c r="AF1580" i="5" s="1"/>
  <c r="O1580" i="5"/>
  <c r="N1580" i="5"/>
  <c r="AC1579" i="5"/>
  <c r="AD1579" i="5" s="1"/>
  <c r="AA1579" i="5"/>
  <c r="AB1579" i="5" s="1"/>
  <c r="Y1579" i="5"/>
  <c r="Z1579" i="5" s="1"/>
  <c r="W1579" i="5"/>
  <c r="X1579" i="5" s="1"/>
  <c r="Q1579" i="5"/>
  <c r="R1579" i="5" s="1"/>
  <c r="S1579" i="5" s="1"/>
  <c r="T1579" i="5" s="1"/>
  <c r="U1579" i="5" s="1"/>
  <c r="V1579" i="5" s="1"/>
  <c r="P1579" i="5"/>
  <c r="AE1579" i="5" s="1"/>
  <c r="AF1579" i="5" s="1"/>
  <c r="O1579" i="5"/>
  <c r="N1579" i="5"/>
  <c r="AC1578" i="5"/>
  <c r="AD1578" i="5" s="1"/>
  <c r="AA1578" i="5"/>
  <c r="AB1578" i="5" s="1"/>
  <c r="Y1578" i="5"/>
  <c r="Z1578" i="5" s="1"/>
  <c r="W1578" i="5"/>
  <c r="X1578" i="5" s="1"/>
  <c r="Q1578" i="5"/>
  <c r="R1578" i="5" s="1"/>
  <c r="S1578" i="5" s="1"/>
  <c r="T1578" i="5" s="1"/>
  <c r="U1578" i="5" s="1"/>
  <c r="V1578" i="5" s="1"/>
  <c r="P1578" i="5"/>
  <c r="AE1578" i="5" s="1"/>
  <c r="AF1578" i="5" s="1"/>
  <c r="O1578" i="5"/>
  <c r="N1578" i="5"/>
  <c r="AC1577" i="5"/>
  <c r="AD1577" i="5" s="1"/>
  <c r="AA1577" i="5"/>
  <c r="AB1577" i="5" s="1"/>
  <c r="Y1577" i="5"/>
  <c r="Z1577" i="5" s="1"/>
  <c r="W1577" i="5"/>
  <c r="X1577" i="5" s="1"/>
  <c r="Q1577" i="5"/>
  <c r="R1577" i="5" s="1"/>
  <c r="S1577" i="5" s="1"/>
  <c r="T1577" i="5" s="1"/>
  <c r="U1577" i="5" s="1"/>
  <c r="V1577" i="5" s="1"/>
  <c r="P1577" i="5"/>
  <c r="AE1577" i="5" s="1"/>
  <c r="AF1577" i="5" s="1"/>
  <c r="O1577" i="5"/>
  <c r="N1577" i="5"/>
  <c r="AC1576" i="5"/>
  <c r="AD1576" i="5" s="1"/>
  <c r="AA1576" i="5"/>
  <c r="AB1576" i="5" s="1"/>
  <c r="Y1576" i="5"/>
  <c r="Z1576" i="5" s="1"/>
  <c r="W1576" i="5"/>
  <c r="X1576" i="5" s="1"/>
  <c r="Q1576" i="5"/>
  <c r="R1576" i="5" s="1"/>
  <c r="S1576" i="5" s="1"/>
  <c r="T1576" i="5" s="1"/>
  <c r="U1576" i="5" s="1"/>
  <c r="V1576" i="5" s="1"/>
  <c r="P1576" i="5"/>
  <c r="AE1576" i="5" s="1"/>
  <c r="AF1576" i="5" s="1"/>
  <c r="O1576" i="5"/>
  <c r="N1576" i="5"/>
  <c r="AC1575" i="5"/>
  <c r="AD1575" i="5" s="1"/>
  <c r="AA1575" i="5"/>
  <c r="AB1575" i="5" s="1"/>
  <c r="Y1575" i="5"/>
  <c r="Z1575" i="5" s="1"/>
  <c r="W1575" i="5"/>
  <c r="X1575" i="5" s="1"/>
  <c r="Q1575" i="5"/>
  <c r="R1575" i="5" s="1"/>
  <c r="S1575" i="5" s="1"/>
  <c r="T1575" i="5" s="1"/>
  <c r="U1575" i="5" s="1"/>
  <c r="V1575" i="5" s="1"/>
  <c r="P1575" i="5"/>
  <c r="AE1575" i="5" s="1"/>
  <c r="AF1575" i="5" s="1"/>
  <c r="O1575" i="5"/>
  <c r="N1575" i="5"/>
  <c r="AC1574" i="5"/>
  <c r="AD1574" i="5" s="1"/>
  <c r="AA1574" i="5"/>
  <c r="AB1574" i="5" s="1"/>
  <c r="Y1574" i="5"/>
  <c r="Z1574" i="5" s="1"/>
  <c r="W1574" i="5"/>
  <c r="X1574" i="5" s="1"/>
  <c r="Q1574" i="5"/>
  <c r="R1574" i="5" s="1"/>
  <c r="S1574" i="5" s="1"/>
  <c r="T1574" i="5" s="1"/>
  <c r="U1574" i="5" s="1"/>
  <c r="V1574" i="5" s="1"/>
  <c r="P1574" i="5"/>
  <c r="AE1574" i="5" s="1"/>
  <c r="AF1574" i="5" s="1"/>
  <c r="O1574" i="5"/>
  <c r="N1574" i="5"/>
  <c r="AC1573" i="5"/>
  <c r="AD1573" i="5" s="1"/>
  <c r="AA1573" i="5"/>
  <c r="AB1573" i="5" s="1"/>
  <c r="Y1573" i="5"/>
  <c r="Z1573" i="5" s="1"/>
  <c r="W1573" i="5"/>
  <c r="X1573" i="5" s="1"/>
  <c r="Q1573" i="5"/>
  <c r="R1573" i="5" s="1"/>
  <c r="S1573" i="5" s="1"/>
  <c r="T1573" i="5" s="1"/>
  <c r="U1573" i="5" s="1"/>
  <c r="V1573" i="5" s="1"/>
  <c r="P1573" i="5"/>
  <c r="AE1573" i="5" s="1"/>
  <c r="AF1573" i="5" s="1"/>
  <c r="O1573" i="5"/>
  <c r="N1573" i="5"/>
  <c r="AC1572" i="5"/>
  <c r="AD1572" i="5" s="1"/>
  <c r="AA1572" i="5"/>
  <c r="AB1572" i="5" s="1"/>
  <c r="Y1572" i="5"/>
  <c r="Z1572" i="5" s="1"/>
  <c r="W1572" i="5"/>
  <c r="X1572" i="5" s="1"/>
  <c r="Q1572" i="5"/>
  <c r="R1572" i="5" s="1"/>
  <c r="S1572" i="5" s="1"/>
  <c r="T1572" i="5" s="1"/>
  <c r="U1572" i="5" s="1"/>
  <c r="V1572" i="5" s="1"/>
  <c r="P1572" i="5"/>
  <c r="AE1572" i="5" s="1"/>
  <c r="AF1572" i="5" s="1"/>
  <c r="O1572" i="5"/>
  <c r="N1572" i="5"/>
  <c r="AC1571" i="5"/>
  <c r="AD1571" i="5" s="1"/>
  <c r="AA1571" i="5"/>
  <c r="AB1571" i="5" s="1"/>
  <c r="Y1571" i="5"/>
  <c r="Z1571" i="5" s="1"/>
  <c r="W1571" i="5"/>
  <c r="X1571" i="5" s="1"/>
  <c r="Q1571" i="5"/>
  <c r="R1571" i="5" s="1"/>
  <c r="S1571" i="5" s="1"/>
  <c r="T1571" i="5" s="1"/>
  <c r="U1571" i="5" s="1"/>
  <c r="V1571" i="5" s="1"/>
  <c r="P1571" i="5"/>
  <c r="AE1571" i="5" s="1"/>
  <c r="AF1571" i="5" s="1"/>
  <c r="O1571" i="5"/>
  <c r="N1571" i="5"/>
  <c r="AC1570" i="5"/>
  <c r="AD1570" i="5" s="1"/>
  <c r="AA1570" i="5"/>
  <c r="AB1570" i="5" s="1"/>
  <c r="Y1570" i="5"/>
  <c r="Z1570" i="5" s="1"/>
  <c r="W1570" i="5"/>
  <c r="X1570" i="5" s="1"/>
  <c r="Q1570" i="5"/>
  <c r="R1570" i="5" s="1"/>
  <c r="S1570" i="5" s="1"/>
  <c r="T1570" i="5" s="1"/>
  <c r="U1570" i="5" s="1"/>
  <c r="V1570" i="5" s="1"/>
  <c r="P1570" i="5"/>
  <c r="AE1570" i="5" s="1"/>
  <c r="AF1570" i="5" s="1"/>
  <c r="O1570" i="5"/>
  <c r="N1570" i="5"/>
  <c r="AC1569" i="5"/>
  <c r="AD1569" i="5" s="1"/>
  <c r="AA1569" i="5"/>
  <c r="AB1569" i="5" s="1"/>
  <c r="Y1569" i="5"/>
  <c r="Z1569" i="5" s="1"/>
  <c r="W1569" i="5"/>
  <c r="X1569" i="5" s="1"/>
  <c r="Q1569" i="5"/>
  <c r="R1569" i="5" s="1"/>
  <c r="S1569" i="5" s="1"/>
  <c r="T1569" i="5" s="1"/>
  <c r="U1569" i="5" s="1"/>
  <c r="V1569" i="5" s="1"/>
  <c r="P1569" i="5"/>
  <c r="AE1569" i="5" s="1"/>
  <c r="AF1569" i="5" s="1"/>
  <c r="O1569" i="5"/>
  <c r="N1569" i="5"/>
  <c r="AC1568" i="5"/>
  <c r="AD1568" i="5" s="1"/>
  <c r="AA1568" i="5"/>
  <c r="AB1568" i="5" s="1"/>
  <c r="Y1568" i="5"/>
  <c r="Z1568" i="5" s="1"/>
  <c r="W1568" i="5"/>
  <c r="X1568" i="5" s="1"/>
  <c r="Q1568" i="5"/>
  <c r="R1568" i="5" s="1"/>
  <c r="S1568" i="5" s="1"/>
  <c r="T1568" i="5" s="1"/>
  <c r="U1568" i="5" s="1"/>
  <c r="V1568" i="5" s="1"/>
  <c r="P1568" i="5"/>
  <c r="AE1568" i="5" s="1"/>
  <c r="AF1568" i="5" s="1"/>
  <c r="O1568" i="5"/>
  <c r="N1568" i="5"/>
  <c r="AC1567" i="5"/>
  <c r="AD1567" i="5" s="1"/>
  <c r="AA1567" i="5"/>
  <c r="AB1567" i="5" s="1"/>
  <c r="Y1567" i="5"/>
  <c r="Z1567" i="5" s="1"/>
  <c r="W1567" i="5"/>
  <c r="X1567" i="5" s="1"/>
  <c r="Q1567" i="5"/>
  <c r="R1567" i="5" s="1"/>
  <c r="S1567" i="5" s="1"/>
  <c r="T1567" i="5" s="1"/>
  <c r="U1567" i="5" s="1"/>
  <c r="V1567" i="5" s="1"/>
  <c r="P1567" i="5"/>
  <c r="AE1567" i="5" s="1"/>
  <c r="AF1567" i="5" s="1"/>
  <c r="O1567" i="5"/>
  <c r="N1567" i="5"/>
  <c r="AC1566" i="5"/>
  <c r="AD1566" i="5" s="1"/>
  <c r="AA1566" i="5"/>
  <c r="AB1566" i="5" s="1"/>
  <c r="Y1566" i="5"/>
  <c r="Z1566" i="5" s="1"/>
  <c r="W1566" i="5"/>
  <c r="X1566" i="5" s="1"/>
  <c r="Q1566" i="5"/>
  <c r="R1566" i="5" s="1"/>
  <c r="S1566" i="5" s="1"/>
  <c r="T1566" i="5" s="1"/>
  <c r="U1566" i="5" s="1"/>
  <c r="V1566" i="5" s="1"/>
  <c r="P1566" i="5"/>
  <c r="AE1566" i="5" s="1"/>
  <c r="AF1566" i="5" s="1"/>
  <c r="O1566" i="5"/>
  <c r="N1566" i="5"/>
  <c r="AC1565" i="5"/>
  <c r="AD1565" i="5" s="1"/>
  <c r="AA1565" i="5"/>
  <c r="AB1565" i="5" s="1"/>
  <c r="Y1565" i="5"/>
  <c r="Z1565" i="5" s="1"/>
  <c r="W1565" i="5"/>
  <c r="X1565" i="5" s="1"/>
  <c r="Q1565" i="5"/>
  <c r="R1565" i="5" s="1"/>
  <c r="S1565" i="5" s="1"/>
  <c r="T1565" i="5" s="1"/>
  <c r="U1565" i="5" s="1"/>
  <c r="V1565" i="5" s="1"/>
  <c r="P1565" i="5"/>
  <c r="AE1565" i="5" s="1"/>
  <c r="AF1565" i="5" s="1"/>
  <c r="O1565" i="5"/>
  <c r="N1565" i="5"/>
  <c r="AC1564" i="5"/>
  <c r="AD1564" i="5" s="1"/>
  <c r="AA1564" i="5"/>
  <c r="AB1564" i="5" s="1"/>
  <c r="Y1564" i="5"/>
  <c r="Z1564" i="5" s="1"/>
  <c r="W1564" i="5"/>
  <c r="X1564" i="5" s="1"/>
  <c r="Q1564" i="5"/>
  <c r="R1564" i="5" s="1"/>
  <c r="S1564" i="5" s="1"/>
  <c r="T1564" i="5" s="1"/>
  <c r="U1564" i="5" s="1"/>
  <c r="V1564" i="5" s="1"/>
  <c r="P1564" i="5"/>
  <c r="AE1564" i="5" s="1"/>
  <c r="AF1564" i="5" s="1"/>
  <c r="O1564" i="5"/>
  <c r="N1564" i="5"/>
  <c r="AC1563" i="5"/>
  <c r="AD1563" i="5" s="1"/>
  <c r="AA1563" i="5"/>
  <c r="AB1563" i="5" s="1"/>
  <c r="Y1563" i="5"/>
  <c r="Z1563" i="5" s="1"/>
  <c r="W1563" i="5"/>
  <c r="X1563" i="5" s="1"/>
  <c r="Q1563" i="5"/>
  <c r="R1563" i="5" s="1"/>
  <c r="S1563" i="5" s="1"/>
  <c r="T1563" i="5" s="1"/>
  <c r="U1563" i="5" s="1"/>
  <c r="V1563" i="5" s="1"/>
  <c r="P1563" i="5"/>
  <c r="AE1563" i="5" s="1"/>
  <c r="AF1563" i="5" s="1"/>
  <c r="O1563" i="5"/>
  <c r="N1563" i="5"/>
  <c r="AC1562" i="5"/>
  <c r="AD1562" i="5" s="1"/>
  <c r="AA1562" i="5"/>
  <c r="AB1562" i="5" s="1"/>
  <c r="Y1562" i="5"/>
  <c r="Z1562" i="5" s="1"/>
  <c r="W1562" i="5"/>
  <c r="X1562" i="5" s="1"/>
  <c r="Q1562" i="5"/>
  <c r="R1562" i="5" s="1"/>
  <c r="S1562" i="5" s="1"/>
  <c r="T1562" i="5" s="1"/>
  <c r="U1562" i="5" s="1"/>
  <c r="V1562" i="5" s="1"/>
  <c r="P1562" i="5"/>
  <c r="AE1562" i="5" s="1"/>
  <c r="AF1562" i="5" s="1"/>
  <c r="O1562" i="5"/>
  <c r="N1562" i="5"/>
  <c r="AC1561" i="5"/>
  <c r="AD1561" i="5" s="1"/>
  <c r="AA1561" i="5"/>
  <c r="AB1561" i="5" s="1"/>
  <c r="Y1561" i="5"/>
  <c r="Z1561" i="5" s="1"/>
  <c r="W1561" i="5"/>
  <c r="X1561" i="5" s="1"/>
  <c r="Q1561" i="5"/>
  <c r="R1561" i="5" s="1"/>
  <c r="S1561" i="5" s="1"/>
  <c r="T1561" i="5" s="1"/>
  <c r="U1561" i="5" s="1"/>
  <c r="V1561" i="5" s="1"/>
  <c r="P1561" i="5"/>
  <c r="AE1561" i="5" s="1"/>
  <c r="AF1561" i="5" s="1"/>
  <c r="O1561" i="5"/>
  <c r="N1561" i="5"/>
  <c r="AC1560" i="5"/>
  <c r="AD1560" i="5" s="1"/>
  <c r="AA1560" i="5"/>
  <c r="AB1560" i="5" s="1"/>
  <c r="Y1560" i="5"/>
  <c r="Z1560" i="5" s="1"/>
  <c r="W1560" i="5"/>
  <c r="X1560" i="5" s="1"/>
  <c r="Q1560" i="5"/>
  <c r="R1560" i="5" s="1"/>
  <c r="S1560" i="5" s="1"/>
  <c r="T1560" i="5" s="1"/>
  <c r="U1560" i="5" s="1"/>
  <c r="V1560" i="5" s="1"/>
  <c r="P1560" i="5"/>
  <c r="AE1560" i="5" s="1"/>
  <c r="AF1560" i="5" s="1"/>
  <c r="O1560" i="5"/>
  <c r="N1560" i="5"/>
  <c r="AC1559" i="5"/>
  <c r="AD1559" i="5" s="1"/>
  <c r="AA1559" i="5"/>
  <c r="AB1559" i="5" s="1"/>
  <c r="Y1559" i="5"/>
  <c r="Z1559" i="5" s="1"/>
  <c r="W1559" i="5"/>
  <c r="X1559" i="5" s="1"/>
  <c r="Q1559" i="5"/>
  <c r="R1559" i="5" s="1"/>
  <c r="S1559" i="5" s="1"/>
  <c r="T1559" i="5" s="1"/>
  <c r="U1559" i="5" s="1"/>
  <c r="V1559" i="5" s="1"/>
  <c r="P1559" i="5"/>
  <c r="AE1559" i="5" s="1"/>
  <c r="AF1559" i="5" s="1"/>
  <c r="O1559" i="5"/>
  <c r="N1559" i="5"/>
  <c r="AC1558" i="5"/>
  <c r="AD1558" i="5" s="1"/>
  <c r="AA1558" i="5"/>
  <c r="AB1558" i="5" s="1"/>
  <c r="Y1558" i="5"/>
  <c r="Z1558" i="5" s="1"/>
  <c r="W1558" i="5"/>
  <c r="X1558" i="5" s="1"/>
  <c r="Q1558" i="5"/>
  <c r="R1558" i="5" s="1"/>
  <c r="S1558" i="5" s="1"/>
  <c r="T1558" i="5" s="1"/>
  <c r="U1558" i="5" s="1"/>
  <c r="V1558" i="5" s="1"/>
  <c r="P1558" i="5"/>
  <c r="AE1558" i="5" s="1"/>
  <c r="AF1558" i="5" s="1"/>
  <c r="O1558" i="5"/>
  <c r="N1558" i="5"/>
  <c r="AC1557" i="5"/>
  <c r="AD1557" i="5" s="1"/>
  <c r="AA1557" i="5"/>
  <c r="AB1557" i="5" s="1"/>
  <c r="Y1557" i="5"/>
  <c r="Z1557" i="5" s="1"/>
  <c r="W1557" i="5"/>
  <c r="X1557" i="5" s="1"/>
  <c r="Q1557" i="5"/>
  <c r="R1557" i="5" s="1"/>
  <c r="S1557" i="5" s="1"/>
  <c r="T1557" i="5" s="1"/>
  <c r="U1557" i="5" s="1"/>
  <c r="V1557" i="5" s="1"/>
  <c r="P1557" i="5"/>
  <c r="AE1557" i="5" s="1"/>
  <c r="AF1557" i="5" s="1"/>
  <c r="O1557" i="5"/>
  <c r="N1557" i="5"/>
  <c r="AC1556" i="5"/>
  <c r="AD1556" i="5" s="1"/>
  <c r="AA1556" i="5"/>
  <c r="AB1556" i="5" s="1"/>
  <c r="Y1556" i="5"/>
  <c r="Z1556" i="5" s="1"/>
  <c r="W1556" i="5"/>
  <c r="X1556" i="5" s="1"/>
  <c r="Q1556" i="5"/>
  <c r="R1556" i="5" s="1"/>
  <c r="S1556" i="5" s="1"/>
  <c r="T1556" i="5" s="1"/>
  <c r="U1556" i="5" s="1"/>
  <c r="V1556" i="5" s="1"/>
  <c r="P1556" i="5"/>
  <c r="AE1556" i="5" s="1"/>
  <c r="AF1556" i="5" s="1"/>
  <c r="O1556" i="5"/>
  <c r="N1556" i="5"/>
  <c r="AC1555" i="5"/>
  <c r="AD1555" i="5" s="1"/>
  <c r="AA1555" i="5"/>
  <c r="AB1555" i="5" s="1"/>
  <c r="Y1555" i="5"/>
  <c r="Z1555" i="5" s="1"/>
  <c r="W1555" i="5"/>
  <c r="X1555" i="5" s="1"/>
  <c r="Q1555" i="5"/>
  <c r="R1555" i="5" s="1"/>
  <c r="S1555" i="5" s="1"/>
  <c r="T1555" i="5" s="1"/>
  <c r="U1555" i="5" s="1"/>
  <c r="V1555" i="5" s="1"/>
  <c r="P1555" i="5"/>
  <c r="AE1555" i="5" s="1"/>
  <c r="AF1555" i="5" s="1"/>
  <c r="O1555" i="5"/>
  <c r="N1555" i="5"/>
  <c r="AC1554" i="5"/>
  <c r="AD1554" i="5" s="1"/>
  <c r="AA1554" i="5"/>
  <c r="AB1554" i="5" s="1"/>
  <c r="Y1554" i="5"/>
  <c r="Z1554" i="5" s="1"/>
  <c r="W1554" i="5"/>
  <c r="X1554" i="5" s="1"/>
  <c r="Q1554" i="5"/>
  <c r="R1554" i="5" s="1"/>
  <c r="S1554" i="5" s="1"/>
  <c r="T1554" i="5" s="1"/>
  <c r="U1554" i="5" s="1"/>
  <c r="V1554" i="5" s="1"/>
  <c r="P1554" i="5"/>
  <c r="AE1554" i="5" s="1"/>
  <c r="AF1554" i="5" s="1"/>
  <c r="O1554" i="5"/>
  <c r="N1554" i="5"/>
  <c r="AC1553" i="5"/>
  <c r="AD1553" i="5" s="1"/>
  <c r="AA1553" i="5"/>
  <c r="AB1553" i="5" s="1"/>
  <c r="Y1553" i="5"/>
  <c r="Z1553" i="5" s="1"/>
  <c r="W1553" i="5"/>
  <c r="X1553" i="5" s="1"/>
  <c r="Q1553" i="5"/>
  <c r="R1553" i="5" s="1"/>
  <c r="S1553" i="5" s="1"/>
  <c r="T1553" i="5" s="1"/>
  <c r="U1553" i="5" s="1"/>
  <c r="V1553" i="5" s="1"/>
  <c r="P1553" i="5"/>
  <c r="AE1553" i="5" s="1"/>
  <c r="AF1553" i="5" s="1"/>
  <c r="O1553" i="5"/>
  <c r="N1553" i="5"/>
  <c r="AC1552" i="5"/>
  <c r="AD1552" i="5" s="1"/>
  <c r="AA1552" i="5"/>
  <c r="AB1552" i="5" s="1"/>
  <c r="Y1552" i="5"/>
  <c r="Z1552" i="5" s="1"/>
  <c r="W1552" i="5"/>
  <c r="X1552" i="5" s="1"/>
  <c r="Q1552" i="5"/>
  <c r="R1552" i="5" s="1"/>
  <c r="S1552" i="5" s="1"/>
  <c r="T1552" i="5" s="1"/>
  <c r="U1552" i="5" s="1"/>
  <c r="V1552" i="5" s="1"/>
  <c r="P1552" i="5"/>
  <c r="AE1552" i="5" s="1"/>
  <c r="AF1552" i="5" s="1"/>
  <c r="O1552" i="5"/>
  <c r="N1552" i="5"/>
  <c r="AC1551" i="5"/>
  <c r="AD1551" i="5" s="1"/>
  <c r="AA1551" i="5"/>
  <c r="AB1551" i="5" s="1"/>
  <c r="Y1551" i="5"/>
  <c r="Z1551" i="5" s="1"/>
  <c r="W1551" i="5"/>
  <c r="X1551" i="5" s="1"/>
  <c r="Q1551" i="5"/>
  <c r="R1551" i="5" s="1"/>
  <c r="S1551" i="5" s="1"/>
  <c r="T1551" i="5" s="1"/>
  <c r="U1551" i="5" s="1"/>
  <c r="V1551" i="5" s="1"/>
  <c r="P1551" i="5"/>
  <c r="AE1551" i="5" s="1"/>
  <c r="AF1551" i="5" s="1"/>
  <c r="O1551" i="5"/>
  <c r="N1551" i="5"/>
  <c r="AC1550" i="5"/>
  <c r="AD1550" i="5" s="1"/>
  <c r="AA1550" i="5"/>
  <c r="AB1550" i="5" s="1"/>
  <c r="Y1550" i="5"/>
  <c r="Z1550" i="5" s="1"/>
  <c r="W1550" i="5"/>
  <c r="X1550" i="5" s="1"/>
  <c r="Q1550" i="5"/>
  <c r="R1550" i="5" s="1"/>
  <c r="S1550" i="5" s="1"/>
  <c r="T1550" i="5" s="1"/>
  <c r="U1550" i="5" s="1"/>
  <c r="V1550" i="5" s="1"/>
  <c r="P1550" i="5"/>
  <c r="AE1550" i="5" s="1"/>
  <c r="AF1550" i="5" s="1"/>
  <c r="O1550" i="5"/>
  <c r="N1550" i="5"/>
  <c r="AC1549" i="5"/>
  <c r="AD1549" i="5" s="1"/>
  <c r="AA1549" i="5"/>
  <c r="AB1549" i="5" s="1"/>
  <c r="Y1549" i="5"/>
  <c r="Z1549" i="5" s="1"/>
  <c r="W1549" i="5"/>
  <c r="X1549" i="5" s="1"/>
  <c r="Q1549" i="5"/>
  <c r="R1549" i="5" s="1"/>
  <c r="S1549" i="5" s="1"/>
  <c r="T1549" i="5" s="1"/>
  <c r="U1549" i="5" s="1"/>
  <c r="V1549" i="5" s="1"/>
  <c r="P1549" i="5"/>
  <c r="AE1549" i="5" s="1"/>
  <c r="AF1549" i="5" s="1"/>
  <c r="O1549" i="5"/>
  <c r="N1549" i="5"/>
  <c r="AC1548" i="5"/>
  <c r="AD1548" i="5" s="1"/>
  <c r="AA1548" i="5"/>
  <c r="AB1548" i="5" s="1"/>
  <c r="Y1548" i="5"/>
  <c r="Z1548" i="5" s="1"/>
  <c r="W1548" i="5"/>
  <c r="X1548" i="5" s="1"/>
  <c r="Q1548" i="5"/>
  <c r="R1548" i="5" s="1"/>
  <c r="S1548" i="5" s="1"/>
  <c r="T1548" i="5" s="1"/>
  <c r="U1548" i="5" s="1"/>
  <c r="V1548" i="5" s="1"/>
  <c r="P1548" i="5"/>
  <c r="AE1548" i="5" s="1"/>
  <c r="AF1548" i="5" s="1"/>
  <c r="O1548" i="5"/>
  <c r="N1548" i="5"/>
  <c r="AC1547" i="5"/>
  <c r="AD1547" i="5" s="1"/>
  <c r="AA1547" i="5"/>
  <c r="AB1547" i="5" s="1"/>
  <c r="Y1547" i="5"/>
  <c r="Z1547" i="5" s="1"/>
  <c r="W1547" i="5"/>
  <c r="X1547" i="5" s="1"/>
  <c r="Q1547" i="5"/>
  <c r="R1547" i="5" s="1"/>
  <c r="S1547" i="5" s="1"/>
  <c r="T1547" i="5" s="1"/>
  <c r="U1547" i="5" s="1"/>
  <c r="V1547" i="5" s="1"/>
  <c r="P1547" i="5"/>
  <c r="AE1547" i="5" s="1"/>
  <c r="AF1547" i="5" s="1"/>
  <c r="O1547" i="5"/>
  <c r="N1547" i="5"/>
  <c r="AC1546" i="5"/>
  <c r="AD1546" i="5" s="1"/>
  <c r="AA1546" i="5"/>
  <c r="AB1546" i="5" s="1"/>
  <c r="Y1546" i="5"/>
  <c r="Z1546" i="5" s="1"/>
  <c r="W1546" i="5"/>
  <c r="X1546" i="5" s="1"/>
  <c r="Q1546" i="5"/>
  <c r="R1546" i="5" s="1"/>
  <c r="S1546" i="5" s="1"/>
  <c r="T1546" i="5" s="1"/>
  <c r="U1546" i="5" s="1"/>
  <c r="V1546" i="5" s="1"/>
  <c r="P1546" i="5"/>
  <c r="AE1546" i="5" s="1"/>
  <c r="AF1546" i="5" s="1"/>
  <c r="O1546" i="5"/>
  <c r="N1546" i="5"/>
  <c r="AC1545" i="5"/>
  <c r="AD1545" i="5" s="1"/>
  <c r="AA1545" i="5"/>
  <c r="AB1545" i="5" s="1"/>
  <c r="Y1545" i="5"/>
  <c r="Z1545" i="5" s="1"/>
  <c r="W1545" i="5"/>
  <c r="X1545" i="5" s="1"/>
  <c r="Q1545" i="5"/>
  <c r="R1545" i="5" s="1"/>
  <c r="S1545" i="5" s="1"/>
  <c r="T1545" i="5" s="1"/>
  <c r="U1545" i="5" s="1"/>
  <c r="V1545" i="5" s="1"/>
  <c r="P1545" i="5"/>
  <c r="AE1545" i="5" s="1"/>
  <c r="AF1545" i="5" s="1"/>
  <c r="O1545" i="5"/>
  <c r="N1545" i="5"/>
  <c r="AC1544" i="5"/>
  <c r="AD1544" i="5" s="1"/>
  <c r="AA1544" i="5"/>
  <c r="AB1544" i="5" s="1"/>
  <c r="Y1544" i="5"/>
  <c r="Z1544" i="5" s="1"/>
  <c r="W1544" i="5"/>
  <c r="X1544" i="5" s="1"/>
  <c r="Q1544" i="5"/>
  <c r="R1544" i="5" s="1"/>
  <c r="S1544" i="5" s="1"/>
  <c r="T1544" i="5" s="1"/>
  <c r="U1544" i="5" s="1"/>
  <c r="V1544" i="5" s="1"/>
  <c r="P1544" i="5"/>
  <c r="AE1544" i="5" s="1"/>
  <c r="AF1544" i="5" s="1"/>
  <c r="O1544" i="5"/>
  <c r="N1544" i="5"/>
  <c r="AC1543" i="5"/>
  <c r="AD1543" i="5" s="1"/>
  <c r="AA1543" i="5"/>
  <c r="AB1543" i="5" s="1"/>
  <c r="Y1543" i="5"/>
  <c r="Z1543" i="5" s="1"/>
  <c r="W1543" i="5"/>
  <c r="X1543" i="5" s="1"/>
  <c r="Q1543" i="5"/>
  <c r="R1543" i="5" s="1"/>
  <c r="S1543" i="5" s="1"/>
  <c r="T1543" i="5" s="1"/>
  <c r="U1543" i="5" s="1"/>
  <c r="V1543" i="5" s="1"/>
  <c r="P1543" i="5"/>
  <c r="AE1543" i="5" s="1"/>
  <c r="AF1543" i="5" s="1"/>
  <c r="O1543" i="5"/>
  <c r="N1543" i="5"/>
  <c r="AC1542" i="5"/>
  <c r="AD1542" i="5" s="1"/>
  <c r="AA1542" i="5"/>
  <c r="AB1542" i="5" s="1"/>
  <c r="Y1542" i="5"/>
  <c r="Z1542" i="5" s="1"/>
  <c r="W1542" i="5"/>
  <c r="X1542" i="5" s="1"/>
  <c r="Q1542" i="5"/>
  <c r="R1542" i="5" s="1"/>
  <c r="S1542" i="5" s="1"/>
  <c r="T1542" i="5" s="1"/>
  <c r="U1542" i="5" s="1"/>
  <c r="V1542" i="5" s="1"/>
  <c r="P1542" i="5"/>
  <c r="AE1542" i="5" s="1"/>
  <c r="AF1542" i="5" s="1"/>
  <c r="O1542" i="5"/>
  <c r="N1542" i="5"/>
  <c r="AC1541" i="5"/>
  <c r="AD1541" i="5" s="1"/>
  <c r="AA1541" i="5"/>
  <c r="AB1541" i="5" s="1"/>
  <c r="Y1541" i="5"/>
  <c r="Z1541" i="5" s="1"/>
  <c r="W1541" i="5"/>
  <c r="X1541" i="5" s="1"/>
  <c r="Q1541" i="5"/>
  <c r="R1541" i="5" s="1"/>
  <c r="S1541" i="5" s="1"/>
  <c r="T1541" i="5" s="1"/>
  <c r="U1541" i="5" s="1"/>
  <c r="V1541" i="5" s="1"/>
  <c r="P1541" i="5"/>
  <c r="AE1541" i="5" s="1"/>
  <c r="AF1541" i="5" s="1"/>
  <c r="O1541" i="5"/>
  <c r="N1541" i="5"/>
  <c r="AC1540" i="5"/>
  <c r="AD1540" i="5" s="1"/>
  <c r="AA1540" i="5"/>
  <c r="AB1540" i="5" s="1"/>
  <c r="Y1540" i="5"/>
  <c r="Z1540" i="5" s="1"/>
  <c r="W1540" i="5"/>
  <c r="X1540" i="5" s="1"/>
  <c r="Q1540" i="5"/>
  <c r="R1540" i="5" s="1"/>
  <c r="S1540" i="5" s="1"/>
  <c r="T1540" i="5" s="1"/>
  <c r="U1540" i="5" s="1"/>
  <c r="V1540" i="5" s="1"/>
  <c r="P1540" i="5"/>
  <c r="AE1540" i="5" s="1"/>
  <c r="AF1540" i="5" s="1"/>
  <c r="O1540" i="5"/>
  <c r="N1540" i="5"/>
  <c r="AC1539" i="5"/>
  <c r="AD1539" i="5" s="1"/>
  <c r="AA1539" i="5"/>
  <c r="AB1539" i="5" s="1"/>
  <c r="Y1539" i="5"/>
  <c r="Z1539" i="5" s="1"/>
  <c r="W1539" i="5"/>
  <c r="X1539" i="5" s="1"/>
  <c r="Q1539" i="5"/>
  <c r="R1539" i="5" s="1"/>
  <c r="S1539" i="5" s="1"/>
  <c r="T1539" i="5" s="1"/>
  <c r="U1539" i="5" s="1"/>
  <c r="V1539" i="5" s="1"/>
  <c r="P1539" i="5"/>
  <c r="AE1539" i="5" s="1"/>
  <c r="AF1539" i="5" s="1"/>
  <c r="O1539" i="5"/>
  <c r="N1539" i="5"/>
  <c r="AC1538" i="5"/>
  <c r="AD1538" i="5" s="1"/>
  <c r="AA1538" i="5"/>
  <c r="AB1538" i="5" s="1"/>
  <c r="Y1538" i="5"/>
  <c r="Z1538" i="5" s="1"/>
  <c r="W1538" i="5"/>
  <c r="X1538" i="5" s="1"/>
  <c r="Q1538" i="5"/>
  <c r="R1538" i="5" s="1"/>
  <c r="S1538" i="5" s="1"/>
  <c r="T1538" i="5" s="1"/>
  <c r="U1538" i="5" s="1"/>
  <c r="V1538" i="5" s="1"/>
  <c r="P1538" i="5"/>
  <c r="AE1538" i="5" s="1"/>
  <c r="AF1538" i="5" s="1"/>
  <c r="O1538" i="5"/>
  <c r="N1538" i="5"/>
  <c r="AC1537" i="5"/>
  <c r="AD1537" i="5" s="1"/>
  <c r="AA1537" i="5"/>
  <c r="AB1537" i="5" s="1"/>
  <c r="Y1537" i="5"/>
  <c r="Z1537" i="5" s="1"/>
  <c r="W1537" i="5"/>
  <c r="X1537" i="5" s="1"/>
  <c r="Q1537" i="5"/>
  <c r="R1537" i="5" s="1"/>
  <c r="S1537" i="5" s="1"/>
  <c r="T1537" i="5" s="1"/>
  <c r="U1537" i="5" s="1"/>
  <c r="V1537" i="5" s="1"/>
  <c r="P1537" i="5"/>
  <c r="AE1537" i="5" s="1"/>
  <c r="AF1537" i="5" s="1"/>
  <c r="O1537" i="5"/>
  <c r="N1537" i="5"/>
  <c r="AC1536" i="5"/>
  <c r="AD1536" i="5" s="1"/>
  <c r="AA1536" i="5"/>
  <c r="AB1536" i="5" s="1"/>
  <c r="Y1536" i="5"/>
  <c r="Z1536" i="5" s="1"/>
  <c r="W1536" i="5"/>
  <c r="X1536" i="5" s="1"/>
  <c r="Q1536" i="5"/>
  <c r="R1536" i="5" s="1"/>
  <c r="S1536" i="5" s="1"/>
  <c r="T1536" i="5" s="1"/>
  <c r="U1536" i="5" s="1"/>
  <c r="V1536" i="5" s="1"/>
  <c r="P1536" i="5"/>
  <c r="AE1536" i="5" s="1"/>
  <c r="AF1536" i="5" s="1"/>
  <c r="O1536" i="5"/>
  <c r="N1536" i="5"/>
  <c r="AC1535" i="5"/>
  <c r="AD1535" i="5" s="1"/>
  <c r="AA1535" i="5"/>
  <c r="AB1535" i="5" s="1"/>
  <c r="Y1535" i="5"/>
  <c r="Z1535" i="5" s="1"/>
  <c r="W1535" i="5"/>
  <c r="X1535" i="5" s="1"/>
  <c r="Q1535" i="5"/>
  <c r="R1535" i="5" s="1"/>
  <c r="S1535" i="5" s="1"/>
  <c r="T1535" i="5" s="1"/>
  <c r="U1535" i="5" s="1"/>
  <c r="V1535" i="5" s="1"/>
  <c r="P1535" i="5"/>
  <c r="AE1535" i="5" s="1"/>
  <c r="AF1535" i="5" s="1"/>
  <c r="O1535" i="5"/>
  <c r="N1535" i="5"/>
  <c r="AC1534" i="5"/>
  <c r="AD1534" i="5" s="1"/>
  <c r="AA1534" i="5"/>
  <c r="AB1534" i="5" s="1"/>
  <c r="Y1534" i="5"/>
  <c r="Z1534" i="5" s="1"/>
  <c r="W1534" i="5"/>
  <c r="X1534" i="5" s="1"/>
  <c r="Q1534" i="5"/>
  <c r="R1534" i="5" s="1"/>
  <c r="S1534" i="5" s="1"/>
  <c r="T1534" i="5" s="1"/>
  <c r="U1534" i="5" s="1"/>
  <c r="V1534" i="5" s="1"/>
  <c r="P1534" i="5"/>
  <c r="AE1534" i="5" s="1"/>
  <c r="AF1534" i="5" s="1"/>
  <c r="O1534" i="5"/>
  <c r="N1534" i="5"/>
  <c r="AC1533" i="5"/>
  <c r="AD1533" i="5" s="1"/>
  <c r="AA1533" i="5"/>
  <c r="AB1533" i="5" s="1"/>
  <c r="Y1533" i="5"/>
  <c r="Z1533" i="5" s="1"/>
  <c r="W1533" i="5"/>
  <c r="X1533" i="5" s="1"/>
  <c r="Q1533" i="5"/>
  <c r="R1533" i="5" s="1"/>
  <c r="S1533" i="5" s="1"/>
  <c r="T1533" i="5" s="1"/>
  <c r="U1533" i="5" s="1"/>
  <c r="V1533" i="5" s="1"/>
  <c r="P1533" i="5"/>
  <c r="AE1533" i="5" s="1"/>
  <c r="AF1533" i="5" s="1"/>
  <c r="O1533" i="5"/>
  <c r="N1533" i="5"/>
  <c r="AC1532" i="5"/>
  <c r="AD1532" i="5" s="1"/>
  <c r="AA1532" i="5"/>
  <c r="AB1532" i="5" s="1"/>
  <c r="Y1532" i="5"/>
  <c r="Z1532" i="5" s="1"/>
  <c r="W1532" i="5"/>
  <c r="X1532" i="5" s="1"/>
  <c r="Q1532" i="5"/>
  <c r="R1532" i="5" s="1"/>
  <c r="S1532" i="5" s="1"/>
  <c r="T1532" i="5" s="1"/>
  <c r="U1532" i="5" s="1"/>
  <c r="V1532" i="5" s="1"/>
  <c r="P1532" i="5"/>
  <c r="AE1532" i="5" s="1"/>
  <c r="AF1532" i="5" s="1"/>
  <c r="O1532" i="5"/>
  <c r="N1532" i="5"/>
  <c r="AC1531" i="5"/>
  <c r="AD1531" i="5" s="1"/>
  <c r="AA1531" i="5"/>
  <c r="AB1531" i="5" s="1"/>
  <c r="Y1531" i="5"/>
  <c r="Z1531" i="5" s="1"/>
  <c r="W1531" i="5"/>
  <c r="X1531" i="5" s="1"/>
  <c r="Q1531" i="5"/>
  <c r="R1531" i="5" s="1"/>
  <c r="S1531" i="5" s="1"/>
  <c r="T1531" i="5" s="1"/>
  <c r="U1531" i="5" s="1"/>
  <c r="V1531" i="5" s="1"/>
  <c r="P1531" i="5"/>
  <c r="AE1531" i="5" s="1"/>
  <c r="AF1531" i="5" s="1"/>
  <c r="O1531" i="5"/>
  <c r="N1531" i="5"/>
  <c r="AC1530" i="5"/>
  <c r="AD1530" i="5" s="1"/>
  <c r="AA1530" i="5"/>
  <c r="AB1530" i="5" s="1"/>
  <c r="Y1530" i="5"/>
  <c r="Z1530" i="5" s="1"/>
  <c r="W1530" i="5"/>
  <c r="X1530" i="5" s="1"/>
  <c r="Q1530" i="5"/>
  <c r="R1530" i="5" s="1"/>
  <c r="S1530" i="5" s="1"/>
  <c r="T1530" i="5" s="1"/>
  <c r="U1530" i="5" s="1"/>
  <c r="V1530" i="5" s="1"/>
  <c r="P1530" i="5"/>
  <c r="AE1530" i="5" s="1"/>
  <c r="AF1530" i="5" s="1"/>
  <c r="O1530" i="5"/>
  <c r="N1530" i="5"/>
  <c r="AC1529" i="5"/>
  <c r="AD1529" i="5" s="1"/>
  <c r="AA1529" i="5"/>
  <c r="AB1529" i="5" s="1"/>
  <c r="Y1529" i="5"/>
  <c r="Z1529" i="5" s="1"/>
  <c r="W1529" i="5"/>
  <c r="X1529" i="5" s="1"/>
  <c r="Q1529" i="5"/>
  <c r="R1529" i="5" s="1"/>
  <c r="S1529" i="5" s="1"/>
  <c r="T1529" i="5" s="1"/>
  <c r="U1529" i="5" s="1"/>
  <c r="V1529" i="5" s="1"/>
  <c r="P1529" i="5"/>
  <c r="AE1529" i="5" s="1"/>
  <c r="AF1529" i="5" s="1"/>
  <c r="O1529" i="5"/>
  <c r="N1529" i="5"/>
  <c r="AC1528" i="5"/>
  <c r="AD1528" i="5" s="1"/>
  <c r="AA1528" i="5"/>
  <c r="AB1528" i="5" s="1"/>
  <c r="Y1528" i="5"/>
  <c r="Z1528" i="5" s="1"/>
  <c r="W1528" i="5"/>
  <c r="X1528" i="5" s="1"/>
  <c r="Q1528" i="5"/>
  <c r="R1528" i="5" s="1"/>
  <c r="S1528" i="5" s="1"/>
  <c r="T1528" i="5" s="1"/>
  <c r="U1528" i="5" s="1"/>
  <c r="V1528" i="5" s="1"/>
  <c r="P1528" i="5"/>
  <c r="AE1528" i="5" s="1"/>
  <c r="AF1528" i="5" s="1"/>
  <c r="O1528" i="5"/>
  <c r="N1528" i="5"/>
  <c r="AC1527" i="5"/>
  <c r="AD1527" i="5" s="1"/>
  <c r="AA1527" i="5"/>
  <c r="AB1527" i="5" s="1"/>
  <c r="Y1527" i="5"/>
  <c r="Z1527" i="5" s="1"/>
  <c r="W1527" i="5"/>
  <c r="X1527" i="5" s="1"/>
  <c r="Q1527" i="5"/>
  <c r="R1527" i="5" s="1"/>
  <c r="S1527" i="5" s="1"/>
  <c r="T1527" i="5" s="1"/>
  <c r="U1527" i="5" s="1"/>
  <c r="V1527" i="5" s="1"/>
  <c r="P1527" i="5"/>
  <c r="AE1527" i="5" s="1"/>
  <c r="AF1527" i="5" s="1"/>
  <c r="O1527" i="5"/>
  <c r="N1527" i="5"/>
  <c r="AC1526" i="5"/>
  <c r="AD1526" i="5" s="1"/>
  <c r="AA1526" i="5"/>
  <c r="AB1526" i="5" s="1"/>
  <c r="Y1526" i="5"/>
  <c r="Z1526" i="5" s="1"/>
  <c r="W1526" i="5"/>
  <c r="X1526" i="5" s="1"/>
  <c r="Q1526" i="5"/>
  <c r="R1526" i="5" s="1"/>
  <c r="S1526" i="5" s="1"/>
  <c r="T1526" i="5" s="1"/>
  <c r="U1526" i="5" s="1"/>
  <c r="V1526" i="5" s="1"/>
  <c r="P1526" i="5"/>
  <c r="AE1526" i="5" s="1"/>
  <c r="AF1526" i="5" s="1"/>
  <c r="O1526" i="5"/>
  <c r="N1526" i="5"/>
  <c r="AC1525" i="5"/>
  <c r="AD1525" i="5" s="1"/>
  <c r="AA1525" i="5"/>
  <c r="AB1525" i="5" s="1"/>
  <c r="Y1525" i="5"/>
  <c r="Z1525" i="5" s="1"/>
  <c r="W1525" i="5"/>
  <c r="X1525" i="5" s="1"/>
  <c r="Q1525" i="5"/>
  <c r="R1525" i="5" s="1"/>
  <c r="S1525" i="5" s="1"/>
  <c r="T1525" i="5" s="1"/>
  <c r="U1525" i="5" s="1"/>
  <c r="V1525" i="5" s="1"/>
  <c r="P1525" i="5"/>
  <c r="AE1525" i="5" s="1"/>
  <c r="AF1525" i="5" s="1"/>
  <c r="O1525" i="5"/>
  <c r="N1525" i="5"/>
  <c r="AC1524" i="5"/>
  <c r="AD1524" i="5" s="1"/>
  <c r="AA1524" i="5"/>
  <c r="AB1524" i="5" s="1"/>
  <c r="Y1524" i="5"/>
  <c r="Z1524" i="5" s="1"/>
  <c r="W1524" i="5"/>
  <c r="X1524" i="5" s="1"/>
  <c r="Q1524" i="5"/>
  <c r="R1524" i="5" s="1"/>
  <c r="S1524" i="5" s="1"/>
  <c r="T1524" i="5" s="1"/>
  <c r="U1524" i="5" s="1"/>
  <c r="V1524" i="5" s="1"/>
  <c r="P1524" i="5"/>
  <c r="AE1524" i="5" s="1"/>
  <c r="AF1524" i="5" s="1"/>
  <c r="O1524" i="5"/>
  <c r="N1524" i="5"/>
  <c r="AC1523" i="5"/>
  <c r="AD1523" i="5" s="1"/>
  <c r="AA1523" i="5"/>
  <c r="AB1523" i="5" s="1"/>
  <c r="Y1523" i="5"/>
  <c r="Z1523" i="5" s="1"/>
  <c r="W1523" i="5"/>
  <c r="X1523" i="5" s="1"/>
  <c r="Q1523" i="5"/>
  <c r="R1523" i="5" s="1"/>
  <c r="S1523" i="5" s="1"/>
  <c r="T1523" i="5" s="1"/>
  <c r="U1523" i="5" s="1"/>
  <c r="V1523" i="5" s="1"/>
  <c r="P1523" i="5"/>
  <c r="AE1523" i="5" s="1"/>
  <c r="AF1523" i="5" s="1"/>
  <c r="O1523" i="5"/>
  <c r="N1523" i="5"/>
  <c r="AC1522" i="5"/>
  <c r="AD1522" i="5" s="1"/>
  <c r="AA1522" i="5"/>
  <c r="AB1522" i="5" s="1"/>
  <c r="Y1522" i="5"/>
  <c r="Z1522" i="5" s="1"/>
  <c r="W1522" i="5"/>
  <c r="X1522" i="5" s="1"/>
  <c r="Q1522" i="5"/>
  <c r="R1522" i="5" s="1"/>
  <c r="S1522" i="5" s="1"/>
  <c r="T1522" i="5" s="1"/>
  <c r="U1522" i="5" s="1"/>
  <c r="V1522" i="5" s="1"/>
  <c r="P1522" i="5"/>
  <c r="AE1522" i="5" s="1"/>
  <c r="AF1522" i="5" s="1"/>
  <c r="O1522" i="5"/>
  <c r="N1522" i="5"/>
  <c r="AC1521" i="5"/>
  <c r="AD1521" i="5" s="1"/>
  <c r="AA1521" i="5"/>
  <c r="AB1521" i="5" s="1"/>
  <c r="Y1521" i="5"/>
  <c r="Z1521" i="5" s="1"/>
  <c r="W1521" i="5"/>
  <c r="X1521" i="5" s="1"/>
  <c r="Q1521" i="5"/>
  <c r="R1521" i="5" s="1"/>
  <c r="S1521" i="5" s="1"/>
  <c r="T1521" i="5" s="1"/>
  <c r="U1521" i="5" s="1"/>
  <c r="V1521" i="5" s="1"/>
  <c r="P1521" i="5"/>
  <c r="AE1521" i="5" s="1"/>
  <c r="AF1521" i="5" s="1"/>
  <c r="O1521" i="5"/>
  <c r="N1521" i="5"/>
  <c r="AC1520" i="5"/>
  <c r="AD1520" i="5" s="1"/>
  <c r="AA1520" i="5"/>
  <c r="AB1520" i="5" s="1"/>
  <c r="Y1520" i="5"/>
  <c r="Z1520" i="5" s="1"/>
  <c r="W1520" i="5"/>
  <c r="X1520" i="5" s="1"/>
  <c r="Q1520" i="5"/>
  <c r="R1520" i="5" s="1"/>
  <c r="S1520" i="5" s="1"/>
  <c r="T1520" i="5" s="1"/>
  <c r="U1520" i="5" s="1"/>
  <c r="V1520" i="5" s="1"/>
  <c r="P1520" i="5"/>
  <c r="AE1520" i="5" s="1"/>
  <c r="AF1520" i="5" s="1"/>
  <c r="O1520" i="5"/>
  <c r="N1520" i="5"/>
  <c r="AC1519" i="5"/>
  <c r="AD1519" i="5" s="1"/>
  <c r="AA1519" i="5"/>
  <c r="AB1519" i="5" s="1"/>
  <c r="Y1519" i="5"/>
  <c r="Z1519" i="5" s="1"/>
  <c r="W1519" i="5"/>
  <c r="X1519" i="5" s="1"/>
  <c r="Q1519" i="5"/>
  <c r="R1519" i="5" s="1"/>
  <c r="S1519" i="5" s="1"/>
  <c r="T1519" i="5" s="1"/>
  <c r="U1519" i="5" s="1"/>
  <c r="V1519" i="5" s="1"/>
  <c r="P1519" i="5"/>
  <c r="AE1519" i="5" s="1"/>
  <c r="AF1519" i="5" s="1"/>
  <c r="O1519" i="5"/>
  <c r="N1519" i="5"/>
  <c r="AC1518" i="5"/>
  <c r="AD1518" i="5" s="1"/>
  <c r="AA1518" i="5"/>
  <c r="AB1518" i="5" s="1"/>
  <c r="Y1518" i="5"/>
  <c r="Z1518" i="5" s="1"/>
  <c r="W1518" i="5"/>
  <c r="X1518" i="5" s="1"/>
  <c r="Q1518" i="5"/>
  <c r="R1518" i="5" s="1"/>
  <c r="S1518" i="5" s="1"/>
  <c r="T1518" i="5" s="1"/>
  <c r="U1518" i="5" s="1"/>
  <c r="V1518" i="5" s="1"/>
  <c r="P1518" i="5"/>
  <c r="AE1518" i="5" s="1"/>
  <c r="AF1518" i="5" s="1"/>
  <c r="O1518" i="5"/>
  <c r="N1518" i="5"/>
  <c r="AC1517" i="5"/>
  <c r="AD1517" i="5" s="1"/>
  <c r="AA1517" i="5"/>
  <c r="AB1517" i="5" s="1"/>
  <c r="Y1517" i="5"/>
  <c r="Z1517" i="5" s="1"/>
  <c r="W1517" i="5"/>
  <c r="X1517" i="5" s="1"/>
  <c r="Q1517" i="5"/>
  <c r="R1517" i="5" s="1"/>
  <c r="S1517" i="5" s="1"/>
  <c r="T1517" i="5" s="1"/>
  <c r="U1517" i="5" s="1"/>
  <c r="V1517" i="5" s="1"/>
  <c r="P1517" i="5"/>
  <c r="AE1517" i="5" s="1"/>
  <c r="AF1517" i="5" s="1"/>
  <c r="O1517" i="5"/>
  <c r="N1517" i="5"/>
  <c r="AC1516" i="5"/>
  <c r="AD1516" i="5" s="1"/>
  <c r="AA1516" i="5"/>
  <c r="AB1516" i="5" s="1"/>
  <c r="Y1516" i="5"/>
  <c r="Z1516" i="5" s="1"/>
  <c r="W1516" i="5"/>
  <c r="X1516" i="5" s="1"/>
  <c r="Q1516" i="5"/>
  <c r="R1516" i="5" s="1"/>
  <c r="S1516" i="5" s="1"/>
  <c r="T1516" i="5" s="1"/>
  <c r="U1516" i="5" s="1"/>
  <c r="V1516" i="5" s="1"/>
  <c r="P1516" i="5"/>
  <c r="AE1516" i="5" s="1"/>
  <c r="AF1516" i="5" s="1"/>
  <c r="O1516" i="5"/>
  <c r="N1516" i="5"/>
  <c r="AC1515" i="5"/>
  <c r="AD1515" i="5" s="1"/>
  <c r="AA1515" i="5"/>
  <c r="AB1515" i="5" s="1"/>
  <c r="Y1515" i="5"/>
  <c r="Z1515" i="5" s="1"/>
  <c r="W1515" i="5"/>
  <c r="X1515" i="5" s="1"/>
  <c r="Q1515" i="5"/>
  <c r="R1515" i="5" s="1"/>
  <c r="S1515" i="5" s="1"/>
  <c r="T1515" i="5" s="1"/>
  <c r="U1515" i="5" s="1"/>
  <c r="V1515" i="5" s="1"/>
  <c r="P1515" i="5"/>
  <c r="AE1515" i="5" s="1"/>
  <c r="AF1515" i="5" s="1"/>
  <c r="O1515" i="5"/>
  <c r="N1515" i="5"/>
  <c r="AC1514" i="5"/>
  <c r="AD1514" i="5" s="1"/>
  <c r="AA1514" i="5"/>
  <c r="AB1514" i="5" s="1"/>
  <c r="Y1514" i="5"/>
  <c r="Z1514" i="5" s="1"/>
  <c r="W1514" i="5"/>
  <c r="X1514" i="5" s="1"/>
  <c r="Q1514" i="5"/>
  <c r="R1514" i="5" s="1"/>
  <c r="S1514" i="5" s="1"/>
  <c r="T1514" i="5" s="1"/>
  <c r="U1514" i="5" s="1"/>
  <c r="V1514" i="5" s="1"/>
  <c r="P1514" i="5"/>
  <c r="AE1514" i="5" s="1"/>
  <c r="AF1514" i="5" s="1"/>
  <c r="O1514" i="5"/>
  <c r="N1514" i="5"/>
  <c r="AC1513" i="5"/>
  <c r="AD1513" i="5" s="1"/>
  <c r="AA1513" i="5"/>
  <c r="AB1513" i="5" s="1"/>
  <c r="Y1513" i="5"/>
  <c r="Z1513" i="5" s="1"/>
  <c r="W1513" i="5"/>
  <c r="X1513" i="5" s="1"/>
  <c r="Q1513" i="5"/>
  <c r="R1513" i="5" s="1"/>
  <c r="S1513" i="5" s="1"/>
  <c r="T1513" i="5" s="1"/>
  <c r="U1513" i="5" s="1"/>
  <c r="V1513" i="5" s="1"/>
  <c r="P1513" i="5"/>
  <c r="AE1513" i="5" s="1"/>
  <c r="AF1513" i="5" s="1"/>
  <c r="O1513" i="5"/>
  <c r="N1513" i="5"/>
  <c r="AC1512" i="5"/>
  <c r="AD1512" i="5" s="1"/>
  <c r="AA1512" i="5"/>
  <c r="AB1512" i="5" s="1"/>
  <c r="Y1512" i="5"/>
  <c r="Z1512" i="5" s="1"/>
  <c r="W1512" i="5"/>
  <c r="X1512" i="5" s="1"/>
  <c r="Q1512" i="5"/>
  <c r="R1512" i="5" s="1"/>
  <c r="S1512" i="5" s="1"/>
  <c r="T1512" i="5" s="1"/>
  <c r="U1512" i="5" s="1"/>
  <c r="V1512" i="5" s="1"/>
  <c r="P1512" i="5"/>
  <c r="AE1512" i="5" s="1"/>
  <c r="AF1512" i="5" s="1"/>
  <c r="O1512" i="5"/>
  <c r="N1512" i="5"/>
  <c r="AC1511" i="5"/>
  <c r="AD1511" i="5" s="1"/>
  <c r="AA1511" i="5"/>
  <c r="AB1511" i="5" s="1"/>
  <c r="Y1511" i="5"/>
  <c r="Z1511" i="5" s="1"/>
  <c r="W1511" i="5"/>
  <c r="X1511" i="5" s="1"/>
  <c r="Q1511" i="5"/>
  <c r="R1511" i="5" s="1"/>
  <c r="S1511" i="5" s="1"/>
  <c r="T1511" i="5" s="1"/>
  <c r="U1511" i="5" s="1"/>
  <c r="V1511" i="5" s="1"/>
  <c r="P1511" i="5"/>
  <c r="AE1511" i="5" s="1"/>
  <c r="AF1511" i="5" s="1"/>
  <c r="O1511" i="5"/>
  <c r="N1511" i="5"/>
  <c r="AC1510" i="5"/>
  <c r="AD1510" i="5" s="1"/>
  <c r="AA1510" i="5"/>
  <c r="AB1510" i="5" s="1"/>
  <c r="Y1510" i="5"/>
  <c r="Z1510" i="5" s="1"/>
  <c r="W1510" i="5"/>
  <c r="X1510" i="5" s="1"/>
  <c r="Q1510" i="5"/>
  <c r="R1510" i="5" s="1"/>
  <c r="S1510" i="5" s="1"/>
  <c r="T1510" i="5" s="1"/>
  <c r="U1510" i="5" s="1"/>
  <c r="V1510" i="5" s="1"/>
  <c r="P1510" i="5"/>
  <c r="AE1510" i="5" s="1"/>
  <c r="AF1510" i="5" s="1"/>
  <c r="O1510" i="5"/>
  <c r="N1510" i="5"/>
  <c r="AC1509" i="5"/>
  <c r="AD1509" i="5" s="1"/>
  <c r="AA1509" i="5"/>
  <c r="AB1509" i="5" s="1"/>
  <c r="Y1509" i="5"/>
  <c r="Z1509" i="5" s="1"/>
  <c r="W1509" i="5"/>
  <c r="X1509" i="5" s="1"/>
  <c r="Q1509" i="5"/>
  <c r="R1509" i="5" s="1"/>
  <c r="S1509" i="5" s="1"/>
  <c r="T1509" i="5" s="1"/>
  <c r="U1509" i="5" s="1"/>
  <c r="V1509" i="5" s="1"/>
  <c r="P1509" i="5"/>
  <c r="AE1509" i="5" s="1"/>
  <c r="AF1509" i="5" s="1"/>
  <c r="O1509" i="5"/>
  <c r="N1509" i="5"/>
  <c r="AC1508" i="5"/>
  <c r="AD1508" i="5" s="1"/>
  <c r="AA1508" i="5"/>
  <c r="AB1508" i="5" s="1"/>
  <c r="Y1508" i="5"/>
  <c r="Z1508" i="5" s="1"/>
  <c r="W1508" i="5"/>
  <c r="X1508" i="5" s="1"/>
  <c r="Q1508" i="5"/>
  <c r="R1508" i="5" s="1"/>
  <c r="S1508" i="5" s="1"/>
  <c r="T1508" i="5" s="1"/>
  <c r="U1508" i="5" s="1"/>
  <c r="V1508" i="5" s="1"/>
  <c r="P1508" i="5"/>
  <c r="AE1508" i="5" s="1"/>
  <c r="AF1508" i="5" s="1"/>
  <c r="O1508" i="5"/>
  <c r="N1508" i="5"/>
  <c r="AC1507" i="5"/>
  <c r="AD1507" i="5" s="1"/>
  <c r="AA1507" i="5"/>
  <c r="AB1507" i="5" s="1"/>
  <c r="Y1507" i="5"/>
  <c r="Z1507" i="5" s="1"/>
  <c r="W1507" i="5"/>
  <c r="X1507" i="5" s="1"/>
  <c r="Q1507" i="5"/>
  <c r="R1507" i="5" s="1"/>
  <c r="S1507" i="5" s="1"/>
  <c r="T1507" i="5" s="1"/>
  <c r="U1507" i="5" s="1"/>
  <c r="V1507" i="5" s="1"/>
  <c r="P1507" i="5"/>
  <c r="AE1507" i="5" s="1"/>
  <c r="AF1507" i="5" s="1"/>
  <c r="O1507" i="5"/>
  <c r="N1507" i="5"/>
  <c r="AC1506" i="5"/>
  <c r="AD1506" i="5" s="1"/>
  <c r="AA1506" i="5"/>
  <c r="AB1506" i="5" s="1"/>
  <c r="Y1506" i="5"/>
  <c r="Z1506" i="5" s="1"/>
  <c r="W1506" i="5"/>
  <c r="X1506" i="5" s="1"/>
  <c r="Q1506" i="5"/>
  <c r="R1506" i="5" s="1"/>
  <c r="S1506" i="5" s="1"/>
  <c r="T1506" i="5" s="1"/>
  <c r="U1506" i="5" s="1"/>
  <c r="V1506" i="5" s="1"/>
  <c r="P1506" i="5"/>
  <c r="AE1506" i="5" s="1"/>
  <c r="AF1506" i="5" s="1"/>
  <c r="O1506" i="5"/>
  <c r="N1506" i="5"/>
  <c r="AC1505" i="5"/>
  <c r="AD1505" i="5" s="1"/>
  <c r="AA1505" i="5"/>
  <c r="AB1505" i="5" s="1"/>
  <c r="Y1505" i="5"/>
  <c r="Z1505" i="5" s="1"/>
  <c r="W1505" i="5"/>
  <c r="X1505" i="5" s="1"/>
  <c r="Q1505" i="5"/>
  <c r="R1505" i="5" s="1"/>
  <c r="S1505" i="5" s="1"/>
  <c r="T1505" i="5" s="1"/>
  <c r="U1505" i="5" s="1"/>
  <c r="V1505" i="5" s="1"/>
  <c r="P1505" i="5"/>
  <c r="AE1505" i="5" s="1"/>
  <c r="AF1505" i="5" s="1"/>
  <c r="O1505" i="5"/>
  <c r="N1505" i="5"/>
  <c r="AC1504" i="5"/>
  <c r="AD1504" i="5" s="1"/>
  <c r="AA1504" i="5"/>
  <c r="AB1504" i="5" s="1"/>
  <c r="Y1504" i="5"/>
  <c r="Z1504" i="5" s="1"/>
  <c r="W1504" i="5"/>
  <c r="X1504" i="5" s="1"/>
  <c r="Q1504" i="5"/>
  <c r="R1504" i="5" s="1"/>
  <c r="S1504" i="5" s="1"/>
  <c r="T1504" i="5" s="1"/>
  <c r="U1504" i="5" s="1"/>
  <c r="V1504" i="5" s="1"/>
  <c r="P1504" i="5"/>
  <c r="AE1504" i="5" s="1"/>
  <c r="AF1504" i="5" s="1"/>
  <c r="O1504" i="5"/>
  <c r="N1504" i="5"/>
  <c r="AC1503" i="5"/>
  <c r="AD1503" i="5" s="1"/>
  <c r="AA1503" i="5"/>
  <c r="AB1503" i="5" s="1"/>
  <c r="Y1503" i="5"/>
  <c r="Z1503" i="5" s="1"/>
  <c r="W1503" i="5"/>
  <c r="X1503" i="5" s="1"/>
  <c r="Q1503" i="5"/>
  <c r="R1503" i="5" s="1"/>
  <c r="S1503" i="5" s="1"/>
  <c r="T1503" i="5" s="1"/>
  <c r="U1503" i="5" s="1"/>
  <c r="V1503" i="5" s="1"/>
  <c r="P1503" i="5"/>
  <c r="AE1503" i="5" s="1"/>
  <c r="AF1503" i="5" s="1"/>
  <c r="O1503" i="5"/>
  <c r="N1503" i="5"/>
  <c r="AC1502" i="5"/>
  <c r="AD1502" i="5" s="1"/>
  <c r="AA1502" i="5"/>
  <c r="AB1502" i="5" s="1"/>
  <c r="Y1502" i="5"/>
  <c r="Z1502" i="5" s="1"/>
  <c r="W1502" i="5"/>
  <c r="X1502" i="5" s="1"/>
  <c r="Q1502" i="5"/>
  <c r="R1502" i="5" s="1"/>
  <c r="S1502" i="5" s="1"/>
  <c r="T1502" i="5" s="1"/>
  <c r="U1502" i="5" s="1"/>
  <c r="V1502" i="5" s="1"/>
  <c r="P1502" i="5"/>
  <c r="AE1502" i="5" s="1"/>
  <c r="AF1502" i="5" s="1"/>
  <c r="O1502" i="5"/>
  <c r="N1502" i="5"/>
  <c r="AC1501" i="5"/>
  <c r="AD1501" i="5" s="1"/>
  <c r="AA1501" i="5"/>
  <c r="AB1501" i="5" s="1"/>
  <c r="Y1501" i="5"/>
  <c r="Z1501" i="5" s="1"/>
  <c r="W1501" i="5"/>
  <c r="X1501" i="5" s="1"/>
  <c r="Q1501" i="5"/>
  <c r="R1501" i="5" s="1"/>
  <c r="S1501" i="5" s="1"/>
  <c r="T1501" i="5" s="1"/>
  <c r="U1501" i="5" s="1"/>
  <c r="V1501" i="5" s="1"/>
  <c r="P1501" i="5"/>
  <c r="AE1501" i="5" s="1"/>
  <c r="AF1501" i="5" s="1"/>
  <c r="O1501" i="5"/>
  <c r="N1501" i="5"/>
  <c r="AC1500" i="5"/>
  <c r="AD1500" i="5" s="1"/>
  <c r="AA1500" i="5"/>
  <c r="AB1500" i="5" s="1"/>
  <c r="Y1500" i="5"/>
  <c r="Z1500" i="5" s="1"/>
  <c r="W1500" i="5"/>
  <c r="X1500" i="5" s="1"/>
  <c r="Q1500" i="5"/>
  <c r="R1500" i="5" s="1"/>
  <c r="S1500" i="5" s="1"/>
  <c r="T1500" i="5" s="1"/>
  <c r="U1500" i="5" s="1"/>
  <c r="V1500" i="5" s="1"/>
  <c r="P1500" i="5"/>
  <c r="AE1500" i="5" s="1"/>
  <c r="AF1500" i="5" s="1"/>
  <c r="O1500" i="5"/>
  <c r="N1500" i="5"/>
  <c r="AC1499" i="5"/>
  <c r="AD1499" i="5" s="1"/>
  <c r="AA1499" i="5"/>
  <c r="AB1499" i="5" s="1"/>
  <c r="Y1499" i="5"/>
  <c r="Z1499" i="5" s="1"/>
  <c r="W1499" i="5"/>
  <c r="X1499" i="5" s="1"/>
  <c r="Q1499" i="5"/>
  <c r="R1499" i="5" s="1"/>
  <c r="S1499" i="5" s="1"/>
  <c r="T1499" i="5" s="1"/>
  <c r="U1499" i="5" s="1"/>
  <c r="V1499" i="5" s="1"/>
  <c r="P1499" i="5"/>
  <c r="AE1499" i="5" s="1"/>
  <c r="AF1499" i="5" s="1"/>
  <c r="O1499" i="5"/>
  <c r="N1499" i="5"/>
  <c r="AC1498" i="5"/>
  <c r="AD1498" i="5" s="1"/>
  <c r="AA1498" i="5"/>
  <c r="AB1498" i="5" s="1"/>
  <c r="Y1498" i="5"/>
  <c r="Z1498" i="5" s="1"/>
  <c r="W1498" i="5"/>
  <c r="X1498" i="5" s="1"/>
  <c r="Q1498" i="5"/>
  <c r="R1498" i="5" s="1"/>
  <c r="S1498" i="5" s="1"/>
  <c r="T1498" i="5" s="1"/>
  <c r="U1498" i="5" s="1"/>
  <c r="V1498" i="5" s="1"/>
  <c r="P1498" i="5"/>
  <c r="AE1498" i="5" s="1"/>
  <c r="AF1498" i="5" s="1"/>
  <c r="O1498" i="5"/>
  <c r="N1498" i="5"/>
  <c r="AC1497" i="5"/>
  <c r="AD1497" i="5" s="1"/>
  <c r="AA1497" i="5"/>
  <c r="AB1497" i="5" s="1"/>
  <c r="Y1497" i="5"/>
  <c r="Z1497" i="5" s="1"/>
  <c r="W1497" i="5"/>
  <c r="X1497" i="5" s="1"/>
  <c r="Q1497" i="5"/>
  <c r="R1497" i="5" s="1"/>
  <c r="S1497" i="5" s="1"/>
  <c r="T1497" i="5" s="1"/>
  <c r="U1497" i="5" s="1"/>
  <c r="V1497" i="5" s="1"/>
  <c r="P1497" i="5"/>
  <c r="AE1497" i="5" s="1"/>
  <c r="AF1497" i="5" s="1"/>
  <c r="O1497" i="5"/>
  <c r="N1497" i="5"/>
  <c r="AC1496" i="5"/>
  <c r="AD1496" i="5" s="1"/>
  <c r="AA1496" i="5"/>
  <c r="AB1496" i="5" s="1"/>
  <c r="Y1496" i="5"/>
  <c r="Z1496" i="5" s="1"/>
  <c r="W1496" i="5"/>
  <c r="X1496" i="5" s="1"/>
  <c r="Q1496" i="5"/>
  <c r="R1496" i="5" s="1"/>
  <c r="S1496" i="5" s="1"/>
  <c r="T1496" i="5" s="1"/>
  <c r="U1496" i="5" s="1"/>
  <c r="V1496" i="5" s="1"/>
  <c r="P1496" i="5"/>
  <c r="AE1496" i="5" s="1"/>
  <c r="AF1496" i="5" s="1"/>
  <c r="O1496" i="5"/>
  <c r="N1496" i="5"/>
  <c r="AC1495" i="5"/>
  <c r="AD1495" i="5" s="1"/>
  <c r="AA1495" i="5"/>
  <c r="AB1495" i="5" s="1"/>
  <c r="Y1495" i="5"/>
  <c r="Z1495" i="5" s="1"/>
  <c r="W1495" i="5"/>
  <c r="X1495" i="5" s="1"/>
  <c r="Q1495" i="5"/>
  <c r="R1495" i="5" s="1"/>
  <c r="S1495" i="5" s="1"/>
  <c r="T1495" i="5" s="1"/>
  <c r="U1495" i="5" s="1"/>
  <c r="V1495" i="5" s="1"/>
  <c r="P1495" i="5"/>
  <c r="AE1495" i="5" s="1"/>
  <c r="AF1495" i="5" s="1"/>
  <c r="O1495" i="5"/>
  <c r="N1495" i="5"/>
  <c r="AC1494" i="5"/>
  <c r="AD1494" i="5" s="1"/>
  <c r="AA1494" i="5"/>
  <c r="AB1494" i="5" s="1"/>
  <c r="Y1494" i="5"/>
  <c r="Z1494" i="5" s="1"/>
  <c r="W1494" i="5"/>
  <c r="X1494" i="5" s="1"/>
  <c r="Q1494" i="5"/>
  <c r="R1494" i="5" s="1"/>
  <c r="S1494" i="5" s="1"/>
  <c r="T1494" i="5" s="1"/>
  <c r="U1494" i="5" s="1"/>
  <c r="V1494" i="5" s="1"/>
  <c r="P1494" i="5"/>
  <c r="AE1494" i="5" s="1"/>
  <c r="AF1494" i="5" s="1"/>
  <c r="O1494" i="5"/>
  <c r="N1494" i="5"/>
  <c r="AC1493" i="5"/>
  <c r="AD1493" i="5" s="1"/>
  <c r="AA1493" i="5"/>
  <c r="AB1493" i="5" s="1"/>
  <c r="Y1493" i="5"/>
  <c r="Z1493" i="5" s="1"/>
  <c r="W1493" i="5"/>
  <c r="X1493" i="5" s="1"/>
  <c r="Q1493" i="5"/>
  <c r="R1493" i="5" s="1"/>
  <c r="S1493" i="5" s="1"/>
  <c r="T1493" i="5" s="1"/>
  <c r="U1493" i="5" s="1"/>
  <c r="V1493" i="5" s="1"/>
  <c r="P1493" i="5"/>
  <c r="AE1493" i="5" s="1"/>
  <c r="AF1493" i="5" s="1"/>
  <c r="O1493" i="5"/>
  <c r="N1493" i="5"/>
  <c r="AC1492" i="5"/>
  <c r="AD1492" i="5" s="1"/>
  <c r="AA1492" i="5"/>
  <c r="AB1492" i="5" s="1"/>
  <c r="Y1492" i="5"/>
  <c r="Z1492" i="5" s="1"/>
  <c r="W1492" i="5"/>
  <c r="X1492" i="5" s="1"/>
  <c r="Q1492" i="5"/>
  <c r="R1492" i="5" s="1"/>
  <c r="S1492" i="5" s="1"/>
  <c r="T1492" i="5" s="1"/>
  <c r="U1492" i="5" s="1"/>
  <c r="V1492" i="5" s="1"/>
  <c r="P1492" i="5"/>
  <c r="AE1492" i="5" s="1"/>
  <c r="AF1492" i="5" s="1"/>
  <c r="O1492" i="5"/>
  <c r="N1492" i="5"/>
  <c r="AC1491" i="5"/>
  <c r="AD1491" i="5" s="1"/>
  <c r="AA1491" i="5"/>
  <c r="AB1491" i="5" s="1"/>
  <c r="Y1491" i="5"/>
  <c r="Z1491" i="5" s="1"/>
  <c r="W1491" i="5"/>
  <c r="X1491" i="5" s="1"/>
  <c r="Q1491" i="5"/>
  <c r="R1491" i="5" s="1"/>
  <c r="S1491" i="5" s="1"/>
  <c r="T1491" i="5" s="1"/>
  <c r="U1491" i="5" s="1"/>
  <c r="V1491" i="5" s="1"/>
  <c r="P1491" i="5"/>
  <c r="AE1491" i="5" s="1"/>
  <c r="AF1491" i="5" s="1"/>
  <c r="O1491" i="5"/>
  <c r="N1491" i="5"/>
  <c r="AC1490" i="5"/>
  <c r="AD1490" i="5" s="1"/>
  <c r="AA1490" i="5"/>
  <c r="AB1490" i="5" s="1"/>
  <c r="Y1490" i="5"/>
  <c r="Z1490" i="5" s="1"/>
  <c r="W1490" i="5"/>
  <c r="X1490" i="5" s="1"/>
  <c r="Q1490" i="5"/>
  <c r="R1490" i="5" s="1"/>
  <c r="S1490" i="5" s="1"/>
  <c r="T1490" i="5" s="1"/>
  <c r="U1490" i="5" s="1"/>
  <c r="V1490" i="5" s="1"/>
  <c r="P1490" i="5"/>
  <c r="AE1490" i="5" s="1"/>
  <c r="AF1490" i="5" s="1"/>
  <c r="O1490" i="5"/>
  <c r="N1490" i="5"/>
  <c r="AC1489" i="5"/>
  <c r="AD1489" i="5" s="1"/>
  <c r="AA1489" i="5"/>
  <c r="AB1489" i="5" s="1"/>
  <c r="Y1489" i="5"/>
  <c r="Z1489" i="5" s="1"/>
  <c r="W1489" i="5"/>
  <c r="X1489" i="5" s="1"/>
  <c r="Q1489" i="5"/>
  <c r="R1489" i="5" s="1"/>
  <c r="S1489" i="5" s="1"/>
  <c r="T1489" i="5" s="1"/>
  <c r="U1489" i="5" s="1"/>
  <c r="V1489" i="5" s="1"/>
  <c r="P1489" i="5"/>
  <c r="AE1489" i="5" s="1"/>
  <c r="AF1489" i="5" s="1"/>
  <c r="O1489" i="5"/>
  <c r="N1489" i="5"/>
  <c r="AC1488" i="5"/>
  <c r="AD1488" i="5" s="1"/>
  <c r="AA1488" i="5"/>
  <c r="AB1488" i="5" s="1"/>
  <c r="Y1488" i="5"/>
  <c r="Z1488" i="5" s="1"/>
  <c r="W1488" i="5"/>
  <c r="X1488" i="5" s="1"/>
  <c r="Q1488" i="5"/>
  <c r="R1488" i="5" s="1"/>
  <c r="S1488" i="5" s="1"/>
  <c r="T1488" i="5" s="1"/>
  <c r="U1488" i="5" s="1"/>
  <c r="V1488" i="5" s="1"/>
  <c r="P1488" i="5"/>
  <c r="AE1488" i="5" s="1"/>
  <c r="AF1488" i="5" s="1"/>
  <c r="O1488" i="5"/>
  <c r="N1488" i="5"/>
  <c r="AC1487" i="5"/>
  <c r="AD1487" i="5" s="1"/>
  <c r="AA1487" i="5"/>
  <c r="AB1487" i="5" s="1"/>
  <c r="Y1487" i="5"/>
  <c r="Z1487" i="5" s="1"/>
  <c r="W1487" i="5"/>
  <c r="X1487" i="5" s="1"/>
  <c r="Q1487" i="5"/>
  <c r="R1487" i="5" s="1"/>
  <c r="S1487" i="5" s="1"/>
  <c r="T1487" i="5" s="1"/>
  <c r="U1487" i="5" s="1"/>
  <c r="V1487" i="5" s="1"/>
  <c r="P1487" i="5"/>
  <c r="AE1487" i="5" s="1"/>
  <c r="AF1487" i="5" s="1"/>
  <c r="O1487" i="5"/>
  <c r="N1487" i="5"/>
  <c r="AC1486" i="5"/>
  <c r="AD1486" i="5" s="1"/>
  <c r="AA1486" i="5"/>
  <c r="AB1486" i="5" s="1"/>
  <c r="Y1486" i="5"/>
  <c r="Z1486" i="5" s="1"/>
  <c r="W1486" i="5"/>
  <c r="X1486" i="5" s="1"/>
  <c r="Q1486" i="5"/>
  <c r="R1486" i="5" s="1"/>
  <c r="S1486" i="5" s="1"/>
  <c r="T1486" i="5" s="1"/>
  <c r="U1486" i="5" s="1"/>
  <c r="V1486" i="5" s="1"/>
  <c r="P1486" i="5"/>
  <c r="AE1486" i="5" s="1"/>
  <c r="AF1486" i="5" s="1"/>
  <c r="O1486" i="5"/>
  <c r="N1486" i="5"/>
  <c r="AC1485" i="5"/>
  <c r="AD1485" i="5" s="1"/>
  <c r="AA1485" i="5"/>
  <c r="AB1485" i="5" s="1"/>
  <c r="Y1485" i="5"/>
  <c r="Z1485" i="5" s="1"/>
  <c r="W1485" i="5"/>
  <c r="X1485" i="5" s="1"/>
  <c r="Q1485" i="5"/>
  <c r="R1485" i="5" s="1"/>
  <c r="S1485" i="5" s="1"/>
  <c r="T1485" i="5" s="1"/>
  <c r="U1485" i="5" s="1"/>
  <c r="V1485" i="5" s="1"/>
  <c r="P1485" i="5"/>
  <c r="AE1485" i="5" s="1"/>
  <c r="AF1485" i="5" s="1"/>
  <c r="O1485" i="5"/>
  <c r="N1485" i="5"/>
  <c r="AC1484" i="5"/>
  <c r="AD1484" i="5" s="1"/>
  <c r="AA1484" i="5"/>
  <c r="AB1484" i="5" s="1"/>
  <c r="Y1484" i="5"/>
  <c r="Z1484" i="5" s="1"/>
  <c r="W1484" i="5"/>
  <c r="X1484" i="5" s="1"/>
  <c r="Q1484" i="5"/>
  <c r="R1484" i="5" s="1"/>
  <c r="S1484" i="5" s="1"/>
  <c r="T1484" i="5" s="1"/>
  <c r="U1484" i="5" s="1"/>
  <c r="V1484" i="5" s="1"/>
  <c r="P1484" i="5"/>
  <c r="AE1484" i="5" s="1"/>
  <c r="AF1484" i="5" s="1"/>
  <c r="O1484" i="5"/>
  <c r="N1484" i="5"/>
  <c r="AC1483" i="5"/>
  <c r="AD1483" i="5" s="1"/>
  <c r="AA1483" i="5"/>
  <c r="AB1483" i="5" s="1"/>
  <c r="Y1483" i="5"/>
  <c r="Z1483" i="5" s="1"/>
  <c r="W1483" i="5"/>
  <c r="X1483" i="5" s="1"/>
  <c r="Q1483" i="5"/>
  <c r="R1483" i="5" s="1"/>
  <c r="S1483" i="5" s="1"/>
  <c r="T1483" i="5" s="1"/>
  <c r="U1483" i="5" s="1"/>
  <c r="V1483" i="5" s="1"/>
  <c r="P1483" i="5"/>
  <c r="AE1483" i="5" s="1"/>
  <c r="AF1483" i="5" s="1"/>
  <c r="O1483" i="5"/>
  <c r="N1483" i="5"/>
  <c r="AC1482" i="5"/>
  <c r="AD1482" i="5" s="1"/>
  <c r="AA1482" i="5"/>
  <c r="AB1482" i="5" s="1"/>
  <c r="Y1482" i="5"/>
  <c r="Z1482" i="5" s="1"/>
  <c r="W1482" i="5"/>
  <c r="X1482" i="5" s="1"/>
  <c r="Q1482" i="5"/>
  <c r="R1482" i="5" s="1"/>
  <c r="S1482" i="5" s="1"/>
  <c r="T1482" i="5" s="1"/>
  <c r="U1482" i="5" s="1"/>
  <c r="V1482" i="5" s="1"/>
  <c r="P1482" i="5"/>
  <c r="AE1482" i="5" s="1"/>
  <c r="AF1482" i="5" s="1"/>
  <c r="O1482" i="5"/>
  <c r="N1482" i="5"/>
  <c r="AC1481" i="5"/>
  <c r="AD1481" i="5" s="1"/>
  <c r="AA1481" i="5"/>
  <c r="AB1481" i="5" s="1"/>
  <c r="Y1481" i="5"/>
  <c r="Z1481" i="5" s="1"/>
  <c r="W1481" i="5"/>
  <c r="X1481" i="5" s="1"/>
  <c r="Q1481" i="5"/>
  <c r="R1481" i="5" s="1"/>
  <c r="S1481" i="5" s="1"/>
  <c r="T1481" i="5" s="1"/>
  <c r="U1481" i="5" s="1"/>
  <c r="V1481" i="5" s="1"/>
  <c r="P1481" i="5"/>
  <c r="AE1481" i="5" s="1"/>
  <c r="AF1481" i="5" s="1"/>
  <c r="O1481" i="5"/>
  <c r="N1481" i="5"/>
  <c r="AC1480" i="5"/>
  <c r="AD1480" i="5" s="1"/>
  <c r="AA1480" i="5"/>
  <c r="AB1480" i="5" s="1"/>
  <c r="Y1480" i="5"/>
  <c r="Z1480" i="5" s="1"/>
  <c r="W1480" i="5"/>
  <c r="X1480" i="5" s="1"/>
  <c r="Q1480" i="5"/>
  <c r="R1480" i="5" s="1"/>
  <c r="S1480" i="5" s="1"/>
  <c r="T1480" i="5" s="1"/>
  <c r="U1480" i="5" s="1"/>
  <c r="V1480" i="5" s="1"/>
  <c r="P1480" i="5"/>
  <c r="AE1480" i="5" s="1"/>
  <c r="AF1480" i="5" s="1"/>
  <c r="O1480" i="5"/>
  <c r="N1480" i="5"/>
  <c r="AC1479" i="5"/>
  <c r="AD1479" i="5" s="1"/>
  <c r="AA1479" i="5"/>
  <c r="AB1479" i="5" s="1"/>
  <c r="Y1479" i="5"/>
  <c r="Z1479" i="5" s="1"/>
  <c r="W1479" i="5"/>
  <c r="X1479" i="5" s="1"/>
  <c r="Q1479" i="5"/>
  <c r="R1479" i="5" s="1"/>
  <c r="S1479" i="5" s="1"/>
  <c r="T1479" i="5" s="1"/>
  <c r="U1479" i="5" s="1"/>
  <c r="V1479" i="5" s="1"/>
  <c r="P1479" i="5"/>
  <c r="AE1479" i="5" s="1"/>
  <c r="AF1479" i="5" s="1"/>
  <c r="O1479" i="5"/>
  <c r="N1479" i="5"/>
  <c r="AC1478" i="5"/>
  <c r="AD1478" i="5" s="1"/>
  <c r="AA1478" i="5"/>
  <c r="AB1478" i="5" s="1"/>
  <c r="Y1478" i="5"/>
  <c r="Z1478" i="5" s="1"/>
  <c r="W1478" i="5"/>
  <c r="X1478" i="5" s="1"/>
  <c r="Q1478" i="5"/>
  <c r="R1478" i="5" s="1"/>
  <c r="S1478" i="5" s="1"/>
  <c r="T1478" i="5" s="1"/>
  <c r="U1478" i="5" s="1"/>
  <c r="V1478" i="5" s="1"/>
  <c r="P1478" i="5"/>
  <c r="AE1478" i="5" s="1"/>
  <c r="AF1478" i="5" s="1"/>
  <c r="O1478" i="5"/>
  <c r="N1478" i="5"/>
  <c r="AC1477" i="5"/>
  <c r="AD1477" i="5" s="1"/>
  <c r="AA1477" i="5"/>
  <c r="AB1477" i="5" s="1"/>
  <c r="Y1477" i="5"/>
  <c r="Z1477" i="5" s="1"/>
  <c r="W1477" i="5"/>
  <c r="X1477" i="5" s="1"/>
  <c r="Q1477" i="5"/>
  <c r="R1477" i="5" s="1"/>
  <c r="S1477" i="5" s="1"/>
  <c r="T1477" i="5" s="1"/>
  <c r="U1477" i="5" s="1"/>
  <c r="V1477" i="5" s="1"/>
  <c r="P1477" i="5"/>
  <c r="AE1477" i="5" s="1"/>
  <c r="AF1477" i="5" s="1"/>
  <c r="O1477" i="5"/>
  <c r="N1477" i="5"/>
  <c r="AC1476" i="5"/>
  <c r="AD1476" i="5" s="1"/>
  <c r="AA1476" i="5"/>
  <c r="AB1476" i="5" s="1"/>
  <c r="Y1476" i="5"/>
  <c r="Z1476" i="5" s="1"/>
  <c r="W1476" i="5"/>
  <c r="X1476" i="5" s="1"/>
  <c r="Q1476" i="5"/>
  <c r="R1476" i="5" s="1"/>
  <c r="S1476" i="5" s="1"/>
  <c r="T1476" i="5" s="1"/>
  <c r="U1476" i="5" s="1"/>
  <c r="V1476" i="5" s="1"/>
  <c r="P1476" i="5"/>
  <c r="AE1476" i="5" s="1"/>
  <c r="AF1476" i="5" s="1"/>
  <c r="O1476" i="5"/>
  <c r="N1476" i="5"/>
  <c r="AC1475" i="5"/>
  <c r="AD1475" i="5" s="1"/>
  <c r="AA1475" i="5"/>
  <c r="AB1475" i="5" s="1"/>
  <c r="Y1475" i="5"/>
  <c r="Z1475" i="5" s="1"/>
  <c r="W1475" i="5"/>
  <c r="X1475" i="5" s="1"/>
  <c r="Q1475" i="5"/>
  <c r="R1475" i="5" s="1"/>
  <c r="S1475" i="5" s="1"/>
  <c r="T1475" i="5" s="1"/>
  <c r="U1475" i="5" s="1"/>
  <c r="V1475" i="5" s="1"/>
  <c r="P1475" i="5"/>
  <c r="AE1475" i="5" s="1"/>
  <c r="AF1475" i="5" s="1"/>
  <c r="O1475" i="5"/>
  <c r="N1475" i="5"/>
  <c r="AC1474" i="5"/>
  <c r="AD1474" i="5" s="1"/>
  <c r="AA1474" i="5"/>
  <c r="AB1474" i="5" s="1"/>
  <c r="Y1474" i="5"/>
  <c r="Z1474" i="5" s="1"/>
  <c r="W1474" i="5"/>
  <c r="X1474" i="5" s="1"/>
  <c r="Q1474" i="5"/>
  <c r="R1474" i="5" s="1"/>
  <c r="S1474" i="5" s="1"/>
  <c r="T1474" i="5" s="1"/>
  <c r="U1474" i="5" s="1"/>
  <c r="V1474" i="5" s="1"/>
  <c r="P1474" i="5"/>
  <c r="AE1474" i="5" s="1"/>
  <c r="AF1474" i="5" s="1"/>
  <c r="O1474" i="5"/>
  <c r="N1474" i="5"/>
  <c r="AC1473" i="5"/>
  <c r="AD1473" i="5" s="1"/>
  <c r="AA1473" i="5"/>
  <c r="AB1473" i="5" s="1"/>
  <c r="Y1473" i="5"/>
  <c r="Z1473" i="5" s="1"/>
  <c r="W1473" i="5"/>
  <c r="X1473" i="5" s="1"/>
  <c r="Q1473" i="5"/>
  <c r="R1473" i="5" s="1"/>
  <c r="S1473" i="5" s="1"/>
  <c r="T1473" i="5" s="1"/>
  <c r="U1473" i="5" s="1"/>
  <c r="V1473" i="5" s="1"/>
  <c r="P1473" i="5"/>
  <c r="AE1473" i="5" s="1"/>
  <c r="AF1473" i="5" s="1"/>
  <c r="O1473" i="5"/>
  <c r="N1473" i="5"/>
  <c r="AC1472" i="5"/>
  <c r="AD1472" i="5" s="1"/>
  <c r="AA1472" i="5"/>
  <c r="AB1472" i="5" s="1"/>
  <c r="Y1472" i="5"/>
  <c r="Z1472" i="5" s="1"/>
  <c r="W1472" i="5"/>
  <c r="X1472" i="5" s="1"/>
  <c r="Q1472" i="5"/>
  <c r="R1472" i="5" s="1"/>
  <c r="S1472" i="5" s="1"/>
  <c r="T1472" i="5" s="1"/>
  <c r="U1472" i="5" s="1"/>
  <c r="V1472" i="5" s="1"/>
  <c r="P1472" i="5"/>
  <c r="AE1472" i="5" s="1"/>
  <c r="AF1472" i="5" s="1"/>
  <c r="O1472" i="5"/>
  <c r="N1472" i="5"/>
  <c r="AC1471" i="5"/>
  <c r="AD1471" i="5" s="1"/>
  <c r="AA1471" i="5"/>
  <c r="AB1471" i="5" s="1"/>
  <c r="Y1471" i="5"/>
  <c r="Z1471" i="5" s="1"/>
  <c r="W1471" i="5"/>
  <c r="X1471" i="5" s="1"/>
  <c r="Q1471" i="5"/>
  <c r="R1471" i="5" s="1"/>
  <c r="S1471" i="5" s="1"/>
  <c r="T1471" i="5" s="1"/>
  <c r="U1471" i="5" s="1"/>
  <c r="V1471" i="5" s="1"/>
  <c r="P1471" i="5"/>
  <c r="AE1471" i="5" s="1"/>
  <c r="AF1471" i="5" s="1"/>
  <c r="O1471" i="5"/>
  <c r="N1471" i="5"/>
  <c r="AC1470" i="5"/>
  <c r="AD1470" i="5" s="1"/>
  <c r="AA1470" i="5"/>
  <c r="AB1470" i="5" s="1"/>
  <c r="Y1470" i="5"/>
  <c r="Z1470" i="5" s="1"/>
  <c r="W1470" i="5"/>
  <c r="X1470" i="5" s="1"/>
  <c r="Q1470" i="5"/>
  <c r="R1470" i="5" s="1"/>
  <c r="S1470" i="5" s="1"/>
  <c r="T1470" i="5" s="1"/>
  <c r="U1470" i="5" s="1"/>
  <c r="V1470" i="5" s="1"/>
  <c r="P1470" i="5"/>
  <c r="AE1470" i="5" s="1"/>
  <c r="AF1470" i="5" s="1"/>
  <c r="O1470" i="5"/>
  <c r="N1470" i="5"/>
  <c r="AC1469" i="5"/>
  <c r="AD1469" i="5" s="1"/>
  <c r="AA1469" i="5"/>
  <c r="AB1469" i="5" s="1"/>
  <c r="Y1469" i="5"/>
  <c r="Z1469" i="5" s="1"/>
  <c r="W1469" i="5"/>
  <c r="X1469" i="5" s="1"/>
  <c r="Q1469" i="5"/>
  <c r="R1469" i="5" s="1"/>
  <c r="S1469" i="5" s="1"/>
  <c r="T1469" i="5" s="1"/>
  <c r="U1469" i="5" s="1"/>
  <c r="V1469" i="5" s="1"/>
  <c r="P1469" i="5"/>
  <c r="AE1469" i="5" s="1"/>
  <c r="AF1469" i="5" s="1"/>
  <c r="O1469" i="5"/>
  <c r="N1469" i="5"/>
  <c r="AC1468" i="5"/>
  <c r="AD1468" i="5" s="1"/>
  <c r="AA1468" i="5"/>
  <c r="AB1468" i="5" s="1"/>
  <c r="Y1468" i="5"/>
  <c r="Z1468" i="5" s="1"/>
  <c r="W1468" i="5"/>
  <c r="X1468" i="5" s="1"/>
  <c r="Q1468" i="5"/>
  <c r="R1468" i="5" s="1"/>
  <c r="S1468" i="5" s="1"/>
  <c r="T1468" i="5" s="1"/>
  <c r="U1468" i="5" s="1"/>
  <c r="V1468" i="5" s="1"/>
  <c r="P1468" i="5"/>
  <c r="AE1468" i="5" s="1"/>
  <c r="AF1468" i="5" s="1"/>
  <c r="O1468" i="5"/>
  <c r="N1468" i="5"/>
  <c r="AC1467" i="5"/>
  <c r="AD1467" i="5" s="1"/>
  <c r="AA1467" i="5"/>
  <c r="AB1467" i="5" s="1"/>
  <c r="Y1467" i="5"/>
  <c r="Z1467" i="5" s="1"/>
  <c r="W1467" i="5"/>
  <c r="X1467" i="5" s="1"/>
  <c r="Q1467" i="5"/>
  <c r="R1467" i="5" s="1"/>
  <c r="S1467" i="5" s="1"/>
  <c r="T1467" i="5" s="1"/>
  <c r="U1467" i="5" s="1"/>
  <c r="V1467" i="5" s="1"/>
  <c r="P1467" i="5"/>
  <c r="AE1467" i="5" s="1"/>
  <c r="AF1467" i="5" s="1"/>
  <c r="O1467" i="5"/>
  <c r="N1467" i="5"/>
  <c r="AC1466" i="5"/>
  <c r="AD1466" i="5" s="1"/>
  <c r="AA1466" i="5"/>
  <c r="AB1466" i="5" s="1"/>
  <c r="Y1466" i="5"/>
  <c r="Z1466" i="5" s="1"/>
  <c r="W1466" i="5"/>
  <c r="X1466" i="5" s="1"/>
  <c r="Q1466" i="5"/>
  <c r="R1466" i="5" s="1"/>
  <c r="S1466" i="5" s="1"/>
  <c r="T1466" i="5" s="1"/>
  <c r="U1466" i="5" s="1"/>
  <c r="V1466" i="5" s="1"/>
  <c r="P1466" i="5"/>
  <c r="AE1466" i="5" s="1"/>
  <c r="AF1466" i="5" s="1"/>
  <c r="O1466" i="5"/>
  <c r="N1466" i="5"/>
  <c r="AC1465" i="5"/>
  <c r="AD1465" i="5" s="1"/>
  <c r="AA1465" i="5"/>
  <c r="AB1465" i="5" s="1"/>
  <c r="Y1465" i="5"/>
  <c r="Z1465" i="5" s="1"/>
  <c r="W1465" i="5"/>
  <c r="X1465" i="5" s="1"/>
  <c r="Q1465" i="5"/>
  <c r="R1465" i="5" s="1"/>
  <c r="S1465" i="5" s="1"/>
  <c r="T1465" i="5" s="1"/>
  <c r="U1465" i="5" s="1"/>
  <c r="V1465" i="5" s="1"/>
  <c r="P1465" i="5"/>
  <c r="AE1465" i="5" s="1"/>
  <c r="AF1465" i="5" s="1"/>
  <c r="O1465" i="5"/>
  <c r="N1465" i="5"/>
  <c r="AC1464" i="5"/>
  <c r="AD1464" i="5" s="1"/>
  <c r="AA1464" i="5"/>
  <c r="AB1464" i="5" s="1"/>
  <c r="Y1464" i="5"/>
  <c r="Z1464" i="5" s="1"/>
  <c r="W1464" i="5"/>
  <c r="X1464" i="5" s="1"/>
  <c r="Q1464" i="5"/>
  <c r="R1464" i="5" s="1"/>
  <c r="S1464" i="5" s="1"/>
  <c r="T1464" i="5" s="1"/>
  <c r="U1464" i="5" s="1"/>
  <c r="V1464" i="5" s="1"/>
  <c r="P1464" i="5"/>
  <c r="AE1464" i="5" s="1"/>
  <c r="AF1464" i="5" s="1"/>
  <c r="O1464" i="5"/>
  <c r="N1464" i="5"/>
  <c r="AC1463" i="5"/>
  <c r="AD1463" i="5" s="1"/>
  <c r="AA1463" i="5"/>
  <c r="AB1463" i="5" s="1"/>
  <c r="Y1463" i="5"/>
  <c r="Z1463" i="5" s="1"/>
  <c r="W1463" i="5"/>
  <c r="X1463" i="5" s="1"/>
  <c r="Q1463" i="5"/>
  <c r="R1463" i="5" s="1"/>
  <c r="S1463" i="5" s="1"/>
  <c r="T1463" i="5" s="1"/>
  <c r="U1463" i="5" s="1"/>
  <c r="V1463" i="5" s="1"/>
  <c r="P1463" i="5"/>
  <c r="AE1463" i="5" s="1"/>
  <c r="AF1463" i="5" s="1"/>
  <c r="O1463" i="5"/>
  <c r="N1463" i="5"/>
  <c r="AC1462" i="5"/>
  <c r="AD1462" i="5" s="1"/>
  <c r="AA1462" i="5"/>
  <c r="AB1462" i="5" s="1"/>
  <c r="Y1462" i="5"/>
  <c r="Z1462" i="5" s="1"/>
  <c r="W1462" i="5"/>
  <c r="X1462" i="5" s="1"/>
  <c r="Q1462" i="5"/>
  <c r="R1462" i="5" s="1"/>
  <c r="S1462" i="5" s="1"/>
  <c r="T1462" i="5" s="1"/>
  <c r="U1462" i="5" s="1"/>
  <c r="V1462" i="5" s="1"/>
  <c r="P1462" i="5"/>
  <c r="AE1462" i="5" s="1"/>
  <c r="AF1462" i="5" s="1"/>
  <c r="O1462" i="5"/>
  <c r="N1462" i="5"/>
  <c r="AC1461" i="5"/>
  <c r="AD1461" i="5" s="1"/>
  <c r="AA1461" i="5"/>
  <c r="AB1461" i="5" s="1"/>
  <c r="Y1461" i="5"/>
  <c r="Z1461" i="5" s="1"/>
  <c r="W1461" i="5"/>
  <c r="X1461" i="5" s="1"/>
  <c r="Q1461" i="5"/>
  <c r="R1461" i="5" s="1"/>
  <c r="S1461" i="5" s="1"/>
  <c r="T1461" i="5" s="1"/>
  <c r="U1461" i="5" s="1"/>
  <c r="V1461" i="5" s="1"/>
  <c r="P1461" i="5"/>
  <c r="AE1461" i="5" s="1"/>
  <c r="AF1461" i="5" s="1"/>
  <c r="O1461" i="5"/>
  <c r="N1461" i="5"/>
  <c r="AC1460" i="5"/>
  <c r="AD1460" i="5" s="1"/>
  <c r="AA1460" i="5"/>
  <c r="AB1460" i="5" s="1"/>
  <c r="Y1460" i="5"/>
  <c r="Z1460" i="5" s="1"/>
  <c r="W1460" i="5"/>
  <c r="X1460" i="5" s="1"/>
  <c r="Q1460" i="5"/>
  <c r="R1460" i="5" s="1"/>
  <c r="S1460" i="5" s="1"/>
  <c r="T1460" i="5" s="1"/>
  <c r="U1460" i="5" s="1"/>
  <c r="V1460" i="5" s="1"/>
  <c r="P1460" i="5"/>
  <c r="AE1460" i="5" s="1"/>
  <c r="AF1460" i="5" s="1"/>
  <c r="O1460" i="5"/>
  <c r="N1460" i="5"/>
  <c r="AC1459" i="5"/>
  <c r="AD1459" i="5" s="1"/>
  <c r="AA1459" i="5"/>
  <c r="AB1459" i="5" s="1"/>
  <c r="Y1459" i="5"/>
  <c r="Z1459" i="5" s="1"/>
  <c r="W1459" i="5"/>
  <c r="X1459" i="5" s="1"/>
  <c r="Q1459" i="5"/>
  <c r="R1459" i="5" s="1"/>
  <c r="S1459" i="5" s="1"/>
  <c r="T1459" i="5" s="1"/>
  <c r="U1459" i="5" s="1"/>
  <c r="V1459" i="5" s="1"/>
  <c r="P1459" i="5"/>
  <c r="AE1459" i="5" s="1"/>
  <c r="AF1459" i="5" s="1"/>
  <c r="O1459" i="5"/>
  <c r="N1459" i="5"/>
  <c r="AC1458" i="5"/>
  <c r="AD1458" i="5" s="1"/>
  <c r="AA1458" i="5"/>
  <c r="AB1458" i="5" s="1"/>
  <c r="Y1458" i="5"/>
  <c r="Z1458" i="5" s="1"/>
  <c r="W1458" i="5"/>
  <c r="X1458" i="5" s="1"/>
  <c r="Q1458" i="5"/>
  <c r="R1458" i="5" s="1"/>
  <c r="S1458" i="5" s="1"/>
  <c r="T1458" i="5" s="1"/>
  <c r="U1458" i="5" s="1"/>
  <c r="V1458" i="5" s="1"/>
  <c r="P1458" i="5"/>
  <c r="AE1458" i="5" s="1"/>
  <c r="AF1458" i="5" s="1"/>
  <c r="O1458" i="5"/>
  <c r="N1458" i="5"/>
  <c r="AC1457" i="5"/>
  <c r="AD1457" i="5" s="1"/>
  <c r="AA1457" i="5"/>
  <c r="AB1457" i="5" s="1"/>
  <c r="Y1457" i="5"/>
  <c r="Z1457" i="5" s="1"/>
  <c r="W1457" i="5"/>
  <c r="X1457" i="5" s="1"/>
  <c r="Q1457" i="5"/>
  <c r="R1457" i="5" s="1"/>
  <c r="S1457" i="5" s="1"/>
  <c r="T1457" i="5" s="1"/>
  <c r="U1457" i="5" s="1"/>
  <c r="V1457" i="5" s="1"/>
  <c r="P1457" i="5"/>
  <c r="AE1457" i="5" s="1"/>
  <c r="AF1457" i="5" s="1"/>
  <c r="O1457" i="5"/>
  <c r="N1457" i="5"/>
  <c r="AC1456" i="5"/>
  <c r="AD1456" i="5" s="1"/>
  <c r="AA1456" i="5"/>
  <c r="AB1456" i="5" s="1"/>
  <c r="Y1456" i="5"/>
  <c r="Z1456" i="5" s="1"/>
  <c r="W1456" i="5"/>
  <c r="X1456" i="5" s="1"/>
  <c r="Q1456" i="5"/>
  <c r="R1456" i="5" s="1"/>
  <c r="S1456" i="5" s="1"/>
  <c r="T1456" i="5" s="1"/>
  <c r="U1456" i="5" s="1"/>
  <c r="V1456" i="5" s="1"/>
  <c r="P1456" i="5"/>
  <c r="AE1456" i="5" s="1"/>
  <c r="AF1456" i="5" s="1"/>
  <c r="O1456" i="5"/>
  <c r="N1456" i="5"/>
  <c r="AC1455" i="5"/>
  <c r="AD1455" i="5" s="1"/>
  <c r="AA1455" i="5"/>
  <c r="AB1455" i="5" s="1"/>
  <c r="Y1455" i="5"/>
  <c r="Z1455" i="5" s="1"/>
  <c r="W1455" i="5"/>
  <c r="X1455" i="5" s="1"/>
  <c r="Q1455" i="5"/>
  <c r="R1455" i="5" s="1"/>
  <c r="S1455" i="5" s="1"/>
  <c r="T1455" i="5" s="1"/>
  <c r="U1455" i="5" s="1"/>
  <c r="V1455" i="5" s="1"/>
  <c r="P1455" i="5"/>
  <c r="AE1455" i="5" s="1"/>
  <c r="AF1455" i="5" s="1"/>
  <c r="O1455" i="5"/>
  <c r="N1455" i="5"/>
  <c r="AC1454" i="5"/>
  <c r="AD1454" i="5" s="1"/>
  <c r="AA1454" i="5"/>
  <c r="AB1454" i="5" s="1"/>
  <c r="Y1454" i="5"/>
  <c r="Z1454" i="5" s="1"/>
  <c r="W1454" i="5"/>
  <c r="X1454" i="5" s="1"/>
  <c r="Q1454" i="5"/>
  <c r="R1454" i="5" s="1"/>
  <c r="S1454" i="5" s="1"/>
  <c r="T1454" i="5" s="1"/>
  <c r="U1454" i="5" s="1"/>
  <c r="V1454" i="5" s="1"/>
  <c r="P1454" i="5"/>
  <c r="AE1454" i="5" s="1"/>
  <c r="AF1454" i="5" s="1"/>
  <c r="O1454" i="5"/>
  <c r="N1454" i="5"/>
  <c r="AC1453" i="5"/>
  <c r="AD1453" i="5" s="1"/>
  <c r="AA1453" i="5"/>
  <c r="AB1453" i="5" s="1"/>
  <c r="Y1453" i="5"/>
  <c r="Z1453" i="5" s="1"/>
  <c r="W1453" i="5"/>
  <c r="X1453" i="5" s="1"/>
  <c r="Q1453" i="5"/>
  <c r="R1453" i="5" s="1"/>
  <c r="S1453" i="5" s="1"/>
  <c r="T1453" i="5" s="1"/>
  <c r="U1453" i="5" s="1"/>
  <c r="V1453" i="5" s="1"/>
  <c r="P1453" i="5"/>
  <c r="AE1453" i="5" s="1"/>
  <c r="AF1453" i="5" s="1"/>
  <c r="O1453" i="5"/>
  <c r="N1453" i="5"/>
  <c r="AC1452" i="5"/>
  <c r="AD1452" i="5" s="1"/>
  <c r="AA1452" i="5"/>
  <c r="AB1452" i="5" s="1"/>
  <c r="Y1452" i="5"/>
  <c r="Z1452" i="5" s="1"/>
  <c r="W1452" i="5"/>
  <c r="X1452" i="5" s="1"/>
  <c r="Q1452" i="5"/>
  <c r="R1452" i="5" s="1"/>
  <c r="S1452" i="5" s="1"/>
  <c r="T1452" i="5" s="1"/>
  <c r="U1452" i="5" s="1"/>
  <c r="V1452" i="5" s="1"/>
  <c r="P1452" i="5"/>
  <c r="AE1452" i="5" s="1"/>
  <c r="AF1452" i="5" s="1"/>
  <c r="O1452" i="5"/>
  <c r="N1452" i="5"/>
  <c r="AC1451" i="5"/>
  <c r="AD1451" i="5" s="1"/>
  <c r="AA1451" i="5"/>
  <c r="AB1451" i="5" s="1"/>
  <c r="Y1451" i="5"/>
  <c r="Z1451" i="5" s="1"/>
  <c r="W1451" i="5"/>
  <c r="X1451" i="5" s="1"/>
  <c r="Q1451" i="5"/>
  <c r="R1451" i="5" s="1"/>
  <c r="S1451" i="5" s="1"/>
  <c r="T1451" i="5" s="1"/>
  <c r="U1451" i="5" s="1"/>
  <c r="V1451" i="5" s="1"/>
  <c r="P1451" i="5"/>
  <c r="AE1451" i="5" s="1"/>
  <c r="AF1451" i="5" s="1"/>
  <c r="O1451" i="5"/>
  <c r="N1451" i="5"/>
  <c r="AC1450" i="5"/>
  <c r="AD1450" i="5" s="1"/>
  <c r="AA1450" i="5"/>
  <c r="AB1450" i="5" s="1"/>
  <c r="Y1450" i="5"/>
  <c r="Z1450" i="5" s="1"/>
  <c r="W1450" i="5"/>
  <c r="X1450" i="5" s="1"/>
  <c r="Q1450" i="5"/>
  <c r="R1450" i="5" s="1"/>
  <c r="S1450" i="5" s="1"/>
  <c r="T1450" i="5" s="1"/>
  <c r="U1450" i="5" s="1"/>
  <c r="V1450" i="5" s="1"/>
  <c r="P1450" i="5"/>
  <c r="AE1450" i="5" s="1"/>
  <c r="AF1450" i="5" s="1"/>
  <c r="O1450" i="5"/>
  <c r="N1450" i="5"/>
  <c r="AC1449" i="5"/>
  <c r="AD1449" i="5" s="1"/>
  <c r="AA1449" i="5"/>
  <c r="AB1449" i="5" s="1"/>
  <c r="Y1449" i="5"/>
  <c r="Z1449" i="5" s="1"/>
  <c r="W1449" i="5"/>
  <c r="X1449" i="5" s="1"/>
  <c r="Q1449" i="5"/>
  <c r="R1449" i="5" s="1"/>
  <c r="S1449" i="5" s="1"/>
  <c r="T1449" i="5" s="1"/>
  <c r="U1449" i="5" s="1"/>
  <c r="V1449" i="5" s="1"/>
  <c r="P1449" i="5"/>
  <c r="AE1449" i="5" s="1"/>
  <c r="AF1449" i="5" s="1"/>
  <c r="O1449" i="5"/>
  <c r="N1449" i="5"/>
  <c r="AC1448" i="5"/>
  <c r="AD1448" i="5" s="1"/>
  <c r="AA1448" i="5"/>
  <c r="AB1448" i="5" s="1"/>
  <c r="Y1448" i="5"/>
  <c r="Z1448" i="5" s="1"/>
  <c r="W1448" i="5"/>
  <c r="X1448" i="5" s="1"/>
  <c r="Q1448" i="5"/>
  <c r="R1448" i="5" s="1"/>
  <c r="S1448" i="5" s="1"/>
  <c r="T1448" i="5" s="1"/>
  <c r="U1448" i="5" s="1"/>
  <c r="V1448" i="5" s="1"/>
  <c r="P1448" i="5"/>
  <c r="AE1448" i="5" s="1"/>
  <c r="AF1448" i="5" s="1"/>
  <c r="O1448" i="5"/>
  <c r="N1448" i="5"/>
  <c r="AC1447" i="5"/>
  <c r="AD1447" i="5" s="1"/>
  <c r="AA1447" i="5"/>
  <c r="AB1447" i="5" s="1"/>
  <c r="Y1447" i="5"/>
  <c r="Z1447" i="5" s="1"/>
  <c r="W1447" i="5"/>
  <c r="X1447" i="5" s="1"/>
  <c r="Q1447" i="5"/>
  <c r="R1447" i="5" s="1"/>
  <c r="S1447" i="5" s="1"/>
  <c r="T1447" i="5" s="1"/>
  <c r="U1447" i="5" s="1"/>
  <c r="V1447" i="5" s="1"/>
  <c r="P1447" i="5"/>
  <c r="AE1447" i="5" s="1"/>
  <c r="AF1447" i="5" s="1"/>
  <c r="O1447" i="5"/>
  <c r="N1447" i="5"/>
  <c r="AC1446" i="5"/>
  <c r="AD1446" i="5" s="1"/>
  <c r="AA1446" i="5"/>
  <c r="AB1446" i="5" s="1"/>
  <c r="Y1446" i="5"/>
  <c r="Z1446" i="5" s="1"/>
  <c r="W1446" i="5"/>
  <c r="X1446" i="5" s="1"/>
  <c r="Q1446" i="5"/>
  <c r="R1446" i="5" s="1"/>
  <c r="S1446" i="5" s="1"/>
  <c r="T1446" i="5" s="1"/>
  <c r="U1446" i="5" s="1"/>
  <c r="V1446" i="5" s="1"/>
  <c r="P1446" i="5"/>
  <c r="AE1446" i="5" s="1"/>
  <c r="AF1446" i="5" s="1"/>
  <c r="O1446" i="5"/>
  <c r="N1446" i="5"/>
  <c r="AC1445" i="5"/>
  <c r="AD1445" i="5" s="1"/>
  <c r="AA1445" i="5"/>
  <c r="AB1445" i="5" s="1"/>
  <c r="Y1445" i="5"/>
  <c r="Z1445" i="5" s="1"/>
  <c r="W1445" i="5"/>
  <c r="X1445" i="5" s="1"/>
  <c r="Q1445" i="5"/>
  <c r="R1445" i="5" s="1"/>
  <c r="S1445" i="5" s="1"/>
  <c r="T1445" i="5" s="1"/>
  <c r="U1445" i="5" s="1"/>
  <c r="V1445" i="5" s="1"/>
  <c r="P1445" i="5"/>
  <c r="AE1445" i="5" s="1"/>
  <c r="AF1445" i="5" s="1"/>
  <c r="O1445" i="5"/>
  <c r="N1445" i="5"/>
  <c r="AC1444" i="5"/>
  <c r="AD1444" i="5" s="1"/>
  <c r="AA1444" i="5"/>
  <c r="AB1444" i="5" s="1"/>
  <c r="Y1444" i="5"/>
  <c r="Z1444" i="5" s="1"/>
  <c r="W1444" i="5"/>
  <c r="X1444" i="5" s="1"/>
  <c r="Q1444" i="5"/>
  <c r="R1444" i="5" s="1"/>
  <c r="S1444" i="5" s="1"/>
  <c r="T1444" i="5" s="1"/>
  <c r="U1444" i="5" s="1"/>
  <c r="V1444" i="5" s="1"/>
  <c r="P1444" i="5"/>
  <c r="AE1444" i="5" s="1"/>
  <c r="AF1444" i="5" s="1"/>
  <c r="O1444" i="5"/>
  <c r="N1444" i="5"/>
  <c r="AC1443" i="5"/>
  <c r="AD1443" i="5" s="1"/>
  <c r="AA1443" i="5"/>
  <c r="AB1443" i="5" s="1"/>
  <c r="Y1443" i="5"/>
  <c r="Z1443" i="5" s="1"/>
  <c r="W1443" i="5"/>
  <c r="X1443" i="5" s="1"/>
  <c r="Q1443" i="5"/>
  <c r="R1443" i="5" s="1"/>
  <c r="S1443" i="5" s="1"/>
  <c r="T1443" i="5" s="1"/>
  <c r="U1443" i="5" s="1"/>
  <c r="V1443" i="5" s="1"/>
  <c r="P1443" i="5"/>
  <c r="AE1443" i="5" s="1"/>
  <c r="AF1443" i="5" s="1"/>
  <c r="O1443" i="5"/>
  <c r="N1443" i="5"/>
  <c r="AC1442" i="5"/>
  <c r="AD1442" i="5" s="1"/>
  <c r="AA1442" i="5"/>
  <c r="AB1442" i="5" s="1"/>
  <c r="Y1442" i="5"/>
  <c r="Z1442" i="5" s="1"/>
  <c r="W1442" i="5"/>
  <c r="X1442" i="5" s="1"/>
  <c r="Q1442" i="5"/>
  <c r="R1442" i="5" s="1"/>
  <c r="S1442" i="5" s="1"/>
  <c r="T1442" i="5" s="1"/>
  <c r="U1442" i="5" s="1"/>
  <c r="V1442" i="5" s="1"/>
  <c r="P1442" i="5"/>
  <c r="AE1442" i="5" s="1"/>
  <c r="AF1442" i="5" s="1"/>
  <c r="O1442" i="5"/>
  <c r="N1442" i="5"/>
  <c r="AC1441" i="5"/>
  <c r="AD1441" i="5" s="1"/>
  <c r="AA1441" i="5"/>
  <c r="AB1441" i="5" s="1"/>
  <c r="Y1441" i="5"/>
  <c r="Z1441" i="5" s="1"/>
  <c r="W1441" i="5"/>
  <c r="X1441" i="5" s="1"/>
  <c r="Q1441" i="5"/>
  <c r="R1441" i="5" s="1"/>
  <c r="S1441" i="5" s="1"/>
  <c r="T1441" i="5" s="1"/>
  <c r="U1441" i="5" s="1"/>
  <c r="V1441" i="5" s="1"/>
  <c r="P1441" i="5"/>
  <c r="AE1441" i="5" s="1"/>
  <c r="AF1441" i="5" s="1"/>
  <c r="O1441" i="5"/>
  <c r="N1441" i="5"/>
  <c r="AC1440" i="5"/>
  <c r="AD1440" i="5" s="1"/>
  <c r="AA1440" i="5"/>
  <c r="AB1440" i="5" s="1"/>
  <c r="Y1440" i="5"/>
  <c r="Z1440" i="5" s="1"/>
  <c r="W1440" i="5"/>
  <c r="X1440" i="5" s="1"/>
  <c r="Q1440" i="5"/>
  <c r="R1440" i="5" s="1"/>
  <c r="S1440" i="5" s="1"/>
  <c r="T1440" i="5" s="1"/>
  <c r="U1440" i="5" s="1"/>
  <c r="V1440" i="5" s="1"/>
  <c r="P1440" i="5"/>
  <c r="AE1440" i="5" s="1"/>
  <c r="AF1440" i="5" s="1"/>
  <c r="O1440" i="5"/>
  <c r="N1440" i="5"/>
  <c r="AC1439" i="5"/>
  <c r="AD1439" i="5" s="1"/>
  <c r="AA1439" i="5"/>
  <c r="AB1439" i="5" s="1"/>
  <c r="Y1439" i="5"/>
  <c r="Z1439" i="5" s="1"/>
  <c r="W1439" i="5"/>
  <c r="X1439" i="5" s="1"/>
  <c r="Q1439" i="5"/>
  <c r="R1439" i="5" s="1"/>
  <c r="S1439" i="5" s="1"/>
  <c r="T1439" i="5" s="1"/>
  <c r="U1439" i="5" s="1"/>
  <c r="V1439" i="5" s="1"/>
  <c r="P1439" i="5"/>
  <c r="AE1439" i="5" s="1"/>
  <c r="AF1439" i="5" s="1"/>
  <c r="O1439" i="5"/>
  <c r="N1439" i="5"/>
  <c r="AC1438" i="5"/>
  <c r="AD1438" i="5" s="1"/>
  <c r="AA1438" i="5"/>
  <c r="AB1438" i="5" s="1"/>
  <c r="Y1438" i="5"/>
  <c r="Z1438" i="5" s="1"/>
  <c r="W1438" i="5"/>
  <c r="X1438" i="5" s="1"/>
  <c r="Q1438" i="5"/>
  <c r="R1438" i="5" s="1"/>
  <c r="S1438" i="5" s="1"/>
  <c r="T1438" i="5" s="1"/>
  <c r="U1438" i="5" s="1"/>
  <c r="V1438" i="5" s="1"/>
  <c r="P1438" i="5"/>
  <c r="AE1438" i="5" s="1"/>
  <c r="AF1438" i="5" s="1"/>
  <c r="O1438" i="5"/>
  <c r="N1438" i="5"/>
  <c r="AC1437" i="5"/>
  <c r="AD1437" i="5" s="1"/>
  <c r="AA1437" i="5"/>
  <c r="AB1437" i="5" s="1"/>
  <c r="Y1437" i="5"/>
  <c r="Z1437" i="5" s="1"/>
  <c r="W1437" i="5"/>
  <c r="X1437" i="5" s="1"/>
  <c r="Q1437" i="5"/>
  <c r="R1437" i="5" s="1"/>
  <c r="S1437" i="5" s="1"/>
  <c r="T1437" i="5" s="1"/>
  <c r="U1437" i="5" s="1"/>
  <c r="V1437" i="5" s="1"/>
  <c r="P1437" i="5"/>
  <c r="AE1437" i="5" s="1"/>
  <c r="AF1437" i="5" s="1"/>
  <c r="O1437" i="5"/>
  <c r="N1437" i="5"/>
  <c r="AC1436" i="5"/>
  <c r="AD1436" i="5" s="1"/>
  <c r="AA1436" i="5"/>
  <c r="AB1436" i="5" s="1"/>
  <c r="Y1436" i="5"/>
  <c r="Z1436" i="5" s="1"/>
  <c r="W1436" i="5"/>
  <c r="X1436" i="5" s="1"/>
  <c r="Q1436" i="5"/>
  <c r="R1436" i="5" s="1"/>
  <c r="S1436" i="5" s="1"/>
  <c r="T1436" i="5" s="1"/>
  <c r="U1436" i="5" s="1"/>
  <c r="V1436" i="5" s="1"/>
  <c r="P1436" i="5"/>
  <c r="AE1436" i="5" s="1"/>
  <c r="AF1436" i="5" s="1"/>
  <c r="O1436" i="5"/>
  <c r="N1436" i="5"/>
  <c r="AC1435" i="5"/>
  <c r="AD1435" i="5" s="1"/>
  <c r="AA1435" i="5"/>
  <c r="AB1435" i="5" s="1"/>
  <c r="Y1435" i="5"/>
  <c r="Z1435" i="5" s="1"/>
  <c r="W1435" i="5"/>
  <c r="X1435" i="5" s="1"/>
  <c r="Q1435" i="5"/>
  <c r="R1435" i="5" s="1"/>
  <c r="S1435" i="5" s="1"/>
  <c r="T1435" i="5" s="1"/>
  <c r="U1435" i="5" s="1"/>
  <c r="V1435" i="5" s="1"/>
  <c r="P1435" i="5"/>
  <c r="AE1435" i="5" s="1"/>
  <c r="AF1435" i="5" s="1"/>
  <c r="O1435" i="5"/>
  <c r="N1435" i="5"/>
  <c r="AC1434" i="5"/>
  <c r="AD1434" i="5" s="1"/>
  <c r="AA1434" i="5"/>
  <c r="AB1434" i="5" s="1"/>
  <c r="Y1434" i="5"/>
  <c r="Z1434" i="5" s="1"/>
  <c r="W1434" i="5"/>
  <c r="X1434" i="5" s="1"/>
  <c r="Q1434" i="5"/>
  <c r="R1434" i="5" s="1"/>
  <c r="S1434" i="5" s="1"/>
  <c r="T1434" i="5" s="1"/>
  <c r="U1434" i="5" s="1"/>
  <c r="V1434" i="5" s="1"/>
  <c r="P1434" i="5"/>
  <c r="AE1434" i="5" s="1"/>
  <c r="AF1434" i="5" s="1"/>
  <c r="O1434" i="5"/>
  <c r="N1434" i="5"/>
  <c r="AC1433" i="5"/>
  <c r="AD1433" i="5" s="1"/>
  <c r="AA1433" i="5"/>
  <c r="AB1433" i="5" s="1"/>
  <c r="Y1433" i="5"/>
  <c r="Z1433" i="5" s="1"/>
  <c r="W1433" i="5"/>
  <c r="X1433" i="5" s="1"/>
  <c r="Q1433" i="5"/>
  <c r="R1433" i="5" s="1"/>
  <c r="S1433" i="5" s="1"/>
  <c r="T1433" i="5" s="1"/>
  <c r="U1433" i="5" s="1"/>
  <c r="V1433" i="5" s="1"/>
  <c r="P1433" i="5"/>
  <c r="AE1433" i="5" s="1"/>
  <c r="AF1433" i="5" s="1"/>
  <c r="O1433" i="5"/>
  <c r="N1433" i="5"/>
  <c r="AC1432" i="5"/>
  <c r="AD1432" i="5" s="1"/>
  <c r="AA1432" i="5"/>
  <c r="AB1432" i="5" s="1"/>
  <c r="Y1432" i="5"/>
  <c r="Z1432" i="5" s="1"/>
  <c r="W1432" i="5"/>
  <c r="X1432" i="5" s="1"/>
  <c r="Q1432" i="5"/>
  <c r="R1432" i="5" s="1"/>
  <c r="S1432" i="5" s="1"/>
  <c r="T1432" i="5" s="1"/>
  <c r="U1432" i="5" s="1"/>
  <c r="V1432" i="5" s="1"/>
  <c r="P1432" i="5"/>
  <c r="AE1432" i="5" s="1"/>
  <c r="AF1432" i="5" s="1"/>
  <c r="O1432" i="5"/>
  <c r="N1432" i="5"/>
  <c r="AC1431" i="5"/>
  <c r="AD1431" i="5" s="1"/>
  <c r="AA1431" i="5"/>
  <c r="AB1431" i="5" s="1"/>
  <c r="Y1431" i="5"/>
  <c r="Z1431" i="5" s="1"/>
  <c r="W1431" i="5"/>
  <c r="X1431" i="5" s="1"/>
  <c r="Q1431" i="5"/>
  <c r="R1431" i="5" s="1"/>
  <c r="S1431" i="5" s="1"/>
  <c r="T1431" i="5" s="1"/>
  <c r="U1431" i="5" s="1"/>
  <c r="V1431" i="5" s="1"/>
  <c r="P1431" i="5"/>
  <c r="AE1431" i="5" s="1"/>
  <c r="AF1431" i="5" s="1"/>
  <c r="O1431" i="5"/>
  <c r="N1431" i="5"/>
  <c r="AC1430" i="5"/>
  <c r="AD1430" i="5" s="1"/>
  <c r="AA1430" i="5"/>
  <c r="AB1430" i="5" s="1"/>
  <c r="Y1430" i="5"/>
  <c r="Z1430" i="5" s="1"/>
  <c r="W1430" i="5"/>
  <c r="X1430" i="5" s="1"/>
  <c r="Q1430" i="5"/>
  <c r="R1430" i="5" s="1"/>
  <c r="S1430" i="5" s="1"/>
  <c r="T1430" i="5" s="1"/>
  <c r="U1430" i="5" s="1"/>
  <c r="V1430" i="5" s="1"/>
  <c r="P1430" i="5"/>
  <c r="AE1430" i="5" s="1"/>
  <c r="AF1430" i="5" s="1"/>
  <c r="O1430" i="5"/>
  <c r="N1430" i="5"/>
  <c r="AC1429" i="5"/>
  <c r="AD1429" i="5" s="1"/>
  <c r="AA1429" i="5"/>
  <c r="AB1429" i="5" s="1"/>
  <c r="Y1429" i="5"/>
  <c r="Z1429" i="5" s="1"/>
  <c r="W1429" i="5"/>
  <c r="X1429" i="5" s="1"/>
  <c r="Q1429" i="5"/>
  <c r="R1429" i="5" s="1"/>
  <c r="S1429" i="5" s="1"/>
  <c r="T1429" i="5" s="1"/>
  <c r="U1429" i="5" s="1"/>
  <c r="V1429" i="5" s="1"/>
  <c r="P1429" i="5"/>
  <c r="AE1429" i="5" s="1"/>
  <c r="AF1429" i="5" s="1"/>
  <c r="O1429" i="5"/>
  <c r="N1429" i="5"/>
  <c r="AC1428" i="5"/>
  <c r="AD1428" i="5" s="1"/>
  <c r="AA1428" i="5"/>
  <c r="AB1428" i="5" s="1"/>
  <c r="Y1428" i="5"/>
  <c r="Z1428" i="5" s="1"/>
  <c r="W1428" i="5"/>
  <c r="X1428" i="5" s="1"/>
  <c r="Q1428" i="5"/>
  <c r="R1428" i="5" s="1"/>
  <c r="S1428" i="5" s="1"/>
  <c r="T1428" i="5" s="1"/>
  <c r="U1428" i="5" s="1"/>
  <c r="V1428" i="5" s="1"/>
  <c r="P1428" i="5"/>
  <c r="AE1428" i="5" s="1"/>
  <c r="AF1428" i="5" s="1"/>
  <c r="O1428" i="5"/>
  <c r="N1428" i="5"/>
  <c r="AC1427" i="5"/>
  <c r="AD1427" i="5" s="1"/>
  <c r="AA1427" i="5"/>
  <c r="AB1427" i="5" s="1"/>
  <c r="Y1427" i="5"/>
  <c r="Z1427" i="5" s="1"/>
  <c r="W1427" i="5"/>
  <c r="X1427" i="5" s="1"/>
  <c r="Q1427" i="5"/>
  <c r="R1427" i="5" s="1"/>
  <c r="S1427" i="5" s="1"/>
  <c r="T1427" i="5" s="1"/>
  <c r="U1427" i="5" s="1"/>
  <c r="V1427" i="5" s="1"/>
  <c r="P1427" i="5"/>
  <c r="AE1427" i="5" s="1"/>
  <c r="AF1427" i="5" s="1"/>
  <c r="O1427" i="5"/>
  <c r="N1427" i="5"/>
  <c r="AC1426" i="5"/>
  <c r="AD1426" i="5" s="1"/>
  <c r="AA1426" i="5"/>
  <c r="AB1426" i="5" s="1"/>
  <c r="Y1426" i="5"/>
  <c r="Z1426" i="5" s="1"/>
  <c r="W1426" i="5"/>
  <c r="X1426" i="5" s="1"/>
  <c r="Q1426" i="5"/>
  <c r="R1426" i="5" s="1"/>
  <c r="S1426" i="5" s="1"/>
  <c r="T1426" i="5" s="1"/>
  <c r="U1426" i="5" s="1"/>
  <c r="V1426" i="5" s="1"/>
  <c r="P1426" i="5"/>
  <c r="AE1426" i="5" s="1"/>
  <c r="AF1426" i="5" s="1"/>
  <c r="O1426" i="5"/>
  <c r="N1426" i="5"/>
  <c r="AC1425" i="5"/>
  <c r="AD1425" i="5" s="1"/>
  <c r="AA1425" i="5"/>
  <c r="AB1425" i="5" s="1"/>
  <c r="Y1425" i="5"/>
  <c r="Z1425" i="5" s="1"/>
  <c r="W1425" i="5"/>
  <c r="X1425" i="5" s="1"/>
  <c r="Q1425" i="5"/>
  <c r="R1425" i="5" s="1"/>
  <c r="S1425" i="5" s="1"/>
  <c r="T1425" i="5" s="1"/>
  <c r="U1425" i="5" s="1"/>
  <c r="V1425" i="5" s="1"/>
  <c r="P1425" i="5"/>
  <c r="AE1425" i="5" s="1"/>
  <c r="AF1425" i="5" s="1"/>
  <c r="O1425" i="5"/>
  <c r="N1425" i="5"/>
  <c r="AC1424" i="5"/>
  <c r="AD1424" i="5" s="1"/>
  <c r="AA1424" i="5"/>
  <c r="AB1424" i="5" s="1"/>
  <c r="Y1424" i="5"/>
  <c r="Z1424" i="5" s="1"/>
  <c r="W1424" i="5"/>
  <c r="X1424" i="5" s="1"/>
  <c r="Q1424" i="5"/>
  <c r="R1424" i="5" s="1"/>
  <c r="S1424" i="5" s="1"/>
  <c r="T1424" i="5" s="1"/>
  <c r="U1424" i="5" s="1"/>
  <c r="V1424" i="5" s="1"/>
  <c r="P1424" i="5"/>
  <c r="AE1424" i="5" s="1"/>
  <c r="AF1424" i="5" s="1"/>
  <c r="O1424" i="5"/>
  <c r="N1424" i="5"/>
  <c r="AC1423" i="5"/>
  <c r="AD1423" i="5" s="1"/>
  <c r="AA1423" i="5"/>
  <c r="AB1423" i="5" s="1"/>
  <c r="Y1423" i="5"/>
  <c r="Z1423" i="5" s="1"/>
  <c r="W1423" i="5"/>
  <c r="X1423" i="5" s="1"/>
  <c r="Q1423" i="5"/>
  <c r="R1423" i="5" s="1"/>
  <c r="S1423" i="5" s="1"/>
  <c r="T1423" i="5" s="1"/>
  <c r="U1423" i="5" s="1"/>
  <c r="V1423" i="5" s="1"/>
  <c r="P1423" i="5"/>
  <c r="AE1423" i="5" s="1"/>
  <c r="AF1423" i="5" s="1"/>
  <c r="O1423" i="5"/>
  <c r="N1423" i="5"/>
  <c r="AC1422" i="5"/>
  <c r="AD1422" i="5" s="1"/>
  <c r="AA1422" i="5"/>
  <c r="AB1422" i="5" s="1"/>
  <c r="Y1422" i="5"/>
  <c r="Z1422" i="5" s="1"/>
  <c r="W1422" i="5"/>
  <c r="X1422" i="5" s="1"/>
  <c r="Q1422" i="5"/>
  <c r="R1422" i="5" s="1"/>
  <c r="S1422" i="5" s="1"/>
  <c r="T1422" i="5" s="1"/>
  <c r="U1422" i="5" s="1"/>
  <c r="V1422" i="5" s="1"/>
  <c r="P1422" i="5"/>
  <c r="AE1422" i="5" s="1"/>
  <c r="AF1422" i="5" s="1"/>
  <c r="O1422" i="5"/>
  <c r="N1422" i="5"/>
  <c r="AC1421" i="5"/>
  <c r="AD1421" i="5" s="1"/>
  <c r="AA1421" i="5"/>
  <c r="AB1421" i="5" s="1"/>
  <c r="Y1421" i="5"/>
  <c r="Z1421" i="5" s="1"/>
  <c r="W1421" i="5"/>
  <c r="X1421" i="5" s="1"/>
  <c r="Q1421" i="5"/>
  <c r="R1421" i="5" s="1"/>
  <c r="S1421" i="5" s="1"/>
  <c r="T1421" i="5" s="1"/>
  <c r="U1421" i="5" s="1"/>
  <c r="V1421" i="5" s="1"/>
  <c r="P1421" i="5"/>
  <c r="AE1421" i="5" s="1"/>
  <c r="AF1421" i="5" s="1"/>
  <c r="O1421" i="5"/>
  <c r="N1421" i="5"/>
  <c r="AC1420" i="5"/>
  <c r="AD1420" i="5" s="1"/>
  <c r="AA1420" i="5"/>
  <c r="AB1420" i="5" s="1"/>
  <c r="Y1420" i="5"/>
  <c r="Z1420" i="5" s="1"/>
  <c r="W1420" i="5"/>
  <c r="X1420" i="5" s="1"/>
  <c r="Q1420" i="5"/>
  <c r="R1420" i="5" s="1"/>
  <c r="S1420" i="5" s="1"/>
  <c r="T1420" i="5" s="1"/>
  <c r="U1420" i="5" s="1"/>
  <c r="V1420" i="5" s="1"/>
  <c r="P1420" i="5"/>
  <c r="AE1420" i="5" s="1"/>
  <c r="AF1420" i="5" s="1"/>
  <c r="O1420" i="5"/>
  <c r="N1420" i="5"/>
  <c r="AC1419" i="5"/>
  <c r="AD1419" i="5" s="1"/>
  <c r="AA1419" i="5"/>
  <c r="AB1419" i="5" s="1"/>
  <c r="Y1419" i="5"/>
  <c r="Z1419" i="5" s="1"/>
  <c r="W1419" i="5"/>
  <c r="X1419" i="5" s="1"/>
  <c r="Q1419" i="5"/>
  <c r="R1419" i="5" s="1"/>
  <c r="S1419" i="5" s="1"/>
  <c r="T1419" i="5" s="1"/>
  <c r="U1419" i="5" s="1"/>
  <c r="V1419" i="5" s="1"/>
  <c r="P1419" i="5"/>
  <c r="AE1419" i="5" s="1"/>
  <c r="AF1419" i="5" s="1"/>
  <c r="O1419" i="5"/>
  <c r="N1419" i="5"/>
  <c r="AC1418" i="5"/>
  <c r="AD1418" i="5" s="1"/>
  <c r="AA1418" i="5"/>
  <c r="AB1418" i="5" s="1"/>
  <c r="Y1418" i="5"/>
  <c r="Z1418" i="5" s="1"/>
  <c r="W1418" i="5"/>
  <c r="X1418" i="5" s="1"/>
  <c r="Q1418" i="5"/>
  <c r="R1418" i="5" s="1"/>
  <c r="S1418" i="5" s="1"/>
  <c r="T1418" i="5" s="1"/>
  <c r="U1418" i="5" s="1"/>
  <c r="V1418" i="5" s="1"/>
  <c r="P1418" i="5"/>
  <c r="AE1418" i="5" s="1"/>
  <c r="AF1418" i="5" s="1"/>
  <c r="O1418" i="5"/>
  <c r="N1418" i="5"/>
  <c r="AC1417" i="5"/>
  <c r="AD1417" i="5" s="1"/>
  <c r="AA1417" i="5"/>
  <c r="AB1417" i="5" s="1"/>
  <c r="Y1417" i="5"/>
  <c r="Z1417" i="5" s="1"/>
  <c r="W1417" i="5"/>
  <c r="X1417" i="5" s="1"/>
  <c r="Q1417" i="5"/>
  <c r="R1417" i="5" s="1"/>
  <c r="S1417" i="5" s="1"/>
  <c r="T1417" i="5" s="1"/>
  <c r="U1417" i="5" s="1"/>
  <c r="V1417" i="5" s="1"/>
  <c r="P1417" i="5"/>
  <c r="AE1417" i="5" s="1"/>
  <c r="AF1417" i="5" s="1"/>
  <c r="O1417" i="5"/>
  <c r="N1417" i="5"/>
  <c r="AC1416" i="5"/>
  <c r="AD1416" i="5" s="1"/>
  <c r="AA1416" i="5"/>
  <c r="AB1416" i="5" s="1"/>
  <c r="Y1416" i="5"/>
  <c r="Z1416" i="5" s="1"/>
  <c r="W1416" i="5"/>
  <c r="X1416" i="5" s="1"/>
  <c r="Q1416" i="5"/>
  <c r="R1416" i="5" s="1"/>
  <c r="S1416" i="5" s="1"/>
  <c r="T1416" i="5" s="1"/>
  <c r="U1416" i="5" s="1"/>
  <c r="V1416" i="5" s="1"/>
  <c r="P1416" i="5"/>
  <c r="AE1416" i="5" s="1"/>
  <c r="AF1416" i="5" s="1"/>
  <c r="O1416" i="5"/>
  <c r="N1416" i="5"/>
  <c r="AC1415" i="5"/>
  <c r="AD1415" i="5" s="1"/>
  <c r="AA1415" i="5"/>
  <c r="AB1415" i="5" s="1"/>
  <c r="Y1415" i="5"/>
  <c r="Z1415" i="5" s="1"/>
  <c r="W1415" i="5"/>
  <c r="X1415" i="5" s="1"/>
  <c r="Q1415" i="5"/>
  <c r="R1415" i="5" s="1"/>
  <c r="S1415" i="5" s="1"/>
  <c r="T1415" i="5" s="1"/>
  <c r="U1415" i="5" s="1"/>
  <c r="V1415" i="5" s="1"/>
  <c r="P1415" i="5"/>
  <c r="AE1415" i="5" s="1"/>
  <c r="AF1415" i="5" s="1"/>
  <c r="O1415" i="5"/>
  <c r="N1415" i="5"/>
  <c r="AC1414" i="5"/>
  <c r="AD1414" i="5" s="1"/>
  <c r="AA1414" i="5"/>
  <c r="AB1414" i="5" s="1"/>
  <c r="Y1414" i="5"/>
  <c r="Z1414" i="5" s="1"/>
  <c r="W1414" i="5"/>
  <c r="X1414" i="5" s="1"/>
  <c r="Q1414" i="5"/>
  <c r="R1414" i="5" s="1"/>
  <c r="S1414" i="5" s="1"/>
  <c r="T1414" i="5" s="1"/>
  <c r="U1414" i="5" s="1"/>
  <c r="V1414" i="5" s="1"/>
  <c r="P1414" i="5"/>
  <c r="AE1414" i="5" s="1"/>
  <c r="AF1414" i="5" s="1"/>
  <c r="O1414" i="5"/>
  <c r="N1414" i="5"/>
  <c r="AC1413" i="5"/>
  <c r="AD1413" i="5" s="1"/>
  <c r="AA1413" i="5"/>
  <c r="AB1413" i="5" s="1"/>
  <c r="Y1413" i="5"/>
  <c r="Z1413" i="5" s="1"/>
  <c r="W1413" i="5"/>
  <c r="X1413" i="5" s="1"/>
  <c r="Q1413" i="5"/>
  <c r="R1413" i="5" s="1"/>
  <c r="S1413" i="5" s="1"/>
  <c r="T1413" i="5" s="1"/>
  <c r="U1413" i="5" s="1"/>
  <c r="V1413" i="5" s="1"/>
  <c r="P1413" i="5"/>
  <c r="AE1413" i="5" s="1"/>
  <c r="AF1413" i="5" s="1"/>
  <c r="O1413" i="5"/>
  <c r="N1413" i="5"/>
  <c r="AC1412" i="5"/>
  <c r="AD1412" i="5" s="1"/>
  <c r="AA1412" i="5"/>
  <c r="AB1412" i="5" s="1"/>
  <c r="Y1412" i="5"/>
  <c r="Z1412" i="5" s="1"/>
  <c r="W1412" i="5"/>
  <c r="X1412" i="5" s="1"/>
  <c r="Q1412" i="5"/>
  <c r="R1412" i="5" s="1"/>
  <c r="S1412" i="5" s="1"/>
  <c r="T1412" i="5" s="1"/>
  <c r="U1412" i="5" s="1"/>
  <c r="V1412" i="5" s="1"/>
  <c r="P1412" i="5"/>
  <c r="AE1412" i="5" s="1"/>
  <c r="AF1412" i="5" s="1"/>
  <c r="O1412" i="5"/>
  <c r="N1412" i="5"/>
  <c r="AC1411" i="5"/>
  <c r="AD1411" i="5" s="1"/>
  <c r="AA1411" i="5"/>
  <c r="AB1411" i="5" s="1"/>
  <c r="Y1411" i="5"/>
  <c r="Z1411" i="5" s="1"/>
  <c r="W1411" i="5"/>
  <c r="X1411" i="5" s="1"/>
  <c r="Q1411" i="5"/>
  <c r="R1411" i="5" s="1"/>
  <c r="S1411" i="5" s="1"/>
  <c r="T1411" i="5" s="1"/>
  <c r="U1411" i="5" s="1"/>
  <c r="V1411" i="5" s="1"/>
  <c r="P1411" i="5"/>
  <c r="AE1411" i="5" s="1"/>
  <c r="AF1411" i="5" s="1"/>
  <c r="O1411" i="5"/>
  <c r="N1411" i="5"/>
  <c r="AC1410" i="5"/>
  <c r="AD1410" i="5" s="1"/>
  <c r="AA1410" i="5"/>
  <c r="AB1410" i="5" s="1"/>
  <c r="Y1410" i="5"/>
  <c r="Z1410" i="5" s="1"/>
  <c r="W1410" i="5"/>
  <c r="X1410" i="5" s="1"/>
  <c r="Q1410" i="5"/>
  <c r="R1410" i="5" s="1"/>
  <c r="S1410" i="5" s="1"/>
  <c r="T1410" i="5" s="1"/>
  <c r="U1410" i="5" s="1"/>
  <c r="V1410" i="5" s="1"/>
  <c r="P1410" i="5"/>
  <c r="AE1410" i="5" s="1"/>
  <c r="AF1410" i="5" s="1"/>
  <c r="O1410" i="5"/>
  <c r="N1410" i="5"/>
  <c r="AC1409" i="5"/>
  <c r="AD1409" i="5" s="1"/>
  <c r="AA1409" i="5"/>
  <c r="AB1409" i="5" s="1"/>
  <c r="Y1409" i="5"/>
  <c r="Z1409" i="5" s="1"/>
  <c r="W1409" i="5"/>
  <c r="X1409" i="5" s="1"/>
  <c r="Q1409" i="5"/>
  <c r="R1409" i="5" s="1"/>
  <c r="S1409" i="5" s="1"/>
  <c r="T1409" i="5" s="1"/>
  <c r="U1409" i="5" s="1"/>
  <c r="V1409" i="5" s="1"/>
  <c r="P1409" i="5"/>
  <c r="AE1409" i="5" s="1"/>
  <c r="AF1409" i="5" s="1"/>
  <c r="O1409" i="5"/>
  <c r="N1409" i="5"/>
  <c r="AC1408" i="5"/>
  <c r="AD1408" i="5" s="1"/>
  <c r="AA1408" i="5"/>
  <c r="AB1408" i="5" s="1"/>
  <c r="Y1408" i="5"/>
  <c r="Z1408" i="5" s="1"/>
  <c r="W1408" i="5"/>
  <c r="X1408" i="5" s="1"/>
  <c r="Q1408" i="5"/>
  <c r="R1408" i="5" s="1"/>
  <c r="S1408" i="5" s="1"/>
  <c r="T1408" i="5" s="1"/>
  <c r="U1408" i="5" s="1"/>
  <c r="V1408" i="5" s="1"/>
  <c r="P1408" i="5"/>
  <c r="AE1408" i="5" s="1"/>
  <c r="AF1408" i="5" s="1"/>
  <c r="O1408" i="5"/>
  <c r="N1408" i="5"/>
  <c r="AC1407" i="5"/>
  <c r="AD1407" i="5" s="1"/>
  <c r="AA1407" i="5"/>
  <c r="AB1407" i="5" s="1"/>
  <c r="Y1407" i="5"/>
  <c r="Z1407" i="5" s="1"/>
  <c r="W1407" i="5"/>
  <c r="X1407" i="5" s="1"/>
  <c r="Q1407" i="5"/>
  <c r="R1407" i="5" s="1"/>
  <c r="S1407" i="5" s="1"/>
  <c r="T1407" i="5" s="1"/>
  <c r="U1407" i="5" s="1"/>
  <c r="V1407" i="5" s="1"/>
  <c r="P1407" i="5"/>
  <c r="AE1407" i="5" s="1"/>
  <c r="AF1407" i="5" s="1"/>
  <c r="O1407" i="5"/>
  <c r="N1407" i="5"/>
  <c r="AC1406" i="5"/>
  <c r="AD1406" i="5" s="1"/>
  <c r="AA1406" i="5"/>
  <c r="AB1406" i="5" s="1"/>
  <c r="Y1406" i="5"/>
  <c r="Z1406" i="5" s="1"/>
  <c r="W1406" i="5"/>
  <c r="X1406" i="5" s="1"/>
  <c r="Q1406" i="5"/>
  <c r="R1406" i="5" s="1"/>
  <c r="S1406" i="5" s="1"/>
  <c r="T1406" i="5" s="1"/>
  <c r="U1406" i="5" s="1"/>
  <c r="V1406" i="5" s="1"/>
  <c r="P1406" i="5"/>
  <c r="AE1406" i="5" s="1"/>
  <c r="AF1406" i="5" s="1"/>
  <c r="O1406" i="5"/>
  <c r="N1406" i="5"/>
  <c r="AC1405" i="5"/>
  <c r="AD1405" i="5" s="1"/>
  <c r="AA1405" i="5"/>
  <c r="AB1405" i="5" s="1"/>
  <c r="Y1405" i="5"/>
  <c r="Z1405" i="5" s="1"/>
  <c r="W1405" i="5"/>
  <c r="X1405" i="5" s="1"/>
  <c r="Q1405" i="5"/>
  <c r="R1405" i="5" s="1"/>
  <c r="S1405" i="5" s="1"/>
  <c r="T1405" i="5" s="1"/>
  <c r="U1405" i="5" s="1"/>
  <c r="V1405" i="5" s="1"/>
  <c r="P1405" i="5"/>
  <c r="AE1405" i="5" s="1"/>
  <c r="AF1405" i="5" s="1"/>
  <c r="O1405" i="5"/>
  <c r="N1405" i="5"/>
  <c r="AC1404" i="5"/>
  <c r="AD1404" i="5" s="1"/>
  <c r="AA1404" i="5"/>
  <c r="AB1404" i="5" s="1"/>
  <c r="Y1404" i="5"/>
  <c r="Z1404" i="5" s="1"/>
  <c r="W1404" i="5"/>
  <c r="X1404" i="5" s="1"/>
  <c r="Q1404" i="5"/>
  <c r="R1404" i="5" s="1"/>
  <c r="S1404" i="5" s="1"/>
  <c r="T1404" i="5" s="1"/>
  <c r="U1404" i="5" s="1"/>
  <c r="V1404" i="5" s="1"/>
  <c r="P1404" i="5"/>
  <c r="AE1404" i="5" s="1"/>
  <c r="AF1404" i="5" s="1"/>
  <c r="O1404" i="5"/>
  <c r="N1404" i="5"/>
  <c r="AC1403" i="5"/>
  <c r="AD1403" i="5" s="1"/>
  <c r="AA1403" i="5"/>
  <c r="AB1403" i="5" s="1"/>
  <c r="Y1403" i="5"/>
  <c r="Z1403" i="5" s="1"/>
  <c r="W1403" i="5"/>
  <c r="X1403" i="5" s="1"/>
  <c r="Q1403" i="5"/>
  <c r="R1403" i="5" s="1"/>
  <c r="S1403" i="5" s="1"/>
  <c r="T1403" i="5" s="1"/>
  <c r="U1403" i="5" s="1"/>
  <c r="V1403" i="5" s="1"/>
  <c r="P1403" i="5"/>
  <c r="AE1403" i="5" s="1"/>
  <c r="AF1403" i="5" s="1"/>
  <c r="O1403" i="5"/>
  <c r="N1403" i="5"/>
  <c r="AC1402" i="5"/>
  <c r="AD1402" i="5" s="1"/>
  <c r="AA1402" i="5"/>
  <c r="AB1402" i="5" s="1"/>
  <c r="Y1402" i="5"/>
  <c r="Z1402" i="5" s="1"/>
  <c r="W1402" i="5"/>
  <c r="X1402" i="5" s="1"/>
  <c r="Q1402" i="5"/>
  <c r="R1402" i="5" s="1"/>
  <c r="S1402" i="5" s="1"/>
  <c r="T1402" i="5" s="1"/>
  <c r="U1402" i="5" s="1"/>
  <c r="V1402" i="5" s="1"/>
  <c r="P1402" i="5"/>
  <c r="AE1402" i="5" s="1"/>
  <c r="AF1402" i="5" s="1"/>
  <c r="O1402" i="5"/>
  <c r="N1402" i="5"/>
  <c r="AC1401" i="5"/>
  <c r="AD1401" i="5" s="1"/>
  <c r="AA1401" i="5"/>
  <c r="AB1401" i="5" s="1"/>
  <c r="Y1401" i="5"/>
  <c r="Z1401" i="5" s="1"/>
  <c r="W1401" i="5"/>
  <c r="X1401" i="5" s="1"/>
  <c r="Q1401" i="5"/>
  <c r="R1401" i="5" s="1"/>
  <c r="S1401" i="5" s="1"/>
  <c r="T1401" i="5" s="1"/>
  <c r="U1401" i="5" s="1"/>
  <c r="V1401" i="5" s="1"/>
  <c r="P1401" i="5"/>
  <c r="AE1401" i="5" s="1"/>
  <c r="AF1401" i="5" s="1"/>
  <c r="O1401" i="5"/>
  <c r="N1401" i="5"/>
  <c r="AC1400" i="5"/>
  <c r="AD1400" i="5" s="1"/>
  <c r="AA1400" i="5"/>
  <c r="AB1400" i="5" s="1"/>
  <c r="Y1400" i="5"/>
  <c r="Z1400" i="5" s="1"/>
  <c r="W1400" i="5"/>
  <c r="X1400" i="5" s="1"/>
  <c r="Q1400" i="5"/>
  <c r="R1400" i="5" s="1"/>
  <c r="S1400" i="5" s="1"/>
  <c r="T1400" i="5" s="1"/>
  <c r="U1400" i="5" s="1"/>
  <c r="V1400" i="5" s="1"/>
  <c r="P1400" i="5"/>
  <c r="AE1400" i="5" s="1"/>
  <c r="AF1400" i="5" s="1"/>
  <c r="O1400" i="5"/>
  <c r="N1400" i="5"/>
  <c r="AC1399" i="5"/>
  <c r="AD1399" i="5" s="1"/>
  <c r="AA1399" i="5"/>
  <c r="AB1399" i="5" s="1"/>
  <c r="Y1399" i="5"/>
  <c r="Z1399" i="5" s="1"/>
  <c r="W1399" i="5"/>
  <c r="X1399" i="5" s="1"/>
  <c r="Q1399" i="5"/>
  <c r="R1399" i="5" s="1"/>
  <c r="S1399" i="5" s="1"/>
  <c r="T1399" i="5" s="1"/>
  <c r="U1399" i="5" s="1"/>
  <c r="V1399" i="5" s="1"/>
  <c r="P1399" i="5"/>
  <c r="AE1399" i="5" s="1"/>
  <c r="AF1399" i="5" s="1"/>
  <c r="O1399" i="5"/>
  <c r="N1399" i="5"/>
  <c r="AC1398" i="5"/>
  <c r="AD1398" i="5" s="1"/>
  <c r="AA1398" i="5"/>
  <c r="AB1398" i="5" s="1"/>
  <c r="Y1398" i="5"/>
  <c r="Z1398" i="5" s="1"/>
  <c r="W1398" i="5"/>
  <c r="X1398" i="5" s="1"/>
  <c r="Q1398" i="5"/>
  <c r="R1398" i="5" s="1"/>
  <c r="S1398" i="5" s="1"/>
  <c r="T1398" i="5" s="1"/>
  <c r="U1398" i="5" s="1"/>
  <c r="V1398" i="5" s="1"/>
  <c r="P1398" i="5"/>
  <c r="AE1398" i="5" s="1"/>
  <c r="AF1398" i="5" s="1"/>
  <c r="O1398" i="5"/>
  <c r="N1398" i="5"/>
  <c r="AC1397" i="5"/>
  <c r="AD1397" i="5" s="1"/>
  <c r="AA1397" i="5"/>
  <c r="AB1397" i="5" s="1"/>
  <c r="Y1397" i="5"/>
  <c r="Z1397" i="5" s="1"/>
  <c r="W1397" i="5"/>
  <c r="X1397" i="5" s="1"/>
  <c r="Q1397" i="5"/>
  <c r="R1397" i="5" s="1"/>
  <c r="S1397" i="5" s="1"/>
  <c r="T1397" i="5" s="1"/>
  <c r="U1397" i="5" s="1"/>
  <c r="V1397" i="5" s="1"/>
  <c r="P1397" i="5"/>
  <c r="AE1397" i="5" s="1"/>
  <c r="AF1397" i="5" s="1"/>
  <c r="O1397" i="5"/>
  <c r="N1397" i="5"/>
  <c r="AC1396" i="5"/>
  <c r="AD1396" i="5" s="1"/>
  <c r="AA1396" i="5"/>
  <c r="AB1396" i="5" s="1"/>
  <c r="Y1396" i="5"/>
  <c r="Z1396" i="5" s="1"/>
  <c r="W1396" i="5"/>
  <c r="X1396" i="5" s="1"/>
  <c r="Q1396" i="5"/>
  <c r="R1396" i="5" s="1"/>
  <c r="S1396" i="5" s="1"/>
  <c r="T1396" i="5" s="1"/>
  <c r="U1396" i="5" s="1"/>
  <c r="V1396" i="5" s="1"/>
  <c r="P1396" i="5"/>
  <c r="AE1396" i="5" s="1"/>
  <c r="AF1396" i="5" s="1"/>
  <c r="O1396" i="5"/>
  <c r="N1396" i="5"/>
  <c r="AC1395" i="5"/>
  <c r="AD1395" i="5" s="1"/>
  <c r="AA1395" i="5"/>
  <c r="AB1395" i="5" s="1"/>
  <c r="Y1395" i="5"/>
  <c r="Z1395" i="5" s="1"/>
  <c r="W1395" i="5"/>
  <c r="X1395" i="5" s="1"/>
  <c r="Q1395" i="5"/>
  <c r="R1395" i="5" s="1"/>
  <c r="S1395" i="5" s="1"/>
  <c r="T1395" i="5" s="1"/>
  <c r="U1395" i="5" s="1"/>
  <c r="V1395" i="5" s="1"/>
  <c r="P1395" i="5"/>
  <c r="AE1395" i="5" s="1"/>
  <c r="AF1395" i="5" s="1"/>
  <c r="O1395" i="5"/>
  <c r="N1395" i="5"/>
  <c r="AC1394" i="5"/>
  <c r="AD1394" i="5" s="1"/>
  <c r="AA1394" i="5"/>
  <c r="AB1394" i="5" s="1"/>
  <c r="Y1394" i="5"/>
  <c r="Z1394" i="5" s="1"/>
  <c r="W1394" i="5"/>
  <c r="X1394" i="5" s="1"/>
  <c r="Q1394" i="5"/>
  <c r="R1394" i="5" s="1"/>
  <c r="S1394" i="5" s="1"/>
  <c r="T1394" i="5" s="1"/>
  <c r="U1394" i="5" s="1"/>
  <c r="V1394" i="5" s="1"/>
  <c r="P1394" i="5"/>
  <c r="AE1394" i="5" s="1"/>
  <c r="AF1394" i="5" s="1"/>
  <c r="O1394" i="5"/>
  <c r="N1394" i="5"/>
  <c r="AC1393" i="5"/>
  <c r="AD1393" i="5" s="1"/>
  <c r="AA1393" i="5"/>
  <c r="AB1393" i="5" s="1"/>
  <c r="Y1393" i="5"/>
  <c r="Z1393" i="5" s="1"/>
  <c r="W1393" i="5"/>
  <c r="X1393" i="5" s="1"/>
  <c r="Q1393" i="5"/>
  <c r="R1393" i="5" s="1"/>
  <c r="S1393" i="5" s="1"/>
  <c r="T1393" i="5" s="1"/>
  <c r="U1393" i="5" s="1"/>
  <c r="V1393" i="5" s="1"/>
  <c r="P1393" i="5"/>
  <c r="AE1393" i="5" s="1"/>
  <c r="AF1393" i="5" s="1"/>
  <c r="O1393" i="5"/>
  <c r="N1393" i="5"/>
  <c r="AC1392" i="5"/>
  <c r="AD1392" i="5" s="1"/>
  <c r="AA1392" i="5"/>
  <c r="AB1392" i="5" s="1"/>
  <c r="Y1392" i="5"/>
  <c r="Z1392" i="5" s="1"/>
  <c r="W1392" i="5"/>
  <c r="X1392" i="5" s="1"/>
  <c r="Q1392" i="5"/>
  <c r="R1392" i="5" s="1"/>
  <c r="S1392" i="5" s="1"/>
  <c r="T1392" i="5" s="1"/>
  <c r="U1392" i="5" s="1"/>
  <c r="V1392" i="5" s="1"/>
  <c r="P1392" i="5"/>
  <c r="AE1392" i="5" s="1"/>
  <c r="AF1392" i="5" s="1"/>
  <c r="O1392" i="5"/>
  <c r="N1392" i="5"/>
  <c r="AC1391" i="5"/>
  <c r="AD1391" i="5" s="1"/>
  <c r="AA1391" i="5"/>
  <c r="AB1391" i="5" s="1"/>
  <c r="Y1391" i="5"/>
  <c r="Z1391" i="5" s="1"/>
  <c r="W1391" i="5"/>
  <c r="X1391" i="5" s="1"/>
  <c r="Q1391" i="5"/>
  <c r="R1391" i="5" s="1"/>
  <c r="S1391" i="5" s="1"/>
  <c r="T1391" i="5" s="1"/>
  <c r="U1391" i="5" s="1"/>
  <c r="V1391" i="5" s="1"/>
  <c r="P1391" i="5"/>
  <c r="AE1391" i="5" s="1"/>
  <c r="AF1391" i="5" s="1"/>
  <c r="O1391" i="5"/>
  <c r="N1391" i="5"/>
  <c r="AC1390" i="5"/>
  <c r="AD1390" i="5" s="1"/>
  <c r="AA1390" i="5"/>
  <c r="AB1390" i="5" s="1"/>
  <c r="Y1390" i="5"/>
  <c r="Z1390" i="5" s="1"/>
  <c r="W1390" i="5"/>
  <c r="X1390" i="5" s="1"/>
  <c r="Q1390" i="5"/>
  <c r="R1390" i="5" s="1"/>
  <c r="S1390" i="5" s="1"/>
  <c r="T1390" i="5" s="1"/>
  <c r="U1390" i="5" s="1"/>
  <c r="V1390" i="5" s="1"/>
  <c r="P1390" i="5"/>
  <c r="AE1390" i="5" s="1"/>
  <c r="AF1390" i="5" s="1"/>
  <c r="O1390" i="5"/>
  <c r="N1390" i="5"/>
  <c r="AC1389" i="5"/>
  <c r="AD1389" i="5" s="1"/>
  <c r="AA1389" i="5"/>
  <c r="AB1389" i="5" s="1"/>
  <c r="Y1389" i="5"/>
  <c r="Z1389" i="5" s="1"/>
  <c r="W1389" i="5"/>
  <c r="X1389" i="5" s="1"/>
  <c r="Q1389" i="5"/>
  <c r="R1389" i="5" s="1"/>
  <c r="S1389" i="5" s="1"/>
  <c r="T1389" i="5" s="1"/>
  <c r="U1389" i="5" s="1"/>
  <c r="V1389" i="5" s="1"/>
  <c r="P1389" i="5"/>
  <c r="AE1389" i="5" s="1"/>
  <c r="AF1389" i="5" s="1"/>
  <c r="O1389" i="5"/>
  <c r="N1389" i="5"/>
  <c r="AC1388" i="5"/>
  <c r="AD1388" i="5" s="1"/>
  <c r="AA1388" i="5"/>
  <c r="AB1388" i="5" s="1"/>
  <c r="Y1388" i="5"/>
  <c r="Z1388" i="5" s="1"/>
  <c r="W1388" i="5"/>
  <c r="X1388" i="5" s="1"/>
  <c r="Q1388" i="5"/>
  <c r="R1388" i="5" s="1"/>
  <c r="S1388" i="5" s="1"/>
  <c r="T1388" i="5" s="1"/>
  <c r="U1388" i="5" s="1"/>
  <c r="V1388" i="5" s="1"/>
  <c r="P1388" i="5"/>
  <c r="AE1388" i="5" s="1"/>
  <c r="AF1388" i="5" s="1"/>
  <c r="O1388" i="5"/>
  <c r="N1388" i="5"/>
  <c r="AC1387" i="5"/>
  <c r="AD1387" i="5" s="1"/>
  <c r="AA1387" i="5"/>
  <c r="AB1387" i="5" s="1"/>
  <c r="Y1387" i="5"/>
  <c r="Z1387" i="5" s="1"/>
  <c r="W1387" i="5"/>
  <c r="X1387" i="5" s="1"/>
  <c r="Q1387" i="5"/>
  <c r="R1387" i="5" s="1"/>
  <c r="S1387" i="5" s="1"/>
  <c r="T1387" i="5" s="1"/>
  <c r="U1387" i="5" s="1"/>
  <c r="V1387" i="5" s="1"/>
  <c r="P1387" i="5"/>
  <c r="AE1387" i="5" s="1"/>
  <c r="AF1387" i="5" s="1"/>
  <c r="O1387" i="5"/>
  <c r="N1387" i="5"/>
  <c r="AC1386" i="5"/>
  <c r="AD1386" i="5" s="1"/>
  <c r="AA1386" i="5"/>
  <c r="AB1386" i="5" s="1"/>
  <c r="Y1386" i="5"/>
  <c r="Z1386" i="5" s="1"/>
  <c r="W1386" i="5"/>
  <c r="X1386" i="5" s="1"/>
  <c r="Q1386" i="5"/>
  <c r="R1386" i="5" s="1"/>
  <c r="S1386" i="5" s="1"/>
  <c r="T1386" i="5" s="1"/>
  <c r="U1386" i="5" s="1"/>
  <c r="V1386" i="5" s="1"/>
  <c r="P1386" i="5"/>
  <c r="AE1386" i="5" s="1"/>
  <c r="AF1386" i="5" s="1"/>
  <c r="O1386" i="5"/>
  <c r="N1386" i="5"/>
  <c r="AC1385" i="5"/>
  <c r="AD1385" i="5" s="1"/>
  <c r="AA1385" i="5"/>
  <c r="AB1385" i="5" s="1"/>
  <c r="Y1385" i="5"/>
  <c r="Z1385" i="5" s="1"/>
  <c r="W1385" i="5"/>
  <c r="X1385" i="5" s="1"/>
  <c r="Q1385" i="5"/>
  <c r="R1385" i="5" s="1"/>
  <c r="S1385" i="5" s="1"/>
  <c r="T1385" i="5" s="1"/>
  <c r="U1385" i="5" s="1"/>
  <c r="V1385" i="5" s="1"/>
  <c r="P1385" i="5"/>
  <c r="AE1385" i="5" s="1"/>
  <c r="AF1385" i="5" s="1"/>
  <c r="O1385" i="5"/>
  <c r="N1385" i="5"/>
  <c r="AC1384" i="5"/>
  <c r="AD1384" i="5" s="1"/>
  <c r="AA1384" i="5"/>
  <c r="AB1384" i="5" s="1"/>
  <c r="Y1384" i="5"/>
  <c r="Z1384" i="5" s="1"/>
  <c r="W1384" i="5"/>
  <c r="X1384" i="5" s="1"/>
  <c r="Q1384" i="5"/>
  <c r="R1384" i="5" s="1"/>
  <c r="S1384" i="5" s="1"/>
  <c r="T1384" i="5" s="1"/>
  <c r="U1384" i="5" s="1"/>
  <c r="V1384" i="5" s="1"/>
  <c r="P1384" i="5"/>
  <c r="AE1384" i="5" s="1"/>
  <c r="AF1384" i="5" s="1"/>
  <c r="O1384" i="5"/>
  <c r="N1384" i="5"/>
  <c r="AC1383" i="5"/>
  <c r="AD1383" i="5" s="1"/>
  <c r="AA1383" i="5"/>
  <c r="AB1383" i="5" s="1"/>
  <c r="Y1383" i="5"/>
  <c r="Z1383" i="5" s="1"/>
  <c r="W1383" i="5"/>
  <c r="X1383" i="5" s="1"/>
  <c r="Q1383" i="5"/>
  <c r="R1383" i="5" s="1"/>
  <c r="S1383" i="5" s="1"/>
  <c r="T1383" i="5" s="1"/>
  <c r="U1383" i="5" s="1"/>
  <c r="V1383" i="5" s="1"/>
  <c r="P1383" i="5"/>
  <c r="AE1383" i="5" s="1"/>
  <c r="AF1383" i="5" s="1"/>
  <c r="O1383" i="5"/>
  <c r="N1383" i="5"/>
  <c r="AC1382" i="5"/>
  <c r="AD1382" i="5" s="1"/>
  <c r="AA1382" i="5"/>
  <c r="AB1382" i="5" s="1"/>
  <c r="Y1382" i="5"/>
  <c r="Z1382" i="5" s="1"/>
  <c r="W1382" i="5"/>
  <c r="X1382" i="5" s="1"/>
  <c r="Q1382" i="5"/>
  <c r="R1382" i="5" s="1"/>
  <c r="S1382" i="5" s="1"/>
  <c r="T1382" i="5" s="1"/>
  <c r="U1382" i="5" s="1"/>
  <c r="V1382" i="5" s="1"/>
  <c r="P1382" i="5"/>
  <c r="AE1382" i="5" s="1"/>
  <c r="AF1382" i="5" s="1"/>
  <c r="O1382" i="5"/>
  <c r="N1382" i="5"/>
  <c r="AC1381" i="5"/>
  <c r="AD1381" i="5" s="1"/>
  <c r="AA1381" i="5"/>
  <c r="AB1381" i="5" s="1"/>
  <c r="Y1381" i="5"/>
  <c r="Z1381" i="5" s="1"/>
  <c r="W1381" i="5"/>
  <c r="X1381" i="5" s="1"/>
  <c r="Q1381" i="5"/>
  <c r="R1381" i="5" s="1"/>
  <c r="S1381" i="5" s="1"/>
  <c r="T1381" i="5" s="1"/>
  <c r="U1381" i="5" s="1"/>
  <c r="V1381" i="5" s="1"/>
  <c r="P1381" i="5"/>
  <c r="AE1381" i="5" s="1"/>
  <c r="AF1381" i="5" s="1"/>
  <c r="O1381" i="5"/>
  <c r="N1381" i="5"/>
  <c r="AC1380" i="5"/>
  <c r="AD1380" i="5" s="1"/>
  <c r="AA1380" i="5"/>
  <c r="AB1380" i="5" s="1"/>
  <c r="Y1380" i="5"/>
  <c r="Z1380" i="5" s="1"/>
  <c r="W1380" i="5"/>
  <c r="X1380" i="5" s="1"/>
  <c r="Q1380" i="5"/>
  <c r="R1380" i="5" s="1"/>
  <c r="S1380" i="5" s="1"/>
  <c r="T1380" i="5" s="1"/>
  <c r="U1380" i="5" s="1"/>
  <c r="V1380" i="5" s="1"/>
  <c r="P1380" i="5"/>
  <c r="AE1380" i="5" s="1"/>
  <c r="AF1380" i="5" s="1"/>
  <c r="O1380" i="5"/>
  <c r="N1380" i="5"/>
  <c r="AC1379" i="5"/>
  <c r="AD1379" i="5" s="1"/>
  <c r="AA1379" i="5"/>
  <c r="AB1379" i="5" s="1"/>
  <c r="Y1379" i="5"/>
  <c r="Z1379" i="5" s="1"/>
  <c r="W1379" i="5"/>
  <c r="X1379" i="5" s="1"/>
  <c r="Q1379" i="5"/>
  <c r="R1379" i="5" s="1"/>
  <c r="S1379" i="5" s="1"/>
  <c r="T1379" i="5" s="1"/>
  <c r="U1379" i="5" s="1"/>
  <c r="V1379" i="5" s="1"/>
  <c r="P1379" i="5"/>
  <c r="AE1379" i="5" s="1"/>
  <c r="AF1379" i="5" s="1"/>
  <c r="O1379" i="5"/>
  <c r="N1379" i="5"/>
  <c r="AC1378" i="5"/>
  <c r="AD1378" i="5" s="1"/>
  <c r="AA1378" i="5"/>
  <c r="AB1378" i="5" s="1"/>
  <c r="Y1378" i="5"/>
  <c r="Z1378" i="5" s="1"/>
  <c r="W1378" i="5"/>
  <c r="X1378" i="5" s="1"/>
  <c r="Q1378" i="5"/>
  <c r="R1378" i="5" s="1"/>
  <c r="S1378" i="5" s="1"/>
  <c r="T1378" i="5" s="1"/>
  <c r="U1378" i="5" s="1"/>
  <c r="V1378" i="5" s="1"/>
  <c r="P1378" i="5"/>
  <c r="AE1378" i="5" s="1"/>
  <c r="AF1378" i="5" s="1"/>
  <c r="O1378" i="5"/>
  <c r="N1378" i="5"/>
  <c r="AC1377" i="5"/>
  <c r="AD1377" i="5" s="1"/>
  <c r="AA1377" i="5"/>
  <c r="AB1377" i="5" s="1"/>
  <c r="Y1377" i="5"/>
  <c r="Z1377" i="5" s="1"/>
  <c r="W1377" i="5"/>
  <c r="X1377" i="5" s="1"/>
  <c r="Q1377" i="5"/>
  <c r="R1377" i="5" s="1"/>
  <c r="S1377" i="5" s="1"/>
  <c r="T1377" i="5" s="1"/>
  <c r="U1377" i="5" s="1"/>
  <c r="V1377" i="5" s="1"/>
  <c r="P1377" i="5"/>
  <c r="AE1377" i="5" s="1"/>
  <c r="AF1377" i="5" s="1"/>
  <c r="O1377" i="5"/>
  <c r="N1377" i="5"/>
  <c r="AC1376" i="5"/>
  <c r="AD1376" i="5" s="1"/>
  <c r="AA1376" i="5"/>
  <c r="AB1376" i="5" s="1"/>
  <c r="Y1376" i="5"/>
  <c r="Z1376" i="5" s="1"/>
  <c r="W1376" i="5"/>
  <c r="X1376" i="5" s="1"/>
  <c r="Q1376" i="5"/>
  <c r="R1376" i="5" s="1"/>
  <c r="S1376" i="5" s="1"/>
  <c r="T1376" i="5" s="1"/>
  <c r="U1376" i="5" s="1"/>
  <c r="V1376" i="5" s="1"/>
  <c r="P1376" i="5"/>
  <c r="AE1376" i="5" s="1"/>
  <c r="AF1376" i="5" s="1"/>
  <c r="O1376" i="5"/>
  <c r="N1376" i="5"/>
  <c r="AC1375" i="5"/>
  <c r="AD1375" i="5" s="1"/>
  <c r="AA1375" i="5"/>
  <c r="AB1375" i="5" s="1"/>
  <c r="Y1375" i="5"/>
  <c r="Z1375" i="5" s="1"/>
  <c r="W1375" i="5"/>
  <c r="X1375" i="5" s="1"/>
  <c r="Q1375" i="5"/>
  <c r="R1375" i="5" s="1"/>
  <c r="S1375" i="5" s="1"/>
  <c r="T1375" i="5" s="1"/>
  <c r="U1375" i="5" s="1"/>
  <c r="V1375" i="5" s="1"/>
  <c r="P1375" i="5"/>
  <c r="AE1375" i="5" s="1"/>
  <c r="AF1375" i="5" s="1"/>
  <c r="O1375" i="5"/>
  <c r="N1375" i="5"/>
  <c r="AC1374" i="5"/>
  <c r="AD1374" i="5" s="1"/>
  <c r="AA1374" i="5"/>
  <c r="AB1374" i="5" s="1"/>
  <c r="Y1374" i="5"/>
  <c r="Z1374" i="5" s="1"/>
  <c r="W1374" i="5"/>
  <c r="X1374" i="5" s="1"/>
  <c r="Q1374" i="5"/>
  <c r="R1374" i="5" s="1"/>
  <c r="S1374" i="5" s="1"/>
  <c r="T1374" i="5" s="1"/>
  <c r="U1374" i="5" s="1"/>
  <c r="V1374" i="5" s="1"/>
  <c r="P1374" i="5"/>
  <c r="AE1374" i="5" s="1"/>
  <c r="AF1374" i="5" s="1"/>
  <c r="O1374" i="5"/>
  <c r="N1374" i="5"/>
  <c r="AC1373" i="5"/>
  <c r="AD1373" i="5" s="1"/>
  <c r="AA1373" i="5"/>
  <c r="AB1373" i="5" s="1"/>
  <c r="Y1373" i="5"/>
  <c r="Z1373" i="5" s="1"/>
  <c r="W1373" i="5"/>
  <c r="X1373" i="5" s="1"/>
  <c r="Q1373" i="5"/>
  <c r="R1373" i="5" s="1"/>
  <c r="S1373" i="5" s="1"/>
  <c r="T1373" i="5" s="1"/>
  <c r="U1373" i="5" s="1"/>
  <c r="V1373" i="5" s="1"/>
  <c r="P1373" i="5"/>
  <c r="AE1373" i="5" s="1"/>
  <c r="AF1373" i="5" s="1"/>
  <c r="O1373" i="5"/>
  <c r="N1373" i="5"/>
  <c r="AC1372" i="5"/>
  <c r="AD1372" i="5" s="1"/>
  <c r="AA1372" i="5"/>
  <c r="AB1372" i="5" s="1"/>
  <c r="Y1372" i="5"/>
  <c r="Z1372" i="5" s="1"/>
  <c r="W1372" i="5"/>
  <c r="X1372" i="5" s="1"/>
  <c r="Q1372" i="5"/>
  <c r="R1372" i="5" s="1"/>
  <c r="S1372" i="5" s="1"/>
  <c r="T1372" i="5" s="1"/>
  <c r="U1372" i="5" s="1"/>
  <c r="V1372" i="5" s="1"/>
  <c r="P1372" i="5"/>
  <c r="AE1372" i="5" s="1"/>
  <c r="AF1372" i="5" s="1"/>
  <c r="O1372" i="5"/>
  <c r="N1372" i="5"/>
  <c r="AC1371" i="5"/>
  <c r="AD1371" i="5" s="1"/>
  <c r="AA1371" i="5"/>
  <c r="AB1371" i="5" s="1"/>
  <c r="Y1371" i="5"/>
  <c r="Z1371" i="5" s="1"/>
  <c r="W1371" i="5"/>
  <c r="X1371" i="5" s="1"/>
  <c r="Q1371" i="5"/>
  <c r="R1371" i="5" s="1"/>
  <c r="S1371" i="5" s="1"/>
  <c r="T1371" i="5" s="1"/>
  <c r="U1371" i="5" s="1"/>
  <c r="V1371" i="5" s="1"/>
  <c r="P1371" i="5"/>
  <c r="AE1371" i="5" s="1"/>
  <c r="AF1371" i="5" s="1"/>
  <c r="O1371" i="5"/>
  <c r="N1371" i="5"/>
  <c r="AC1370" i="5"/>
  <c r="AD1370" i="5" s="1"/>
  <c r="AA1370" i="5"/>
  <c r="AB1370" i="5" s="1"/>
  <c r="Y1370" i="5"/>
  <c r="Z1370" i="5" s="1"/>
  <c r="W1370" i="5"/>
  <c r="X1370" i="5" s="1"/>
  <c r="Q1370" i="5"/>
  <c r="R1370" i="5" s="1"/>
  <c r="S1370" i="5" s="1"/>
  <c r="T1370" i="5" s="1"/>
  <c r="U1370" i="5" s="1"/>
  <c r="V1370" i="5" s="1"/>
  <c r="P1370" i="5"/>
  <c r="AE1370" i="5" s="1"/>
  <c r="AF1370" i="5" s="1"/>
  <c r="O1370" i="5"/>
  <c r="N1370" i="5"/>
  <c r="AC1369" i="5"/>
  <c r="AD1369" i="5" s="1"/>
  <c r="AA1369" i="5"/>
  <c r="AB1369" i="5" s="1"/>
  <c r="Y1369" i="5"/>
  <c r="Z1369" i="5" s="1"/>
  <c r="W1369" i="5"/>
  <c r="X1369" i="5" s="1"/>
  <c r="Q1369" i="5"/>
  <c r="R1369" i="5" s="1"/>
  <c r="S1369" i="5" s="1"/>
  <c r="T1369" i="5" s="1"/>
  <c r="U1369" i="5" s="1"/>
  <c r="V1369" i="5" s="1"/>
  <c r="P1369" i="5"/>
  <c r="AE1369" i="5" s="1"/>
  <c r="AF1369" i="5" s="1"/>
  <c r="O1369" i="5"/>
  <c r="N1369" i="5"/>
  <c r="AC1368" i="5"/>
  <c r="AD1368" i="5" s="1"/>
  <c r="AA1368" i="5"/>
  <c r="AB1368" i="5" s="1"/>
  <c r="Y1368" i="5"/>
  <c r="Z1368" i="5" s="1"/>
  <c r="W1368" i="5"/>
  <c r="X1368" i="5" s="1"/>
  <c r="Q1368" i="5"/>
  <c r="R1368" i="5" s="1"/>
  <c r="S1368" i="5" s="1"/>
  <c r="T1368" i="5" s="1"/>
  <c r="U1368" i="5" s="1"/>
  <c r="V1368" i="5" s="1"/>
  <c r="P1368" i="5"/>
  <c r="AE1368" i="5" s="1"/>
  <c r="AF1368" i="5" s="1"/>
  <c r="O1368" i="5"/>
  <c r="N1368" i="5"/>
  <c r="AC1367" i="5"/>
  <c r="AD1367" i="5" s="1"/>
  <c r="AA1367" i="5"/>
  <c r="AB1367" i="5" s="1"/>
  <c r="Y1367" i="5"/>
  <c r="Z1367" i="5" s="1"/>
  <c r="W1367" i="5"/>
  <c r="X1367" i="5" s="1"/>
  <c r="Q1367" i="5"/>
  <c r="R1367" i="5" s="1"/>
  <c r="S1367" i="5" s="1"/>
  <c r="T1367" i="5" s="1"/>
  <c r="U1367" i="5" s="1"/>
  <c r="V1367" i="5" s="1"/>
  <c r="P1367" i="5"/>
  <c r="AE1367" i="5" s="1"/>
  <c r="AF1367" i="5" s="1"/>
  <c r="O1367" i="5"/>
  <c r="N1367" i="5"/>
  <c r="AC1366" i="5"/>
  <c r="AD1366" i="5" s="1"/>
  <c r="AA1366" i="5"/>
  <c r="AB1366" i="5" s="1"/>
  <c r="Y1366" i="5"/>
  <c r="Z1366" i="5" s="1"/>
  <c r="W1366" i="5"/>
  <c r="X1366" i="5" s="1"/>
  <c r="Q1366" i="5"/>
  <c r="R1366" i="5" s="1"/>
  <c r="S1366" i="5" s="1"/>
  <c r="T1366" i="5" s="1"/>
  <c r="U1366" i="5" s="1"/>
  <c r="V1366" i="5" s="1"/>
  <c r="P1366" i="5"/>
  <c r="AE1366" i="5" s="1"/>
  <c r="AF1366" i="5" s="1"/>
  <c r="O1366" i="5"/>
  <c r="N1366" i="5"/>
  <c r="AC1365" i="5"/>
  <c r="AD1365" i="5" s="1"/>
  <c r="AA1365" i="5"/>
  <c r="AB1365" i="5" s="1"/>
  <c r="Y1365" i="5"/>
  <c r="Z1365" i="5" s="1"/>
  <c r="W1365" i="5"/>
  <c r="X1365" i="5" s="1"/>
  <c r="Q1365" i="5"/>
  <c r="R1365" i="5" s="1"/>
  <c r="S1365" i="5" s="1"/>
  <c r="T1365" i="5" s="1"/>
  <c r="U1365" i="5" s="1"/>
  <c r="V1365" i="5" s="1"/>
  <c r="P1365" i="5"/>
  <c r="AE1365" i="5" s="1"/>
  <c r="AF1365" i="5" s="1"/>
  <c r="O1365" i="5"/>
  <c r="N1365" i="5"/>
  <c r="AC1364" i="5"/>
  <c r="AD1364" i="5" s="1"/>
  <c r="AA1364" i="5"/>
  <c r="AB1364" i="5" s="1"/>
  <c r="Y1364" i="5"/>
  <c r="Z1364" i="5" s="1"/>
  <c r="W1364" i="5"/>
  <c r="X1364" i="5" s="1"/>
  <c r="Q1364" i="5"/>
  <c r="R1364" i="5" s="1"/>
  <c r="S1364" i="5" s="1"/>
  <c r="T1364" i="5" s="1"/>
  <c r="U1364" i="5" s="1"/>
  <c r="V1364" i="5" s="1"/>
  <c r="P1364" i="5"/>
  <c r="AE1364" i="5" s="1"/>
  <c r="AF1364" i="5" s="1"/>
  <c r="O1364" i="5"/>
  <c r="N1364" i="5"/>
  <c r="AC1363" i="5"/>
  <c r="AD1363" i="5" s="1"/>
  <c r="AA1363" i="5"/>
  <c r="AB1363" i="5" s="1"/>
  <c r="Y1363" i="5"/>
  <c r="Z1363" i="5" s="1"/>
  <c r="W1363" i="5"/>
  <c r="X1363" i="5" s="1"/>
  <c r="Q1363" i="5"/>
  <c r="R1363" i="5" s="1"/>
  <c r="S1363" i="5" s="1"/>
  <c r="T1363" i="5" s="1"/>
  <c r="U1363" i="5" s="1"/>
  <c r="V1363" i="5" s="1"/>
  <c r="P1363" i="5"/>
  <c r="AE1363" i="5" s="1"/>
  <c r="AF1363" i="5" s="1"/>
  <c r="O1363" i="5"/>
  <c r="N1363" i="5"/>
  <c r="AC1362" i="5"/>
  <c r="AD1362" i="5" s="1"/>
  <c r="AA1362" i="5"/>
  <c r="AB1362" i="5" s="1"/>
  <c r="Y1362" i="5"/>
  <c r="Z1362" i="5" s="1"/>
  <c r="W1362" i="5"/>
  <c r="X1362" i="5" s="1"/>
  <c r="Q1362" i="5"/>
  <c r="R1362" i="5" s="1"/>
  <c r="S1362" i="5" s="1"/>
  <c r="T1362" i="5" s="1"/>
  <c r="U1362" i="5" s="1"/>
  <c r="V1362" i="5" s="1"/>
  <c r="P1362" i="5"/>
  <c r="AE1362" i="5" s="1"/>
  <c r="AF1362" i="5" s="1"/>
  <c r="O1362" i="5"/>
  <c r="N1362" i="5"/>
  <c r="AC1361" i="5"/>
  <c r="AD1361" i="5" s="1"/>
  <c r="AA1361" i="5"/>
  <c r="AB1361" i="5" s="1"/>
  <c r="Y1361" i="5"/>
  <c r="Z1361" i="5" s="1"/>
  <c r="W1361" i="5"/>
  <c r="X1361" i="5" s="1"/>
  <c r="Q1361" i="5"/>
  <c r="R1361" i="5" s="1"/>
  <c r="S1361" i="5" s="1"/>
  <c r="T1361" i="5" s="1"/>
  <c r="U1361" i="5" s="1"/>
  <c r="V1361" i="5" s="1"/>
  <c r="P1361" i="5"/>
  <c r="AE1361" i="5" s="1"/>
  <c r="AF1361" i="5" s="1"/>
  <c r="O1361" i="5"/>
  <c r="N1361" i="5"/>
  <c r="AC1360" i="5"/>
  <c r="AD1360" i="5" s="1"/>
  <c r="AA1360" i="5"/>
  <c r="AB1360" i="5" s="1"/>
  <c r="Y1360" i="5"/>
  <c r="Z1360" i="5" s="1"/>
  <c r="W1360" i="5"/>
  <c r="X1360" i="5" s="1"/>
  <c r="Q1360" i="5"/>
  <c r="R1360" i="5" s="1"/>
  <c r="S1360" i="5" s="1"/>
  <c r="T1360" i="5" s="1"/>
  <c r="U1360" i="5" s="1"/>
  <c r="V1360" i="5" s="1"/>
  <c r="P1360" i="5"/>
  <c r="AE1360" i="5" s="1"/>
  <c r="AF1360" i="5" s="1"/>
  <c r="O1360" i="5"/>
  <c r="N1360" i="5"/>
  <c r="AC1359" i="5"/>
  <c r="AD1359" i="5" s="1"/>
  <c r="AA1359" i="5"/>
  <c r="AB1359" i="5" s="1"/>
  <c r="Y1359" i="5"/>
  <c r="Z1359" i="5" s="1"/>
  <c r="W1359" i="5"/>
  <c r="X1359" i="5" s="1"/>
  <c r="Q1359" i="5"/>
  <c r="R1359" i="5" s="1"/>
  <c r="S1359" i="5" s="1"/>
  <c r="T1359" i="5" s="1"/>
  <c r="U1359" i="5" s="1"/>
  <c r="V1359" i="5" s="1"/>
  <c r="P1359" i="5"/>
  <c r="AE1359" i="5" s="1"/>
  <c r="AF1359" i="5" s="1"/>
  <c r="O1359" i="5"/>
  <c r="N1359" i="5"/>
  <c r="AC1358" i="5"/>
  <c r="AD1358" i="5" s="1"/>
  <c r="AA1358" i="5"/>
  <c r="AB1358" i="5" s="1"/>
  <c r="Y1358" i="5"/>
  <c r="Z1358" i="5" s="1"/>
  <c r="W1358" i="5"/>
  <c r="X1358" i="5" s="1"/>
  <c r="Q1358" i="5"/>
  <c r="R1358" i="5" s="1"/>
  <c r="S1358" i="5" s="1"/>
  <c r="T1358" i="5" s="1"/>
  <c r="U1358" i="5" s="1"/>
  <c r="V1358" i="5" s="1"/>
  <c r="P1358" i="5"/>
  <c r="AE1358" i="5" s="1"/>
  <c r="AF1358" i="5" s="1"/>
  <c r="O1358" i="5"/>
  <c r="N1358" i="5"/>
  <c r="AC1357" i="5"/>
  <c r="AD1357" i="5" s="1"/>
  <c r="AA1357" i="5"/>
  <c r="AB1357" i="5" s="1"/>
  <c r="Y1357" i="5"/>
  <c r="Z1357" i="5" s="1"/>
  <c r="W1357" i="5"/>
  <c r="X1357" i="5" s="1"/>
  <c r="Q1357" i="5"/>
  <c r="R1357" i="5" s="1"/>
  <c r="S1357" i="5" s="1"/>
  <c r="T1357" i="5" s="1"/>
  <c r="U1357" i="5" s="1"/>
  <c r="V1357" i="5" s="1"/>
  <c r="P1357" i="5"/>
  <c r="AE1357" i="5" s="1"/>
  <c r="AF1357" i="5" s="1"/>
  <c r="O1357" i="5"/>
  <c r="N1357" i="5"/>
  <c r="AC1356" i="5"/>
  <c r="AD1356" i="5" s="1"/>
  <c r="AA1356" i="5"/>
  <c r="AB1356" i="5" s="1"/>
  <c r="Y1356" i="5"/>
  <c r="Z1356" i="5" s="1"/>
  <c r="W1356" i="5"/>
  <c r="X1356" i="5" s="1"/>
  <c r="Q1356" i="5"/>
  <c r="R1356" i="5" s="1"/>
  <c r="S1356" i="5" s="1"/>
  <c r="T1356" i="5" s="1"/>
  <c r="U1356" i="5" s="1"/>
  <c r="V1356" i="5" s="1"/>
  <c r="P1356" i="5"/>
  <c r="AE1356" i="5" s="1"/>
  <c r="AF1356" i="5" s="1"/>
  <c r="O1356" i="5"/>
  <c r="N1356" i="5"/>
  <c r="AC1355" i="5"/>
  <c r="AD1355" i="5" s="1"/>
  <c r="AA1355" i="5"/>
  <c r="AB1355" i="5" s="1"/>
  <c r="Y1355" i="5"/>
  <c r="Z1355" i="5" s="1"/>
  <c r="W1355" i="5"/>
  <c r="X1355" i="5" s="1"/>
  <c r="Q1355" i="5"/>
  <c r="R1355" i="5" s="1"/>
  <c r="S1355" i="5" s="1"/>
  <c r="T1355" i="5" s="1"/>
  <c r="U1355" i="5" s="1"/>
  <c r="V1355" i="5" s="1"/>
  <c r="P1355" i="5"/>
  <c r="AE1355" i="5" s="1"/>
  <c r="AF1355" i="5" s="1"/>
  <c r="O1355" i="5"/>
  <c r="N1355" i="5"/>
  <c r="AC1354" i="5"/>
  <c r="AD1354" i="5" s="1"/>
  <c r="AA1354" i="5"/>
  <c r="AB1354" i="5" s="1"/>
  <c r="Y1354" i="5"/>
  <c r="Z1354" i="5" s="1"/>
  <c r="W1354" i="5"/>
  <c r="X1354" i="5" s="1"/>
  <c r="Q1354" i="5"/>
  <c r="R1354" i="5" s="1"/>
  <c r="S1354" i="5" s="1"/>
  <c r="T1354" i="5" s="1"/>
  <c r="U1354" i="5" s="1"/>
  <c r="V1354" i="5" s="1"/>
  <c r="P1354" i="5"/>
  <c r="AE1354" i="5" s="1"/>
  <c r="AF1354" i="5" s="1"/>
  <c r="O1354" i="5"/>
  <c r="N1354" i="5"/>
  <c r="AC1353" i="5"/>
  <c r="AD1353" i="5" s="1"/>
  <c r="AA1353" i="5"/>
  <c r="AB1353" i="5" s="1"/>
  <c r="Y1353" i="5"/>
  <c r="Z1353" i="5" s="1"/>
  <c r="W1353" i="5"/>
  <c r="X1353" i="5" s="1"/>
  <c r="Q1353" i="5"/>
  <c r="R1353" i="5" s="1"/>
  <c r="S1353" i="5" s="1"/>
  <c r="T1353" i="5" s="1"/>
  <c r="U1353" i="5" s="1"/>
  <c r="V1353" i="5" s="1"/>
  <c r="P1353" i="5"/>
  <c r="AE1353" i="5" s="1"/>
  <c r="AF1353" i="5" s="1"/>
  <c r="O1353" i="5"/>
  <c r="N1353" i="5"/>
  <c r="AC1352" i="5"/>
  <c r="AD1352" i="5" s="1"/>
  <c r="AA1352" i="5"/>
  <c r="AB1352" i="5" s="1"/>
  <c r="Y1352" i="5"/>
  <c r="Z1352" i="5" s="1"/>
  <c r="W1352" i="5"/>
  <c r="X1352" i="5" s="1"/>
  <c r="Q1352" i="5"/>
  <c r="R1352" i="5" s="1"/>
  <c r="S1352" i="5" s="1"/>
  <c r="T1352" i="5" s="1"/>
  <c r="U1352" i="5" s="1"/>
  <c r="V1352" i="5" s="1"/>
  <c r="P1352" i="5"/>
  <c r="AE1352" i="5" s="1"/>
  <c r="AF1352" i="5" s="1"/>
  <c r="O1352" i="5"/>
  <c r="N1352" i="5"/>
  <c r="AC1351" i="5"/>
  <c r="AD1351" i="5" s="1"/>
  <c r="AA1351" i="5"/>
  <c r="AB1351" i="5" s="1"/>
  <c r="Y1351" i="5"/>
  <c r="Z1351" i="5" s="1"/>
  <c r="W1351" i="5"/>
  <c r="X1351" i="5" s="1"/>
  <c r="Q1351" i="5"/>
  <c r="R1351" i="5" s="1"/>
  <c r="S1351" i="5" s="1"/>
  <c r="T1351" i="5" s="1"/>
  <c r="U1351" i="5" s="1"/>
  <c r="V1351" i="5" s="1"/>
  <c r="P1351" i="5"/>
  <c r="AE1351" i="5" s="1"/>
  <c r="AF1351" i="5" s="1"/>
  <c r="O1351" i="5"/>
  <c r="N1351" i="5"/>
  <c r="AC1350" i="5"/>
  <c r="AD1350" i="5" s="1"/>
  <c r="AA1350" i="5"/>
  <c r="AB1350" i="5" s="1"/>
  <c r="Y1350" i="5"/>
  <c r="Z1350" i="5" s="1"/>
  <c r="W1350" i="5"/>
  <c r="X1350" i="5" s="1"/>
  <c r="Q1350" i="5"/>
  <c r="R1350" i="5" s="1"/>
  <c r="S1350" i="5" s="1"/>
  <c r="T1350" i="5" s="1"/>
  <c r="U1350" i="5" s="1"/>
  <c r="V1350" i="5" s="1"/>
  <c r="P1350" i="5"/>
  <c r="AE1350" i="5" s="1"/>
  <c r="AF1350" i="5" s="1"/>
  <c r="O1350" i="5"/>
  <c r="N1350" i="5"/>
  <c r="AC1349" i="5"/>
  <c r="AD1349" i="5" s="1"/>
  <c r="AA1349" i="5"/>
  <c r="AB1349" i="5" s="1"/>
  <c r="Y1349" i="5"/>
  <c r="Z1349" i="5" s="1"/>
  <c r="W1349" i="5"/>
  <c r="X1349" i="5" s="1"/>
  <c r="Q1349" i="5"/>
  <c r="R1349" i="5" s="1"/>
  <c r="S1349" i="5" s="1"/>
  <c r="T1349" i="5" s="1"/>
  <c r="U1349" i="5" s="1"/>
  <c r="V1349" i="5" s="1"/>
  <c r="P1349" i="5"/>
  <c r="AE1349" i="5" s="1"/>
  <c r="AF1349" i="5" s="1"/>
  <c r="O1349" i="5"/>
  <c r="N1349" i="5"/>
  <c r="AC1348" i="5"/>
  <c r="AD1348" i="5" s="1"/>
  <c r="AA1348" i="5"/>
  <c r="AB1348" i="5" s="1"/>
  <c r="Y1348" i="5"/>
  <c r="Z1348" i="5" s="1"/>
  <c r="W1348" i="5"/>
  <c r="X1348" i="5" s="1"/>
  <c r="Q1348" i="5"/>
  <c r="R1348" i="5" s="1"/>
  <c r="S1348" i="5" s="1"/>
  <c r="T1348" i="5" s="1"/>
  <c r="U1348" i="5" s="1"/>
  <c r="V1348" i="5" s="1"/>
  <c r="P1348" i="5"/>
  <c r="AE1348" i="5" s="1"/>
  <c r="AF1348" i="5" s="1"/>
  <c r="O1348" i="5"/>
  <c r="N1348" i="5"/>
  <c r="AC1347" i="5"/>
  <c r="AD1347" i="5" s="1"/>
  <c r="AA1347" i="5"/>
  <c r="AB1347" i="5" s="1"/>
  <c r="Y1347" i="5"/>
  <c r="Z1347" i="5" s="1"/>
  <c r="W1347" i="5"/>
  <c r="X1347" i="5" s="1"/>
  <c r="Q1347" i="5"/>
  <c r="R1347" i="5" s="1"/>
  <c r="S1347" i="5" s="1"/>
  <c r="T1347" i="5" s="1"/>
  <c r="U1347" i="5" s="1"/>
  <c r="V1347" i="5" s="1"/>
  <c r="P1347" i="5"/>
  <c r="AE1347" i="5" s="1"/>
  <c r="AF1347" i="5" s="1"/>
  <c r="O1347" i="5"/>
  <c r="N1347" i="5"/>
  <c r="AC1346" i="5"/>
  <c r="AD1346" i="5" s="1"/>
  <c r="AA1346" i="5"/>
  <c r="AB1346" i="5" s="1"/>
  <c r="Y1346" i="5"/>
  <c r="Z1346" i="5" s="1"/>
  <c r="W1346" i="5"/>
  <c r="X1346" i="5" s="1"/>
  <c r="Q1346" i="5"/>
  <c r="R1346" i="5" s="1"/>
  <c r="S1346" i="5" s="1"/>
  <c r="T1346" i="5" s="1"/>
  <c r="U1346" i="5" s="1"/>
  <c r="V1346" i="5" s="1"/>
  <c r="P1346" i="5"/>
  <c r="AE1346" i="5" s="1"/>
  <c r="AF1346" i="5" s="1"/>
  <c r="O1346" i="5"/>
  <c r="N1346" i="5"/>
  <c r="AC1345" i="5"/>
  <c r="AD1345" i="5" s="1"/>
  <c r="AA1345" i="5"/>
  <c r="AB1345" i="5" s="1"/>
  <c r="Y1345" i="5"/>
  <c r="Z1345" i="5" s="1"/>
  <c r="W1345" i="5"/>
  <c r="X1345" i="5" s="1"/>
  <c r="Q1345" i="5"/>
  <c r="R1345" i="5" s="1"/>
  <c r="S1345" i="5" s="1"/>
  <c r="T1345" i="5" s="1"/>
  <c r="U1345" i="5" s="1"/>
  <c r="V1345" i="5" s="1"/>
  <c r="P1345" i="5"/>
  <c r="AE1345" i="5" s="1"/>
  <c r="AF1345" i="5" s="1"/>
  <c r="O1345" i="5"/>
  <c r="N1345" i="5"/>
  <c r="AC1344" i="5"/>
  <c r="AD1344" i="5" s="1"/>
  <c r="AA1344" i="5"/>
  <c r="AB1344" i="5" s="1"/>
  <c r="Y1344" i="5"/>
  <c r="Z1344" i="5" s="1"/>
  <c r="W1344" i="5"/>
  <c r="X1344" i="5" s="1"/>
  <c r="Q1344" i="5"/>
  <c r="R1344" i="5" s="1"/>
  <c r="S1344" i="5" s="1"/>
  <c r="T1344" i="5" s="1"/>
  <c r="U1344" i="5" s="1"/>
  <c r="V1344" i="5" s="1"/>
  <c r="P1344" i="5"/>
  <c r="AE1344" i="5" s="1"/>
  <c r="AF1344" i="5" s="1"/>
  <c r="O1344" i="5"/>
  <c r="N1344" i="5"/>
  <c r="AC1343" i="5"/>
  <c r="AD1343" i="5" s="1"/>
  <c r="AA1343" i="5"/>
  <c r="AB1343" i="5" s="1"/>
  <c r="Y1343" i="5"/>
  <c r="Z1343" i="5" s="1"/>
  <c r="W1343" i="5"/>
  <c r="X1343" i="5" s="1"/>
  <c r="Q1343" i="5"/>
  <c r="R1343" i="5" s="1"/>
  <c r="S1343" i="5" s="1"/>
  <c r="T1343" i="5" s="1"/>
  <c r="U1343" i="5" s="1"/>
  <c r="V1343" i="5" s="1"/>
  <c r="P1343" i="5"/>
  <c r="AE1343" i="5" s="1"/>
  <c r="AF1343" i="5" s="1"/>
  <c r="O1343" i="5"/>
  <c r="N1343" i="5"/>
  <c r="AC1342" i="5"/>
  <c r="AD1342" i="5" s="1"/>
  <c r="AA1342" i="5"/>
  <c r="AB1342" i="5" s="1"/>
  <c r="Y1342" i="5"/>
  <c r="Z1342" i="5" s="1"/>
  <c r="W1342" i="5"/>
  <c r="X1342" i="5" s="1"/>
  <c r="Q1342" i="5"/>
  <c r="R1342" i="5" s="1"/>
  <c r="S1342" i="5" s="1"/>
  <c r="T1342" i="5" s="1"/>
  <c r="U1342" i="5" s="1"/>
  <c r="V1342" i="5" s="1"/>
  <c r="P1342" i="5"/>
  <c r="AE1342" i="5" s="1"/>
  <c r="AF1342" i="5" s="1"/>
  <c r="O1342" i="5"/>
  <c r="N1342" i="5"/>
  <c r="AC1341" i="5"/>
  <c r="AD1341" i="5" s="1"/>
  <c r="AA1341" i="5"/>
  <c r="AB1341" i="5" s="1"/>
  <c r="Y1341" i="5"/>
  <c r="Z1341" i="5" s="1"/>
  <c r="W1341" i="5"/>
  <c r="X1341" i="5" s="1"/>
  <c r="Q1341" i="5"/>
  <c r="R1341" i="5" s="1"/>
  <c r="S1341" i="5" s="1"/>
  <c r="T1341" i="5" s="1"/>
  <c r="U1341" i="5" s="1"/>
  <c r="V1341" i="5" s="1"/>
  <c r="P1341" i="5"/>
  <c r="AE1341" i="5" s="1"/>
  <c r="AF1341" i="5" s="1"/>
  <c r="O1341" i="5"/>
  <c r="N1341" i="5"/>
  <c r="AC1340" i="5"/>
  <c r="AD1340" i="5" s="1"/>
  <c r="AA1340" i="5"/>
  <c r="AB1340" i="5" s="1"/>
  <c r="Y1340" i="5"/>
  <c r="Z1340" i="5" s="1"/>
  <c r="W1340" i="5"/>
  <c r="X1340" i="5" s="1"/>
  <c r="Q1340" i="5"/>
  <c r="R1340" i="5" s="1"/>
  <c r="S1340" i="5" s="1"/>
  <c r="T1340" i="5" s="1"/>
  <c r="U1340" i="5" s="1"/>
  <c r="V1340" i="5" s="1"/>
  <c r="P1340" i="5"/>
  <c r="AE1340" i="5" s="1"/>
  <c r="AF1340" i="5" s="1"/>
  <c r="O1340" i="5"/>
  <c r="N1340" i="5"/>
  <c r="AC1339" i="5"/>
  <c r="AD1339" i="5" s="1"/>
  <c r="AA1339" i="5"/>
  <c r="AB1339" i="5" s="1"/>
  <c r="Y1339" i="5"/>
  <c r="Z1339" i="5" s="1"/>
  <c r="W1339" i="5"/>
  <c r="X1339" i="5" s="1"/>
  <c r="Q1339" i="5"/>
  <c r="R1339" i="5" s="1"/>
  <c r="S1339" i="5" s="1"/>
  <c r="T1339" i="5" s="1"/>
  <c r="U1339" i="5" s="1"/>
  <c r="V1339" i="5" s="1"/>
  <c r="P1339" i="5"/>
  <c r="AE1339" i="5" s="1"/>
  <c r="AF1339" i="5" s="1"/>
  <c r="O1339" i="5"/>
  <c r="N1339" i="5"/>
  <c r="AC1338" i="5"/>
  <c r="AD1338" i="5" s="1"/>
  <c r="AA1338" i="5"/>
  <c r="AB1338" i="5" s="1"/>
  <c r="Y1338" i="5"/>
  <c r="Z1338" i="5" s="1"/>
  <c r="W1338" i="5"/>
  <c r="X1338" i="5" s="1"/>
  <c r="Q1338" i="5"/>
  <c r="R1338" i="5" s="1"/>
  <c r="S1338" i="5" s="1"/>
  <c r="T1338" i="5" s="1"/>
  <c r="U1338" i="5" s="1"/>
  <c r="V1338" i="5" s="1"/>
  <c r="P1338" i="5"/>
  <c r="AE1338" i="5" s="1"/>
  <c r="AF1338" i="5" s="1"/>
  <c r="O1338" i="5"/>
  <c r="N1338" i="5"/>
  <c r="AC1337" i="5"/>
  <c r="AD1337" i="5" s="1"/>
  <c r="AA1337" i="5"/>
  <c r="AB1337" i="5" s="1"/>
  <c r="Y1337" i="5"/>
  <c r="Z1337" i="5" s="1"/>
  <c r="W1337" i="5"/>
  <c r="X1337" i="5" s="1"/>
  <c r="Q1337" i="5"/>
  <c r="R1337" i="5" s="1"/>
  <c r="S1337" i="5" s="1"/>
  <c r="T1337" i="5" s="1"/>
  <c r="U1337" i="5" s="1"/>
  <c r="V1337" i="5" s="1"/>
  <c r="P1337" i="5"/>
  <c r="AE1337" i="5" s="1"/>
  <c r="AF1337" i="5" s="1"/>
  <c r="O1337" i="5"/>
  <c r="N1337" i="5"/>
  <c r="AC1336" i="5"/>
  <c r="AD1336" i="5" s="1"/>
  <c r="AA1336" i="5"/>
  <c r="AB1336" i="5" s="1"/>
  <c r="Y1336" i="5"/>
  <c r="Z1336" i="5" s="1"/>
  <c r="W1336" i="5"/>
  <c r="X1336" i="5" s="1"/>
  <c r="Q1336" i="5"/>
  <c r="R1336" i="5" s="1"/>
  <c r="S1336" i="5" s="1"/>
  <c r="T1336" i="5" s="1"/>
  <c r="U1336" i="5" s="1"/>
  <c r="V1336" i="5" s="1"/>
  <c r="P1336" i="5"/>
  <c r="AE1336" i="5" s="1"/>
  <c r="AF1336" i="5" s="1"/>
  <c r="O1336" i="5"/>
  <c r="N1336" i="5"/>
  <c r="AC1335" i="5"/>
  <c r="AD1335" i="5" s="1"/>
  <c r="AA1335" i="5"/>
  <c r="AB1335" i="5" s="1"/>
  <c r="Y1335" i="5"/>
  <c r="Z1335" i="5" s="1"/>
  <c r="W1335" i="5"/>
  <c r="X1335" i="5" s="1"/>
  <c r="Q1335" i="5"/>
  <c r="R1335" i="5" s="1"/>
  <c r="S1335" i="5" s="1"/>
  <c r="T1335" i="5" s="1"/>
  <c r="U1335" i="5" s="1"/>
  <c r="V1335" i="5" s="1"/>
  <c r="P1335" i="5"/>
  <c r="AE1335" i="5" s="1"/>
  <c r="AF1335" i="5" s="1"/>
  <c r="O1335" i="5"/>
  <c r="N1335" i="5"/>
  <c r="AC1334" i="5"/>
  <c r="AD1334" i="5" s="1"/>
  <c r="AA1334" i="5"/>
  <c r="AB1334" i="5" s="1"/>
  <c r="Y1334" i="5"/>
  <c r="Z1334" i="5" s="1"/>
  <c r="W1334" i="5"/>
  <c r="X1334" i="5" s="1"/>
  <c r="Q1334" i="5"/>
  <c r="R1334" i="5" s="1"/>
  <c r="S1334" i="5" s="1"/>
  <c r="T1334" i="5" s="1"/>
  <c r="U1334" i="5" s="1"/>
  <c r="V1334" i="5" s="1"/>
  <c r="P1334" i="5"/>
  <c r="AE1334" i="5" s="1"/>
  <c r="AF1334" i="5" s="1"/>
  <c r="O1334" i="5"/>
  <c r="N1334" i="5"/>
  <c r="AC1333" i="5"/>
  <c r="AD1333" i="5" s="1"/>
  <c r="AA1333" i="5"/>
  <c r="AB1333" i="5" s="1"/>
  <c r="Y1333" i="5"/>
  <c r="Z1333" i="5" s="1"/>
  <c r="W1333" i="5"/>
  <c r="X1333" i="5" s="1"/>
  <c r="Q1333" i="5"/>
  <c r="R1333" i="5" s="1"/>
  <c r="S1333" i="5" s="1"/>
  <c r="T1333" i="5" s="1"/>
  <c r="U1333" i="5" s="1"/>
  <c r="V1333" i="5" s="1"/>
  <c r="P1333" i="5"/>
  <c r="AE1333" i="5" s="1"/>
  <c r="AF1333" i="5" s="1"/>
  <c r="O1333" i="5"/>
  <c r="N1333" i="5"/>
  <c r="AC1332" i="5"/>
  <c r="AD1332" i="5" s="1"/>
  <c r="AA1332" i="5"/>
  <c r="AB1332" i="5" s="1"/>
  <c r="Y1332" i="5"/>
  <c r="Z1332" i="5" s="1"/>
  <c r="W1332" i="5"/>
  <c r="X1332" i="5" s="1"/>
  <c r="Q1332" i="5"/>
  <c r="R1332" i="5" s="1"/>
  <c r="S1332" i="5" s="1"/>
  <c r="T1332" i="5" s="1"/>
  <c r="U1332" i="5" s="1"/>
  <c r="V1332" i="5" s="1"/>
  <c r="P1332" i="5"/>
  <c r="AE1332" i="5" s="1"/>
  <c r="AF1332" i="5" s="1"/>
  <c r="O1332" i="5"/>
  <c r="N1332" i="5"/>
  <c r="AC1331" i="5"/>
  <c r="AD1331" i="5" s="1"/>
  <c r="AA1331" i="5"/>
  <c r="AB1331" i="5" s="1"/>
  <c r="Y1331" i="5"/>
  <c r="Z1331" i="5" s="1"/>
  <c r="W1331" i="5"/>
  <c r="X1331" i="5" s="1"/>
  <c r="Q1331" i="5"/>
  <c r="R1331" i="5" s="1"/>
  <c r="S1331" i="5" s="1"/>
  <c r="T1331" i="5" s="1"/>
  <c r="U1331" i="5" s="1"/>
  <c r="V1331" i="5" s="1"/>
  <c r="P1331" i="5"/>
  <c r="AE1331" i="5" s="1"/>
  <c r="AF1331" i="5" s="1"/>
  <c r="O1331" i="5"/>
  <c r="N1331" i="5"/>
  <c r="AC1330" i="5"/>
  <c r="AD1330" i="5" s="1"/>
  <c r="AA1330" i="5"/>
  <c r="AB1330" i="5" s="1"/>
  <c r="Y1330" i="5"/>
  <c r="Z1330" i="5" s="1"/>
  <c r="W1330" i="5"/>
  <c r="X1330" i="5" s="1"/>
  <c r="Q1330" i="5"/>
  <c r="R1330" i="5" s="1"/>
  <c r="S1330" i="5" s="1"/>
  <c r="T1330" i="5" s="1"/>
  <c r="U1330" i="5" s="1"/>
  <c r="V1330" i="5" s="1"/>
  <c r="P1330" i="5"/>
  <c r="AE1330" i="5" s="1"/>
  <c r="AF1330" i="5" s="1"/>
  <c r="O1330" i="5"/>
  <c r="N1330" i="5"/>
  <c r="AC1329" i="5"/>
  <c r="AD1329" i="5" s="1"/>
  <c r="AA1329" i="5"/>
  <c r="AB1329" i="5" s="1"/>
  <c r="Y1329" i="5"/>
  <c r="Z1329" i="5" s="1"/>
  <c r="W1329" i="5"/>
  <c r="X1329" i="5" s="1"/>
  <c r="Q1329" i="5"/>
  <c r="R1329" i="5" s="1"/>
  <c r="S1329" i="5" s="1"/>
  <c r="T1329" i="5" s="1"/>
  <c r="U1329" i="5" s="1"/>
  <c r="V1329" i="5" s="1"/>
  <c r="P1329" i="5"/>
  <c r="AE1329" i="5" s="1"/>
  <c r="AF1329" i="5" s="1"/>
  <c r="O1329" i="5"/>
  <c r="N1329" i="5"/>
  <c r="AC1328" i="5"/>
  <c r="AD1328" i="5" s="1"/>
  <c r="AA1328" i="5"/>
  <c r="AB1328" i="5" s="1"/>
  <c r="Y1328" i="5"/>
  <c r="Z1328" i="5" s="1"/>
  <c r="W1328" i="5"/>
  <c r="X1328" i="5" s="1"/>
  <c r="Q1328" i="5"/>
  <c r="R1328" i="5" s="1"/>
  <c r="S1328" i="5" s="1"/>
  <c r="T1328" i="5" s="1"/>
  <c r="U1328" i="5" s="1"/>
  <c r="V1328" i="5" s="1"/>
  <c r="P1328" i="5"/>
  <c r="AE1328" i="5" s="1"/>
  <c r="AF1328" i="5" s="1"/>
  <c r="O1328" i="5"/>
  <c r="N1328" i="5"/>
  <c r="AC1327" i="5"/>
  <c r="AD1327" i="5" s="1"/>
  <c r="AA1327" i="5"/>
  <c r="AB1327" i="5" s="1"/>
  <c r="Y1327" i="5"/>
  <c r="Z1327" i="5" s="1"/>
  <c r="W1327" i="5"/>
  <c r="X1327" i="5" s="1"/>
  <c r="Q1327" i="5"/>
  <c r="R1327" i="5" s="1"/>
  <c r="S1327" i="5" s="1"/>
  <c r="T1327" i="5" s="1"/>
  <c r="U1327" i="5" s="1"/>
  <c r="V1327" i="5" s="1"/>
  <c r="P1327" i="5"/>
  <c r="AE1327" i="5" s="1"/>
  <c r="AF1327" i="5" s="1"/>
  <c r="O1327" i="5"/>
  <c r="N1327" i="5"/>
  <c r="AC1326" i="5"/>
  <c r="AD1326" i="5" s="1"/>
  <c r="AA1326" i="5"/>
  <c r="AB1326" i="5" s="1"/>
  <c r="Y1326" i="5"/>
  <c r="Z1326" i="5" s="1"/>
  <c r="W1326" i="5"/>
  <c r="X1326" i="5" s="1"/>
  <c r="Q1326" i="5"/>
  <c r="R1326" i="5" s="1"/>
  <c r="S1326" i="5" s="1"/>
  <c r="T1326" i="5" s="1"/>
  <c r="U1326" i="5" s="1"/>
  <c r="V1326" i="5" s="1"/>
  <c r="P1326" i="5"/>
  <c r="AE1326" i="5" s="1"/>
  <c r="AF1326" i="5" s="1"/>
  <c r="O1326" i="5"/>
  <c r="N1326" i="5"/>
  <c r="AC1325" i="5"/>
  <c r="AD1325" i="5" s="1"/>
  <c r="AA1325" i="5"/>
  <c r="AB1325" i="5" s="1"/>
  <c r="Y1325" i="5"/>
  <c r="Z1325" i="5" s="1"/>
  <c r="W1325" i="5"/>
  <c r="X1325" i="5" s="1"/>
  <c r="Q1325" i="5"/>
  <c r="R1325" i="5" s="1"/>
  <c r="S1325" i="5" s="1"/>
  <c r="T1325" i="5" s="1"/>
  <c r="U1325" i="5" s="1"/>
  <c r="V1325" i="5" s="1"/>
  <c r="P1325" i="5"/>
  <c r="AE1325" i="5" s="1"/>
  <c r="AF1325" i="5" s="1"/>
  <c r="O1325" i="5"/>
  <c r="N1325" i="5"/>
  <c r="AC1324" i="5"/>
  <c r="AD1324" i="5" s="1"/>
  <c r="AA1324" i="5"/>
  <c r="AB1324" i="5" s="1"/>
  <c r="Y1324" i="5"/>
  <c r="Z1324" i="5" s="1"/>
  <c r="W1324" i="5"/>
  <c r="X1324" i="5" s="1"/>
  <c r="Q1324" i="5"/>
  <c r="R1324" i="5" s="1"/>
  <c r="S1324" i="5" s="1"/>
  <c r="T1324" i="5" s="1"/>
  <c r="U1324" i="5" s="1"/>
  <c r="V1324" i="5" s="1"/>
  <c r="P1324" i="5"/>
  <c r="AE1324" i="5" s="1"/>
  <c r="AF1324" i="5" s="1"/>
  <c r="O1324" i="5"/>
  <c r="N1324" i="5"/>
  <c r="AC1323" i="5"/>
  <c r="AD1323" i="5" s="1"/>
  <c r="AA1323" i="5"/>
  <c r="AB1323" i="5" s="1"/>
  <c r="Y1323" i="5"/>
  <c r="Z1323" i="5" s="1"/>
  <c r="W1323" i="5"/>
  <c r="X1323" i="5" s="1"/>
  <c r="Q1323" i="5"/>
  <c r="R1323" i="5" s="1"/>
  <c r="S1323" i="5" s="1"/>
  <c r="T1323" i="5" s="1"/>
  <c r="U1323" i="5" s="1"/>
  <c r="V1323" i="5" s="1"/>
  <c r="P1323" i="5"/>
  <c r="AE1323" i="5" s="1"/>
  <c r="AF1323" i="5" s="1"/>
  <c r="O1323" i="5"/>
  <c r="N1323" i="5"/>
  <c r="AC1322" i="5"/>
  <c r="AD1322" i="5" s="1"/>
  <c r="AA1322" i="5"/>
  <c r="AB1322" i="5" s="1"/>
  <c r="Y1322" i="5"/>
  <c r="Z1322" i="5" s="1"/>
  <c r="W1322" i="5"/>
  <c r="X1322" i="5" s="1"/>
  <c r="Q1322" i="5"/>
  <c r="R1322" i="5" s="1"/>
  <c r="S1322" i="5" s="1"/>
  <c r="T1322" i="5" s="1"/>
  <c r="U1322" i="5" s="1"/>
  <c r="V1322" i="5" s="1"/>
  <c r="P1322" i="5"/>
  <c r="AE1322" i="5" s="1"/>
  <c r="AF1322" i="5" s="1"/>
  <c r="O1322" i="5"/>
  <c r="N1322" i="5"/>
  <c r="AC1321" i="5"/>
  <c r="AD1321" i="5" s="1"/>
  <c r="AA1321" i="5"/>
  <c r="AB1321" i="5" s="1"/>
  <c r="Y1321" i="5"/>
  <c r="Z1321" i="5" s="1"/>
  <c r="W1321" i="5"/>
  <c r="X1321" i="5" s="1"/>
  <c r="Q1321" i="5"/>
  <c r="R1321" i="5" s="1"/>
  <c r="S1321" i="5" s="1"/>
  <c r="T1321" i="5" s="1"/>
  <c r="U1321" i="5" s="1"/>
  <c r="V1321" i="5" s="1"/>
  <c r="P1321" i="5"/>
  <c r="AE1321" i="5" s="1"/>
  <c r="AF1321" i="5" s="1"/>
  <c r="O1321" i="5"/>
  <c r="N1321" i="5"/>
  <c r="AC1320" i="5"/>
  <c r="AD1320" i="5" s="1"/>
  <c r="AA1320" i="5"/>
  <c r="AB1320" i="5" s="1"/>
  <c r="Y1320" i="5"/>
  <c r="Z1320" i="5" s="1"/>
  <c r="W1320" i="5"/>
  <c r="X1320" i="5" s="1"/>
  <c r="Q1320" i="5"/>
  <c r="R1320" i="5" s="1"/>
  <c r="S1320" i="5" s="1"/>
  <c r="T1320" i="5" s="1"/>
  <c r="U1320" i="5" s="1"/>
  <c r="V1320" i="5" s="1"/>
  <c r="P1320" i="5"/>
  <c r="AE1320" i="5" s="1"/>
  <c r="AF1320" i="5" s="1"/>
  <c r="O1320" i="5"/>
  <c r="N1320" i="5"/>
  <c r="AC1319" i="5"/>
  <c r="AD1319" i="5" s="1"/>
  <c r="AA1319" i="5"/>
  <c r="AB1319" i="5" s="1"/>
  <c r="Y1319" i="5"/>
  <c r="Z1319" i="5" s="1"/>
  <c r="W1319" i="5"/>
  <c r="X1319" i="5" s="1"/>
  <c r="Q1319" i="5"/>
  <c r="R1319" i="5" s="1"/>
  <c r="S1319" i="5" s="1"/>
  <c r="T1319" i="5" s="1"/>
  <c r="U1319" i="5" s="1"/>
  <c r="V1319" i="5" s="1"/>
  <c r="P1319" i="5"/>
  <c r="AE1319" i="5" s="1"/>
  <c r="AF1319" i="5" s="1"/>
  <c r="O1319" i="5"/>
  <c r="N1319" i="5"/>
  <c r="AC1318" i="5"/>
  <c r="AD1318" i="5" s="1"/>
  <c r="AA1318" i="5"/>
  <c r="AB1318" i="5" s="1"/>
  <c r="Y1318" i="5"/>
  <c r="Z1318" i="5" s="1"/>
  <c r="W1318" i="5"/>
  <c r="X1318" i="5" s="1"/>
  <c r="Q1318" i="5"/>
  <c r="R1318" i="5" s="1"/>
  <c r="S1318" i="5" s="1"/>
  <c r="T1318" i="5" s="1"/>
  <c r="U1318" i="5" s="1"/>
  <c r="V1318" i="5" s="1"/>
  <c r="P1318" i="5"/>
  <c r="AE1318" i="5" s="1"/>
  <c r="AF1318" i="5" s="1"/>
  <c r="O1318" i="5"/>
  <c r="N1318" i="5"/>
  <c r="AC1317" i="5"/>
  <c r="AD1317" i="5" s="1"/>
  <c r="AA1317" i="5"/>
  <c r="AB1317" i="5" s="1"/>
  <c r="Y1317" i="5"/>
  <c r="Z1317" i="5" s="1"/>
  <c r="W1317" i="5"/>
  <c r="X1317" i="5" s="1"/>
  <c r="Q1317" i="5"/>
  <c r="R1317" i="5" s="1"/>
  <c r="S1317" i="5" s="1"/>
  <c r="T1317" i="5" s="1"/>
  <c r="U1317" i="5" s="1"/>
  <c r="V1317" i="5" s="1"/>
  <c r="P1317" i="5"/>
  <c r="AE1317" i="5" s="1"/>
  <c r="AF1317" i="5" s="1"/>
  <c r="O1317" i="5"/>
  <c r="N1317" i="5"/>
  <c r="AC1316" i="5"/>
  <c r="AD1316" i="5" s="1"/>
  <c r="AA1316" i="5"/>
  <c r="AB1316" i="5" s="1"/>
  <c r="Y1316" i="5"/>
  <c r="Z1316" i="5" s="1"/>
  <c r="W1316" i="5"/>
  <c r="X1316" i="5" s="1"/>
  <c r="Q1316" i="5"/>
  <c r="R1316" i="5" s="1"/>
  <c r="S1316" i="5" s="1"/>
  <c r="T1316" i="5" s="1"/>
  <c r="U1316" i="5" s="1"/>
  <c r="V1316" i="5" s="1"/>
  <c r="P1316" i="5"/>
  <c r="AE1316" i="5" s="1"/>
  <c r="AF1316" i="5" s="1"/>
  <c r="O1316" i="5"/>
  <c r="N1316" i="5"/>
  <c r="AC1315" i="5"/>
  <c r="AD1315" i="5" s="1"/>
  <c r="AA1315" i="5"/>
  <c r="AB1315" i="5" s="1"/>
  <c r="Y1315" i="5"/>
  <c r="Z1315" i="5" s="1"/>
  <c r="W1315" i="5"/>
  <c r="X1315" i="5" s="1"/>
  <c r="Q1315" i="5"/>
  <c r="R1315" i="5" s="1"/>
  <c r="S1315" i="5" s="1"/>
  <c r="T1315" i="5" s="1"/>
  <c r="U1315" i="5" s="1"/>
  <c r="V1315" i="5" s="1"/>
  <c r="P1315" i="5"/>
  <c r="AE1315" i="5" s="1"/>
  <c r="AF1315" i="5" s="1"/>
  <c r="O1315" i="5"/>
  <c r="N1315" i="5"/>
  <c r="AC1314" i="5"/>
  <c r="AD1314" i="5" s="1"/>
  <c r="AA1314" i="5"/>
  <c r="AB1314" i="5" s="1"/>
  <c r="Y1314" i="5"/>
  <c r="Z1314" i="5" s="1"/>
  <c r="W1314" i="5"/>
  <c r="X1314" i="5" s="1"/>
  <c r="Q1314" i="5"/>
  <c r="R1314" i="5" s="1"/>
  <c r="S1314" i="5" s="1"/>
  <c r="T1314" i="5" s="1"/>
  <c r="U1314" i="5" s="1"/>
  <c r="V1314" i="5" s="1"/>
  <c r="P1314" i="5"/>
  <c r="AE1314" i="5" s="1"/>
  <c r="AF1314" i="5" s="1"/>
  <c r="O1314" i="5"/>
  <c r="N1314" i="5"/>
  <c r="AC1313" i="5"/>
  <c r="AD1313" i="5" s="1"/>
  <c r="AA1313" i="5"/>
  <c r="AB1313" i="5" s="1"/>
  <c r="Y1313" i="5"/>
  <c r="Z1313" i="5" s="1"/>
  <c r="W1313" i="5"/>
  <c r="X1313" i="5" s="1"/>
  <c r="Q1313" i="5"/>
  <c r="R1313" i="5" s="1"/>
  <c r="S1313" i="5" s="1"/>
  <c r="T1313" i="5" s="1"/>
  <c r="U1313" i="5" s="1"/>
  <c r="V1313" i="5" s="1"/>
  <c r="P1313" i="5"/>
  <c r="AE1313" i="5" s="1"/>
  <c r="AF1313" i="5" s="1"/>
  <c r="O1313" i="5"/>
  <c r="N1313" i="5"/>
  <c r="AC1312" i="5"/>
  <c r="AD1312" i="5" s="1"/>
  <c r="AA1312" i="5"/>
  <c r="AB1312" i="5" s="1"/>
  <c r="Y1312" i="5"/>
  <c r="Z1312" i="5" s="1"/>
  <c r="W1312" i="5"/>
  <c r="X1312" i="5" s="1"/>
  <c r="Q1312" i="5"/>
  <c r="R1312" i="5" s="1"/>
  <c r="S1312" i="5" s="1"/>
  <c r="T1312" i="5" s="1"/>
  <c r="U1312" i="5" s="1"/>
  <c r="V1312" i="5" s="1"/>
  <c r="P1312" i="5"/>
  <c r="AE1312" i="5" s="1"/>
  <c r="AF1312" i="5" s="1"/>
  <c r="O1312" i="5"/>
  <c r="N1312" i="5"/>
  <c r="AC1311" i="5"/>
  <c r="AD1311" i="5" s="1"/>
  <c r="AA1311" i="5"/>
  <c r="AB1311" i="5" s="1"/>
  <c r="Y1311" i="5"/>
  <c r="Z1311" i="5" s="1"/>
  <c r="W1311" i="5"/>
  <c r="X1311" i="5" s="1"/>
  <c r="Q1311" i="5"/>
  <c r="R1311" i="5" s="1"/>
  <c r="S1311" i="5" s="1"/>
  <c r="T1311" i="5" s="1"/>
  <c r="U1311" i="5" s="1"/>
  <c r="V1311" i="5" s="1"/>
  <c r="P1311" i="5"/>
  <c r="AE1311" i="5" s="1"/>
  <c r="AF1311" i="5" s="1"/>
  <c r="O1311" i="5"/>
  <c r="N1311" i="5"/>
  <c r="AC1310" i="5"/>
  <c r="AD1310" i="5" s="1"/>
  <c r="AA1310" i="5"/>
  <c r="AB1310" i="5" s="1"/>
  <c r="Y1310" i="5"/>
  <c r="Z1310" i="5" s="1"/>
  <c r="W1310" i="5"/>
  <c r="X1310" i="5" s="1"/>
  <c r="Q1310" i="5"/>
  <c r="R1310" i="5" s="1"/>
  <c r="S1310" i="5" s="1"/>
  <c r="T1310" i="5" s="1"/>
  <c r="U1310" i="5" s="1"/>
  <c r="V1310" i="5" s="1"/>
  <c r="P1310" i="5"/>
  <c r="AE1310" i="5" s="1"/>
  <c r="AF1310" i="5" s="1"/>
  <c r="O1310" i="5"/>
  <c r="N1310" i="5"/>
  <c r="AC1309" i="5"/>
  <c r="AD1309" i="5" s="1"/>
  <c r="AA1309" i="5"/>
  <c r="AB1309" i="5" s="1"/>
  <c r="Y1309" i="5"/>
  <c r="Z1309" i="5" s="1"/>
  <c r="W1309" i="5"/>
  <c r="X1309" i="5" s="1"/>
  <c r="Q1309" i="5"/>
  <c r="R1309" i="5" s="1"/>
  <c r="S1309" i="5" s="1"/>
  <c r="T1309" i="5" s="1"/>
  <c r="U1309" i="5" s="1"/>
  <c r="V1309" i="5" s="1"/>
  <c r="P1309" i="5"/>
  <c r="AE1309" i="5" s="1"/>
  <c r="AF1309" i="5" s="1"/>
  <c r="O1309" i="5"/>
  <c r="N1309" i="5"/>
  <c r="AC1308" i="5"/>
  <c r="AD1308" i="5" s="1"/>
  <c r="AA1308" i="5"/>
  <c r="AB1308" i="5" s="1"/>
  <c r="Y1308" i="5"/>
  <c r="Z1308" i="5" s="1"/>
  <c r="W1308" i="5"/>
  <c r="X1308" i="5" s="1"/>
  <c r="Q1308" i="5"/>
  <c r="R1308" i="5" s="1"/>
  <c r="S1308" i="5" s="1"/>
  <c r="T1308" i="5" s="1"/>
  <c r="U1308" i="5" s="1"/>
  <c r="V1308" i="5" s="1"/>
  <c r="P1308" i="5"/>
  <c r="AE1308" i="5" s="1"/>
  <c r="AF1308" i="5" s="1"/>
  <c r="O1308" i="5"/>
  <c r="N1308" i="5"/>
  <c r="AC1307" i="5"/>
  <c r="AD1307" i="5" s="1"/>
  <c r="AA1307" i="5"/>
  <c r="AB1307" i="5" s="1"/>
  <c r="Y1307" i="5"/>
  <c r="Z1307" i="5" s="1"/>
  <c r="W1307" i="5"/>
  <c r="X1307" i="5" s="1"/>
  <c r="Q1307" i="5"/>
  <c r="R1307" i="5" s="1"/>
  <c r="S1307" i="5" s="1"/>
  <c r="T1307" i="5" s="1"/>
  <c r="U1307" i="5" s="1"/>
  <c r="V1307" i="5" s="1"/>
  <c r="P1307" i="5"/>
  <c r="AE1307" i="5" s="1"/>
  <c r="AF1307" i="5" s="1"/>
  <c r="O1307" i="5"/>
  <c r="N1307" i="5"/>
  <c r="AC1306" i="5"/>
  <c r="AD1306" i="5" s="1"/>
  <c r="AA1306" i="5"/>
  <c r="AB1306" i="5" s="1"/>
  <c r="Y1306" i="5"/>
  <c r="Z1306" i="5" s="1"/>
  <c r="W1306" i="5"/>
  <c r="X1306" i="5" s="1"/>
  <c r="Q1306" i="5"/>
  <c r="R1306" i="5" s="1"/>
  <c r="S1306" i="5" s="1"/>
  <c r="T1306" i="5" s="1"/>
  <c r="U1306" i="5" s="1"/>
  <c r="V1306" i="5" s="1"/>
  <c r="P1306" i="5"/>
  <c r="AE1306" i="5" s="1"/>
  <c r="AF1306" i="5" s="1"/>
  <c r="O1306" i="5"/>
  <c r="N1306" i="5"/>
  <c r="AC1305" i="5"/>
  <c r="AD1305" i="5" s="1"/>
  <c r="AA1305" i="5"/>
  <c r="AB1305" i="5" s="1"/>
  <c r="Y1305" i="5"/>
  <c r="Z1305" i="5" s="1"/>
  <c r="W1305" i="5"/>
  <c r="X1305" i="5" s="1"/>
  <c r="Q1305" i="5"/>
  <c r="R1305" i="5" s="1"/>
  <c r="S1305" i="5" s="1"/>
  <c r="T1305" i="5" s="1"/>
  <c r="U1305" i="5" s="1"/>
  <c r="V1305" i="5" s="1"/>
  <c r="P1305" i="5"/>
  <c r="AE1305" i="5" s="1"/>
  <c r="AF1305" i="5" s="1"/>
  <c r="O1305" i="5"/>
  <c r="N1305" i="5"/>
  <c r="AC1304" i="5"/>
  <c r="AD1304" i="5" s="1"/>
  <c r="AA1304" i="5"/>
  <c r="AB1304" i="5" s="1"/>
  <c r="Y1304" i="5"/>
  <c r="Z1304" i="5" s="1"/>
  <c r="W1304" i="5"/>
  <c r="X1304" i="5" s="1"/>
  <c r="Q1304" i="5"/>
  <c r="R1304" i="5" s="1"/>
  <c r="S1304" i="5" s="1"/>
  <c r="T1304" i="5" s="1"/>
  <c r="U1304" i="5" s="1"/>
  <c r="V1304" i="5" s="1"/>
  <c r="P1304" i="5"/>
  <c r="AE1304" i="5" s="1"/>
  <c r="AF1304" i="5" s="1"/>
  <c r="O1304" i="5"/>
  <c r="N1304" i="5"/>
  <c r="AC1303" i="5"/>
  <c r="AD1303" i="5" s="1"/>
  <c r="AA1303" i="5"/>
  <c r="AB1303" i="5" s="1"/>
  <c r="Y1303" i="5"/>
  <c r="Z1303" i="5" s="1"/>
  <c r="W1303" i="5"/>
  <c r="X1303" i="5" s="1"/>
  <c r="Q1303" i="5"/>
  <c r="R1303" i="5" s="1"/>
  <c r="S1303" i="5" s="1"/>
  <c r="T1303" i="5" s="1"/>
  <c r="U1303" i="5" s="1"/>
  <c r="V1303" i="5" s="1"/>
  <c r="P1303" i="5"/>
  <c r="AE1303" i="5" s="1"/>
  <c r="AF1303" i="5" s="1"/>
  <c r="O1303" i="5"/>
  <c r="N1303" i="5"/>
  <c r="AC1302" i="5"/>
  <c r="AD1302" i="5" s="1"/>
  <c r="AA1302" i="5"/>
  <c r="AB1302" i="5" s="1"/>
  <c r="Y1302" i="5"/>
  <c r="Z1302" i="5" s="1"/>
  <c r="W1302" i="5"/>
  <c r="X1302" i="5" s="1"/>
  <c r="Q1302" i="5"/>
  <c r="R1302" i="5" s="1"/>
  <c r="S1302" i="5" s="1"/>
  <c r="T1302" i="5" s="1"/>
  <c r="U1302" i="5" s="1"/>
  <c r="V1302" i="5" s="1"/>
  <c r="P1302" i="5"/>
  <c r="AE1302" i="5" s="1"/>
  <c r="AF1302" i="5" s="1"/>
  <c r="O1302" i="5"/>
  <c r="N1302" i="5"/>
  <c r="AC1301" i="5"/>
  <c r="AD1301" i="5" s="1"/>
  <c r="AA1301" i="5"/>
  <c r="AB1301" i="5" s="1"/>
  <c r="Y1301" i="5"/>
  <c r="Z1301" i="5" s="1"/>
  <c r="W1301" i="5"/>
  <c r="X1301" i="5" s="1"/>
  <c r="Q1301" i="5"/>
  <c r="R1301" i="5" s="1"/>
  <c r="S1301" i="5" s="1"/>
  <c r="T1301" i="5" s="1"/>
  <c r="U1301" i="5" s="1"/>
  <c r="V1301" i="5" s="1"/>
  <c r="P1301" i="5"/>
  <c r="AE1301" i="5" s="1"/>
  <c r="AF1301" i="5" s="1"/>
  <c r="O1301" i="5"/>
  <c r="N1301" i="5"/>
  <c r="AC1300" i="5"/>
  <c r="AD1300" i="5" s="1"/>
  <c r="AA1300" i="5"/>
  <c r="AB1300" i="5" s="1"/>
  <c r="Y1300" i="5"/>
  <c r="Z1300" i="5" s="1"/>
  <c r="W1300" i="5"/>
  <c r="X1300" i="5" s="1"/>
  <c r="Q1300" i="5"/>
  <c r="R1300" i="5" s="1"/>
  <c r="S1300" i="5" s="1"/>
  <c r="T1300" i="5" s="1"/>
  <c r="U1300" i="5" s="1"/>
  <c r="V1300" i="5" s="1"/>
  <c r="P1300" i="5"/>
  <c r="AE1300" i="5" s="1"/>
  <c r="AF1300" i="5" s="1"/>
  <c r="O1300" i="5"/>
  <c r="N1300" i="5"/>
  <c r="AC1299" i="5"/>
  <c r="AD1299" i="5" s="1"/>
  <c r="AA1299" i="5"/>
  <c r="AB1299" i="5" s="1"/>
  <c r="Y1299" i="5"/>
  <c r="Z1299" i="5" s="1"/>
  <c r="W1299" i="5"/>
  <c r="X1299" i="5" s="1"/>
  <c r="Q1299" i="5"/>
  <c r="R1299" i="5" s="1"/>
  <c r="S1299" i="5" s="1"/>
  <c r="T1299" i="5" s="1"/>
  <c r="U1299" i="5" s="1"/>
  <c r="V1299" i="5" s="1"/>
  <c r="P1299" i="5"/>
  <c r="AE1299" i="5" s="1"/>
  <c r="AF1299" i="5" s="1"/>
  <c r="O1299" i="5"/>
  <c r="N1299" i="5"/>
  <c r="AC1298" i="5"/>
  <c r="AD1298" i="5" s="1"/>
  <c r="AA1298" i="5"/>
  <c r="AB1298" i="5" s="1"/>
  <c r="Y1298" i="5"/>
  <c r="Z1298" i="5" s="1"/>
  <c r="W1298" i="5"/>
  <c r="X1298" i="5" s="1"/>
  <c r="Q1298" i="5"/>
  <c r="R1298" i="5" s="1"/>
  <c r="S1298" i="5" s="1"/>
  <c r="T1298" i="5" s="1"/>
  <c r="U1298" i="5" s="1"/>
  <c r="V1298" i="5" s="1"/>
  <c r="P1298" i="5"/>
  <c r="AE1298" i="5" s="1"/>
  <c r="AF1298" i="5" s="1"/>
  <c r="O1298" i="5"/>
  <c r="N1298" i="5"/>
  <c r="AC1297" i="5"/>
  <c r="AD1297" i="5" s="1"/>
  <c r="AA1297" i="5"/>
  <c r="AB1297" i="5" s="1"/>
  <c r="Y1297" i="5"/>
  <c r="Z1297" i="5" s="1"/>
  <c r="W1297" i="5"/>
  <c r="X1297" i="5" s="1"/>
  <c r="Q1297" i="5"/>
  <c r="R1297" i="5" s="1"/>
  <c r="S1297" i="5" s="1"/>
  <c r="T1297" i="5" s="1"/>
  <c r="U1297" i="5" s="1"/>
  <c r="V1297" i="5" s="1"/>
  <c r="P1297" i="5"/>
  <c r="AE1297" i="5" s="1"/>
  <c r="AF1297" i="5" s="1"/>
  <c r="O1297" i="5"/>
  <c r="N1297" i="5"/>
  <c r="AC1296" i="5"/>
  <c r="AD1296" i="5" s="1"/>
  <c r="AA1296" i="5"/>
  <c r="AB1296" i="5" s="1"/>
  <c r="Y1296" i="5"/>
  <c r="Z1296" i="5" s="1"/>
  <c r="W1296" i="5"/>
  <c r="X1296" i="5" s="1"/>
  <c r="Q1296" i="5"/>
  <c r="R1296" i="5" s="1"/>
  <c r="S1296" i="5" s="1"/>
  <c r="T1296" i="5" s="1"/>
  <c r="U1296" i="5" s="1"/>
  <c r="V1296" i="5" s="1"/>
  <c r="P1296" i="5"/>
  <c r="AE1296" i="5" s="1"/>
  <c r="AF1296" i="5" s="1"/>
  <c r="O1296" i="5"/>
  <c r="N1296" i="5"/>
  <c r="AC1295" i="5"/>
  <c r="AD1295" i="5" s="1"/>
  <c r="AA1295" i="5"/>
  <c r="AB1295" i="5" s="1"/>
  <c r="Y1295" i="5"/>
  <c r="Z1295" i="5" s="1"/>
  <c r="W1295" i="5"/>
  <c r="X1295" i="5" s="1"/>
  <c r="Q1295" i="5"/>
  <c r="R1295" i="5" s="1"/>
  <c r="S1295" i="5" s="1"/>
  <c r="T1295" i="5" s="1"/>
  <c r="U1295" i="5" s="1"/>
  <c r="V1295" i="5" s="1"/>
  <c r="P1295" i="5"/>
  <c r="AE1295" i="5" s="1"/>
  <c r="AF1295" i="5" s="1"/>
  <c r="O1295" i="5"/>
  <c r="N1295" i="5"/>
  <c r="AC1294" i="5"/>
  <c r="AD1294" i="5" s="1"/>
  <c r="AA1294" i="5"/>
  <c r="AB1294" i="5" s="1"/>
  <c r="Y1294" i="5"/>
  <c r="Z1294" i="5" s="1"/>
  <c r="W1294" i="5"/>
  <c r="X1294" i="5" s="1"/>
  <c r="Q1294" i="5"/>
  <c r="R1294" i="5" s="1"/>
  <c r="S1294" i="5" s="1"/>
  <c r="T1294" i="5" s="1"/>
  <c r="U1294" i="5" s="1"/>
  <c r="V1294" i="5" s="1"/>
  <c r="P1294" i="5"/>
  <c r="AE1294" i="5" s="1"/>
  <c r="AF1294" i="5" s="1"/>
  <c r="O1294" i="5"/>
  <c r="N1294" i="5"/>
  <c r="AC1293" i="5"/>
  <c r="AD1293" i="5" s="1"/>
  <c r="AA1293" i="5"/>
  <c r="AB1293" i="5" s="1"/>
  <c r="Y1293" i="5"/>
  <c r="Z1293" i="5" s="1"/>
  <c r="W1293" i="5"/>
  <c r="X1293" i="5" s="1"/>
  <c r="Q1293" i="5"/>
  <c r="R1293" i="5" s="1"/>
  <c r="S1293" i="5" s="1"/>
  <c r="T1293" i="5" s="1"/>
  <c r="U1293" i="5" s="1"/>
  <c r="V1293" i="5" s="1"/>
  <c r="P1293" i="5"/>
  <c r="AE1293" i="5" s="1"/>
  <c r="AF1293" i="5" s="1"/>
  <c r="O1293" i="5"/>
  <c r="N1293" i="5"/>
  <c r="AC1292" i="5"/>
  <c r="AD1292" i="5" s="1"/>
  <c r="AA1292" i="5"/>
  <c r="AB1292" i="5" s="1"/>
  <c r="Y1292" i="5"/>
  <c r="Z1292" i="5" s="1"/>
  <c r="W1292" i="5"/>
  <c r="X1292" i="5" s="1"/>
  <c r="Q1292" i="5"/>
  <c r="R1292" i="5" s="1"/>
  <c r="S1292" i="5" s="1"/>
  <c r="T1292" i="5" s="1"/>
  <c r="U1292" i="5" s="1"/>
  <c r="V1292" i="5" s="1"/>
  <c r="P1292" i="5"/>
  <c r="AE1292" i="5" s="1"/>
  <c r="AF1292" i="5" s="1"/>
  <c r="O1292" i="5"/>
  <c r="N1292" i="5"/>
  <c r="AC1291" i="5"/>
  <c r="AD1291" i="5" s="1"/>
  <c r="AA1291" i="5"/>
  <c r="AB1291" i="5" s="1"/>
  <c r="Y1291" i="5"/>
  <c r="Z1291" i="5" s="1"/>
  <c r="W1291" i="5"/>
  <c r="X1291" i="5" s="1"/>
  <c r="Q1291" i="5"/>
  <c r="R1291" i="5" s="1"/>
  <c r="S1291" i="5" s="1"/>
  <c r="T1291" i="5" s="1"/>
  <c r="U1291" i="5" s="1"/>
  <c r="V1291" i="5" s="1"/>
  <c r="P1291" i="5"/>
  <c r="AE1291" i="5" s="1"/>
  <c r="AF1291" i="5" s="1"/>
  <c r="O1291" i="5"/>
  <c r="N1291" i="5"/>
  <c r="AC1290" i="5"/>
  <c r="AD1290" i="5" s="1"/>
  <c r="AA1290" i="5"/>
  <c r="AB1290" i="5" s="1"/>
  <c r="Y1290" i="5"/>
  <c r="Z1290" i="5" s="1"/>
  <c r="W1290" i="5"/>
  <c r="X1290" i="5" s="1"/>
  <c r="Q1290" i="5"/>
  <c r="R1290" i="5" s="1"/>
  <c r="S1290" i="5" s="1"/>
  <c r="T1290" i="5" s="1"/>
  <c r="U1290" i="5" s="1"/>
  <c r="V1290" i="5" s="1"/>
  <c r="P1290" i="5"/>
  <c r="AE1290" i="5" s="1"/>
  <c r="AF1290" i="5" s="1"/>
  <c r="O1290" i="5"/>
  <c r="N1290" i="5"/>
  <c r="AC1289" i="5"/>
  <c r="AD1289" i="5" s="1"/>
  <c r="AA1289" i="5"/>
  <c r="AB1289" i="5" s="1"/>
  <c r="Y1289" i="5"/>
  <c r="Z1289" i="5" s="1"/>
  <c r="W1289" i="5"/>
  <c r="X1289" i="5" s="1"/>
  <c r="Q1289" i="5"/>
  <c r="R1289" i="5" s="1"/>
  <c r="S1289" i="5" s="1"/>
  <c r="T1289" i="5" s="1"/>
  <c r="U1289" i="5" s="1"/>
  <c r="V1289" i="5" s="1"/>
  <c r="P1289" i="5"/>
  <c r="AE1289" i="5" s="1"/>
  <c r="AF1289" i="5" s="1"/>
  <c r="O1289" i="5"/>
  <c r="N1289" i="5"/>
  <c r="AC1288" i="5"/>
  <c r="AD1288" i="5" s="1"/>
  <c r="AA1288" i="5"/>
  <c r="AB1288" i="5" s="1"/>
  <c r="Y1288" i="5"/>
  <c r="Z1288" i="5" s="1"/>
  <c r="W1288" i="5"/>
  <c r="X1288" i="5" s="1"/>
  <c r="Q1288" i="5"/>
  <c r="R1288" i="5" s="1"/>
  <c r="S1288" i="5" s="1"/>
  <c r="T1288" i="5" s="1"/>
  <c r="U1288" i="5" s="1"/>
  <c r="V1288" i="5" s="1"/>
  <c r="P1288" i="5"/>
  <c r="AE1288" i="5" s="1"/>
  <c r="AF1288" i="5" s="1"/>
  <c r="O1288" i="5"/>
  <c r="N1288" i="5"/>
  <c r="AC1287" i="5"/>
  <c r="AD1287" i="5" s="1"/>
  <c r="AA1287" i="5"/>
  <c r="AB1287" i="5" s="1"/>
  <c r="Y1287" i="5"/>
  <c r="Z1287" i="5" s="1"/>
  <c r="W1287" i="5"/>
  <c r="X1287" i="5" s="1"/>
  <c r="Q1287" i="5"/>
  <c r="R1287" i="5" s="1"/>
  <c r="S1287" i="5" s="1"/>
  <c r="T1287" i="5" s="1"/>
  <c r="U1287" i="5" s="1"/>
  <c r="V1287" i="5" s="1"/>
  <c r="P1287" i="5"/>
  <c r="AE1287" i="5" s="1"/>
  <c r="AF1287" i="5" s="1"/>
  <c r="O1287" i="5"/>
  <c r="N1287" i="5"/>
  <c r="AC1286" i="5"/>
  <c r="AD1286" i="5" s="1"/>
  <c r="AA1286" i="5"/>
  <c r="AB1286" i="5" s="1"/>
  <c r="Y1286" i="5"/>
  <c r="Z1286" i="5" s="1"/>
  <c r="W1286" i="5"/>
  <c r="X1286" i="5" s="1"/>
  <c r="Q1286" i="5"/>
  <c r="R1286" i="5" s="1"/>
  <c r="S1286" i="5" s="1"/>
  <c r="T1286" i="5" s="1"/>
  <c r="U1286" i="5" s="1"/>
  <c r="V1286" i="5" s="1"/>
  <c r="P1286" i="5"/>
  <c r="AE1286" i="5" s="1"/>
  <c r="AF1286" i="5" s="1"/>
  <c r="O1286" i="5"/>
  <c r="N1286" i="5"/>
  <c r="AC1285" i="5"/>
  <c r="AD1285" i="5" s="1"/>
  <c r="AA1285" i="5"/>
  <c r="AB1285" i="5" s="1"/>
  <c r="Y1285" i="5"/>
  <c r="Z1285" i="5" s="1"/>
  <c r="W1285" i="5"/>
  <c r="X1285" i="5" s="1"/>
  <c r="Q1285" i="5"/>
  <c r="R1285" i="5" s="1"/>
  <c r="S1285" i="5" s="1"/>
  <c r="T1285" i="5" s="1"/>
  <c r="U1285" i="5" s="1"/>
  <c r="V1285" i="5" s="1"/>
  <c r="P1285" i="5"/>
  <c r="AE1285" i="5" s="1"/>
  <c r="AF1285" i="5" s="1"/>
  <c r="O1285" i="5"/>
  <c r="N1285" i="5"/>
  <c r="AC1284" i="5"/>
  <c r="AD1284" i="5" s="1"/>
  <c r="AA1284" i="5"/>
  <c r="AB1284" i="5" s="1"/>
  <c r="Y1284" i="5"/>
  <c r="Z1284" i="5" s="1"/>
  <c r="W1284" i="5"/>
  <c r="X1284" i="5" s="1"/>
  <c r="Q1284" i="5"/>
  <c r="R1284" i="5" s="1"/>
  <c r="S1284" i="5" s="1"/>
  <c r="T1284" i="5" s="1"/>
  <c r="U1284" i="5" s="1"/>
  <c r="V1284" i="5" s="1"/>
  <c r="P1284" i="5"/>
  <c r="AE1284" i="5" s="1"/>
  <c r="AF1284" i="5" s="1"/>
  <c r="O1284" i="5"/>
  <c r="N1284" i="5"/>
  <c r="AC1283" i="5"/>
  <c r="AD1283" i="5" s="1"/>
  <c r="AA1283" i="5"/>
  <c r="AB1283" i="5" s="1"/>
  <c r="Y1283" i="5"/>
  <c r="Z1283" i="5" s="1"/>
  <c r="W1283" i="5"/>
  <c r="X1283" i="5" s="1"/>
  <c r="Q1283" i="5"/>
  <c r="R1283" i="5" s="1"/>
  <c r="S1283" i="5" s="1"/>
  <c r="T1283" i="5" s="1"/>
  <c r="U1283" i="5" s="1"/>
  <c r="V1283" i="5" s="1"/>
  <c r="P1283" i="5"/>
  <c r="AE1283" i="5" s="1"/>
  <c r="AF1283" i="5" s="1"/>
  <c r="O1283" i="5"/>
  <c r="N1283" i="5"/>
  <c r="AC1282" i="5"/>
  <c r="AD1282" i="5" s="1"/>
  <c r="AA1282" i="5"/>
  <c r="AB1282" i="5" s="1"/>
  <c r="Y1282" i="5"/>
  <c r="Z1282" i="5" s="1"/>
  <c r="W1282" i="5"/>
  <c r="X1282" i="5" s="1"/>
  <c r="Q1282" i="5"/>
  <c r="R1282" i="5" s="1"/>
  <c r="S1282" i="5" s="1"/>
  <c r="T1282" i="5" s="1"/>
  <c r="U1282" i="5" s="1"/>
  <c r="V1282" i="5" s="1"/>
  <c r="P1282" i="5"/>
  <c r="AE1282" i="5" s="1"/>
  <c r="AF1282" i="5" s="1"/>
  <c r="O1282" i="5"/>
  <c r="N1282" i="5"/>
  <c r="AC1281" i="5"/>
  <c r="AD1281" i="5" s="1"/>
  <c r="AA1281" i="5"/>
  <c r="AB1281" i="5" s="1"/>
  <c r="Y1281" i="5"/>
  <c r="Z1281" i="5" s="1"/>
  <c r="W1281" i="5"/>
  <c r="X1281" i="5" s="1"/>
  <c r="Q1281" i="5"/>
  <c r="R1281" i="5" s="1"/>
  <c r="S1281" i="5" s="1"/>
  <c r="T1281" i="5" s="1"/>
  <c r="U1281" i="5" s="1"/>
  <c r="V1281" i="5" s="1"/>
  <c r="P1281" i="5"/>
  <c r="AE1281" i="5" s="1"/>
  <c r="AF1281" i="5" s="1"/>
  <c r="O1281" i="5"/>
  <c r="N1281" i="5"/>
  <c r="AC1280" i="5"/>
  <c r="AD1280" i="5" s="1"/>
  <c r="AA1280" i="5"/>
  <c r="AB1280" i="5" s="1"/>
  <c r="Y1280" i="5"/>
  <c r="Z1280" i="5" s="1"/>
  <c r="W1280" i="5"/>
  <c r="X1280" i="5" s="1"/>
  <c r="Q1280" i="5"/>
  <c r="R1280" i="5" s="1"/>
  <c r="S1280" i="5" s="1"/>
  <c r="T1280" i="5" s="1"/>
  <c r="U1280" i="5" s="1"/>
  <c r="V1280" i="5" s="1"/>
  <c r="P1280" i="5"/>
  <c r="AE1280" i="5" s="1"/>
  <c r="AF1280" i="5" s="1"/>
  <c r="O1280" i="5"/>
  <c r="N1280" i="5"/>
  <c r="AC1279" i="5"/>
  <c r="AD1279" i="5" s="1"/>
  <c r="AA1279" i="5"/>
  <c r="AB1279" i="5" s="1"/>
  <c r="Y1279" i="5"/>
  <c r="Z1279" i="5" s="1"/>
  <c r="W1279" i="5"/>
  <c r="X1279" i="5" s="1"/>
  <c r="Q1279" i="5"/>
  <c r="R1279" i="5" s="1"/>
  <c r="S1279" i="5" s="1"/>
  <c r="T1279" i="5" s="1"/>
  <c r="U1279" i="5" s="1"/>
  <c r="V1279" i="5" s="1"/>
  <c r="P1279" i="5"/>
  <c r="AE1279" i="5" s="1"/>
  <c r="AF1279" i="5" s="1"/>
  <c r="O1279" i="5"/>
  <c r="N1279" i="5"/>
  <c r="AC1278" i="5"/>
  <c r="AD1278" i="5" s="1"/>
  <c r="AA1278" i="5"/>
  <c r="AB1278" i="5" s="1"/>
  <c r="Y1278" i="5"/>
  <c r="Z1278" i="5" s="1"/>
  <c r="W1278" i="5"/>
  <c r="X1278" i="5" s="1"/>
  <c r="Q1278" i="5"/>
  <c r="R1278" i="5" s="1"/>
  <c r="S1278" i="5" s="1"/>
  <c r="T1278" i="5" s="1"/>
  <c r="U1278" i="5" s="1"/>
  <c r="V1278" i="5" s="1"/>
  <c r="P1278" i="5"/>
  <c r="AE1278" i="5" s="1"/>
  <c r="AF1278" i="5" s="1"/>
  <c r="O1278" i="5"/>
  <c r="N1278" i="5"/>
  <c r="AC1277" i="5"/>
  <c r="AD1277" i="5" s="1"/>
  <c r="AA1277" i="5"/>
  <c r="AB1277" i="5" s="1"/>
  <c r="Y1277" i="5"/>
  <c r="Z1277" i="5" s="1"/>
  <c r="W1277" i="5"/>
  <c r="X1277" i="5" s="1"/>
  <c r="Q1277" i="5"/>
  <c r="R1277" i="5" s="1"/>
  <c r="S1277" i="5" s="1"/>
  <c r="T1277" i="5" s="1"/>
  <c r="U1277" i="5" s="1"/>
  <c r="V1277" i="5" s="1"/>
  <c r="P1277" i="5"/>
  <c r="AE1277" i="5" s="1"/>
  <c r="AF1277" i="5" s="1"/>
  <c r="O1277" i="5"/>
  <c r="N1277" i="5"/>
  <c r="AC1276" i="5"/>
  <c r="AD1276" i="5" s="1"/>
  <c r="AA1276" i="5"/>
  <c r="AB1276" i="5" s="1"/>
  <c r="Y1276" i="5"/>
  <c r="Z1276" i="5" s="1"/>
  <c r="W1276" i="5"/>
  <c r="X1276" i="5" s="1"/>
  <c r="Q1276" i="5"/>
  <c r="R1276" i="5" s="1"/>
  <c r="S1276" i="5" s="1"/>
  <c r="T1276" i="5" s="1"/>
  <c r="U1276" i="5" s="1"/>
  <c r="V1276" i="5" s="1"/>
  <c r="P1276" i="5"/>
  <c r="AE1276" i="5" s="1"/>
  <c r="AF1276" i="5" s="1"/>
  <c r="O1276" i="5"/>
  <c r="N1276" i="5"/>
  <c r="AC1275" i="5"/>
  <c r="AD1275" i="5" s="1"/>
  <c r="AA1275" i="5"/>
  <c r="AB1275" i="5" s="1"/>
  <c r="Y1275" i="5"/>
  <c r="Z1275" i="5" s="1"/>
  <c r="W1275" i="5"/>
  <c r="X1275" i="5" s="1"/>
  <c r="Q1275" i="5"/>
  <c r="R1275" i="5" s="1"/>
  <c r="S1275" i="5" s="1"/>
  <c r="T1275" i="5" s="1"/>
  <c r="U1275" i="5" s="1"/>
  <c r="V1275" i="5" s="1"/>
  <c r="P1275" i="5"/>
  <c r="AE1275" i="5" s="1"/>
  <c r="AF1275" i="5" s="1"/>
  <c r="O1275" i="5"/>
  <c r="N1275" i="5"/>
  <c r="AC1274" i="5"/>
  <c r="AD1274" i="5" s="1"/>
  <c r="AA1274" i="5"/>
  <c r="AB1274" i="5" s="1"/>
  <c r="Y1274" i="5"/>
  <c r="Z1274" i="5" s="1"/>
  <c r="W1274" i="5"/>
  <c r="X1274" i="5" s="1"/>
  <c r="Q1274" i="5"/>
  <c r="R1274" i="5" s="1"/>
  <c r="S1274" i="5" s="1"/>
  <c r="T1274" i="5" s="1"/>
  <c r="U1274" i="5" s="1"/>
  <c r="V1274" i="5" s="1"/>
  <c r="P1274" i="5"/>
  <c r="AE1274" i="5" s="1"/>
  <c r="AF1274" i="5" s="1"/>
  <c r="O1274" i="5"/>
  <c r="N1274" i="5"/>
  <c r="AC1273" i="5"/>
  <c r="AD1273" i="5" s="1"/>
  <c r="AA1273" i="5"/>
  <c r="AB1273" i="5" s="1"/>
  <c r="Y1273" i="5"/>
  <c r="Z1273" i="5" s="1"/>
  <c r="W1273" i="5"/>
  <c r="X1273" i="5" s="1"/>
  <c r="Q1273" i="5"/>
  <c r="R1273" i="5" s="1"/>
  <c r="S1273" i="5" s="1"/>
  <c r="T1273" i="5" s="1"/>
  <c r="U1273" i="5" s="1"/>
  <c r="V1273" i="5" s="1"/>
  <c r="P1273" i="5"/>
  <c r="AE1273" i="5" s="1"/>
  <c r="AF1273" i="5" s="1"/>
  <c r="O1273" i="5"/>
  <c r="N1273" i="5"/>
  <c r="AC1272" i="5"/>
  <c r="AD1272" i="5" s="1"/>
  <c r="AA1272" i="5"/>
  <c r="AB1272" i="5" s="1"/>
  <c r="Y1272" i="5"/>
  <c r="Z1272" i="5" s="1"/>
  <c r="W1272" i="5"/>
  <c r="X1272" i="5" s="1"/>
  <c r="Q1272" i="5"/>
  <c r="R1272" i="5" s="1"/>
  <c r="S1272" i="5" s="1"/>
  <c r="T1272" i="5" s="1"/>
  <c r="U1272" i="5" s="1"/>
  <c r="V1272" i="5" s="1"/>
  <c r="P1272" i="5"/>
  <c r="AE1272" i="5" s="1"/>
  <c r="AF1272" i="5" s="1"/>
  <c r="O1272" i="5"/>
  <c r="N1272" i="5"/>
  <c r="AC1271" i="5"/>
  <c r="AD1271" i="5" s="1"/>
  <c r="AA1271" i="5"/>
  <c r="AB1271" i="5" s="1"/>
  <c r="Y1271" i="5"/>
  <c r="Z1271" i="5" s="1"/>
  <c r="W1271" i="5"/>
  <c r="X1271" i="5" s="1"/>
  <c r="Q1271" i="5"/>
  <c r="R1271" i="5" s="1"/>
  <c r="S1271" i="5" s="1"/>
  <c r="T1271" i="5" s="1"/>
  <c r="U1271" i="5" s="1"/>
  <c r="V1271" i="5" s="1"/>
  <c r="P1271" i="5"/>
  <c r="AE1271" i="5" s="1"/>
  <c r="AF1271" i="5" s="1"/>
  <c r="O1271" i="5"/>
  <c r="N1271" i="5"/>
  <c r="AC1270" i="5"/>
  <c r="AD1270" i="5" s="1"/>
  <c r="AA1270" i="5"/>
  <c r="AB1270" i="5" s="1"/>
  <c r="Y1270" i="5"/>
  <c r="Z1270" i="5" s="1"/>
  <c r="W1270" i="5"/>
  <c r="X1270" i="5" s="1"/>
  <c r="Q1270" i="5"/>
  <c r="R1270" i="5" s="1"/>
  <c r="S1270" i="5" s="1"/>
  <c r="T1270" i="5" s="1"/>
  <c r="U1270" i="5" s="1"/>
  <c r="V1270" i="5" s="1"/>
  <c r="P1270" i="5"/>
  <c r="AE1270" i="5" s="1"/>
  <c r="AF1270" i="5" s="1"/>
  <c r="O1270" i="5"/>
  <c r="N1270" i="5"/>
  <c r="AC1269" i="5"/>
  <c r="AD1269" i="5" s="1"/>
  <c r="AA1269" i="5"/>
  <c r="AB1269" i="5" s="1"/>
  <c r="Y1269" i="5"/>
  <c r="Z1269" i="5" s="1"/>
  <c r="W1269" i="5"/>
  <c r="X1269" i="5" s="1"/>
  <c r="Q1269" i="5"/>
  <c r="R1269" i="5" s="1"/>
  <c r="S1269" i="5" s="1"/>
  <c r="T1269" i="5" s="1"/>
  <c r="U1269" i="5" s="1"/>
  <c r="V1269" i="5" s="1"/>
  <c r="P1269" i="5"/>
  <c r="AE1269" i="5" s="1"/>
  <c r="AF1269" i="5" s="1"/>
  <c r="O1269" i="5"/>
  <c r="N1269" i="5"/>
  <c r="AC1268" i="5"/>
  <c r="AD1268" i="5" s="1"/>
  <c r="AA1268" i="5"/>
  <c r="AB1268" i="5" s="1"/>
  <c r="Y1268" i="5"/>
  <c r="Z1268" i="5" s="1"/>
  <c r="W1268" i="5"/>
  <c r="X1268" i="5" s="1"/>
  <c r="Q1268" i="5"/>
  <c r="R1268" i="5" s="1"/>
  <c r="S1268" i="5" s="1"/>
  <c r="T1268" i="5" s="1"/>
  <c r="U1268" i="5" s="1"/>
  <c r="V1268" i="5" s="1"/>
  <c r="P1268" i="5"/>
  <c r="AE1268" i="5" s="1"/>
  <c r="AF1268" i="5" s="1"/>
  <c r="O1268" i="5"/>
  <c r="N1268" i="5"/>
  <c r="AC1267" i="5"/>
  <c r="AD1267" i="5" s="1"/>
  <c r="AA1267" i="5"/>
  <c r="AB1267" i="5" s="1"/>
  <c r="Y1267" i="5"/>
  <c r="Z1267" i="5" s="1"/>
  <c r="W1267" i="5"/>
  <c r="X1267" i="5" s="1"/>
  <c r="Q1267" i="5"/>
  <c r="R1267" i="5" s="1"/>
  <c r="S1267" i="5" s="1"/>
  <c r="T1267" i="5" s="1"/>
  <c r="U1267" i="5" s="1"/>
  <c r="V1267" i="5" s="1"/>
  <c r="P1267" i="5"/>
  <c r="AE1267" i="5" s="1"/>
  <c r="AF1267" i="5" s="1"/>
  <c r="O1267" i="5"/>
  <c r="N1267" i="5"/>
  <c r="AC1266" i="5"/>
  <c r="AD1266" i="5" s="1"/>
  <c r="AA1266" i="5"/>
  <c r="AB1266" i="5" s="1"/>
  <c r="Y1266" i="5"/>
  <c r="Z1266" i="5" s="1"/>
  <c r="W1266" i="5"/>
  <c r="X1266" i="5" s="1"/>
  <c r="Q1266" i="5"/>
  <c r="R1266" i="5" s="1"/>
  <c r="S1266" i="5" s="1"/>
  <c r="T1266" i="5" s="1"/>
  <c r="U1266" i="5" s="1"/>
  <c r="V1266" i="5" s="1"/>
  <c r="P1266" i="5"/>
  <c r="AE1266" i="5" s="1"/>
  <c r="AF1266" i="5" s="1"/>
  <c r="O1266" i="5"/>
  <c r="N1266" i="5"/>
  <c r="AC1265" i="5"/>
  <c r="AD1265" i="5" s="1"/>
  <c r="AA1265" i="5"/>
  <c r="AB1265" i="5" s="1"/>
  <c r="Y1265" i="5"/>
  <c r="Z1265" i="5" s="1"/>
  <c r="W1265" i="5"/>
  <c r="X1265" i="5" s="1"/>
  <c r="Q1265" i="5"/>
  <c r="R1265" i="5" s="1"/>
  <c r="S1265" i="5" s="1"/>
  <c r="T1265" i="5" s="1"/>
  <c r="U1265" i="5" s="1"/>
  <c r="V1265" i="5" s="1"/>
  <c r="P1265" i="5"/>
  <c r="AE1265" i="5" s="1"/>
  <c r="AF1265" i="5" s="1"/>
  <c r="O1265" i="5"/>
  <c r="N1265" i="5"/>
  <c r="AC1264" i="5"/>
  <c r="AD1264" i="5" s="1"/>
  <c r="AA1264" i="5"/>
  <c r="AB1264" i="5" s="1"/>
  <c r="Y1264" i="5"/>
  <c r="Z1264" i="5" s="1"/>
  <c r="W1264" i="5"/>
  <c r="X1264" i="5" s="1"/>
  <c r="Q1264" i="5"/>
  <c r="R1264" i="5" s="1"/>
  <c r="S1264" i="5" s="1"/>
  <c r="T1264" i="5" s="1"/>
  <c r="U1264" i="5" s="1"/>
  <c r="V1264" i="5" s="1"/>
  <c r="P1264" i="5"/>
  <c r="AE1264" i="5" s="1"/>
  <c r="AF1264" i="5" s="1"/>
  <c r="O1264" i="5"/>
  <c r="N1264" i="5"/>
  <c r="AC1263" i="5"/>
  <c r="AD1263" i="5" s="1"/>
  <c r="AA1263" i="5"/>
  <c r="AB1263" i="5" s="1"/>
  <c r="Y1263" i="5"/>
  <c r="Z1263" i="5" s="1"/>
  <c r="W1263" i="5"/>
  <c r="X1263" i="5" s="1"/>
  <c r="Q1263" i="5"/>
  <c r="R1263" i="5" s="1"/>
  <c r="S1263" i="5" s="1"/>
  <c r="T1263" i="5" s="1"/>
  <c r="U1263" i="5" s="1"/>
  <c r="V1263" i="5" s="1"/>
  <c r="P1263" i="5"/>
  <c r="AE1263" i="5" s="1"/>
  <c r="AF1263" i="5" s="1"/>
  <c r="O1263" i="5"/>
  <c r="N1263" i="5"/>
  <c r="AC1262" i="5"/>
  <c r="AD1262" i="5" s="1"/>
  <c r="AA1262" i="5"/>
  <c r="AB1262" i="5" s="1"/>
  <c r="Y1262" i="5"/>
  <c r="Z1262" i="5" s="1"/>
  <c r="W1262" i="5"/>
  <c r="X1262" i="5" s="1"/>
  <c r="Q1262" i="5"/>
  <c r="R1262" i="5" s="1"/>
  <c r="S1262" i="5" s="1"/>
  <c r="T1262" i="5" s="1"/>
  <c r="U1262" i="5" s="1"/>
  <c r="V1262" i="5" s="1"/>
  <c r="P1262" i="5"/>
  <c r="AE1262" i="5" s="1"/>
  <c r="AF1262" i="5" s="1"/>
  <c r="O1262" i="5"/>
  <c r="N1262" i="5"/>
  <c r="AC1261" i="5"/>
  <c r="AD1261" i="5" s="1"/>
  <c r="AA1261" i="5"/>
  <c r="AB1261" i="5" s="1"/>
  <c r="Y1261" i="5"/>
  <c r="Z1261" i="5" s="1"/>
  <c r="W1261" i="5"/>
  <c r="X1261" i="5" s="1"/>
  <c r="Q1261" i="5"/>
  <c r="R1261" i="5" s="1"/>
  <c r="S1261" i="5" s="1"/>
  <c r="T1261" i="5" s="1"/>
  <c r="U1261" i="5" s="1"/>
  <c r="V1261" i="5" s="1"/>
  <c r="P1261" i="5"/>
  <c r="AE1261" i="5" s="1"/>
  <c r="AF1261" i="5" s="1"/>
  <c r="O1261" i="5"/>
  <c r="N1261" i="5"/>
  <c r="AC1260" i="5"/>
  <c r="AD1260" i="5" s="1"/>
  <c r="AA1260" i="5"/>
  <c r="AB1260" i="5" s="1"/>
  <c r="Y1260" i="5"/>
  <c r="Z1260" i="5" s="1"/>
  <c r="W1260" i="5"/>
  <c r="X1260" i="5" s="1"/>
  <c r="Q1260" i="5"/>
  <c r="R1260" i="5" s="1"/>
  <c r="S1260" i="5" s="1"/>
  <c r="T1260" i="5" s="1"/>
  <c r="U1260" i="5" s="1"/>
  <c r="V1260" i="5" s="1"/>
  <c r="P1260" i="5"/>
  <c r="AE1260" i="5" s="1"/>
  <c r="AF1260" i="5" s="1"/>
  <c r="O1260" i="5"/>
  <c r="N1260" i="5"/>
  <c r="AC1259" i="5"/>
  <c r="AD1259" i="5" s="1"/>
  <c r="AA1259" i="5"/>
  <c r="AB1259" i="5" s="1"/>
  <c r="Y1259" i="5"/>
  <c r="Z1259" i="5" s="1"/>
  <c r="W1259" i="5"/>
  <c r="X1259" i="5" s="1"/>
  <c r="Q1259" i="5"/>
  <c r="R1259" i="5" s="1"/>
  <c r="S1259" i="5" s="1"/>
  <c r="T1259" i="5" s="1"/>
  <c r="U1259" i="5" s="1"/>
  <c r="V1259" i="5" s="1"/>
  <c r="P1259" i="5"/>
  <c r="AE1259" i="5" s="1"/>
  <c r="AF1259" i="5" s="1"/>
  <c r="O1259" i="5"/>
  <c r="N1259" i="5"/>
  <c r="AC1258" i="5"/>
  <c r="AD1258" i="5" s="1"/>
  <c r="AA1258" i="5"/>
  <c r="AB1258" i="5" s="1"/>
  <c r="Y1258" i="5"/>
  <c r="Z1258" i="5" s="1"/>
  <c r="W1258" i="5"/>
  <c r="X1258" i="5" s="1"/>
  <c r="Q1258" i="5"/>
  <c r="R1258" i="5" s="1"/>
  <c r="S1258" i="5" s="1"/>
  <c r="T1258" i="5" s="1"/>
  <c r="U1258" i="5" s="1"/>
  <c r="V1258" i="5" s="1"/>
  <c r="P1258" i="5"/>
  <c r="AE1258" i="5" s="1"/>
  <c r="AF1258" i="5" s="1"/>
  <c r="O1258" i="5"/>
  <c r="N1258" i="5"/>
  <c r="AC1257" i="5"/>
  <c r="AD1257" i="5" s="1"/>
  <c r="AA1257" i="5"/>
  <c r="AB1257" i="5" s="1"/>
  <c r="Y1257" i="5"/>
  <c r="Z1257" i="5" s="1"/>
  <c r="W1257" i="5"/>
  <c r="X1257" i="5" s="1"/>
  <c r="Q1257" i="5"/>
  <c r="R1257" i="5" s="1"/>
  <c r="S1257" i="5" s="1"/>
  <c r="T1257" i="5" s="1"/>
  <c r="U1257" i="5" s="1"/>
  <c r="V1257" i="5" s="1"/>
  <c r="P1257" i="5"/>
  <c r="AE1257" i="5" s="1"/>
  <c r="AF1257" i="5" s="1"/>
  <c r="O1257" i="5"/>
  <c r="N1257" i="5"/>
  <c r="AC1256" i="5"/>
  <c r="AD1256" i="5" s="1"/>
  <c r="AA1256" i="5"/>
  <c r="AB1256" i="5" s="1"/>
  <c r="Y1256" i="5"/>
  <c r="Z1256" i="5" s="1"/>
  <c r="W1256" i="5"/>
  <c r="X1256" i="5" s="1"/>
  <c r="Q1256" i="5"/>
  <c r="R1256" i="5" s="1"/>
  <c r="S1256" i="5" s="1"/>
  <c r="T1256" i="5" s="1"/>
  <c r="U1256" i="5" s="1"/>
  <c r="V1256" i="5" s="1"/>
  <c r="P1256" i="5"/>
  <c r="AE1256" i="5" s="1"/>
  <c r="AF1256" i="5" s="1"/>
  <c r="O1256" i="5"/>
  <c r="N1256" i="5"/>
  <c r="AC1255" i="5"/>
  <c r="AD1255" i="5" s="1"/>
  <c r="AA1255" i="5"/>
  <c r="AB1255" i="5" s="1"/>
  <c r="Y1255" i="5"/>
  <c r="Z1255" i="5" s="1"/>
  <c r="W1255" i="5"/>
  <c r="X1255" i="5" s="1"/>
  <c r="Q1255" i="5"/>
  <c r="R1255" i="5" s="1"/>
  <c r="S1255" i="5" s="1"/>
  <c r="T1255" i="5" s="1"/>
  <c r="U1255" i="5" s="1"/>
  <c r="V1255" i="5" s="1"/>
  <c r="P1255" i="5"/>
  <c r="AE1255" i="5" s="1"/>
  <c r="AF1255" i="5" s="1"/>
  <c r="O1255" i="5"/>
  <c r="N1255" i="5"/>
  <c r="AC1254" i="5"/>
  <c r="AD1254" i="5" s="1"/>
  <c r="AA1254" i="5"/>
  <c r="AB1254" i="5" s="1"/>
  <c r="Y1254" i="5"/>
  <c r="Z1254" i="5" s="1"/>
  <c r="W1254" i="5"/>
  <c r="X1254" i="5" s="1"/>
  <c r="Q1254" i="5"/>
  <c r="R1254" i="5" s="1"/>
  <c r="S1254" i="5" s="1"/>
  <c r="T1254" i="5" s="1"/>
  <c r="U1254" i="5" s="1"/>
  <c r="V1254" i="5" s="1"/>
  <c r="P1254" i="5"/>
  <c r="AE1254" i="5" s="1"/>
  <c r="AF1254" i="5" s="1"/>
  <c r="O1254" i="5"/>
  <c r="N1254" i="5"/>
  <c r="AC1253" i="5"/>
  <c r="AD1253" i="5" s="1"/>
  <c r="AA1253" i="5"/>
  <c r="AB1253" i="5" s="1"/>
  <c r="Y1253" i="5"/>
  <c r="Z1253" i="5" s="1"/>
  <c r="W1253" i="5"/>
  <c r="X1253" i="5" s="1"/>
  <c r="Q1253" i="5"/>
  <c r="R1253" i="5" s="1"/>
  <c r="S1253" i="5" s="1"/>
  <c r="T1253" i="5" s="1"/>
  <c r="U1253" i="5" s="1"/>
  <c r="V1253" i="5" s="1"/>
  <c r="P1253" i="5"/>
  <c r="AE1253" i="5" s="1"/>
  <c r="AF1253" i="5" s="1"/>
  <c r="O1253" i="5"/>
  <c r="N1253" i="5"/>
  <c r="AC1252" i="5"/>
  <c r="AD1252" i="5" s="1"/>
  <c r="AA1252" i="5"/>
  <c r="AB1252" i="5" s="1"/>
  <c r="Y1252" i="5"/>
  <c r="Z1252" i="5" s="1"/>
  <c r="W1252" i="5"/>
  <c r="X1252" i="5" s="1"/>
  <c r="Q1252" i="5"/>
  <c r="R1252" i="5" s="1"/>
  <c r="S1252" i="5" s="1"/>
  <c r="T1252" i="5" s="1"/>
  <c r="U1252" i="5" s="1"/>
  <c r="V1252" i="5" s="1"/>
  <c r="P1252" i="5"/>
  <c r="AE1252" i="5" s="1"/>
  <c r="AF1252" i="5" s="1"/>
  <c r="O1252" i="5"/>
  <c r="N1252" i="5"/>
  <c r="AC1251" i="5"/>
  <c r="AD1251" i="5" s="1"/>
  <c r="AA1251" i="5"/>
  <c r="AB1251" i="5" s="1"/>
  <c r="Y1251" i="5"/>
  <c r="Z1251" i="5" s="1"/>
  <c r="W1251" i="5"/>
  <c r="X1251" i="5" s="1"/>
  <c r="Q1251" i="5"/>
  <c r="R1251" i="5" s="1"/>
  <c r="S1251" i="5" s="1"/>
  <c r="T1251" i="5" s="1"/>
  <c r="U1251" i="5" s="1"/>
  <c r="V1251" i="5" s="1"/>
  <c r="P1251" i="5"/>
  <c r="AE1251" i="5" s="1"/>
  <c r="AF1251" i="5" s="1"/>
  <c r="O1251" i="5"/>
  <c r="N1251" i="5"/>
  <c r="AC1250" i="5"/>
  <c r="AD1250" i="5" s="1"/>
  <c r="AA1250" i="5"/>
  <c r="AB1250" i="5" s="1"/>
  <c r="Y1250" i="5"/>
  <c r="Z1250" i="5" s="1"/>
  <c r="W1250" i="5"/>
  <c r="X1250" i="5" s="1"/>
  <c r="Q1250" i="5"/>
  <c r="R1250" i="5" s="1"/>
  <c r="S1250" i="5" s="1"/>
  <c r="T1250" i="5" s="1"/>
  <c r="U1250" i="5" s="1"/>
  <c r="V1250" i="5" s="1"/>
  <c r="P1250" i="5"/>
  <c r="AE1250" i="5" s="1"/>
  <c r="AF1250" i="5" s="1"/>
  <c r="O1250" i="5"/>
  <c r="N1250" i="5"/>
  <c r="AC1249" i="5"/>
  <c r="AD1249" i="5" s="1"/>
  <c r="AA1249" i="5"/>
  <c r="AB1249" i="5" s="1"/>
  <c r="Y1249" i="5"/>
  <c r="Z1249" i="5" s="1"/>
  <c r="W1249" i="5"/>
  <c r="X1249" i="5" s="1"/>
  <c r="Q1249" i="5"/>
  <c r="R1249" i="5" s="1"/>
  <c r="S1249" i="5" s="1"/>
  <c r="T1249" i="5" s="1"/>
  <c r="U1249" i="5" s="1"/>
  <c r="V1249" i="5" s="1"/>
  <c r="P1249" i="5"/>
  <c r="AE1249" i="5" s="1"/>
  <c r="AF1249" i="5" s="1"/>
  <c r="O1249" i="5"/>
  <c r="N1249" i="5"/>
  <c r="AC1248" i="5"/>
  <c r="AD1248" i="5" s="1"/>
  <c r="AA1248" i="5"/>
  <c r="AB1248" i="5" s="1"/>
  <c r="Y1248" i="5"/>
  <c r="Z1248" i="5" s="1"/>
  <c r="W1248" i="5"/>
  <c r="X1248" i="5" s="1"/>
  <c r="Q1248" i="5"/>
  <c r="R1248" i="5" s="1"/>
  <c r="S1248" i="5" s="1"/>
  <c r="T1248" i="5" s="1"/>
  <c r="U1248" i="5" s="1"/>
  <c r="V1248" i="5" s="1"/>
  <c r="P1248" i="5"/>
  <c r="AE1248" i="5" s="1"/>
  <c r="AF1248" i="5" s="1"/>
  <c r="O1248" i="5"/>
  <c r="N1248" i="5"/>
  <c r="AC1247" i="5"/>
  <c r="AD1247" i="5" s="1"/>
  <c r="AA1247" i="5"/>
  <c r="AB1247" i="5" s="1"/>
  <c r="Y1247" i="5"/>
  <c r="Z1247" i="5" s="1"/>
  <c r="W1247" i="5"/>
  <c r="X1247" i="5" s="1"/>
  <c r="Q1247" i="5"/>
  <c r="R1247" i="5" s="1"/>
  <c r="S1247" i="5" s="1"/>
  <c r="T1247" i="5" s="1"/>
  <c r="U1247" i="5" s="1"/>
  <c r="V1247" i="5" s="1"/>
  <c r="P1247" i="5"/>
  <c r="AE1247" i="5" s="1"/>
  <c r="AF1247" i="5" s="1"/>
  <c r="O1247" i="5"/>
  <c r="N1247" i="5"/>
  <c r="AC1246" i="5"/>
  <c r="AD1246" i="5" s="1"/>
  <c r="AA1246" i="5"/>
  <c r="AB1246" i="5" s="1"/>
  <c r="Y1246" i="5"/>
  <c r="Z1246" i="5" s="1"/>
  <c r="W1246" i="5"/>
  <c r="X1246" i="5" s="1"/>
  <c r="Q1246" i="5"/>
  <c r="R1246" i="5" s="1"/>
  <c r="S1246" i="5" s="1"/>
  <c r="T1246" i="5" s="1"/>
  <c r="U1246" i="5" s="1"/>
  <c r="V1246" i="5" s="1"/>
  <c r="P1246" i="5"/>
  <c r="AE1246" i="5" s="1"/>
  <c r="AF1246" i="5" s="1"/>
  <c r="O1246" i="5"/>
  <c r="N1246" i="5"/>
  <c r="AC1245" i="5"/>
  <c r="AD1245" i="5" s="1"/>
  <c r="AA1245" i="5"/>
  <c r="AB1245" i="5" s="1"/>
  <c r="Y1245" i="5"/>
  <c r="Z1245" i="5" s="1"/>
  <c r="W1245" i="5"/>
  <c r="X1245" i="5" s="1"/>
  <c r="Q1245" i="5"/>
  <c r="R1245" i="5" s="1"/>
  <c r="S1245" i="5" s="1"/>
  <c r="T1245" i="5" s="1"/>
  <c r="U1245" i="5" s="1"/>
  <c r="V1245" i="5" s="1"/>
  <c r="P1245" i="5"/>
  <c r="AE1245" i="5" s="1"/>
  <c r="AF1245" i="5" s="1"/>
  <c r="O1245" i="5"/>
  <c r="N1245" i="5"/>
  <c r="AC1244" i="5"/>
  <c r="AD1244" i="5" s="1"/>
  <c r="AA1244" i="5"/>
  <c r="AB1244" i="5" s="1"/>
  <c r="Y1244" i="5"/>
  <c r="Z1244" i="5" s="1"/>
  <c r="W1244" i="5"/>
  <c r="X1244" i="5" s="1"/>
  <c r="Q1244" i="5"/>
  <c r="R1244" i="5" s="1"/>
  <c r="S1244" i="5" s="1"/>
  <c r="T1244" i="5" s="1"/>
  <c r="U1244" i="5" s="1"/>
  <c r="V1244" i="5" s="1"/>
  <c r="P1244" i="5"/>
  <c r="AE1244" i="5" s="1"/>
  <c r="AF1244" i="5" s="1"/>
  <c r="O1244" i="5"/>
  <c r="N1244" i="5"/>
  <c r="AC1243" i="5"/>
  <c r="AD1243" i="5" s="1"/>
  <c r="AA1243" i="5"/>
  <c r="AB1243" i="5" s="1"/>
  <c r="Y1243" i="5"/>
  <c r="Z1243" i="5" s="1"/>
  <c r="W1243" i="5"/>
  <c r="X1243" i="5" s="1"/>
  <c r="Q1243" i="5"/>
  <c r="R1243" i="5" s="1"/>
  <c r="S1243" i="5" s="1"/>
  <c r="T1243" i="5" s="1"/>
  <c r="U1243" i="5" s="1"/>
  <c r="V1243" i="5" s="1"/>
  <c r="P1243" i="5"/>
  <c r="AE1243" i="5" s="1"/>
  <c r="AF1243" i="5" s="1"/>
  <c r="O1243" i="5"/>
  <c r="N1243" i="5"/>
  <c r="AC1242" i="5"/>
  <c r="AD1242" i="5" s="1"/>
  <c r="AA1242" i="5"/>
  <c r="AB1242" i="5" s="1"/>
  <c r="Y1242" i="5"/>
  <c r="Z1242" i="5" s="1"/>
  <c r="W1242" i="5"/>
  <c r="X1242" i="5" s="1"/>
  <c r="Q1242" i="5"/>
  <c r="R1242" i="5" s="1"/>
  <c r="S1242" i="5" s="1"/>
  <c r="T1242" i="5" s="1"/>
  <c r="U1242" i="5" s="1"/>
  <c r="V1242" i="5" s="1"/>
  <c r="P1242" i="5"/>
  <c r="AE1242" i="5" s="1"/>
  <c r="AF1242" i="5" s="1"/>
  <c r="O1242" i="5"/>
  <c r="N1242" i="5"/>
  <c r="AC1241" i="5"/>
  <c r="AD1241" i="5" s="1"/>
  <c r="AA1241" i="5"/>
  <c r="AB1241" i="5" s="1"/>
  <c r="Y1241" i="5"/>
  <c r="Z1241" i="5" s="1"/>
  <c r="W1241" i="5"/>
  <c r="X1241" i="5" s="1"/>
  <c r="Q1241" i="5"/>
  <c r="R1241" i="5" s="1"/>
  <c r="S1241" i="5" s="1"/>
  <c r="T1241" i="5" s="1"/>
  <c r="U1241" i="5" s="1"/>
  <c r="V1241" i="5" s="1"/>
  <c r="P1241" i="5"/>
  <c r="AE1241" i="5" s="1"/>
  <c r="AF1241" i="5" s="1"/>
  <c r="O1241" i="5"/>
  <c r="N1241" i="5"/>
  <c r="AC1240" i="5"/>
  <c r="AD1240" i="5" s="1"/>
  <c r="AA1240" i="5"/>
  <c r="AB1240" i="5" s="1"/>
  <c r="Y1240" i="5"/>
  <c r="Z1240" i="5" s="1"/>
  <c r="W1240" i="5"/>
  <c r="X1240" i="5" s="1"/>
  <c r="Q1240" i="5"/>
  <c r="R1240" i="5" s="1"/>
  <c r="S1240" i="5" s="1"/>
  <c r="T1240" i="5" s="1"/>
  <c r="U1240" i="5" s="1"/>
  <c r="V1240" i="5" s="1"/>
  <c r="P1240" i="5"/>
  <c r="AE1240" i="5" s="1"/>
  <c r="AF1240" i="5" s="1"/>
  <c r="O1240" i="5"/>
  <c r="N1240" i="5"/>
  <c r="AC1239" i="5"/>
  <c r="AD1239" i="5" s="1"/>
  <c r="AA1239" i="5"/>
  <c r="AB1239" i="5" s="1"/>
  <c r="Y1239" i="5"/>
  <c r="Z1239" i="5" s="1"/>
  <c r="W1239" i="5"/>
  <c r="X1239" i="5" s="1"/>
  <c r="Q1239" i="5"/>
  <c r="R1239" i="5" s="1"/>
  <c r="S1239" i="5" s="1"/>
  <c r="T1239" i="5" s="1"/>
  <c r="U1239" i="5" s="1"/>
  <c r="V1239" i="5" s="1"/>
  <c r="P1239" i="5"/>
  <c r="AE1239" i="5" s="1"/>
  <c r="AF1239" i="5" s="1"/>
  <c r="O1239" i="5"/>
  <c r="N1239" i="5"/>
  <c r="AC1238" i="5"/>
  <c r="AD1238" i="5" s="1"/>
  <c r="AA1238" i="5"/>
  <c r="AB1238" i="5" s="1"/>
  <c r="Y1238" i="5"/>
  <c r="Z1238" i="5" s="1"/>
  <c r="W1238" i="5"/>
  <c r="X1238" i="5" s="1"/>
  <c r="Q1238" i="5"/>
  <c r="R1238" i="5" s="1"/>
  <c r="S1238" i="5" s="1"/>
  <c r="T1238" i="5" s="1"/>
  <c r="U1238" i="5" s="1"/>
  <c r="V1238" i="5" s="1"/>
  <c r="P1238" i="5"/>
  <c r="AE1238" i="5" s="1"/>
  <c r="AF1238" i="5" s="1"/>
  <c r="O1238" i="5"/>
  <c r="N1238" i="5"/>
  <c r="AC1237" i="5"/>
  <c r="AD1237" i="5" s="1"/>
  <c r="AA1237" i="5"/>
  <c r="AB1237" i="5" s="1"/>
  <c r="Y1237" i="5"/>
  <c r="Z1237" i="5" s="1"/>
  <c r="W1237" i="5"/>
  <c r="X1237" i="5" s="1"/>
  <c r="Q1237" i="5"/>
  <c r="R1237" i="5" s="1"/>
  <c r="S1237" i="5" s="1"/>
  <c r="T1237" i="5" s="1"/>
  <c r="U1237" i="5" s="1"/>
  <c r="V1237" i="5" s="1"/>
  <c r="P1237" i="5"/>
  <c r="AE1237" i="5" s="1"/>
  <c r="AF1237" i="5" s="1"/>
  <c r="O1237" i="5"/>
  <c r="N1237" i="5"/>
  <c r="AC1236" i="5"/>
  <c r="AD1236" i="5" s="1"/>
  <c r="AA1236" i="5"/>
  <c r="AB1236" i="5" s="1"/>
  <c r="Y1236" i="5"/>
  <c r="Z1236" i="5" s="1"/>
  <c r="W1236" i="5"/>
  <c r="X1236" i="5" s="1"/>
  <c r="Q1236" i="5"/>
  <c r="R1236" i="5" s="1"/>
  <c r="S1236" i="5" s="1"/>
  <c r="T1236" i="5" s="1"/>
  <c r="U1236" i="5" s="1"/>
  <c r="V1236" i="5" s="1"/>
  <c r="P1236" i="5"/>
  <c r="AE1236" i="5" s="1"/>
  <c r="AF1236" i="5" s="1"/>
  <c r="O1236" i="5"/>
  <c r="N1236" i="5"/>
  <c r="AC1235" i="5"/>
  <c r="AD1235" i="5" s="1"/>
  <c r="AA1235" i="5"/>
  <c r="AB1235" i="5" s="1"/>
  <c r="Y1235" i="5"/>
  <c r="Z1235" i="5" s="1"/>
  <c r="W1235" i="5"/>
  <c r="X1235" i="5" s="1"/>
  <c r="Q1235" i="5"/>
  <c r="R1235" i="5" s="1"/>
  <c r="S1235" i="5" s="1"/>
  <c r="T1235" i="5" s="1"/>
  <c r="U1235" i="5" s="1"/>
  <c r="V1235" i="5" s="1"/>
  <c r="P1235" i="5"/>
  <c r="AE1235" i="5" s="1"/>
  <c r="AF1235" i="5" s="1"/>
  <c r="O1235" i="5"/>
  <c r="N1235" i="5"/>
  <c r="AC1234" i="5"/>
  <c r="AD1234" i="5" s="1"/>
  <c r="AA1234" i="5"/>
  <c r="AB1234" i="5" s="1"/>
  <c r="Y1234" i="5"/>
  <c r="Z1234" i="5" s="1"/>
  <c r="W1234" i="5"/>
  <c r="X1234" i="5" s="1"/>
  <c r="Q1234" i="5"/>
  <c r="R1234" i="5" s="1"/>
  <c r="S1234" i="5" s="1"/>
  <c r="T1234" i="5" s="1"/>
  <c r="U1234" i="5" s="1"/>
  <c r="V1234" i="5" s="1"/>
  <c r="P1234" i="5"/>
  <c r="AE1234" i="5" s="1"/>
  <c r="AF1234" i="5" s="1"/>
  <c r="O1234" i="5"/>
  <c r="N1234" i="5"/>
  <c r="AC1233" i="5"/>
  <c r="AD1233" i="5" s="1"/>
  <c r="AA1233" i="5"/>
  <c r="AB1233" i="5" s="1"/>
  <c r="Y1233" i="5"/>
  <c r="Z1233" i="5" s="1"/>
  <c r="W1233" i="5"/>
  <c r="X1233" i="5" s="1"/>
  <c r="Q1233" i="5"/>
  <c r="R1233" i="5" s="1"/>
  <c r="S1233" i="5" s="1"/>
  <c r="T1233" i="5" s="1"/>
  <c r="U1233" i="5" s="1"/>
  <c r="V1233" i="5" s="1"/>
  <c r="P1233" i="5"/>
  <c r="AE1233" i="5" s="1"/>
  <c r="AF1233" i="5" s="1"/>
  <c r="O1233" i="5"/>
  <c r="N1233" i="5"/>
  <c r="AC1232" i="5"/>
  <c r="AD1232" i="5" s="1"/>
  <c r="AA1232" i="5"/>
  <c r="AB1232" i="5" s="1"/>
  <c r="Y1232" i="5"/>
  <c r="Z1232" i="5" s="1"/>
  <c r="W1232" i="5"/>
  <c r="X1232" i="5" s="1"/>
  <c r="Q1232" i="5"/>
  <c r="R1232" i="5" s="1"/>
  <c r="S1232" i="5" s="1"/>
  <c r="T1232" i="5" s="1"/>
  <c r="U1232" i="5" s="1"/>
  <c r="V1232" i="5" s="1"/>
  <c r="P1232" i="5"/>
  <c r="AE1232" i="5" s="1"/>
  <c r="AF1232" i="5" s="1"/>
  <c r="O1232" i="5"/>
  <c r="N1232" i="5"/>
  <c r="AC1231" i="5"/>
  <c r="AD1231" i="5" s="1"/>
  <c r="AA1231" i="5"/>
  <c r="AB1231" i="5" s="1"/>
  <c r="Y1231" i="5"/>
  <c r="Z1231" i="5" s="1"/>
  <c r="W1231" i="5"/>
  <c r="X1231" i="5" s="1"/>
  <c r="Q1231" i="5"/>
  <c r="R1231" i="5" s="1"/>
  <c r="S1231" i="5" s="1"/>
  <c r="T1231" i="5" s="1"/>
  <c r="U1231" i="5" s="1"/>
  <c r="V1231" i="5" s="1"/>
  <c r="P1231" i="5"/>
  <c r="AE1231" i="5" s="1"/>
  <c r="AF1231" i="5" s="1"/>
  <c r="O1231" i="5"/>
  <c r="N1231" i="5"/>
  <c r="AC1230" i="5"/>
  <c r="AD1230" i="5" s="1"/>
  <c r="AA1230" i="5"/>
  <c r="AB1230" i="5" s="1"/>
  <c r="Y1230" i="5"/>
  <c r="Z1230" i="5" s="1"/>
  <c r="W1230" i="5"/>
  <c r="X1230" i="5" s="1"/>
  <c r="Q1230" i="5"/>
  <c r="R1230" i="5" s="1"/>
  <c r="S1230" i="5" s="1"/>
  <c r="T1230" i="5" s="1"/>
  <c r="U1230" i="5" s="1"/>
  <c r="V1230" i="5" s="1"/>
  <c r="P1230" i="5"/>
  <c r="AE1230" i="5" s="1"/>
  <c r="AF1230" i="5" s="1"/>
  <c r="O1230" i="5"/>
  <c r="N1230" i="5"/>
  <c r="AC1229" i="5"/>
  <c r="AD1229" i="5" s="1"/>
  <c r="AA1229" i="5"/>
  <c r="AB1229" i="5" s="1"/>
  <c r="Y1229" i="5"/>
  <c r="Z1229" i="5" s="1"/>
  <c r="W1229" i="5"/>
  <c r="X1229" i="5" s="1"/>
  <c r="Q1229" i="5"/>
  <c r="R1229" i="5" s="1"/>
  <c r="S1229" i="5" s="1"/>
  <c r="T1229" i="5" s="1"/>
  <c r="U1229" i="5" s="1"/>
  <c r="V1229" i="5" s="1"/>
  <c r="P1229" i="5"/>
  <c r="AE1229" i="5" s="1"/>
  <c r="AF1229" i="5" s="1"/>
  <c r="O1229" i="5"/>
  <c r="N1229" i="5"/>
  <c r="AC1228" i="5"/>
  <c r="AD1228" i="5" s="1"/>
  <c r="AA1228" i="5"/>
  <c r="AB1228" i="5" s="1"/>
  <c r="Y1228" i="5"/>
  <c r="Z1228" i="5" s="1"/>
  <c r="W1228" i="5"/>
  <c r="X1228" i="5" s="1"/>
  <c r="Q1228" i="5"/>
  <c r="R1228" i="5" s="1"/>
  <c r="S1228" i="5" s="1"/>
  <c r="T1228" i="5" s="1"/>
  <c r="U1228" i="5" s="1"/>
  <c r="V1228" i="5" s="1"/>
  <c r="P1228" i="5"/>
  <c r="AE1228" i="5" s="1"/>
  <c r="AF1228" i="5" s="1"/>
  <c r="O1228" i="5"/>
  <c r="N1228" i="5"/>
  <c r="AC1227" i="5"/>
  <c r="AD1227" i="5" s="1"/>
  <c r="AA1227" i="5"/>
  <c r="AB1227" i="5" s="1"/>
  <c r="Y1227" i="5"/>
  <c r="Z1227" i="5" s="1"/>
  <c r="W1227" i="5"/>
  <c r="X1227" i="5" s="1"/>
  <c r="Q1227" i="5"/>
  <c r="R1227" i="5" s="1"/>
  <c r="S1227" i="5" s="1"/>
  <c r="T1227" i="5" s="1"/>
  <c r="U1227" i="5" s="1"/>
  <c r="V1227" i="5" s="1"/>
  <c r="P1227" i="5"/>
  <c r="AE1227" i="5" s="1"/>
  <c r="AF1227" i="5" s="1"/>
  <c r="O1227" i="5"/>
  <c r="N1227" i="5"/>
  <c r="AC1226" i="5"/>
  <c r="AD1226" i="5" s="1"/>
  <c r="AA1226" i="5"/>
  <c r="AB1226" i="5" s="1"/>
  <c r="Y1226" i="5"/>
  <c r="Z1226" i="5" s="1"/>
  <c r="W1226" i="5"/>
  <c r="X1226" i="5" s="1"/>
  <c r="Q1226" i="5"/>
  <c r="R1226" i="5" s="1"/>
  <c r="S1226" i="5" s="1"/>
  <c r="T1226" i="5" s="1"/>
  <c r="U1226" i="5" s="1"/>
  <c r="V1226" i="5" s="1"/>
  <c r="P1226" i="5"/>
  <c r="AE1226" i="5" s="1"/>
  <c r="AF1226" i="5" s="1"/>
  <c r="O1226" i="5"/>
  <c r="N1226" i="5"/>
  <c r="AC1225" i="5"/>
  <c r="AD1225" i="5" s="1"/>
  <c r="AA1225" i="5"/>
  <c r="AB1225" i="5" s="1"/>
  <c r="Y1225" i="5"/>
  <c r="Z1225" i="5" s="1"/>
  <c r="W1225" i="5"/>
  <c r="X1225" i="5" s="1"/>
  <c r="Q1225" i="5"/>
  <c r="R1225" i="5" s="1"/>
  <c r="S1225" i="5" s="1"/>
  <c r="T1225" i="5" s="1"/>
  <c r="U1225" i="5" s="1"/>
  <c r="V1225" i="5" s="1"/>
  <c r="P1225" i="5"/>
  <c r="AE1225" i="5" s="1"/>
  <c r="AF1225" i="5" s="1"/>
  <c r="O1225" i="5"/>
  <c r="N1225" i="5"/>
  <c r="AC1224" i="5"/>
  <c r="AD1224" i="5" s="1"/>
  <c r="AA1224" i="5"/>
  <c r="AB1224" i="5" s="1"/>
  <c r="Y1224" i="5"/>
  <c r="Z1224" i="5" s="1"/>
  <c r="W1224" i="5"/>
  <c r="X1224" i="5" s="1"/>
  <c r="Q1224" i="5"/>
  <c r="R1224" i="5" s="1"/>
  <c r="S1224" i="5" s="1"/>
  <c r="T1224" i="5" s="1"/>
  <c r="U1224" i="5" s="1"/>
  <c r="V1224" i="5" s="1"/>
  <c r="P1224" i="5"/>
  <c r="AE1224" i="5" s="1"/>
  <c r="AF1224" i="5" s="1"/>
  <c r="O1224" i="5"/>
  <c r="N1224" i="5"/>
  <c r="AC1223" i="5"/>
  <c r="AD1223" i="5" s="1"/>
  <c r="AA1223" i="5"/>
  <c r="AB1223" i="5" s="1"/>
  <c r="Y1223" i="5"/>
  <c r="Z1223" i="5" s="1"/>
  <c r="W1223" i="5"/>
  <c r="X1223" i="5" s="1"/>
  <c r="Q1223" i="5"/>
  <c r="R1223" i="5" s="1"/>
  <c r="S1223" i="5" s="1"/>
  <c r="T1223" i="5" s="1"/>
  <c r="U1223" i="5" s="1"/>
  <c r="V1223" i="5" s="1"/>
  <c r="P1223" i="5"/>
  <c r="AE1223" i="5" s="1"/>
  <c r="AF1223" i="5" s="1"/>
  <c r="O1223" i="5"/>
  <c r="N1223" i="5"/>
  <c r="AC1222" i="5"/>
  <c r="AD1222" i="5" s="1"/>
  <c r="AA1222" i="5"/>
  <c r="AB1222" i="5" s="1"/>
  <c r="Y1222" i="5"/>
  <c r="Z1222" i="5" s="1"/>
  <c r="W1222" i="5"/>
  <c r="X1222" i="5" s="1"/>
  <c r="Q1222" i="5"/>
  <c r="R1222" i="5" s="1"/>
  <c r="S1222" i="5" s="1"/>
  <c r="T1222" i="5" s="1"/>
  <c r="U1222" i="5" s="1"/>
  <c r="V1222" i="5" s="1"/>
  <c r="P1222" i="5"/>
  <c r="AE1222" i="5" s="1"/>
  <c r="AF1222" i="5" s="1"/>
  <c r="O1222" i="5"/>
  <c r="N1222" i="5"/>
  <c r="AC1221" i="5"/>
  <c r="AD1221" i="5" s="1"/>
  <c r="AA1221" i="5"/>
  <c r="AB1221" i="5" s="1"/>
  <c r="Y1221" i="5"/>
  <c r="Z1221" i="5" s="1"/>
  <c r="W1221" i="5"/>
  <c r="X1221" i="5" s="1"/>
  <c r="Q1221" i="5"/>
  <c r="R1221" i="5" s="1"/>
  <c r="S1221" i="5" s="1"/>
  <c r="T1221" i="5" s="1"/>
  <c r="U1221" i="5" s="1"/>
  <c r="V1221" i="5" s="1"/>
  <c r="P1221" i="5"/>
  <c r="AE1221" i="5" s="1"/>
  <c r="AF1221" i="5" s="1"/>
  <c r="O1221" i="5"/>
  <c r="N1221" i="5"/>
  <c r="AC1220" i="5"/>
  <c r="AD1220" i="5" s="1"/>
  <c r="AA1220" i="5"/>
  <c r="AB1220" i="5" s="1"/>
  <c r="Y1220" i="5"/>
  <c r="Z1220" i="5" s="1"/>
  <c r="W1220" i="5"/>
  <c r="X1220" i="5" s="1"/>
  <c r="Q1220" i="5"/>
  <c r="R1220" i="5" s="1"/>
  <c r="S1220" i="5" s="1"/>
  <c r="T1220" i="5" s="1"/>
  <c r="U1220" i="5" s="1"/>
  <c r="V1220" i="5" s="1"/>
  <c r="P1220" i="5"/>
  <c r="AE1220" i="5" s="1"/>
  <c r="AF1220" i="5" s="1"/>
  <c r="O1220" i="5"/>
  <c r="N1220" i="5"/>
  <c r="AC1219" i="5"/>
  <c r="AD1219" i="5" s="1"/>
  <c r="AA1219" i="5"/>
  <c r="AB1219" i="5" s="1"/>
  <c r="Y1219" i="5"/>
  <c r="Z1219" i="5" s="1"/>
  <c r="W1219" i="5"/>
  <c r="X1219" i="5" s="1"/>
  <c r="Q1219" i="5"/>
  <c r="R1219" i="5" s="1"/>
  <c r="S1219" i="5" s="1"/>
  <c r="T1219" i="5" s="1"/>
  <c r="U1219" i="5" s="1"/>
  <c r="V1219" i="5" s="1"/>
  <c r="P1219" i="5"/>
  <c r="AE1219" i="5" s="1"/>
  <c r="AF1219" i="5" s="1"/>
  <c r="O1219" i="5"/>
  <c r="N1219" i="5"/>
  <c r="AC1218" i="5"/>
  <c r="AD1218" i="5" s="1"/>
  <c r="AA1218" i="5"/>
  <c r="AB1218" i="5" s="1"/>
  <c r="Y1218" i="5"/>
  <c r="Z1218" i="5" s="1"/>
  <c r="W1218" i="5"/>
  <c r="X1218" i="5" s="1"/>
  <c r="Q1218" i="5"/>
  <c r="R1218" i="5" s="1"/>
  <c r="S1218" i="5" s="1"/>
  <c r="T1218" i="5" s="1"/>
  <c r="U1218" i="5" s="1"/>
  <c r="V1218" i="5" s="1"/>
  <c r="P1218" i="5"/>
  <c r="AE1218" i="5" s="1"/>
  <c r="AF1218" i="5" s="1"/>
  <c r="O1218" i="5"/>
  <c r="N1218" i="5"/>
  <c r="AC1217" i="5"/>
  <c r="AD1217" i="5" s="1"/>
  <c r="AA1217" i="5"/>
  <c r="AB1217" i="5" s="1"/>
  <c r="Y1217" i="5"/>
  <c r="Z1217" i="5" s="1"/>
  <c r="W1217" i="5"/>
  <c r="X1217" i="5" s="1"/>
  <c r="Q1217" i="5"/>
  <c r="R1217" i="5" s="1"/>
  <c r="S1217" i="5" s="1"/>
  <c r="T1217" i="5" s="1"/>
  <c r="U1217" i="5" s="1"/>
  <c r="V1217" i="5" s="1"/>
  <c r="P1217" i="5"/>
  <c r="AE1217" i="5" s="1"/>
  <c r="AF1217" i="5" s="1"/>
  <c r="O1217" i="5"/>
  <c r="N1217" i="5"/>
  <c r="AC1216" i="5"/>
  <c r="AD1216" i="5" s="1"/>
  <c r="AA1216" i="5"/>
  <c r="AB1216" i="5" s="1"/>
  <c r="Y1216" i="5"/>
  <c r="Z1216" i="5" s="1"/>
  <c r="W1216" i="5"/>
  <c r="X1216" i="5" s="1"/>
  <c r="Q1216" i="5"/>
  <c r="R1216" i="5" s="1"/>
  <c r="S1216" i="5" s="1"/>
  <c r="T1216" i="5" s="1"/>
  <c r="U1216" i="5" s="1"/>
  <c r="V1216" i="5" s="1"/>
  <c r="P1216" i="5"/>
  <c r="AE1216" i="5" s="1"/>
  <c r="AF1216" i="5" s="1"/>
  <c r="O1216" i="5"/>
  <c r="N1216" i="5"/>
  <c r="AC1215" i="5"/>
  <c r="AD1215" i="5" s="1"/>
  <c r="AA1215" i="5"/>
  <c r="AB1215" i="5" s="1"/>
  <c r="Y1215" i="5"/>
  <c r="Z1215" i="5" s="1"/>
  <c r="W1215" i="5"/>
  <c r="X1215" i="5" s="1"/>
  <c r="Q1215" i="5"/>
  <c r="R1215" i="5" s="1"/>
  <c r="S1215" i="5" s="1"/>
  <c r="T1215" i="5" s="1"/>
  <c r="U1215" i="5" s="1"/>
  <c r="V1215" i="5" s="1"/>
  <c r="P1215" i="5"/>
  <c r="AE1215" i="5" s="1"/>
  <c r="AF1215" i="5" s="1"/>
  <c r="O1215" i="5"/>
  <c r="N1215" i="5"/>
  <c r="AC1214" i="5"/>
  <c r="AD1214" i="5" s="1"/>
  <c r="AA1214" i="5"/>
  <c r="AB1214" i="5" s="1"/>
  <c r="Y1214" i="5"/>
  <c r="Z1214" i="5" s="1"/>
  <c r="W1214" i="5"/>
  <c r="X1214" i="5" s="1"/>
  <c r="Q1214" i="5"/>
  <c r="R1214" i="5" s="1"/>
  <c r="S1214" i="5" s="1"/>
  <c r="T1214" i="5" s="1"/>
  <c r="U1214" i="5" s="1"/>
  <c r="V1214" i="5" s="1"/>
  <c r="P1214" i="5"/>
  <c r="AE1214" i="5" s="1"/>
  <c r="AF1214" i="5" s="1"/>
  <c r="O1214" i="5"/>
  <c r="N1214" i="5"/>
  <c r="AC1213" i="5"/>
  <c r="AD1213" i="5" s="1"/>
  <c r="AA1213" i="5"/>
  <c r="AB1213" i="5" s="1"/>
  <c r="Y1213" i="5"/>
  <c r="Z1213" i="5" s="1"/>
  <c r="W1213" i="5"/>
  <c r="X1213" i="5" s="1"/>
  <c r="Q1213" i="5"/>
  <c r="R1213" i="5" s="1"/>
  <c r="S1213" i="5" s="1"/>
  <c r="T1213" i="5" s="1"/>
  <c r="U1213" i="5" s="1"/>
  <c r="V1213" i="5" s="1"/>
  <c r="P1213" i="5"/>
  <c r="AE1213" i="5" s="1"/>
  <c r="AF1213" i="5" s="1"/>
  <c r="O1213" i="5"/>
  <c r="N1213" i="5"/>
  <c r="AC1212" i="5"/>
  <c r="AD1212" i="5" s="1"/>
  <c r="AA1212" i="5"/>
  <c r="AB1212" i="5" s="1"/>
  <c r="Y1212" i="5"/>
  <c r="Z1212" i="5" s="1"/>
  <c r="W1212" i="5"/>
  <c r="X1212" i="5" s="1"/>
  <c r="Q1212" i="5"/>
  <c r="R1212" i="5" s="1"/>
  <c r="S1212" i="5" s="1"/>
  <c r="T1212" i="5" s="1"/>
  <c r="U1212" i="5" s="1"/>
  <c r="V1212" i="5" s="1"/>
  <c r="P1212" i="5"/>
  <c r="AE1212" i="5" s="1"/>
  <c r="AF1212" i="5" s="1"/>
  <c r="O1212" i="5"/>
  <c r="N1212" i="5"/>
  <c r="AC1211" i="5"/>
  <c r="AD1211" i="5" s="1"/>
  <c r="AA1211" i="5"/>
  <c r="AB1211" i="5" s="1"/>
  <c r="Y1211" i="5"/>
  <c r="Z1211" i="5" s="1"/>
  <c r="W1211" i="5"/>
  <c r="X1211" i="5" s="1"/>
  <c r="Q1211" i="5"/>
  <c r="R1211" i="5" s="1"/>
  <c r="S1211" i="5" s="1"/>
  <c r="T1211" i="5" s="1"/>
  <c r="U1211" i="5" s="1"/>
  <c r="V1211" i="5" s="1"/>
  <c r="P1211" i="5"/>
  <c r="AE1211" i="5" s="1"/>
  <c r="AF1211" i="5" s="1"/>
  <c r="O1211" i="5"/>
  <c r="N1211" i="5"/>
  <c r="AC1210" i="5"/>
  <c r="AD1210" i="5" s="1"/>
  <c r="AA1210" i="5"/>
  <c r="AB1210" i="5" s="1"/>
  <c r="Y1210" i="5"/>
  <c r="Z1210" i="5" s="1"/>
  <c r="W1210" i="5"/>
  <c r="X1210" i="5" s="1"/>
  <c r="Q1210" i="5"/>
  <c r="R1210" i="5" s="1"/>
  <c r="S1210" i="5" s="1"/>
  <c r="T1210" i="5" s="1"/>
  <c r="U1210" i="5" s="1"/>
  <c r="V1210" i="5" s="1"/>
  <c r="P1210" i="5"/>
  <c r="AE1210" i="5" s="1"/>
  <c r="AF1210" i="5" s="1"/>
  <c r="O1210" i="5"/>
  <c r="N1210" i="5"/>
  <c r="AC1209" i="5"/>
  <c r="AD1209" i="5" s="1"/>
  <c r="AA1209" i="5"/>
  <c r="AB1209" i="5" s="1"/>
  <c r="Y1209" i="5"/>
  <c r="Z1209" i="5" s="1"/>
  <c r="W1209" i="5"/>
  <c r="X1209" i="5" s="1"/>
  <c r="Q1209" i="5"/>
  <c r="R1209" i="5" s="1"/>
  <c r="S1209" i="5" s="1"/>
  <c r="T1209" i="5" s="1"/>
  <c r="U1209" i="5" s="1"/>
  <c r="V1209" i="5" s="1"/>
  <c r="P1209" i="5"/>
  <c r="AE1209" i="5" s="1"/>
  <c r="AF1209" i="5" s="1"/>
  <c r="O1209" i="5"/>
  <c r="N1209" i="5"/>
  <c r="AC1208" i="5"/>
  <c r="AD1208" i="5" s="1"/>
  <c r="AA1208" i="5"/>
  <c r="AB1208" i="5" s="1"/>
  <c r="Y1208" i="5"/>
  <c r="Z1208" i="5" s="1"/>
  <c r="W1208" i="5"/>
  <c r="X1208" i="5" s="1"/>
  <c r="Q1208" i="5"/>
  <c r="R1208" i="5" s="1"/>
  <c r="S1208" i="5" s="1"/>
  <c r="T1208" i="5" s="1"/>
  <c r="U1208" i="5" s="1"/>
  <c r="V1208" i="5" s="1"/>
  <c r="P1208" i="5"/>
  <c r="AE1208" i="5" s="1"/>
  <c r="AF1208" i="5" s="1"/>
  <c r="O1208" i="5"/>
  <c r="N1208" i="5"/>
  <c r="AC1207" i="5"/>
  <c r="AD1207" i="5" s="1"/>
  <c r="AA1207" i="5"/>
  <c r="AB1207" i="5" s="1"/>
  <c r="Y1207" i="5"/>
  <c r="Z1207" i="5" s="1"/>
  <c r="W1207" i="5"/>
  <c r="X1207" i="5" s="1"/>
  <c r="Q1207" i="5"/>
  <c r="R1207" i="5" s="1"/>
  <c r="S1207" i="5" s="1"/>
  <c r="T1207" i="5" s="1"/>
  <c r="U1207" i="5" s="1"/>
  <c r="V1207" i="5" s="1"/>
  <c r="P1207" i="5"/>
  <c r="AE1207" i="5" s="1"/>
  <c r="AF1207" i="5" s="1"/>
  <c r="O1207" i="5"/>
  <c r="N1207" i="5"/>
  <c r="AC1206" i="5"/>
  <c r="AD1206" i="5" s="1"/>
  <c r="AA1206" i="5"/>
  <c r="AB1206" i="5" s="1"/>
  <c r="Y1206" i="5"/>
  <c r="Z1206" i="5" s="1"/>
  <c r="W1206" i="5"/>
  <c r="X1206" i="5" s="1"/>
  <c r="Q1206" i="5"/>
  <c r="R1206" i="5" s="1"/>
  <c r="S1206" i="5" s="1"/>
  <c r="T1206" i="5" s="1"/>
  <c r="U1206" i="5" s="1"/>
  <c r="V1206" i="5" s="1"/>
  <c r="P1206" i="5"/>
  <c r="AE1206" i="5" s="1"/>
  <c r="AF1206" i="5" s="1"/>
  <c r="O1206" i="5"/>
  <c r="N1206" i="5"/>
  <c r="AC1205" i="5"/>
  <c r="AD1205" i="5" s="1"/>
  <c r="AA1205" i="5"/>
  <c r="AB1205" i="5" s="1"/>
  <c r="Y1205" i="5"/>
  <c r="Z1205" i="5" s="1"/>
  <c r="W1205" i="5"/>
  <c r="X1205" i="5" s="1"/>
  <c r="Q1205" i="5"/>
  <c r="R1205" i="5" s="1"/>
  <c r="S1205" i="5" s="1"/>
  <c r="T1205" i="5" s="1"/>
  <c r="U1205" i="5" s="1"/>
  <c r="V1205" i="5" s="1"/>
  <c r="P1205" i="5"/>
  <c r="AE1205" i="5" s="1"/>
  <c r="AF1205" i="5" s="1"/>
  <c r="O1205" i="5"/>
  <c r="N1205" i="5"/>
  <c r="AC1204" i="5"/>
  <c r="AD1204" i="5" s="1"/>
  <c r="AA1204" i="5"/>
  <c r="AB1204" i="5" s="1"/>
  <c r="Y1204" i="5"/>
  <c r="Z1204" i="5" s="1"/>
  <c r="W1204" i="5"/>
  <c r="X1204" i="5" s="1"/>
  <c r="Q1204" i="5"/>
  <c r="R1204" i="5" s="1"/>
  <c r="S1204" i="5" s="1"/>
  <c r="T1204" i="5" s="1"/>
  <c r="U1204" i="5" s="1"/>
  <c r="V1204" i="5" s="1"/>
  <c r="P1204" i="5"/>
  <c r="AE1204" i="5" s="1"/>
  <c r="AF1204" i="5" s="1"/>
  <c r="O1204" i="5"/>
  <c r="N1204" i="5"/>
  <c r="AC1203" i="5"/>
  <c r="AD1203" i="5" s="1"/>
  <c r="AA1203" i="5"/>
  <c r="AB1203" i="5" s="1"/>
  <c r="Y1203" i="5"/>
  <c r="Z1203" i="5" s="1"/>
  <c r="W1203" i="5"/>
  <c r="X1203" i="5" s="1"/>
  <c r="Q1203" i="5"/>
  <c r="R1203" i="5" s="1"/>
  <c r="S1203" i="5" s="1"/>
  <c r="T1203" i="5" s="1"/>
  <c r="U1203" i="5" s="1"/>
  <c r="V1203" i="5" s="1"/>
  <c r="P1203" i="5"/>
  <c r="AE1203" i="5" s="1"/>
  <c r="AF1203" i="5" s="1"/>
  <c r="O1203" i="5"/>
  <c r="N1203" i="5"/>
  <c r="AC1202" i="5"/>
  <c r="AD1202" i="5" s="1"/>
  <c r="AA1202" i="5"/>
  <c r="AB1202" i="5" s="1"/>
  <c r="Y1202" i="5"/>
  <c r="Z1202" i="5" s="1"/>
  <c r="W1202" i="5"/>
  <c r="X1202" i="5" s="1"/>
  <c r="Q1202" i="5"/>
  <c r="R1202" i="5" s="1"/>
  <c r="S1202" i="5" s="1"/>
  <c r="T1202" i="5" s="1"/>
  <c r="U1202" i="5" s="1"/>
  <c r="V1202" i="5" s="1"/>
  <c r="P1202" i="5"/>
  <c r="AE1202" i="5" s="1"/>
  <c r="AF1202" i="5" s="1"/>
  <c r="O1202" i="5"/>
  <c r="N1202" i="5"/>
  <c r="AC1201" i="5"/>
  <c r="AD1201" i="5" s="1"/>
  <c r="AA1201" i="5"/>
  <c r="AB1201" i="5" s="1"/>
  <c r="Y1201" i="5"/>
  <c r="Z1201" i="5" s="1"/>
  <c r="W1201" i="5"/>
  <c r="X1201" i="5" s="1"/>
  <c r="Q1201" i="5"/>
  <c r="R1201" i="5" s="1"/>
  <c r="S1201" i="5" s="1"/>
  <c r="T1201" i="5" s="1"/>
  <c r="U1201" i="5" s="1"/>
  <c r="V1201" i="5" s="1"/>
  <c r="P1201" i="5"/>
  <c r="AE1201" i="5" s="1"/>
  <c r="AF1201" i="5" s="1"/>
  <c r="O1201" i="5"/>
  <c r="N1201" i="5"/>
  <c r="AC1200" i="5"/>
  <c r="AD1200" i="5" s="1"/>
  <c r="AA1200" i="5"/>
  <c r="AB1200" i="5" s="1"/>
  <c r="Y1200" i="5"/>
  <c r="Z1200" i="5" s="1"/>
  <c r="W1200" i="5"/>
  <c r="X1200" i="5" s="1"/>
  <c r="Q1200" i="5"/>
  <c r="R1200" i="5" s="1"/>
  <c r="S1200" i="5" s="1"/>
  <c r="T1200" i="5" s="1"/>
  <c r="U1200" i="5" s="1"/>
  <c r="V1200" i="5" s="1"/>
  <c r="P1200" i="5"/>
  <c r="AE1200" i="5" s="1"/>
  <c r="AF1200" i="5" s="1"/>
  <c r="O1200" i="5"/>
  <c r="N1200" i="5"/>
  <c r="AC1199" i="5"/>
  <c r="AD1199" i="5" s="1"/>
  <c r="AA1199" i="5"/>
  <c r="AB1199" i="5" s="1"/>
  <c r="Y1199" i="5"/>
  <c r="Z1199" i="5" s="1"/>
  <c r="W1199" i="5"/>
  <c r="X1199" i="5" s="1"/>
  <c r="Q1199" i="5"/>
  <c r="R1199" i="5" s="1"/>
  <c r="S1199" i="5" s="1"/>
  <c r="T1199" i="5" s="1"/>
  <c r="U1199" i="5" s="1"/>
  <c r="V1199" i="5" s="1"/>
  <c r="P1199" i="5"/>
  <c r="AE1199" i="5" s="1"/>
  <c r="AF1199" i="5" s="1"/>
  <c r="O1199" i="5"/>
  <c r="N1199" i="5"/>
  <c r="AC1198" i="5"/>
  <c r="AD1198" i="5" s="1"/>
  <c r="AA1198" i="5"/>
  <c r="AB1198" i="5" s="1"/>
  <c r="Y1198" i="5"/>
  <c r="Z1198" i="5" s="1"/>
  <c r="W1198" i="5"/>
  <c r="X1198" i="5" s="1"/>
  <c r="Q1198" i="5"/>
  <c r="R1198" i="5" s="1"/>
  <c r="S1198" i="5" s="1"/>
  <c r="T1198" i="5" s="1"/>
  <c r="U1198" i="5" s="1"/>
  <c r="V1198" i="5" s="1"/>
  <c r="P1198" i="5"/>
  <c r="AE1198" i="5" s="1"/>
  <c r="AF1198" i="5" s="1"/>
  <c r="O1198" i="5"/>
  <c r="N1198" i="5"/>
  <c r="AC1197" i="5"/>
  <c r="AD1197" i="5" s="1"/>
  <c r="AA1197" i="5"/>
  <c r="AB1197" i="5" s="1"/>
  <c r="Y1197" i="5"/>
  <c r="Z1197" i="5" s="1"/>
  <c r="W1197" i="5"/>
  <c r="X1197" i="5" s="1"/>
  <c r="Q1197" i="5"/>
  <c r="R1197" i="5" s="1"/>
  <c r="S1197" i="5" s="1"/>
  <c r="T1197" i="5" s="1"/>
  <c r="U1197" i="5" s="1"/>
  <c r="V1197" i="5" s="1"/>
  <c r="P1197" i="5"/>
  <c r="AE1197" i="5" s="1"/>
  <c r="AF1197" i="5" s="1"/>
  <c r="O1197" i="5"/>
  <c r="N1197" i="5"/>
  <c r="AC1196" i="5"/>
  <c r="AD1196" i="5" s="1"/>
  <c r="AA1196" i="5"/>
  <c r="AB1196" i="5" s="1"/>
  <c r="Y1196" i="5"/>
  <c r="Z1196" i="5" s="1"/>
  <c r="W1196" i="5"/>
  <c r="X1196" i="5" s="1"/>
  <c r="Q1196" i="5"/>
  <c r="R1196" i="5" s="1"/>
  <c r="S1196" i="5" s="1"/>
  <c r="T1196" i="5" s="1"/>
  <c r="U1196" i="5" s="1"/>
  <c r="V1196" i="5" s="1"/>
  <c r="P1196" i="5"/>
  <c r="AE1196" i="5" s="1"/>
  <c r="AF1196" i="5" s="1"/>
  <c r="O1196" i="5"/>
  <c r="N1196" i="5"/>
  <c r="AC1195" i="5"/>
  <c r="AD1195" i="5" s="1"/>
  <c r="AA1195" i="5"/>
  <c r="AB1195" i="5" s="1"/>
  <c r="Y1195" i="5"/>
  <c r="Z1195" i="5" s="1"/>
  <c r="W1195" i="5"/>
  <c r="X1195" i="5" s="1"/>
  <c r="Q1195" i="5"/>
  <c r="R1195" i="5" s="1"/>
  <c r="S1195" i="5" s="1"/>
  <c r="T1195" i="5" s="1"/>
  <c r="U1195" i="5" s="1"/>
  <c r="V1195" i="5" s="1"/>
  <c r="P1195" i="5"/>
  <c r="AE1195" i="5" s="1"/>
  <c r="AF1195" i="5" s="1"/>
  <c r="O1195" i="5"/>
  <c r="N1195" i="5"/>
  <c r="AC1194" i="5"/>
  <c r="AD1194" i="5" s="1"/>
  <c r="AA1194" i="5"/>
  <c r="AB1194" i="5" s="1"/>
  <c r="Y1194" i="5"/>
  <c r="Z1194" i="5" s="1"/>
  <c r="W1194" i="5"/>
  <c r="X1194" i="5" s="1"/>
  <c r="Q1194" i="5"/>
  <c r="R1194" i="5" s="1"/>
  <c r="S1194" i="5" s="1"/>
  <c r="T1194" i="5" s="1"/>
  <c r="U1194" i="5" s="1"/>
  <c r="V1194" i="5" s="1"/>
  <c r="P1194" i="5"/>
  <c r="AE1194" i="5" s="1"/>
  <c r="AF1194" i="5" s="1"/>
  <c r="O1194" i="5"/>
  <c r="N1194" i="5"/>
  <c r="AC1193" i="5"/>
  <c r="AD1193" i="5" s="1"/>
  <c r="AA1193" i="5"/>
  <c r="AB1193" i="5" s="1"/>
  <c r="Y1193" i="5"/>
  <c r="Z1193" i="5" s="1"/>
  <c r="W1193" i="5"/>
  <c r="X1193" i="5" s="1"/>
  <c r="Q1193" i="5"/>
  <c r="R1193" i="5" s="1"/>
  <c r="S1193" i="5" s="1"/>
  <c r="T1193" i="5" s="1"/>
  <c r="U1193" i="5" s="1"/>
  <c r="V1193" i="5" s="1"/>
  <c r="P1193" i="5"/>
  <c r="AE1193" i="5" s="1"/>
  <c r="AF1193" i="5" s="1"/>
  <c r="O1193" i="5"/>
  <c r="N1193" i="5"/>
  <c r="AC1192" i="5"/>
  <c r="AD1192" i="5" s="1"/>
  <c r="AA1192" i="5"/>
  <c r="AB1192" i="5" s="1"/>
  <c r="Y1192" i="5"/>
  <c r="Z1192" i="5" s="1"/>
  <c r="W1192" i="5"/>
  <c r="X1192" i="5" s="1"/>
  <c r="Q1192" i="5"/>
  <c r="R1192" i="5" s="1"/>
  <c r="S1192" i="5" s="1"/>
  <c r="T1192" i="5" s="1"/>
  <c r="U1192" i="5" s="1"/>
  <c r="V1192" i="5" s="1"/>
  <c r="P1192" i="5"/>
  <c r="AE1192" i="5" s="1"/>
  <c r="AF1192" i="5" s="1"/>
  <c r="O1192" i="5"/>
  <c r="N1192" i="5"/>
  <c r="AC1191" i="5"/>
  <c r="AD1191" i="5" s="1"/>
  <c r="AA1191" i="5"/>
  <c r="AB1191" i="5" s="1"/>
  <c r="Y1191" i="5"/>
  <c r="Z1191" i="5" s="1"/>
  <c r="W1191" i="5"/>
  <c r="X1191" i="5" s="1"/>
  <c r="Q1191" i="5"/>
  <c r="R1191" i="5" s="1"/>
  <c r="S1191" i="5" s="1"/>
  <c r="T1191" i="5" s="1"/>
  <c r="U1191" i="5" s="1"/>
  <c r="V1191" i="5" s="1"/>
  <c r="P1191" i="5"/>
  <c r="AE1191" i="5" s="1"/>
  <c r="AF1191" i="5" s="1"/>
  <c r="O1191" i="5"/>
  <c r="N1191" i="5"/>
  <c r="AC1190" i="5"/>
  <c r="AD1190" i="5" s="1"/>
  <c r="AA1190" i="5"/>
  <c r="AB1190" i="5" s="1"/>
  <c r="Y1190" i="5"/>
  <c r="Z1190" i="5" s="1"/>
  <c r="W1190" i="5"/>
  <c r="X1190" i="5" s="1"/>
  <c r="Q1190" i="5"/>
  <c r="R1190" i="5" s="1"/>
  <c r="S1190" i="5" s="1"/>
  <c r="T1190" i="5" s="1"/>
  <c r="U1190" i="5" s="1"/>
  <c r="V1190" i="5" s="1"/>
  <c r="P1190" i="5"/>
  <c r="AE1190" i="5" s="1"/>
  <c r="AF1190" i="5" s="1"/>
  <c r="O1190" i="5"/>
  <c r="N1190" i="5"/>
  <c r="AC1189" i="5"/>
  <c r="AD1189" i="5" s="1"/>
  <c r="AA1189" i="5"/>
  <c r="AB1189" i="5" s="1"/>
  <c r="Y1189" i="5"/>
  <c r="Z1189" i="5" s="1"/>
  <c r="W1189" i="5"/>
  <c r="X1189" i="5" s="1"/>
  <c r="Q1189" i="5"/>
  <c r="R1189" i="5" s="1"/>
  <c r="S1189" i="5" s="1"/>
  <c r="T1189" i="5" s="1"/>
  <c r="U1189" i="5" s="1"/>
  <c r="V1189" i="5" s="1"/>
  <c r="P1189" i="5"/>
  <c r="AE1189" i="5" s="1"/>
  <c r="AF1189" i="5" s="1"/>
  <c r="O1189" i="5"/>
  <c r="N1189" i="5"/>
  <c r="AC1188" i="5"/>
  <c r="AD1188" i="5" s="1"/>
  <c r="AA1188" i="5"/>
  <c r="AB1188" i="5" s="1"/>
  <c r="Y1188" i="5"/>
  <c r="Z1188" i="5" s="1"/>
  <c r="W1188" i="5"/>
  <c r="X1188" i="5" s="1"/>
  <c r="Q1188" i="5"/>
  <c r="R1188" i="5" s="1"/>
  <c r="S1188" i="5" s="1"/>
  <c r="T1188" i="5" s="1"/>
  <c r="U1188" i="5" s="1"/>
  <c r="V1188" i="5" s="1"/>
  <c r="P1188" i="5"/>
  <c r="AE1188" i="5" s="1"/>
  <c r="AF1188" i="5" s="1"/>
  <c r="O1188" i="5"/>
  <c r="N1188" i="5"/>
  <c r="AC1187" i="5"/>
  <c r="AD1187" i="5" s="1"/>
  <c r="AA1187" i="5"/>
  <c r="AB1187" i="5" s="1"/>
  <c r="Y1187" i="5"/>
  <c r="Z1187" i="5" s="1"/>
  <c r="W1187" i="5"/>
  <c r="X1187" i="5" s="1"/>
  <c r="Q1187" i="5"/>
  <c r="R1187" i="5" s="1"/>
  <c r="S1187" i="5" s="1"/>
  <c r="T1187" i="5" s="1"/>
  <c r="U1187" i="5" s="1"/>
  <c r="V1187" i="5" s="1"/>
  <c r="P1187" i="5"/>
  <c r="AE1187" i="5" s="1"/>
  <c r="AF1187" i="5" s="1"/>
  <c r="O1187" i="5"/>
  <c r="N1187" i="5"/>
  <c r="AC1186" i="5"/>
  <c r="AD1186" i="5" s="1"/>
  <c r="AA1186" i="5"/>
  <c r="AB1186" i="5" s="1"/>
  <c r="Y1186" i="5"/>
  <c r="Z1186" i="5" s="1"/>
  <c r="W1186" i="5"/>
  <c r="X1186" i="5" s="1"/>
  <c r="Q1186" i="5"/>
  <c r="R1186" i="5" s="1"/>
  <c r="S1186" i="5" s="1"/>
  <c r="T1186" i="5" s="1"/>
  <c r="U1186" i="5" s="1"/>
  <c r="V1186" i="5" s="1"/>
  <c r="P1186" i="5"/>
  <c r="AE1186" i="5" s="1"/>
  <c r="AF1186" i="5" s="1"/>
  <c r="O1186" i="5"/>
  <c r="N1186" i="5"/>
  <c r="AC1185" i="5"/>
  <c r="AD1185" i="5" s="1"/>
  <c r="AA1185" i="5"/>
  <c r="AB1185" i="5" s="1"/>
  <c r="Y1185" i="5"/>
  <c r="Z1185" i="5" s="1"/>
  <c r="W1185" i="5"/>
  <c r="X1185" i="5" s="1"/>
  <c r="Q1185" i="5"/>
  <c r="R1185" i="5" s="1"/>
  <c r="S1185" i="5" s="1"/>
  <c r="T1185" i="5" s="1"/>
  <c r="U1185" i="5" s="1"/>
  <c r="V1185" i="5" s="1"/>
  <c r="P1185" i="5"/>
  <c r="AE1185" i="5" s="1"/>
  <c r="AF1185" i="5" s="1"/>
  <c r="O1185" i="5"/>
  <c r="N1185" i="5"/>
  <c r="AC1184" i="5"/>
  <c r="AD1184" i="5" s="1"/>
  <c r="AA1184" i="5"/>
  <c r="AB1184" i="5" s="1"/>
  <c r="Y1184" i="5"/>
  <c r="Z1184" i="5" s="1"/>
  <c r="W1184" i="5"/>
  <c r="X1184" i="5" s="1"/>
  <c r="Q1184" i="5"/>
  <c r="R1184" i="5" s="1"/>
  <c r="S1184" i="5" s="1"/>
  <c r="T1184" i="5" s="1"/>
  <c r="U1184" i="5" s="1"/>
  <c r="V1184" i="5" s="1"/>
  <c r="P1184" i="5"/>
  <c r="AE1184" i="5" s="1"/>
  <c r="AF1184" i="5" s="1"/>
  <c r="O1184" i="5"/>
  <c r="N1184" i="5"/>
  <c r="AC1183" i="5"/>
  <c r="AD1183" i="5" s="1"/>
  <c r="AA1183" i="5"/>
  <c r="AB1183" i="5" s="1"/>
  <c r="Y1183" i="5"/>
  <c r="Z1183" i="5" s="1"/>
  <c r="W1183" i="5"/>
  <c r="X1183" i="5" s="1"/>
  <c r="Q1183" i="5"/>
  <c r="R1183" i="5" s="1"/>
  <c r="S1183" i="5" s="1"/>
  <c r="T1183" i="5" s="1"/>
  <c r="U1183" i="5" s="1"/>
  <c r="V1183" i="5" s="1"/>
  <c r="P1183" i="5"/>
  <c r="AE1183" i="5" s="1"/>
  <c r="AF1183" i="5" s="1"/>
  <c r="O1183" i="5"/>
  <c r="N1183" i="5"/>
  <c r="AC1182" i="5"/>
  <c r="AD1182" i="5" s="1"/>
  <c r="AA1182" i="5"/>
  <c r="AB1182" i="5" s="1"/>
  <c r="Y1182" i="5"/>
  <c r="Z1182" i="5" s="1"/>
  <c r="W1182" i="5"/>
  <c r="X1182" i="5" s="1"/>
  <c r="Q1182" i="5"/>
  <c r="R1182" i="5" s="1"/>
  <c r="S1182" i="5" s="1"/>
  <c r="T1182" i="5" s="1"/>
  <c r="U1182" i="5" s="1"/>
  <c r="V1182" i="5" s="1"/>
  <c r="P1182" i="5"/>
  <c r="AE1182" i="5" s="1"/>
  <c r="AF1182" i="5" s="1"/>
  <c r="O1182" i="5"/>
  <c r="N1182" i="5"/>
  <c r="AC1181" i="5"/>
  <c r="AD1181" i="5" s="1"/>
  <c r="AA1181" i="5"/>
  <c r="AB1181" i="5" s="1"/>
  <c r="Y1181" i="5"/>
  <c r="Z1181" i="5" s="1"/>
  <c r="W1181" i="5"/>
  <c r="X1181" i="5" s="1"/>
  <c r="Q1181" i="5"/>
  <c r="R1181" i="5" s="1"/>
  <c r="S1181" i="5" s="1"/>
  <c r="T1181" i="5" s="1"/>
  <c r="U1181" i="5" s="1"/>
  <c r="V1181" i="5" s="1"/>
  <c r="P1181" i="5"/>
  <c r="AE1181" i="5" s="1"/>
  <c r="AF1181" i="5" s="1"/>
  <c r="O1181" i="5"/>
  <c r="N1181" i="5"/>
  <c r="AC1180" i="5"/>
  <c r="AD1180" i="5" s="1"/>
  <c r="AA1180" i="5"/>
  <c r="AB1180" i="5" s="1"/>
  <c r="Y1180" i="5"/>
  <c r="Z1180" i="5" s="1"/>
  <c r="W1180" i="5"/>
  <c r="X1180" i="5" s="1"/>
  <c r="Q1180" i="5"/>
  <c r="R1180" i="5" s="1"/>
  <c r="S1180" i="5" s="1"/>
  <c r="T1180" i="5" s="1"/>
  <c r="U1180" i="5" s="1"/>
  <c r="V1180" i="5" s="1"/>
  <c r="P1180" i="5"/>
  <c r="AE1180" i="5" s="1"/>
  <c r="AF1180" i="5" s="1"/>
  <c r="O1180" i="5"/>
  <c r="N1180" i="5"/>
  <c r="AC1179" i="5"/>
  <c r="AD1179" i="5" s="1"/>
  <c r="AA1179" i="5"/>
  <c r="AB1179" i="5" s="1"/>
  <c r="Y1179" i="5"/>
  <c r="Z1179" i="5" s="1"/>
  <c r="W1179" i="5"/>
  <c r="X1179" i="5" s="1"/>
  <c r="Q1179" i="5"/>
  <c r="R1179" i="5" s="1"/>
  <c r="S1179" i="5" s="1"/>
  <c r="T1179" i="5" s="1"/>
  <c r="U1179" i="5" s="1"/>
  <c r="V1179" i="5" s="1"/>
  <c r="P1179" i="5"/>
  <c r="AE1179" i="5" s="1"/>
  <c r="AF1179" i="5" s="1"/>
  <c r="O1179" i="5"/>
  <c r="N1179" i="5"/>
  <c r="AC1178" i="5"/>
  <c r="AD1178" i="5" s="1"/>
  <c r="AA1178" i="5"/>
  <c r="AB1178" i="5" s="1"/>
  <c r="Y1178" i="5"/>
  <c r="Z1178" i="5" s="1"/>
  <c r="W1178" i="5"/>
  <c r="X1178" i="5" s="1"/>
  <c r="Q1178" i="5"/>
  <c r="R1178" i="5" s="1"/>
  <c r="S1178" i="5" s="1"/>
  <c r="T1178" i="5" s="1"/>
  <c r="U1178" i="5" s="1"/>
  <c r="V1178" i="5" s="1"/>
  <c r="P1178" i="5"/>
  <c r="AE1178" i="5" s="1"/>
  <c r="AF1178" i="5" s="1"/>
  <c r="O1178" i="5"/>
  <c r="N1178" i="5"/>
  <c r="AC1177" i="5"/>
  <c r="AD1177" i="5" s="1"/>
  <c r="AA1177" i="5"/>
  <c r="AB1177" i="5" s="1"/>
  <c r="Y1177" i="5"/>
  <c r="Z1177" i="5" s="1"/>
  <c r="W1177" i="5"/>
  <c r="X1177" i="5" s="1"/>
  <c r="Q1177" i="5"/>
  <c r="R1177" i="5" s="1"/>
  <c r="S1177" i="5" s="1"/>
  <c r="T1177" i="5" s="1"/>
  <c r="U1177" i="5" s="1"/>
  <c r="V1177" i="5" s="1"/>
  <c r="P1177" i="5"/>
  <c r="AE1177" i="5" s="1"/>
  <c r="AF1177" i="5" s="1"/>
  <c r="O1177" i="5"/>
  <c r="N1177" i="5"/>
  <c r="AC1176" i="5"/>
  <c r="AD1176" i="5" s="1"/>
  <c r="AA1176" i="5"/>
  <c r="AB1176" i="5" s="1"/>
  <c r="Y1176" i="5"/>
  <c r="Z1176" i="5" s="1"/>
  <c r="W1176" i="5"/>
  <c r="X1176" i="5" s="1"/>
  <c r="Q1176" i="5"/>
  <c r="R1176" i="5" s="1"/>
  <c r="S1176" i="5" s="1"/>
  <c r="T1176" i="5" s="1"/>
  <c r="U1176" i="5" s="1"/>
  <c r="V1176" i="5" s="1"/>
  <c r="P1176" i="5"/>
  <c r="AE1176" i="5" s="1"/>
  <c r="AF1176" i="5" s="1"/>
  <c r="O1176" i="5"/>
  <c r="N1176" i="5"/>
  <c r="AC1175" i="5"/>
  <c r="AD1175" i="5" s="1"/>
  <c r="AA1175" i="5"/>
  <c r="AB1175" i="5" s="1"/>
  <c r="Y1175" i="5"/>
  <c r="Z1175" i="5" s="1"/>
  <c r="W1175" i="5"/>
  <c r="X1175" i="5" s="1"/>
  <c r="Q1175" i="5"/>
  <c r="R1175" i="5" s="1"/>
  <c r="S1175" i="5" s="1"/>
  <c r="T1175" i="5" s="1"/>
  <c r="U1175" i="5" s="1"/>
  <c r="V1175" i="5" s="1"/>
  <c r="P1175" i="5"/>
  <c r="AE1175" i="5" s="1"/>
  <c r="AF1175" i="5" s="1"/>
  <c r="O1175" i="5"/>
  <c r="N1175" i="5"/>
  <c r="AC1174" i="5"/>
  <c r="AD1174" i="5" s="1"/>
  <c r="AA1174" i="5"/>
  <c r="AB1174" i="5" s="1"/>
  <c r="Y1174" i="5"/>
  <c r="Z1174" i="5" s="1"/>
  <c r="W1174" i="5"/>
  <c r="X1174" i="5" s="1"/>
  <c r="Q1174" i="5"/>
  <c r="R1174" i="5" s="1"/>
  <c r="S1174" i="5" s="1"/>
  <c r="T1174" i="5" s="1"/>
  <c r="U1174" i="5" s="1"/>
  <c r="V1174" i="5" s="1"/>
  <c r="P1174" i="5"/>
  <c r="AE1174" i="5" s="1"/>
  <c r="AF1174" i="5" s="1"/>
  <c r="O1174" i="5"/>
  <c r="N1174" i="5"/>
  <c r="AC1173" i="5"/>
  <c r="AD1173" i="5" s="1"/>
  <c r="AA1173" i="5"/>
  <c r="AB1173" i="5" s="1"/>
  <c r="Y1173" i="5"/>
  <c r="Z1173" i="5" s="1"/>
  <c r="W1173" i="5"/>
  <c r="X1173" i="5" s="1"/>
  <c r="Q1173" i="5"/>
  <c r="R1173" i="5" s="1"/>
  <c r="S1173" i="5" s="1"/>
  <c r="T1173" i="5" s="1"/>
  <c r="U1173" i="5" s="1"/>
  <c r="V1173" i="5" s="1"/>
  <c r="P1173" i="5"/>
  <c r="AE1173" i="5" s="1"/>
  <c r="AF1173" i="5" s="1"/>
  <c r="O1173" i="5"/>
  <c r="N1173" i="5"/>
  <c r="AC1172" i="5"/>
  <c r="AD1172" i="5" s="1"/>
  <c r="AA1172" i="5"/>
  <c r="AB1172" i="5" s="1"/>
  <c r="Y1172" i="5"/>
  <c r="Z1172" i="5" s="1"/>
  <c r="W1172" i="5"/>
  <c r="X1172" i="5" s="1"/>
  <c r="Q1172" i="5"/>
  <c r="R1172" i="5" s="1"/>
  <c r="S1172" i="5" s="1"/>
  <c r="T1172" i="5" s="1"/>
  <c r="U1172" i="5" s="1"/>
  <c r="V1172" i="5" s="1"/>
  <c r="P1172" i="5"/>
  <c r="AE1172" i="5" s="1"/>
  <c r="AF1172" i="5" s="1"/>
  <c r="O1172" i="5"/>
  <c r="N1172" i="5"/>
  <c r="AC1171" i="5"/>
  <c r="AD1171" i="5" s="1"/>
  <c r="AA1171" i="5"/>
  <c r="AB1171" i="5" s="1"/>
  <c r="Y1171" i="5"/>
  <c r="Z1171" i="5" s="1"/>
  <c r="W1171" i="5"/>
  <c r="X1171" i="5" s="1"/>
  <c r="Q1171" i="5"/>
  <c r="R1171" i="5" s="1"/>
  <c r="S1171" i="5" s="1"/>
  <c r="T1171" i="5" s="1"/>
  <c r="U1171" i="5" s="1"/>
  <c r="V1171" i="5" s="1"/>
  <c r="P1171" i="5"/>
  <c r="AE1171" i="5" s="1"/>
  <c r="AF1171" i="5" s="1"/>
  <c r="O1171" i="5"/>
  <c r="N1171" i="5"/>
  <c r="AC1170" i="5"/>
  <c r="AD1170" i="5" s="1"/>
  <c r="AA1170" i="5"/>
  <c r="AB1170" i="5" s="1"/>
  <c r="Y1170" i="5"/>
  <c r="Z1170" i="5" s="1"/>
  <c r="W1170" i="5"/>
  <c r="X1170" i="5" s="1"/>
  <c r="Q1170" i="5"/>
  <c r="R1170" i="5" s="1"/>
  <c r="S1170" i="5" s="1"/>
  <c r="T1170" i="5" s="1"/>
  <c r="U1170" i="5" s="1"/>
  <c r="V1170" i="5" s="1"/>
  <c r="P1170" i="5"/>
  <c r="AE1170" i="5" s="1"/>
  <c r="AF1170" i="5" s="1"/>
  <c r="O1170" i="5"/>
  <c r="N1170" i="5"/>
  <c r="AC1169" i="5"/>
  <c r="AD1169" i="5" s="1"/>
  <c r="AA1169" i="5"/>
  <c r="AB1169" i="5" s="1"/>
  <c r="Y1169" i="5"/>
  <c r="Z1169" i="5" s="1"/>
  <c r="W1169" i="5"/>
  <c r="X1169" i="5" s="1"/>
  <c r="Q1169" i="5"/>
  <c r="R1169" i="5" s="1"/>
  <c r="S1169" i="5" s="1"/>
  <c r="T1169" i="5" s="1"/>
  <c r="U1169" i="5" s="1"/>
  <c r="V1169" i="5" s="1"/>
  <c r="P1169" i="5"/>
  <c r="AE1169" i="5" s="1"/>
  <c r="AF1169" i="5" s="1"/>
  <c r="O1169" i="5"/>
  <c r="N1169" i="5"/>
  <c r="AC1168" i="5"/>
  <c r="AD1168" i="5" s="1"/>
  <c r="AA1168" i="5"/>
  <c r="AB1168" i="5" s="1"/>
  <c r="Y1168" i="5"/>
  <c r="Z1168" i="5" s="1"/>
  <c r="W1168" i="5"/>
  <c r="X1168" i="5" s="1"/>
  <c r="Q1168" i="5"/>
  <c r="R1168" i="5" s="1"/>
  <c r="S1168" i="5" s="1"/>
  <c r="T1168" i="5" s="1"/>
  <c r="U1168" i="5" s="1"/>
  <c r="V1168" i="5" s="1"/>
  <c r="P1168" i="5"/>
  <c r="AE1168" i="5" s="1"/>
  <c r="AF1168" i="5" s="1"/>
  <c r="O1168" i="5"/>
  <c r="N1168" i="5"/>
  <c r="AC1167" i="5"/>
  <c r="AD1167" i="5" s="1"/>
  <c r="AA1167" i="5"/>
  <c r="AB1167" i="5" s="1"/>
  <c r="Y1167" i="5"/>
  <c r="Z1167" i="5" s="1"/>
  <c r="W1167" i="5"/>
  <c r="X1167" i="5" s="1"/>
  <c r="Q1167" i="5"/>
  <c r="R1167" i="5" s="1"/>
  <c r="S1167" i="5" s="1"/>
  <c r="T1167" i="5" s="1"/>
  <c r="U1167" i="5" s="1"/>
  <c r="V1167" i="5" s="1"/>
  <c r="P1167" i="5"/>
  <c r="AE1167" i="5" s="1"/>
  <c r="AF1167" i="5" s="1"/>
  <c r="O1167" i="5"/>
  <c r="N1167" i="5"/>
  <c r="AC1166" i="5"/>
  <c r="AD1166" i="5" s="1"/>
  <c r="AA1166" i="5"/>
  <c r="AB1166" i="5" s="1"/>
  <c r="Y1166" i="5"/>
  <c r="Z1166" i="5" s="1"/>
  <c r="W1166" i="5"/>
  <c r="X1166" i="5" s="1"/>
  <c r="Q1166" i="5"/>
  <c r="R1166" i="5" s="1"/>
  <c r="S1166" i="5" s="1"/>
  <c r="T1166" i="5" s="1"/>
  <c r="U1166" i="5" s="1"/>
  <c r="V1166" i="5" s="1"/>
  <c r="P1166" i="5"/>
  <c r="AE1166" i="5" s="1"/>
  <c r="AF1166" i="5" s="1"/>
  <c r="O1166" i="5"/>
  <c r="N1166" i="5"/>
  <c r="AC1165" i="5"/>
  <c r="AD1165" i="5" s="1"/>
  <c r="AA1165" i="5"/>
  <c r="AB1165" i="5" s="1"/>
  <c r="Y1165" i="5"/>
  <c r="Z1165" i="5" s="1"/>
  <c r="W1165" i="5"/>
  <c r="X1165" i="5" s="1"/>
  <c r="Q1165" i="5"/>
  <c r="R1165" i="5" s="1"/>
  <c r="S1165" i="5" s="1"/>
  <c r="T1165" i="5" s="1"/>
  <c r="U1165" i="5" s="1"/>
  <c r="V1165" i="5" s="1"/>
  <c r="P1165" i="5"/>
  <c r="AE1165" i="5" s="1"/>
  <c r="AF1165" i="5" s="1"/>
  <c r="O1165" i="5"/>
  <c r="N1165" i="5"/>
  <c r="AC1164" i="5"/>
  <c r="AD1164" i="5" s="1"/>
  <c r="AA1164" i="5"/>
  <c r="AB1164" i="5" s="1"/>
  <c r="Y1164" i="5"/>
  <c r="Z1164" i="5" s="1"/>
  <c r="W1164" i="5"/>
  <c r="X1164" i="5" s="1"/>
  <c r="Q1164" i="5"/>
  <c r="R1164" i="5" s="1"/>
  <c r="S1164" i="5" s="1"/>
  <c r="T1164" i="5" s="1"/>
  <c r="U1164" i="5" s="1"/>
  <c r="V1164" i="5" s="1"/>
  <c r="P1164" i="5"/>
  <c r="AE1164" i="5" s="1"/>
  <c r="AF1164" i="5" s="1"/>
  <c r="O1164" i="5"/>
  <c r="N1164" i="5"/>
  <c r="AC1163" i="5"/>
  <c r="AD1163" i="5" s="1"/>
  <c r="AA1163" i="5"/>
  <c r="AB1163" i="5" s="1"/>
  <c r="Y1163" i="5"/>
  <c r="Z1163" i="5" s="1"/>
  <c r="W1163" i="5"/>
  <c r="X1163" i="5" s="1"/>
  <c r="Q1163" i="5"/>
  <c r="R1163" i="5" s="1"/>
  <c r="S1163" i="5" s="1"/>
  <c r="T1163" i="5" s="1"/>
  <c r="U1163" i="5" s="1"/>
  <c r="V1163" i="5" s="1"/>
  <c r="P1163" i="5"/>
  <c r="AE1163" i="5" s="1"/>
  <c r="AF1163" i="5" s="1"/>
  <c r="O1163" i="5"/>
  <c r="N1163" i="5"/>
  <c r="AC1162" i="5"/>
  <c r="AD1162" i="5" s="1"/>
  <c r="AA1162" i="5"/>
  <c r="AB1162" i="5" s="1"/>
  <c r="Y1162" i="5"/>
  <c r="Z1162" i="5" s="1"/>
  <c r="W1162" i="5"/>
  <c r="X1162" i="5" s="1"/>
  <c r="Q1162" i="5"/>
  <c r="R1162" i="5" s="1"/>
  <c r="S1162" i="5" s="1"/>
  <c r="T1162" i="5" s="1"/>
  <c r="U1162" i="5" s="1"/>
  <c r="V1162" i="5" s="1"/>
  <c r="P1162" i="5"/>
  <c r="AE1162" i="5" s="1"/>
  <c r="AF1162" i="5" s="1"/>
  <c r="O1162" i="5"/>
  <c r="N1162" i="5"/>
  <c r="AC1161" i="5"/>
  <c r="AD1161" i="5" s="1"/>
  <c r="AA1161" i="5"/>
  <c r="AB1161" i="5" s="1"/>
  <c r="Y1161" i="5"/>
  <c r="Z1161" i="5" s="1"/>
  <c r="W1161" i="5"/>
  <c r="X1161" i="5" s="1"/>
  <c r="Q1161" i="5"/>
  <c r="R1161" i="5" s="1"/>
  <c r="S1161" i="5" s="1"/>
  <c r="T1161" i="5" s="1"/>
  <c r="U1161" i="5" s="1"/>
  <c r="V1161" i="5" s="1"/>
  <c r="P1161" i="5"/>
  <c r="AE1161" i="5" s="1"/>
  <c r="AF1161" i="5" s="1"/>
  <c r="O1161" i="5"/>
  <c r="N1161" i="5"/>
  <c r="AC1160" i="5"/>
  <c r="AD1160" i="5" s="1"/>
  <c r="AA1160" i="5"/>
  <c r="AB1160" i="5" s="1"/>
  <c r="Y1160" i="5"/>
  <c r="Z1160" i="5" s="1"/>
  <c r="W1160" i="5"/>
  <c r="X1160" i="5" s="1"/>
  <c r="Q1160" i="5"/>
  <c r="R1160" i="5" s="1"/>
  <c r="S1160" i="5" s="1"/>
  <c r="T1160" i="5" s="1"/>
  <c r="U1160" i="5" s="1"/>
  <c r="V1160" i="5" s="1"/>
  <c r="P1160" i="5"/>
  <c r="AE1160" i="5" s="1"/>
  <c r="AF1160" i="5" s="1"/>
  <c r="O1160" i="5"/>
  <c r="N1160" i="5"/>
  <c r="AC1159" i="5"/>
  <c r="AD1159" i="5" s="1"/>
  <c r="AA1159" i="5"/>
  <c r="AB1159" i="5" s="1"/>
  <c r="Y1159" i="5"/>
  <c r="Z1159" i="5" s="1"/>
  <c r="W1159" i="5"/>
  <c r="X1159" i="5" s="1"/>
  <c r="Q1159" i="5"/>
  <c r="R1159" i="5" s="1"/>
  <c r="S1159" i="5" s="1"/>
  <c r="T1159" i="5" s="1"/>
  <c r="U1159" i="5" s="1"/>
  <c r="V1159" i="5" s="1"/>
  <c r="P1159" i="5"/>
  <c r="AE1159" i="5" s="1"/>
  <c r="AF1159" i="5" s="1"/>
  <c r="O1159" i="5"/>
  <c r="N1159" i="5"/>
  <c r="AC1158" i="5"/>
  <c r="AD1158" i="5" s="1"/>
  <c r="AA1158" i="5"/>
  <c r="AB1158" i="5" s="1"/>
  <c r="Y1158" i="5"/>
  <c r="Z1158" i="5" s="1"/>
  <c r="W1158" i="5"/>
  <c r="X1158" i="5" s="1"/>
  <c r="Q1158" i="5"/>
  <c r="R1158" i="5" s="1"/>
  <c r="S1158" i="5" s="1"/>
  <c r="T1158" i="5" s="1"/>
  <c r="U1158" i="5" s="1"/>
  <c r="V1158" i="5" s="1"/>
  <c r="P1158" i="5"/>
  <c r="AE1158" i="5" s="1"/>
  <c r="AF1158" i="5" s="1"/>
  <c r="O1158" i="5"/>
  <c r="N1158" i="5"/>
  <c r="AC1157" i="5"/>
  <c r="AD1157" i="5" s="1"/>
  <c r="AA1157" i="5"/>
  <c r="AB1157" i="5" s="1"/>
  <c r="Y1157" i="5"/>
  <c r="Z1157" i="5" s="1"/>
  <c r="W1157" i="5"/>
  <c r="X1157" i="5" s="1"/>
  <c r="Q1157" i="5"/>
  <c r="R1157" i="5" s="1"/>
  <c r="S1157" i="5" s="1"/>
  <c r="T1157" i="5" s="1"/>
  <c r="U1157" i="5" s="1"/>
  <c r="V1157" i="5" s="1"/>
  <c r="P1157" i="5"/>
  <c r="AE1157" i="5" s="1"/>
  <c r="AF1157" i="5" s="1"/>
  <c r="O1157" i="5"/>
  <c r="N1157" i="5"/>
  <c r="AC1156" i="5"/>
  <c r="AD1156" i="5" s="1"/>
  <c r="AA1156" i="5"/>
  <c r="AB1156" i="5" s="1"/>
  <c r="Y1156" i="5"/>
  <c r="Z1156" i="5" s="1"/>
  <c r="W1156" i="5"/>
  <c r="X1156" i="5" s="1"/>
  <c r="Q1156" i="5"/>
  <c r="R1156" i="5" s="1"/>
  <c r="S1156" i="5" s="1"/>
  <c r="T1156" i="5" s="1"/>
  <c r="U1156" i="5" s="1"/>
  <c r="V1156" i="5" s="1"/>
  <c r="P1156" i="5"/>
  <c r="AE1156" i="5" s="1"/>
  <c r="AF1156" i="5" s="1"/>
  <c r="O1156" i="5"/>
  <c r="N1156" i="5"/>
  <c r="AC1155" i="5"/>
  <c r="AD1155" i="5" s="1"/>
  <c r="AA1155" i="5"/>
  <c r="AB1155" i="5" s="1"/>
  <c r="Y1155" i="5"/>
  <c r="Z1155" i="5" s="1"/>
  <c r="W1155" i="5"/>
  <c r="X1155" i="5" s="1"/>
  <c r="Q1155" i="5"/>
  <c r="R1155" i="5" s="1"/>
  <c r="S1155" i="5" s="1"/>
  <c r="T1155" i="5" s="1"/>
  <c r="U1155" i="5" s="1"/>
  <c r="V1155" i="5" s="1"/>
  <c r="P1155" i="5"/>
  <c r="AE1155" i="5" s="1"/>
  <c r="AF1155" i="5" s="1"/>
  <c r="O1155" i="5"/>
  <c r="N1155" i="5"/>
  <c r="AC1154" i="5"/>
  <c r="AD1154" i="5" s="1"/>
  <c r="AA1154" i="5"/>
  <c r="AB1154" i="5" s="1"/>
  <c r="Y1154" i="5"/>
  <c r="Z1154" i="5" s="1"/>
  <c r="W1154" i="5"/>
  <c r="X1154" i="5" s="1"/>
  <c r="Q1154" i="5"/>
  <c r="R1154" i="5" s="1"/>
  <c r="S1154" i="5" s="1"/>
  <c r="T1154" i="5" s="1"/>
  <c r="U1154" i="5" s="1"/>
  <c r="V1154" i="5" s="1"/>
  <c r="P1154" i="5"/>
  <c r="AE1154" i="5" s="1"/>
  <c r="AF1154" i="5" s="1"/>
  <c r="O1154" i="5"/>
  <c r="N1154" i="5"/>
  <c r="AC1153" i="5"/>
  <c r="AD1153" i="5" s="1"/>
  <c r="AA1153" i="5"/>
  <c r="AB1153" i="5" s="1"/>
  <c r="Y1153" i="5"/>
  <c r="Z1153" i="5" s="1"/>
  <c r="W1153" i="5"/>
  <c r="X1153" i="5" s="1"/>
  <c r="Q1153" i="5"/>
  <c r="R1153" i="5" s="1"/>
  <c r="S1153" i="5" s="1"/>
  <c r="T1153" i="5" s="1"/>
  <c r="U1153" i="5" s="1"/>
  <c r="V1153" i="5" s="1"/>
  <c r="P1153" i="5"/>
  <c r="AE1153" i="5" s="1"/>
  <c r="AF1153" i="5" s="1"/>
  <c r="O1153" i="5"/>
  <c r="N1153" i="5"/>
  <c r="AC1152" i="5"/>
  <c r="AD1152" i="5" s="1"/>
  <c r="AA1152" i="5"/>
  <c r="AB1152" i="5" s="1"/>
  <c r="Y1152" i="5"/>
  <c r="Z1152" i="5" s="1"/>
  <c r="W1152" i="5"/>
  <c r="X1152" i="5" s="1"/>
  <c r="Q1152" i="5"/>
  <c r="R1152" i="5" s="1"/>
  <c r="S1152" i="5" s="1"/>
  <c r="T1152" i="5" s="1"/>
  <c r="U1152" i="5" s="1"/>
  <c r="V1152" i="5" s="1"/>
  <c r="P1152" i="5"/>
  <c r="AE1152" i="5" s="1"/>
  <c r="AF1152" i="5" s="1"/>
  <c r="O1152" i="5"/>
  <c r="N1152" i="5"/>
  <c r="AC1151" i="5"/>
  <c r="AD1151" i="5" s="1"/>
  <c r="AA1151" i="5"/>
  <c r="AB1151" i="5" s="1"/>
  <c r="Y1151" i="5"/>
  <c r="Z1151" i="5" s="1"/>
  <c r="W1151" i="5"/>
  <c r="X1151" i="5" s="1"/>
  <c r="Q1151" i="5"/>
  <c r="R1151" i="5" s="1"/>
  <c r="S1151" i="5" s="1"/>
  <c r="T1151" i="5" s="1"/>
  <c r="U1151" i="5" s="1"/>
  <c r="V1151" i="5" s="1"/>
  <c r="P1151" i="5"/>
  <c r="AE1151" i="5" s="1"/>
  <c r="AF1151" i="5" s="1"/>
  <c r="O1151" i="5"/>
  <c r="N1151" i="5"/>
  <c r="AC1150" i="5"/>
  <c r="AD1150" i="5" s="1"/>
  <c r="AA1150" i="5"/>
  <c r="AB1150" i="5" s="1"/>
  <c r="Y1150" i="5"/>
  <c r="Z1150" i="5" s="1"/>
  <c r="W1150" i="5"/>
  <c r="X1150" i="5" s="1"/>
  <c r="Q1150" i="5"/>
  <c r="R1150" i="5" s="1"/>
  <c r="S1150" i="5" s="1"/>
  <c r="T1150" i="5" s="1"/>
  <c r="U1150" i="5" s="1"/>
  <c r="V1150" i="5" s="1"/>
  <c r="P1150" i="5"/>
  <c r="AE1150" i="5" s="1"/>
  <c r="AF1150" i="5" s="1"/>
  <c r="O1150" i="5"/>
  <c r="N1150" i="5"/>
  <c r="AC1149" i="5"/>
  <c r="AD1149" i="5" s="1"/>
  <c r="AA1149" i="5"/>
  <c r="AB1149" i="5" s="1"/>
  <c r="Y1149" i="5"/>
  <c r="Z1149" i="5" s="1"/>
  <c r="W1149" i="5"/>
  <c r="X1149" i="5" s="1"/>
  <c r="Q1149" i="5"/>
  <c r="R1149" i="5" s="1"/>
  <c r="S1149" i="5" s="1"/>
  <c r="T1149" i="5" s="1"/>
  <c r="U1149" i="5" s="1"/>
  <c r="V1149" i="5" s="1"/>
  <c r="P1149" i="5"/>
  <c r="AE1149" i="5" s="1"/>
  <c r="AF1149" i="5" s="1"/>
  <c r="O1149" i="5"/>
  <c r="N1149" i="5"/>
  <c r="AC1148" i="5"/>
  <c r="AD1148" i="5" s="1"/>
  <c r="AA1148" i="5"/>
  <c r="AB1148" i="5" s="1"/>
  <c r="Y1148" i="5"/>
  <c r="Z1148" i="5" s="1"/>
  <c r="W1148" i="5"/>
  <c r="X1148" i="5" s="1"/>
  <c r="Q1148" i="5"/>
  <c r="R1148" i="5" s="1"/>
  <c r="S1148" i="5" s="1"/>
  <c r="T1148" i="5" s="1"/>
  <c r="U1148" i="5" s="1"/>
  <c r="V1148" i="5" s="1"/>
  <c r="P1148" i="5"/>
  <c r="AE1148" i="5" s="1"/>
  <c r="AF1148" i="5" s="1"/>
  <c r="O1148" i="5"/>
  <c r="N1148" i="5"/>
  <c r="AC1147" i="5"/>
  <c r="AD1147" i="5" s="1"/>
  <c r="AA1147" i="5"/>
  <c r="AB1147" i="5" s="1"/>
  <c r="Y1147" i="5"/>
  <c r="Z1147" i="5" s="1"/>
  <c r="W1147" i="5"/>
  <c r="X1147" i="5" s="1"/>
  <c r="Q1147" i="5"/>
  <c r="R1147" i="5" s="1"/>
  <c r="S1147" i="5" s="1"/>
  <c r="T1147" i="5" s="1"/>
  <c r="U1147" i="5" s="1"/>
  <c r="V1147" i="5" s="1"/>
  <c r="P1147" i="5"/>
  <c r="AE1147" i="5" s="1"/>
  <c r="AF1147" i="5" s="1"/>
  <c r="O1147" i="5"/>
  <c r="N1147" i="5"/>
  <c r="AC1146" i="5"/>
  <c r="AD1146" i="5" s="1"/>
  <c r="AA1146" i="5"/>
  <c r="AB1146" i="5" s="1"/>
  <c r="Y1146" i="5"/>
  <c r="Z1146" i="5" s="1"/>
  <c r="W1146" i="5"/>
  <c r="X1146" i="5" s="1"/>
  <c r="Q1146" i="5"/>
  <c r="R1146" i="5" s="1"/>
  <c r="S1146" i="5" s="1"/>
  <c r="T1146" i="5" s="1"/>
  <c r="U1146" i="5" s="1"/>
  <c r="V1146" i="5" s="1"/>
  <c r="P1146" i="5"/>
  <c r="AE1146" i="5" s="1"/>
  <c r="AF1146" i="5" s="1"/>
  <c r="O1146" i="5"/>
  <c r="N1146" i="5"/>
  <c r="AC1145" i="5"/>
  <c r="AD1145" i="5" s="1"/>
  <c r="AA1145" i="5"/>
  <c r="AB1145" i="5" s="1"/>
  <c r="Y1145" i="5"/>
  <c r="Z1145" i="5" s="1"/>
  <c r="W1145" i="5"/>
  <c r="X1145" i="5" s="1"/>
  <c r="Q1145" i="5"/>
  <c r="R1145" i="5" s="1"/>
  <c r="S1145" i="5" s="1"/>
  <c r="T1145" i="5" s="1"/>
  <c r="U1145" i="5" s="1"/>
  <c r="V1145" i="5" s="1"/>
  <c r="P1145" i="5"/>
  <c r="AE1145" i="5" s="1"/>
  <c r="AF1145" i="5" s="1"/>
  <c r="O1145" i="5"/>
  <c r="N1145" i="5"/>
  <c r="AC1144" i="5"/>
  <c r="AD1144" i="5" s="1"/>
  <c r="AA1144" i="5"/>
  <c r="AB1144" i="5" s="1"/>
  <c r="Y1144" i="5"/>
  <c r="Z1144" i="5" s="1"/>
  <c r="W1144" i="5"/>
  <c r="X1144" i="5" s="1"/>
  <c r="Q1144" i="5"/>
  <c r="R1144" i="5" s="1"/>
  <c r="S1144" i="5" s="1"/>
  <c r="T1144" i="5" s="1"/>
  <c r="U1144" i="5" s="1"/>
  <c r="V1144" i="5" s="1"/>
  <c r="P1144" i="5"/>
  <c r="AE1144" i="5" s="1"/>
  <c r="AF1144" i="5" s="1"/>
  <c r="O1144" i="5"/>
  <c r="N1144" i="5"/>
  <c r="AC1143" i="5"/>
  <c r="AD1143" i="5" s="1"/>
  <c r="AA1143" i="5"/>
  <c r="AB1143" i="5" s="1"/>
  <c r="Y1143" i="5"/>
  <c r="Z1143" i="5" s="1"/>
  <c r="W1143" i="5"/>
  <c r="X1143" i="5" s="1"/>
  <c r="Q1143" i="5"/>
  <c r="R1143" i="5" s="1"/>
  <c r="S1143" i="5" s="1"/>
  <c r="T1143" i="5" s="1"/>
  <c r="U1143" i="5" s="1"/>
  <c r="V1143" i="5" s="1"/>
  <c r="P1143" i="5"/>
  <c r="AE1143" i="5" s="1"/>
  <c r="AF1143" i="5" s="1"/>
  <c r="O1143" i="5"/>
  <c r="N1143" i="5"/>
  <c r="AC1142" i="5"/>
  <c r="AD1142" i="5" s="1"/>
  <c r="AA1142" i="5"/>
  <c r="AB1142" i="5" s="1"/>
  <c r="Y1142" i="5"/>
  <c r="Z1142" i="5" s="1"/>
  <c r="W1142" i="5"/>
  <c r="X1142" i="5" s="1"/>
  <c r="Q1142" i="5"/>
  <c r="R1142" i="5" s="1"/>
  <c r="S1142" i="5" s="1"/>
  <c r="T1142" i="5" s="1"/>
  <c r="U1142" i="5" s="1"/>
  <c r="V1142" i="5" s="1"/>
  <c r="P1142" i="5"/>
  <c r="AE1142" i="5" s="1"/>
  <c r="AF1142" i="5" s="1"/>
  <c r="O1142" i="5"/>
  <c r="N1142" i="5"/>
  <c r="AC1141" i="5"/>
  <c r="AD1141" i="5" s="1"/>
  <c r="AA1141" i="5"/>
  <c r="AB1141" i="5" s="1"/>
  <c r="Y1141" i="5"/>
  <c r="Z1141" i="5" s="1"/>
  <c r="W1141" i="5"/>
  <c r="X1141" i="5" s="1"/>
  <c r="Q1141" i="5"/>
  <c r="R1141" i="5" s="1"/>
  <c r="S1141" i="5" s="1"/>
  <c r="T1141" i="5" s="1"/>
  <c r="U1141" i="5" s="1"/>
  <c r="V1141" i="5" s="1"/>
  <c r="P1141" i="5"/>
  <c r="AE1141" i="5" s="1"/>
  <c r="AF1141" i="5" s="1"/>
  <c r="O1141" i="5"/>
  <c r="N1141" i="5"/>
  <c r="AC1140" i="5"/>
  <c r="AD1140" i="5" s="1"/>
  <c r="AA1140" i="5"/>
  <c r="AB1140" i="5" s="1"/>
  <c r="Y1140" i="5"/>
  <c r="Z1140" i="5" s="1"/>
  <c r="W1140" i="5"/>
  <c r="X1140" i="5" s="1"/>
  <c r="Q1140" i="5"/>
  <c r="R1140" i="5" s="1"/>
  <c r="S1140" i="5" s="1"/>
  <c r="T1140" i="5" s="1"/>
  <c r="U1140" i="5" s="1"/>
  <c r="V1140" i="5" s="1"/>
  <c r="P1140" i="5"/>
  <c r="AE1140" i="5" s="1"/>
  <c r="AF1140" i="5" s="1"/>
  <c r="O1140" i="5"/>
  <c r="N1140" i="5"/>
  <c r="AC1139" i="5"/>
  <c r="AD1139" i="5" s="1"/>
  <c r="AA1139" i="5"/>
  <c r="AB1139" i="5" s="1"/>
  <c r="Y1139" i="5"/>
  <c r="Z1139" i="5" s="1"/>
  <c r="W1139" i="5"/>
  <c r="X1139" i="5" s="1"/>
  <c r="Q1139" i="5"/>
  <c r="R1139" i="5" s="1"/>
  <c r="S1139" i="5" s="1"/>
  <c r="T1139" i="5" s="1"/>
  <c r="U1139" i="5" s="1"/>
  <c r="V1139" i="5" s="1"/>
  <c r="P1139" i="5"/>
  <c r="AE1139" i="5" s="1"/>
  <c r="AF1139" i="5" s="1"/>
  <c r="O1139" i="5"/>
  <c r="N1139" i="5"/>
  <c r="AC1138" i="5"/>
  <c r="AD1138" i="5" s="1"/>
  <c r="AA1138" i="5"/>
  <c r="AB1138" i="5" s="1"/>
  <c r="Y1138" i="5"/>
  <c r="Z1138" i="5" s="1"/>
  <c r="W1138" i="5"/>
  <c r="X1138" i="5" s="1"/>
  <c r="Q1138" i="5"/>
  <c r="R1138" i="5" s="1"/>
  <c r="S1138" i="5" s="1"/>
  <c r="T1138" i="5" s="1"/>
  <c r="U1138" i="5" s="1"/>
  <c r="V1138" i="5" s="1"/>
  <c r="P1138" i="5"/>
  <c r="AE1138" i="5" s="1"/>
  <c r="AF1138" i="5" s="1"/>
  <c r="O1138" i="5"/>
  <c r="N1138" i="5"/>
  <c r="AC1137" i="5"/>
  <c r="AD1137" i="5" s="1"/>
  <c r="AA1137" i="5"/>
  <c r="AB1137" i="5" s="1"/>
  <c r="Y1137" i="5"/>
  <c r="Z1137" i="5" s="1"/>
  <c r="W1137" i="5"/>
  <c r="X1137" i="5" s="1"/>
  <c r="Q1137" i="5"/>
  <c r="R1137" i="5" s="1"/>
  <c r="S1137" i="5" s="1"/>
  <c r="T1137" i="5" s="1"/>
  <c r="U1137" i="5" s="1"/>
  <c r="V1137" i="5" s="1"/>
  <c r="P1137" i="5"/>
  <c r="AE1137" i="5" s="1"/>
  <c r="AF1137" i="5" s="1"/>
  <c r="O1137" i="5"/>
  <c r="N1137" i="5"/>
  <c r="AC1136" i="5"/>
  <c r="AD1136" i="5" s="1"/>
  <c r="AA1136" i="5"/>
  <c r="AB1136" i="5" s="1"/>
  <c r="Y1136" i="5"/>
  <c r="Z1136" i="5" s="1"/>
  <c r="W1136" i="5"/>
  <c r="X1136" i="5" s="1"/>
  <c r="Q1136" i="5"/>
  <c r="R1136" i="5" s="1"/>
  <c r="S1136" i="5" s="1"/>
  <c r="T1136" i="5" s="1"/>
  <c r="U1136" i="5" s="1"/>
  <c r="V1136" i="5" s="1"/>
  <c r="P1136" i="5"/>
  <c r="AE1136" i="5" s="1"/>
  <c r="AF1136" i="5" s="1"/>
  <c r="O1136" i="5"/>
  <c r="N1136" i="5"/>
  <c r="AC1135" i="5"/>
  <c r="AD1135" i="5" s="1"/>
  <c r="AA1135" i="5"/>
  <c r="AB1135" i="5" s="1"/>
  <c r="Y1135" i="5"/>
  <c r="Z1135" i="5" s="1"/>
  <c r="W1135" i="5"/>
  <c r="X1135" i="5" s="1"/>
  <c r="Q1135" i="5"/>
  <c r="R1135" i="5" s="1"/>
  <c r="S1135" i="5" s="1"/>
  <c r="T1135" i="5" s="1"/>
  <c r="U1135" i="5" s="1"/>
  <c r="V1135" i="5" s="1"/>
  <c r="P1135" i="5"/>
  <c r="AE1135" i="5" s="1"/>
  <c r="AF1135" i="5" s="1"/>
  <c r="O1135" i="5"/>
  <c r="N1135" i="5"/>
  <c r="AC1134" i="5"/>
  <c r="AD1134" i="5" s="1"/>
  <c r="AA1134" i="5"/>
  <c r="AB1134" i="5" s="1"/>
  <c r="Y1134" i="5"/>
  <c r="Z1134" i="5" s="1"/>
  <c r="W1134" i="5"/>
  <c r="X1134" i="5" s="1"/>
  <c r="Q1134" i="5"/>
  <c r="R1134" i="5" s="1"/>
  <c r="S1134" i="5" s="1"/>
  <c r="T1134" i="5" s="1"/>
  <c r="U1134" i="5" s="1"/>
  <c r="V1134" i="5" s="1"/>
  <c r="P1134" i="5"/>
  <c r="AE1134" i="5" s="1"/>
  <c r="AF1134" i="5" s="1"/>
  <c r="O1134" i="5"/>
  <c r="N1134" i="5"/>
  <c r="AC1133" i="5"/>
  <c r="AD1133" i="5" s="1"/>
  <c r="AA1133" i="5"/>
  <c r="AB1133" i="5" s="1"/>
  <c r="Y1133" i="5"/>
  <c r="Z1133" i="5" s="1"/>
  <c r="W1133" i="5"/>
  <c r="X1133" i="5" s="1"/>
  <c r="Q1133" i="5"/>
  <c r="R1133" i="5" s="1"/>
  <c r="S1133" i="5" s="1"/>
  <c r="T1133" i="5" s="1"/>
  <c r="U1133" i="5" s="1"/>
  <c r="V1133" i="5" s="1"/>
  <c r="P1133" i="5"/>
  <c r="AE1133" i="5" s="1"/>
  <c r="AF1133" i="5" s="1"/>
  <c r="O1133" i="5"/>
  <c r="N1133" i="5"/>
  <c r="AC1132" i="5"/>
  <c r="AD1132" i="5" s="1"/>
  <c r="AA1132" i="5"/>
  <c r="AB1132" i="5" s="1"/>
  <c r="Y1132" i="5"/>
  <c r="Z1132" i="5" s="1"/>
  <c r="W1132" i="5"/>
  <c r="X1132" i="5" s="1"/>
  <c r="Q1132" i="5"/>
  <c r="R1132" i="5" s="1"/>
  <c r="S1132" i="5" s="1"/>
  <c r="T1132" i="5" s="1"/>
  <c r="U1132" i="5" s="1"/>
  <c r="V1132" i="5" s="1"/>
  <c r="P1132" i="5"/>
  <c r="AE1132" i="5" s="1"/>
  <c r="AF1132" i="5" s="1"/>
  <c r="O1132" i="5"/>
  <c r="N1132" i="5"/>
  <c r="AC1131" i="5"/>
  <c r="AD1131" i="5" s="1"/>
  <c r="AA1131" i="5"/>
  <c r="AB1131" i="5" s="1"/>
  <c r="Y1131" i="5"/>
  <c r="Z1131" i="5" s="1"/>
  <c r="W1131" i="5"/>
  <c r="X1131" i="5" s="1"/>
  <c r="Q1131" i="5"/>
  <c r="R1131" i="5" s="1"/>
  <c r="S1131" i="5" s="1"/>
  <c r="T1131" i="5" s="1"/>
  <c r="U1131" i="5" s="1"/>
  <c r="V1131" i="5" s="1"/>
  <c r="P1131" i="5"/>
  <c r="AE1131" i="5" s="1"/>
  <c r="AF1131" i="5" s="1"/>
  <c r="O1131" i="5"/>
  <c r="N1131" i="5"/>
  <c r="AC1130" i="5"/>
  <c r="AD1130" i="5" s="1"/>
  <c r="AA1130" i="5"/>
  <c r="AB1130" i="5" s="1"/>
  <c r="Y1130" i="5"/>
  <c r="Z1130" i="5" s="1"/>
  <c r="W1130" i="5"/>
  <c r="X1130" i="5" s="1"/>
  <c r="Q1130" i="5"/>
  <c r="R1130" i="5" s="1"/>
  <c r="S1130" i="5" s="1"/>
  <c r="T1130" i="5" s="1"/>
  <c r="U1130" i="5" s="1"/>
  <c r="V1130" i="5" s="1"/>
  <c r="P1130" i="5"/>
  <c r="AE1130" i="5" s="1"/>
  <c r="AF1130" i="5" s="1"/>
  <c r="O1130" i="5"/>
  <c r="N1130" i="5"/>
  <c r="AC1129" i="5"/>
  <c r="AD1129" i="5" s="1"/>
  <c r="AA1129" i="5"/>
  <c r="AB1129" i="5" s="1"/>
  <c r="Y1129" i="5"/>
  <c r="Z1129" i="5" s="1"/>
  <c r="W1129" i="5"/>
  <c r="X1129" i="5" s="1"/>
  <c r="Q1129" i="5"/>
  <c r="R1129" i="5" s="1"/>
  <c r="S1129" i="5" s="1"/>
  <c r="T1129" i="5" s="1"/>
  <c r="U1129" i="5" s="1"/>
  <c r="V1129" i="5" s="1"/>
  <c r="P1129" i="5"/>
  <c r="AE1129" i="5" s="1"/>
  <c r="AF1129" i="5" s="1"/>
  <c r="O1129" i="5"/>
  <c r="N1129" i="5"/>
  <c r="AC1128" i="5"/>
  <c r="AD1128" i="5" s="1"/>
  <c r="AA1128" i="5"/>
  <c r="AB1128" i="5" s="1"/>
  <c r="Y1128" i="5"/>
  <c r="Z1128" i="5" s="1"/>
  <c r="W1128" i="5"/>
  <c r="X1128" i="5" s="1"/>
  <c r="Q1128" i="5"/>
  <c r="R1128" i="5" s="1"/>
  <c r="S1128" i="5" s="1"/>
  <c r="T1128" i="5" s="1"/>
  <c r="U1128" i="5" s="1"/>
  <c r="V1128" i="5" s="1"/>
  <c r="P1128" i="5"/>
  <c r="AE1128" i="5" s="1"/>
  <c r="AF1128" i="5" s="1"/>
  <c r="O1128" i="5"/>
  <c r="N1128" i="5"/>
  <c r="AC1127" i="5"/>
  <c r="AD1127" i="5" s="1"/>
  <c r="AA1127" i="5"/>
  <c r="AB1127" i="5" s="1"/>
  <c r="Y1127" i="5"/>
  <c r="Z1127" i="5" s="1"/>
  <c r="W1127" i="5"/>
  <c r="X1127" i="5" s="1"/>
  <c r="Q1127" i="5"/>
  <c r="R1127" i="5" s="1"/>
  <c r="S1127" i="5" s="1"/>
  <c r="T1127" i="5" s="1"/>
  <c r="U1127" i="5" s="1"/>
  <c r="V1127" i="5" s="1"/>
  <c r="P1127" i="5"/>
  <c r="AE1127" i="5" s="1"/>
  <c r="AF1127" i="5" s="1"/>
  <c r="O1127" i="5"/>
  <c r="N1127" i="5"/>
  <c r="AC1126" i="5"/>
  <c r="AD1126" i="5" s="1"/>
  <c r="AA1126" i="5"/>
  <c r="AB1126" i="5" s="1"/>
  <c r="Y1126" i="5"/>
  <c r="Z1126" i="5" s="1"/>
  <c r="W1126" i="5"/>
  <c r="X1126" i="5" s="1"/>
  <c r="Q1126" i="5"/>
  <c r="R1126" i="5" s="1"/>
  <c r="S1126" i="5" s="1"/>
  <c r="T1126" i="5" s="1"/>
  <c r="U1126" i="5" s="1"/>
  <c r="V1126" i="5" s="1"/>
  <c r="P1126" i="5"/>
  <c r="AE1126" i="5" s="1"/>
  <c r="AF1126" i="5" s="1"/>
  <c r="O1126" i="5"/>
  <c r="N1126" i="5"/>
  <c r="AC1125" i="5"/>
  <c r="AD1125" i="5" s="1"/>
  <c r="AA1125" i="5"/>
  <c r="AB1125" i="5" s="1"/>
  <c r="Y1125" i="5"/>
  <c r="Z1125" i="5" s="1"/>
  <c r="W1125" i="5"/>
  <c r="X1125" i="5" s="1"/>
  <c r="Q1125" i="5"/>
  <c r="R1125" i="5" s="1"/>
  <c r="S1125" i="5" s="1"/>
  <c r="T1125" i="5" s="1"/>
  <c r="U1125" i="5" s="1"/>
  <c r="V1125" i="5" s="1"/>
  <c r="P1125" i="5"/>
  <c r="AE1125" i="5" s="1"/>
  <c r="AF1125" i="5" s="1"/>
  <c r="O1125" i="5"/>
  <c r="N1125" i="5"/>
  <c r="AC1124" i="5"/>
  <c r="AD1124" i="5" s="1"/>
  <c r="AA1124" i="5"/>
  <c r="AB1124" i="5" s="1"/>
  <c r="Y1124" i="5"/>
  <c r="Z1124" i="5" s="1"/>
  <c r="W1124" i="5"/>
  <c r="X1124" i="5" s="1"/>
  <c r="Q1124" i="5"/>
  <c r="R1124" i="5" s="1"/>
  <c r="S1124" i="5" s="1"/>
  <c r="T1124" i="5" s="1"/>
  <c r="U1124" i="5" s="1"/>
  <c r="V1124" i="5" s="1"/>
  <c r="P1124" i="5"/>
  <c r="AE1124" i="5" s="1"/>
  <c r="AF1124" i="5" s="1"/>
  <c r="O1124" i="5"/>
  <c r="N1124" i="5"/>
  <c r="AC1123" i="5"/>
  <c r="AD1123" i="5" s="1"/>
  <c r="AA1123" i="5"/>
  <c r="AB1123" i="5" s="1"/>
  <c r="Y1123" i="5"/>
  <c r="Z1123" i="5" s="1"/>
  <c r="W1123" i="5"/>
  <c r="X1123" i="5" s="1"/>
  <c r="Q1123" i="5"/>
  <c r="R1123" i="5" s="1"/>
  <c r="S1123" i="5" s="1"/>
  <c r="T1123" i="5" s="1"/>
  <c r="U1123" i="5" s="1"/>
  <c r="V1123" i="5" s="1"/>
  <c r="P1123" i="5"/>
  <c r="AE1123" i="5" s="1"/>
  <c r="AF1123" i="5" s="1"/>
  <c r="O1123" i="5"/>
  <c r="N1123" i="5"/>
  <c r="AC1122" i="5"/>
  <c r="AD1122" i="5" s="1"/>
  <c r="AA1122" i="5"/>
  <c r="AB1122" i="5" s="1"/>
  <c r="Y1122" i="5"/>
  <c r="Z1122" i="5" s="1"/>
  <c r="W1122" i="5"/>
  <c r="X1122" i="5" s="1"/>
  <c r="Q1122" i="5"/>
  <c r="R1122" i="5" s="1"/>
  <c r="S1122" i="5" s="1"/>
  <c r="T1122" i="5" s="1"/>
  <c r="U1122" i="5" s="1"/>
  <c r="V1122" i="5" s="1"/>
  <c r="P1122" i="5"/>
  <c r="AE1122" i="5" s="1"/>
  <c r="AF1122" i="5" s="1"/>
  <c r="O1122" i="5"/>
  <c r="N1122" i="5"/>
  <c r="AC1121" i="5"/>
  <c r="AD1121" i="5" s="1"/>
  <c r="AA1121" i="5"/>
  <c r="AB1121" i="5" s="1"/>
  <c r="Y1121" i="5"/>
  <c r="Z1121" i="5" s="1"/>
  <c r="W1121" i="5"/>
  <c r="X1121" i="5" s="1"/>
  <c r="Q1121" i="5"/>
  <c r="R1121" i="5" s="1"/>
  <c r="S1121" i="5" s="1"/>
  <c r="T1121" i="5" s="1"/>
  <c r="U1121" i="5" s="1"/>
  <c r="V1121" i="5" s="1"/>
  <c r="P1121" i="5"/>
  <c r="AE1121" i="5" s="1"/>
  <c r="AF1121" i="5" s="1"/>
  <c r="O1121" i="5"/>
  <c r="N1121" i="5"/>
  <c r="AC1120" i="5"/>
  <c r="AD1120" i="5" s="1"/>
  <c r="AA1120" i="5"/>
  <c r="AB1120" i="5" s="1"/>
  <c r="Y1120" i="5"/>
  <c r="Z1120" i="5" s="1"/>
  <c r="W1120" i="5"/>
  <c r="X1120" i="5" s="1"/>
  <c r="Q1120" i="5"/>
  <c r="R1120" i="5" s="1"/>
  <c r="S1120" i="5" s="1"/>
  <c r="T1120" i="5" s="1"/>
  <c r="U1120" i="5" s="1"/>
  <c r="V1120" i="5" s="1"/>
  <c r="P1120" i="5"/>
  <c r="AE1120" i="5" s="1"/>
  <c r="AF1120" i="5" s="1"/>
  <c r="O1120" i="5"/>
  <c r="N1120" i="5"/>
  <c r="AC1119" i="5"/>
  <c r="AD1119" i="5" s="1"/>
  <c r="AA1119" i="5"/>
  <c r="AB1119" i="5" s="1"/>
  <c r="Y1119" i="5"/>
  <c r="Z1119" i="5" s="1"/>
  <c r="W1119" i="5"/>
  <c r="X1119" i="5" s="1"/>
  <c r="Q1119" i="5"/>
  <c r="R1119" i="5" s="1"/>
  <c r="S1119" i="5" s="1"/>
  <c r="T1119" i="5" s="1"/>
  <c r="U1119" i="5" s="1"/>
  <c r="V1119" i="5" s="1"/>
  <c r="P1119" i="5"/>
  <c r="AE1119" i="5" s="1"/>
  <c r="AF1119" i="5" s="1"/>
  <c r="O1119" i="5"/>
  <c r="N1119" i="5"/>
  <c r="AC1118" i="5"/>
  <c r="AD1118" i="5" s="1"/>
  <c r="AA1118" i="5"/>
  <c r="AB1118" i="5" s="1"/>
  <c r="Y1118" i="5"/>
  <c r="Z1118" i="5" s="1"/>
  <c r="W1118" i="5"/>
  <c r="X1118" i="5" s="1"/>
  <c r="Q1118" i="5"/>
  <c r="R1118" i="5" s="1"/>
  <c r="S1118" i="5" s="1"/>
  <c r="T1118" i="5" s="1"/>
  <c r="U1118" i="5" s="1"/>
  <c r="V1118" i="5" s="1"/>
  <c r="P1118" i="5"/>
  <c r="AE1118" i="5" s="1"/>
  <c r="AF1118" i="5" s="1"/>
  <c r="O1118" i="5"/>
  <c r="N1118" i="5"/>
  <c r="AC1117" i="5"/>
  <c r="AD1117" i="5" s="1"/>
  <c r="AA1117" i="5"/>
  <c r="AB1117" i="5" s="1"/>
  <c r="Y1117" i="5"/>
  <c r="Z1117" i="5" s="1"/>
  <c r="W1117" i="5"/>
  <c r="X1117" i="5" s="1"/>
  <c r="Q1117" i="5"/>
  <c r="R1117" i="5" s="1"/>
  <c r="S1117" i="5" s="1"/>
  <c r="T1117" i="5" s="1"/>
  <c r="U1117" i="5" s="1"/>
  <c r="V1117" i="5" s="1"/>
  <c r="P1117" i="5"/>
  <c r="AE1117" i="5" s="1"/>
  <c r="AF1117" i="5" s="1"/>
  <c r="O1117" i="5"/>
  <c r="N1117" i="5"/>
  <c r="AC1116" i="5"/>
  <c r="AD1116" i="5" s="1"/>
  <c r="AA1116" i="5"/>
  <c r="AB1116" i="5" s="1"/>
  <c r="Y1116" i="5"/>
  <c r="Z1116" i="5" s="1"/>
  <c r="W1116" i="5"/>
  <c r="X1116" i="5" s="1"/>
  <c r="Q1116" i="5"/>
  <c r="R1116" i="5" s="1"/>
  <c r="S1116" i="5" s="1"/>
  <c r="T1116" i="5" s="1"/>
  <c r="U1116" i="5" s="1"/>
  <c r="V1116" i="5" s="1"/>
  <c r="P1116" i="5"/>
  <c r="AE1116" i="5" s="1"/>
  <c r="AF1116" i="5" s="1"/>
  <c r="O1116" i="5"/>
  <c r="N1116" i="5"/>
  <c r="AC1115" i="5"/>
  <c r="AD1115" i="5" s="1"/>
  <c r="AA1115" i="5"/>
  <c r="AB1115" i="5" s="1"/>
  <c r="Y1115" i="5"/>
  <c r="Z1115" i="5" s="1"/>
  <c r="W1115" i="5"/>
  <c r="X1115" i="5" s="1"/>
  <c r="Q1115" i="5"/>
  <c r="R1115" i="5" s="1"/>
  <c r="S1115" i="5" s="1"/>
  <c r="T1115" i="5" s="1"/>
  <c r="U1115" i="5" s="1"/>
  <c r="V1115" i="5" s="1"/>
  <c r="P1115" i="5"/>
  <c r="AE1115" i="5" s="1"/>
  <c r="AF1115" i="5" s="1"/>
  <c r="O1115" i="5"/>
  <c r="N1115" i="5"/>
  <c r="AC1114" i="5"/>
  <c r="AD1114" i="5" s="1"/>
  <c r="AA1114" i="5"/>
  <c r="AB1114" i="5" s="1"/>
  <c r="Y1114" i="5"/>
  <c r="Z1114" i="5" s="1"/>
  <c r="W1114" i="5"/>
  <c r="X1114" i="5" s="1"/>
  <c r="Q1114" i="5"/>
  <c r="R1114" i="5" s="1"/>
  <c r="S1114" i="5" s="1"/>
  <c r="T1114" i="5" s="1"/>
  <c r="U1114" i="5" s="1"/>
  <c r="V1114" i="5" s="1"/>
  <c r="P1114" i="5"/>
  <c r="AE1114" i="5" s="1"/>
  <c r="AF1114" i="5" s="1"/>
  <c r="O1114" i="5"/>
  <c r="N1114" i="5"/>
  <c r="AC1113" i="5"/>
  <c r="AD1113" i="5" s="1"/>
  <c r="AA1113" i="5"/>
  <c r="AB1113" i="5" s="1"/>
  <c r="Y1113" i="5"/>
  <c r="Z1113" i="5" s="1"/>
  <c r="W1113" i="5"/>
  <c r="X1113" i="5" s="1"/>
  <c r="Q1113" i="5"/>
  <c r="R1113" i="5" s="1"/>
  <c r="S1113" i="5" s="1"/>
  <c r="T1113" i="5" s="1"/>
  <c r="U1113" i="5" s="1"/>
  <c r="V1113" i="5" s="1"/>
  <c r="P1113" i="5"/>
  <c r="AE1113" i="5" s="1"/>
  <c r="AF1113" i="5" s="1"/>
  <c r="O1113" i="5"/>
  <c r="N1113" i="5"/>
  <c r="AC1112" i="5"/>
  <c r="AD1112" i="5" s="1"/>
  <c r="AA1112" i="5"/>
  <c r="AB1112" i="5" s="1"/>
  <c r="Y1112" i="5"/>
  <c r="Z1112" i="5" s="1"/>
  <c r="W1112" i="5"/>
  <c r="X1112" i="5" s="1"/>
  <c r="Q1112" i="5"/>
  <c r="R1112" i="5" s="1"/>
  <c r="S1112" i="5" s="1"/>
  <c r="T1112" i="5" s="1"/>
  <c r="U1112" i="5" s="1"/>
  <c r="V1112" i="5" s="1"/>
  <c r="P1112" i="5"/>
  <c r="AE1112" i="5" s="1"/>
  <c r="AF1112" i="5" s="1"/>
  <c r="O1112" i="5"/>
  <c r="N1112" i="5"/>
  <c r="AC1111" i="5"/>
  <c r="AD1111" i="5" s="1"/>
  <c r="AA1111" i="5"/>
  <c r="AB1111" i="5" s="1"/>
  <c r="Y1111" i="5"/>
  <c r="Z1111" i="5" s="1"/>
  <c r="W1111" i="5"/>
  <c r="X1111" i="5" s="1"/>
  <c r="Q1111" i="5"/>
  <c r="R1111" i="5" s="1"/>
  <c r="S1111" i="5" s="1"/>
  <c r="T1111" i="5" s="1"/>
  <c r="U1111" i="5" s="1"/>
  <c r="V1111" i="5" s="1"/>
  <c r="P1111" i="5"/>
  <c r="AE1111" i="5" s="1"/>
  <c r="AF1111" i="5" s="1"/>
  <c r="O1111" i="5"/>
  <c r="N1111" i="5"/>
  <c r="AC1110" i="5"/>
  <c r="AD1110" i="5" s="1"/>
  <c r="AA1110" i="5"/>
  <c r="AB1110" i="5" s="1"/>
  <c r="Y1110" i="5"/>
  <c r="Z1110" i="5" s="1"/>
  <c r="W1110" i="5"/>
  <c r="X1110" i="5" s="1"/>
  <c r="Q1110" i="5"/>
  <c r="R1110" i="5" s="1"/>
  <c r="S1110" i="5" s="1"/>
  <c r="T1110" i="5" s="1"/>
  <c r="U1110" i="5" s="1"/>
  <c r="V1110" i="5" s="1"/>
  <c r="P1110" i="5"/>
  <c r="AE1110" i="5" s="1"/>
  <c r="AF1110" i="5" s="1"/>
  <c r="O1110" i="5"/>
  <c r="N1110" i="5"/>
  <c r="AC1109" i="5"/>
  <c r="AD1109" i="5" s="1"/>
  <c r="AA1109" i="5"/>
  <c r="AB1109" i="5" s="1"/>
  <c r="Y1109" i="5"/>
  <c r="Z1109" i="5" s="1"/>
  <c r="W1109" i="5"/>
  <c r="X1109" i="5" s="1"/>
  <c r="Q1109" i="5"/>
  <c r="R1109" i="5" s="1"/>
  <c r="S1109" i="5" s="1"/>
  <c r="T1109" i="5" s="1"/>
  <c r="U1109" i="5" s="1"/>
  <c r="V1109" i="5" s="1"/>
  <c r="P1109" i="5"/>
  <c r="AE1109" i="5" s="1"/>
  <c r="AF1109" i="5" s="1"/>
  <c r="O1109" i="5"/>
  <c r="N1109" i="5"/>
  <c r="AC1108" i="5"/>
  <c r="AD1108" i="5" s="1"/>
  <c r="AA1108" i="5"/>
  <c r="AB1108" i="5" s="1"/>
  <c r="Y1108" i="5"/>
  <c r="Z1108" i="5" s="1"/>
  <c r="W1108" i="5"/>
  <c r="X1108" i="5" s="1"/>
  <c r="Q1108" i="5"/>
  <c r="R1108" i="5" s="1"/>
  <c r="S1108" i="5" s="1"/>
  <c r="T1108" i="5" s="1"/>
  <c r="U1108" i="5" s="1"/>
  <c r="V1108" i="5" s="1"/>
  <c r="P1108" i="5"/>
  <c r="AE1108" i="5" s="1"/>
  <c r="AF1108" i="5" s="1"/>
  <c r="O1108" i="5"/>
  <c r="N1108" i="5"/>
  <c r="AC1107" i="5"/>
  <c r="AD1107" i="5" s="1"/>
  <c r="AA1107" i="5"/>
  <c r="AB1107" i="5" s="1"/>
  <c r="Y1107" i="5"/>
  <c r="Z1107" i="5" s="1"/>
  <c r="W1107" i="5"/>
  <c r="X1107" i="5" s="1"/>
  <c r="Q1107" i="5"/>
  <c r="R1107" i="5" s="1"/>
  <c r="S1107" i="5" s="1"/>
  <c r="T1107" i="5" s="1"/>
  <c r="U1107" i="5" s="1"/>
  <c r="V1107" i="5" s="1"/>
  <c r="P1107" i="5"/>
  <c r="AE1107" i="5" s="1"/>
  <c r="AF1107" i="5" s="1"/>
  <c r="O1107" i="5"/>
  <c r="N1107" i="5"/>
  <c r="AC1106" i="5"/>
  <c r="AD1106" i="5" s="1"/>
  <c r="AA1106" i="5"/>
  <c r="AB1106" i="5" s="1"/>
  <c r="Y1106" i="5"/>
  <c r="Z1106" i="5" s="1"/>
  <c r="W1106" i="5"/>
  <c r="X1106" i="5" s="1"/>
  <c r="Q1106" i="5"/>
  <c r="R1106" i="5" s="1"/>
  <c r="S1106" i="5" s="1"/>
  <c r="T1106" i="5" s="1"/>
  <c r="U1106" i="5" s="1"/>
  <c r="V1106" i="5" s="1"/>
  <c r="P1106" i="5"/>
  <c r="AE1106" i="5" s="1"/>
  <c r="AF1106" i="5" s="1"/>
  <c r="O1106" i="5"/>
  <c r="N1106" i="5"/>
  <c r="AC1105" i="5"/>
  <c r="AD1105" i="5" s="1"/>
  <c r="AA1105" i="5"/>
  <c r="AB1105" i="5" s="1"/>
  <c r="Y1105" i="5"/>
  <c r="Z1105" i="5" s="1"/>
  <c r="W1105" i="5"/>
  <c r="X1105" i="5" s="1"/>
  <c r="Q1105" i="5"/>
  <c r="R1105" i="5" s="1"/>
  <c r="S1105" i="5" s="1"/>
  <c r="T1105" i="5" s="1"/>
  <c r="U1105" i="5" s="1"/>
  <c r="V1105" i="5" s="1"/>
  <c r="P1105" i="5"/>
  <c r="AE1105" i="5" s="1"/>
  <c r="AF1105" i="5" s="1"/>
  <c r="O1105" i="5"/>
  <c r="N1105" i="5"/>
  <c r="AC1104" i="5"/>
  <c r="AD1104" i="5" s="1"/>
  <c r="AA1104" i="5"/>
  <c r="AB1104" i="5" s="1"/>
  <c r="Y1104" i="5"/>
  <c r="Z1104" i="5" s="1"/>
  <c r="W1104" i="5"/>
  <c r="X1104" i="5" s="1"/>
  <c r="Q1104" i="5"/>
  <c r="R1104" i="5" s="1"/>
  <c r="S1104" i="5" s="1"/>
  <c r="T1104" i="5" s="1"/>
  <c r="U1104" i="5" s="1"/>
  <c r="V1104" i="5" s="1"/>
  <c r="P1104" i="5"/>
  <c r="AE1104" i="5" s="1"/>
  <c r="AF1104" i="5" s="1"/>
  <c r="O1104" i="5"/>
  <c r="N1104" i="5"/>
  <c r="AC1103" i="5"/>
  <c r="AD1103" i="5" s="1"/>
  <c r="AA1103" i="5"/>
  <c r="AB1103" i="5" s="1"/>
  <c r="Y1103" i="5"/>
  <c r="Z1103" i="5" s="1"/>
  <c r="W1103" i="5"/>
  <c r="X1103" i="5" s="1"/>
  <c r="Q1103" i="5"/>
  <c r="R1103" i="5" s="1"/>
  <c r="S1103" i="5" s="1"/>
  <c r="T1103" i="5" s="1"/>
  <c r="U1103" i="5" s="1"/>
  <c r="V1103" i="5" s="1"/>
  <c r="P1103" i="5"/>
  <c r="AE1103" i="5" s="1"/>
  <c r="AF1103" i="5" s="1"/>
  <c r="O1103" i="5"/>
  <c r="N1103" i="5"/>
  <c r="AC1102" i="5"/>
  <c r="AD1102" i="5" s="1"/>
  <c r="AA1102" i="5"/>
  <c r="AB1102" i="5" s="1"/>
  <c r="Y1102" i="5"/>
  <c r="Z1102" i="5" s="1"/>
  <c r="W1102" i="5"/>
  <c r="X1102" i="5" s="1"/>
  <c r="Q1102" i="5"/>
  <c r="R1102" i="5" s="1"/>
  <c r="S1102" i="5" s="1"/>
  <c r="T1102" i="5" s="1"/>
  <c r="U1102" i="5" s="1"/>
  <c r="V1102" i="5" s="1"/>
  <c r="P1102" i="5"/>
  <c r="AE1102" i="5" s="1"/>
  <c r="AF1102" i="5" s="1"/>
  <c r="O1102" i="5"/>
  <c r="N1102" i="5"/>
  <c r="AC1101" i="5"/>
  <c r="AD1101" i="5" s="1"/>
  <c r="AA1101" i="5"/>
  <c r="AB1101" i="5" s="1"/>
  <c r="Y1101" i="5"/>
  <c r="Z1101" i="5" s="1"/>
  <c r="W1101" i="5"/>
  <c r="X1101" i="5" s="1"/>
  <c r="Q1101" i="5"/>
  <c r="R1101" i="5" s="1"/>
  <c r="S1101" i="5" s="1"/>
  <c r="T1101" i="5" s="1"/>
  <c r="U1101" i="5" s="1"/>
  <c r="V1101" i="5" s="1"/>
  <c r="P1101" i="5"/>
  <c r="AE1101" i="5" s="1"/>
  <c r="AF1101" i="5" s="1"/>
  <c r="O1101" i="5"/>
  <c r="N1101" i="5"/>
  <c r="AC1100" i="5"/>
  <c r="AD1100" i="5" s="1"/>
  <c r="AA1100" i="5"/>
  <c r="AB1100" i="5" s="1"/>
  <c r="Y1100" i="5"/>
  <c r="Z1100" i="5" s="1"/>
  <c r="W1100" i="5"/>
  <c r="X1100" i="5" s="1"/>
  <c r="Q1100" i="5"/>
  <c r="R1100" i="5" s="1"/>
  <c r="S1100" i="5" s="1"/>
  <c r="T1100" i="5" s="1"/>
  <c r="U1100" i="5" s="1"/>
  <c r="V1100" i="5" s="1"/>
  <c r="P1100" i="5"/>
  <c r="AE1100" i="5" s="1"/>
  <c r="AF1100" i="5" s="1"/>
  <c r="O1100" i="5"/>
  <c r="N1100" i="5"/>
  <c r="AC1099" i="5"/>
  <c r="AD1099" i="5" s="1"/>
  <c r="AA1099" i="5"/>
  <c r="AB1099" i="5" s="1"/>
  <c r="Y1099" i="5"/>
  <c r="Z1099" i="5" s="1"/>
  <c r="W1099" i="5"/>
  <c r="X1099" i="5" s="1"/>
  <c r="Q1099" i="5"/>
  <c r="R1099" i="5" s="1"/>
  <c r="S1099" i="5" s="1"/>
  <c r="T1099" i="5" s="1"/>
  <c r="U1099" i="5" s="1"/>
  <c r="V1099" i="5" s="1"/>
  <c r="P1099" i="5"/>
  <c r="AE1099" i="5" s="1"/>
  <c r="AF1099" i="5" s="1"/>
  <c r="O1099" i="5"/>
  <c r="N1099" i="5"/>
  <c r="AC1098" i="5"/>
  <c r="AD1098" i="5" s="1"/>
  <c r="AA1098" i="5"/>
  <c r="AB1098" i="5" s="1"/>
  <c r="Y1098" i="5"/>
  <c r="Z1098" i="5" s="1"/>
  <c r="W1098" i="5"/>
  <c r="X1098" i="5" s="1"/>
  <c r="Q1098" i="5"/>
  <c r="R1098" i="5" s="1"/>
  <c r="S1098" i="5" s="1"/>
  <c r="T1098" i="5" s="1"/>
  <c r="U1098" i="5" s="1"/>
  <c r="V1098" i="5" s="1"/>
  <c r="P1098" i="5"/>
  <c r="AE1098" i="5" s="1"/>
  <c r="AF1098" i="5" s="1"/>
  <c r="O1098" i="5"/>
  <c r="N1098" i="5"/>
  <c r="AC1097" i="5"/>
  <c r="AD1097" i="5" s="1"/>
  <c r="AA1097" i="5"/>
  <c r="AB1097" i="5" s="1"/>
  <c r="Y1097" i="5"/>
  <c r="Z1097" i="5" s="1"/>
  <c r="W1097" i="5"/>
  <c r="X1097" i="5" s="1"/>
  <c r="Q1097" i="5"/>
  <c r="R1097" i="5" s="1"/>
  <c r="S1097" i="5" s="1"/>
  <c r="T1097" i="5" s="1"/>
  <c r="U1097" i="5" s="1"/>
  <c r="V1097" i="5" s="1"/>
  <c r="P1097" i="5"/>
  <c r="AE1097" i="5" s="1"/>
  <c r="AF1097" i="5" s="1"/>
  <c r="O1097" i="5"/>
  <c r="N1097" i="5"/>
  <c r="AC1096" i="5"/>
  <c r="AD1096" i="5" s="1"/>
  <c r="AA1096" i="5"/>
  <c r="AB1096" i="5" s="1"/>
  <c r="Y1096" i="5"/>
  <c r="Z1096" i="5" s="1"/>
  <c r="W1096" i="5"/>
  <c r="X1096" i="5" s="1"/>
  <c r="Q1096" i="5"/>
  <c r="R1096" i="5" s="1"/>
  <c r="S1096" i="5" s="1"/>
  <c r="T1096" i="5" s="1"/>
  <c r="U1096" i="5" s="1"/>
  <c r="V1096" i="5" s="1"/>
  <c r="P1096" i="5"/>
  <c r="AE1096" i="5" s="1"/>
  <c r="AF1096" i="5" s="1"/>
  <c r="O1096" i="5"/>
  <c r="N1096" i="5"/>
  <c r="AC1095" i="5"/>
  <c r="AD1095" i="5" s="1"/>
  <c r="AA1095" i="5"/>
  <c r="AB1095" i="5" s="1"/>
  <c r="Y1095" i="5"/>
  <c r="Z1095" i="5" s="1"/>
  <c r="W1095" i="5"/>
  <c r="X1095" i="5" s="1"/>
  <c r="Q1095" i="5"/>
  <c r="R1095" i="5" s="1"/>
  <c r="S1095" i="5" s="1"/>
  <c r="T1095" i="5" s="1"/>
  <c r="U1095" i="5" s="1"/>
  <c r="V1095" i="5" s="1"/>
  <c r="P1095" i="5"/>
  <c r="AE1095" i="5" s="1"/>
  <c r="AF1095" i="5" s="1"/>
  <c r="O1095" i="5"/>
  <c r="N1095" i="5"/>
  <c r="AC1094" i="5"/>
  <c r="AD1094" i="5" s="1"/>
  <c r="AA1094" i="5"/>
  <c r="AB1094" i="5" s="1"/>
  <c r="Y1094" i="5"/>
  <c r="Z1094" i="5" s="1"/>
  <c r="W1094" i="5"/>
  <c r="X1094" i="5" s="1"/>
  <c r="Q1094" i="5"/>
  <c r="R1094" i="5" s="1"/>
  <c r="S1094" i="5" s="1"/>
  <c r="T1094" i="5" s="1"/>
  <c r="U1094" i="5" s="1"/>
  <c r="V1094" i="5" s="1"/>
  <c r="P1094" i="5"/>
  <c r="AE1094" i="5" s="1"/>
  <c r="AF1094" i="5" s="1"/>
  <c r="O1094" i="5"/>
  <c r="N1094" i="5"/>
  <c r="AC1093" i="5"/>
  <c r="AD1093" i="5" s="1"/>
  <c r="AA1093" i="5"/>
  <c r="AB1093" i="5" s="1"/>
  <c r="Y1093" i="5"/>
  <c r="Z1093" i="5" s="1"/>
  <c r="W1093" i="5"/>
  <c r="X1093" i="5" s="1"/>
  <c r="Q1093" i="5"/>
  <c r="R1093" i="5" s="1"/>
  <c r="S1093" i="5" s="1"/>
  <c r="T1093" i="5" s="1"/>
  <c r="U1093" i="5" s="1"/>
  <c r="V1093" i="5" s="1"/>
  <c r="P1093" i="5"/>
  <c r="AE1093" i="5" s="1"/>
  <c r="AF1093" i="5" s="1"/>
  <c r="O1093" i="5"/>
  <c r="N1093" i="5"/>
  <c r="AC1092" i="5"/>
  <c r="AD1092" i="5" s="1"/>
  <c r="AA1092" i="5"/>
  <c r="AB1092" i="5" s="1"/>
  <c r="Y1092" i="5"/>
  <c r="Z1092" i="5" s="1"/>
  <c r="W1092" i="5"/>
  <c r="X1092" i="5" s="1"/>
  <c r="Q1092" i="5"/>
  <c r="R1092" i="5" s="1"/>
  <c r="S1092" i="5" s="1"/>
  <c r="T1092" i="5" s="1"/>
  <c r="U1092" i="5" s="1"/>
  <c r="V1092" i="5" s="1"/>
  <c r="P1092" i="5"/>
  <c r="AE1092" i="5" s="1"/>
  <c r="AF1092" i="5" s="1"/>
  <c r="O1092" i="5"/>
  <c r="N1092" i="5"/>
  <c r="AC1091" i="5"/>
  <c r="AD1091" i="5" s="1"/>
  <c r="AA1091" i="5"/>
  <c r="AB1091" i="5" s="1"/>
  <c r="Y1091" i="5"/>
  <c r="Z1091" i="5" s="1"/>
  <c r="W1091" i="5"/>
  <c r="X1091" i="5" s="1"/>
  <c r="Q1091" i="5"/>
  <c r="R1091" i="5" s="1"/>
  <c r="S1091" i="5" s="1"/>
  <c r="T1091" i="5" s="1"/>
  <c r="U1091" i="5" s="1"/>
  <c r="V1091" i="5" s="1"/>
  <c r="P1091" i="5"/>
  <c r="AE1091" i="5" s="1"/>
  <c r="AF1091" i="5" s="1"/>
  <c r="O1091" i="5"/>
  <c r="N1091" i="5"/>
  <c r="AC1090" i="5"/>
  <c r="AD1090" i="5" s="1"/>
  <c r="AA1090" i="5"/>
  <c r="AB1090" i="5" s="1"/>
  <c r="Y1090" i="5"/>
  <c r="Z1090" i="5" s="1"/>
  <c r="W1090" i="5"/>
  <c r="X1090" i="5" s="1"/>
  <c r="Q1090" i="5"/>
  <c r="R1090" i="5" s="1"/>
  <c r="S1090" i="5" s="1"/>
  <c r="T1090" i="5" s="1"/>
  <c r="U1090" i="5" s="1"/>
  <c r="V1090" i="5" s="1"/>
  <c r="P1090" i="5"/>
  <c r="AE1090" i="5" s="1"/>
  <c r="AF1090" i="5" s="1"/>
  <c r="O1090" i="5"/>
  <c r="N1090" i="5"/>
  <c r="AC1089" i="5"/>
  <c r="AD1089" i="5" s="1"/>
  <c r="AA1089" i="5"/>
  <c r="AB1089" i="5" s="1"/>
  <c r="Y1089" i="5"/>
  <c r="Z1089" i="5" s="1"/>
  <c r="W1089" i="5"/>
  <c r="X1089" i="5" s="1"/>
  <c r="Q1089" i="5"/>
  <c r="R1089" i="5" s="1"/>
  <c r="S1089" i="5" s="1"/>
  <c r="T1089" i="5" s="1"/>
  <c r="U1089" i="5" s="1"/>
  <c r="V1089" i="5" s="1"/>
  <c r="P1089" i="5"/>
  <c r="AE1089" i="5" s="1"/>
  <c r="AF1089" i="5" s="1"/>
  <c r="O1089" i="5"/>
  <c r="N1089" i="5"/>
  <c r="AC1088" i="5"/>
  <c r="AD1088" i="5" s="1"/>
  <c r="AA1088" i="5"/>
  <c r="AB1088" i="5" s="1"/>
  <c r="Y1088" i="5"/>
  <c r="Z1088" i="5" s="1"/>
  <c r="W1088" i="5"/>
  <c r="X1088" i="5" s="1"/>
  <c r="Q1088" i="5"/>
  <c r="R1088" i="5" s="1"/>
  <c r="S1088" i="5" s="1"/>
  <c r="T1088" i="5" s="1"/>
  <c r="U1088" i="5" s="1"/>
  <c r="V1088" i="5" s="1"/>
  <c r="P1088" i="5"/>
  <c r="AE1088" i="5" s="1"/>
  <c r="AF1088" i="5" s="1"/>
  <c r="O1088" i="5"/>
  <c r="N1088" i="5"/>
  <c r="AC1087" i="5"/>
  <c r="AD1087" i="5" s="1"/>
  <c r="AA1087" i="5"/>
  <c r="AB1087" i="5" s="1"/>
  <c r="Y1087" i="5"/>
  <c r="Z1087" i="5" s="1"/>
  <c r="W1087" i="5"/>
  <c r="X1087" i="5" s="1"/>
  <c r="Q1087" i="5"/>
  <c r="R1087" i="5" s="1"/>
  <c r="S1087" i="5" s="1"/>
  <c r="T1087" i="5" s="1"/>
  <c r="U1087" i="5" s="1"/>
  <c r="V1087" i="5" s="1"/>
  <c r="P1087" i="5"/>
  <c r="AE1087" i="5" s="1"/>
  <c r="AF1087" i="5" s="1"/>
  <c r="O1087" i="5"/>
  <c r="N1087" i="5"/>
  <c r="AC1086" i="5"/>
  <c r="AD1086" i="5" s="1"/>
  <c r="AA1086" i="5"/>
  <c r="AB1086" i="5" s="1"/>
  <c r="Y1086" i="5"/>
  <c r="Z1086" i="5" s="1"/>
  <c r="W1086" i="5"/>
  <c r="X1086" i="5" s="1"/>
  <c r="Q1086" i="5"/>
  <c r="R1086" i="5" s="1"/>
  <c r="S1086" i="5" s="1"/>
  <c r="T1086" i="5" s="1"/>
  <c r="U1086" i="5" s="1"/>
  <c r="V1086" i="5" s="1"/>
  <c r="P1086" i="5"/>
  <c r="AE1086" i="5" s="1"/>
  <c r="AF1086" i="5" s="1"/>
  <c r="O1086" i="5"/>
  <c r="N1086" i="5"/>
  <c r="AC1085" i="5"/>
  <c r="AD1085" i="5" s="1"/>
  <c r="AA1085" i="5"/>
  <c r="AB1085" i="5" s="1"/>
  <c r="Y1085" i="5"/>
  <c r="Z1085" i="5" s="1"/>
  <c r="W1085" i="5"/>
  <c r="X1085" i="5" s="1"/>
  <c r="Q1085" i="5"/>
  <c r="R1085" i="5" s="1"/>
  <c r="S1085" i="5" s="1"/>
  <c r="T1085" i="5" s="1"/>
  <c r="U1085" i="5" s="1"/>
  <c r="V1085" i="5" s="1"/>
  <c r="P1085" i="5"/>
  <c r="AE1085" i="5" s="1"/>
  <c r="AF1085" i="5" s="1"/>
  <c r="O1085" i="5"/>
  <c r="N1085" i="5"/>
  <c r="AC1084" i="5"/>
  <c r="AD1084" i="5" s="1"/>
  <c r="AA1084" i="5"/>
  <c r="AB1084" i="5" s="1"/>
  <c r="Y1084" i="5"/>
  <c r="Z1084" i="5" s="1"/>
  <c r="W1084" i="5"/>
  <c r="X1084" i="5" s="1"/>
  <c r="Q1084" i="5"/>
  <c r="R1084" i="5" s="1"/>
  <c r="S1084" i="5" s="1"/>
  <c r="T1084" i="5" s="1"/>
  <c r="U1084" i="5" s="1"/>
  <c r="V1084" i="5" s="1"/>
  <c r="P1084" i="5"/>
  <c r="AE1084" i="5" s="1"/>
  <c r="AF1084" i="5" s="1"/>
  <c r="O1084" i="5"/>
  <c r="N1084" i="5"/>
  <c r="AC1083" i="5"/>
  <c r="AD1083" i="5" s="1"/>
  <c r="AA1083" i="5"/>
  <c r="AB1083" i="5" s="1"/>
  <c r="Y1083" i="5"/>
  <c r="Z1083" i="5" s="1"/>
  <c r="W1083" i="5"/>
  <c r="X1083" i="5" s="1"/>
  <c r="Q1083" i="5"/>
  <c r="R1083" i="5" s="1"/>
  <c r="S1083" i="5" s="1"/>
  <c r="T1083" i="5" s="1"/>
  <c r="U1083" i="5" s="1"/>
  <c r="V1083" i="5" s="1"/>
  <c r="P1083" i="5"/>
  <c r="AE1083" i="5" s="1"/>
  <c r="AF1083" i="5" s="1"/>
  <c r="O1083" i="5"/>
  <c r="N1083" i="5"/>
  <c r="AC1082" i="5"/>
  <c r="AD1082" i="5" s="1"/>
  <c r="AA1082" i="5"/>
  <c r="AB1082" i="5" s="1"/>
  <c r="Y1082" i="5"/>
  <c r="Z1082" i="5" s="1"/>
  <c r="W1082" i="5"/>
  <c r="X1082" i="5" s="1"/>
  <c r="Q1082" i="5"/>
  <c r="R1082" i="5" s="1"/>
  <c r="S1082" i="5" s="1"/>
  <c r="T1082" i="5" s="1"/>
  <c r="U1082" i="5" s="1"/>
  <c r="V1082" i="5" s="1"/>
  <c r="P1082" i="5"/>
  <c r="AE1082" i="5" s="1"/>
  <c r="AF1082" i="5" s="1"/>
  <c r="O1082" i="5"/>
  <c r="N1082" i="5"/>
  <c r="AC1081" i="5"/>
  <c r="AD1081" i="5" s="1"/>
  <c r="AA1081" i="5"/>
  <c r="AB1081" i="5" s="1"/>
  <c r="Y1081" i="5"/>
  <c r="Z1081" i="5" s="1"/>
  <c r="W1081" i="5"/>
  <c r="X1081" i="5" s="1"/>
  <c r="Q1081" i="5"/>
  <c r="R1081" i="5" s="1"/>
  <c r="S1081" i="5" s="1"/>
  <c r="T1081" i="5" s="1"/>
  <c r="U1081" i="5" s="1"/>
  <c r="V1081" i="5" s="1"/>
  <c r="P1081" i="5"/>
  <c r="AE1081" i="5" s="1"/>
  <c r="AF1081" i="5" s="1"/>
  <c r="O1081" i="5"/>
  <c r="N1081" i="5"/>
  <c r="AC1080" i="5"/>
  <c r="AD1080" i="5" s="1"/>
  <c r="AA1080" i="5"/>
  <c r="AB1080" i="5" s="1"/>
  <c r="Y1080" i="5"/>
  <c r="Z1080" i="5" s="1"/>
  <c r="W1080" i="5"/>
  <c r="X1080" i="5" s="1"/>
  <c r="Q1080" i="5"/>
  <c r="R1080" i="5" s="1"/>
  <c r="S1080" i="5" s="1"/>
  <c r="T1080" i="5" s="1"/>
  <c r="U1080" i="5" s="1"/>
  <c r="V1080" i="5" s="1"/>
  <c r="P1080" i="5"/>
  <c r="AE1080" i="5" s="1"/>
  <c r="AF1080" i="5" s="1"/>
  <c r="O1080" i="5"/>
  <c r="N1080" i="5"/>
  <c r="AC1079" i="5"/>
  <c r="AD1079" i="5" s="1"/>
  <c r="AA1079" i="5"/>
  <c r="AB1079" i="5" s="1"/>
  <c r="Y1079" i="5"/>
  <c r="Z1079" i="5" s="1"/>
  <c r="W1079" i="5"/>
  <c r="X1079" i="5" s="1"/>
  <c r="Q1079" i="5"/>
  <c r="R1079" i="5" s="1"/>
  <c r="S1079" i="5" s="1"/>
  <c r="T1079" i="5" s="1"/>
  <c r="U1079" i="5" s="1"/>
  <c r="V1079" i="5" s="1"/>
  <c r="P1079" i="5"/>
  <c r="AE1079" i="5" s="1"/>
  <c r="AF1079" i="5" s="1"/>
  <c r="O1079" i="5"/>
  <c r="N1079" i="5"/>
  <c r="AC1078" i="5"/>
  <c r="AD1078" i="5" s="1"/>
  <c r="AA1078" i="5"/>
  <c r="AB1078" i="5" s="1"/>
  <c r="Y1078" i="5"/>
  <c r="Z1078" i="5" s="1"/>
  <c r="W1078" i="5"/>
  <c r="X1078" i="5" s="1"/>
  <c r="Q1078" i="5"/>
  <c r="R1078" i="5" s="1"/>
  <c r="S1078" i="5" s="1"/>
  <c r="T1078" i="5" s="1"/>
  <c r="U1078" i="5" s="1"/>
  <c r="V1078" i="5" s="1"/>
  <c r="P1078" i="5"/>
  <c r="AE1078" i="5" s="1"/>
  <c r="AF1078" i="5" s="1"/>
  <c r="O1078" i="5"/>
  <c r="N1078" i="5"/>
  <c r="AC1077" i="5"/>
  <c r="AD1077" i="5" s="1"/>
  <c r="AA1077" i="5"/>
  <c r="AB1077" i="5" s="1"/>
  <c r="Y1077" i="5"/>
  <c r="Z1077" i="5" s="1"/>
  <c r="W1077" i="5"/>
  <c r="X1077" i="5" s="1"/>
  <c r="Q1077" i="5"/>
  <c r="R1077" i="5" s="1"/>
  <c r="S1077" i="5" s="1"/>
  <c r="T1077" i="5" s="1"/>
  <c r="U1077" i="5" s="1"/>
  <c r="V1077" i="5" s="1"/>
  <c r="P1077" i="5"/>
  <c r="AE1077" i="5" s="1"/>
  <c r="AF1077" i="5" s="1"/>
  <c r="O1077" i="5"/>
  <c r="N1077" i="5"/>
  <c r="AC1076" i="5"/>
  <c r="AD1076" i="5" s="1"/>
  <c r="AA1076" i="5"/>
  <c r="AB1076" i="5" s="1"/>
  <c r="Y1076" i="5"/>
  <c r="Z1076" i="5" s="1"/>
  <c r="W1076" i="5"/>
  <c r="X1076" i="5" s="1"/>
  <c r="Q1076" i="5"/>
  <c r="R1076" i="5" s="1"/>
  <c r="S1076" i="5" s="1"/>
  <c r="T1076" i="5" s="1"/>
  <c r="U1076" i="5" s="1"/>
  <c r="V1076" i="5" s="1"/>
  <c r="P1076" i="5"/>
  <c r="AE1076" i="5" s="1"/>
  <c r="AF1076" i="5" s="1"/>
  <c r="O1076" i="5"/>
  <c r="N1076" i="5"/>
  <c r="AC1075" i="5"/>
  <c r="AD1075" i="5" s="1"/>
  <c r="AA1075" i="5"/>
  <c r="AB1075" i="5" s="1"/>
  <c r="Y1075" i="5"/>
  <c r="Z1075" i="5" s="1"/>
  <c r="W1075" i="5"/>
  <c r="X1075" i="5" s="1"/>
  <c r="Q1075" i="5"/>
  <c r="R1075" i="5" s="1"/>
  <c r="S1075" i="5" s="1"/>
  <c r="T1075" i="5" s="1"/>
  <c r="U1075" i="5" s="1"/>
  <c r="V1075" i="5" s="1"/>
  <c r="P1075" i="5"/>
  <c r="AE1075" i="5" s="1"/>
  <c r="AF1075" i="5" s="1"/>
  <c r="O1075" i="5"/>
  <c r="N1075" i="5"/>
  <c r="AC1074" i="5"/>
  <c r="AD1074" i="5" s="1"/>
  <c r="AA1074" i="5"/>
  <c r="AB1074" i="5" s="1"/>
  <c r="Y1074" i="5"/>
  <c r="Z1074" i="5" s="1"/>
  <c r="W1074" i="5"/>
  <c r="X1074" i="5" s="1"/>
  <c r="Q1074" i="5"/>
  <c r="R1074" i="5" s="1"/>
  <c r="S1074" i="5" s="1"/>
  <c r="T1074" i="5" s="1"/>
  <c r="U1074" i="5" s="1"/>
  <c r="V1074" i="5" s="1"/>
  <c r="P1074" i="5"/>
  <c r="AE1074" i="5" s="1"/>
  <c r="AF1074" i="5" s="1"/>
  <c r="O1074" i="5"/>
  <c r="N1074" i="5"/>
  <c r="AC1073" i="5"/>
  <c r="AD1073" i="5" s="1"/>
  <c r="AA1073" i="5"/>
  <c r="AB1073" i="5" s="1"/>
  <c r="Y1073" i="5"/>
  <c r="Z1073" i="5" s="1"/>
  <c r="W1073" i="5"/>
  <c r="X1073" i="5" s="1"/>
  <c r="Q1073" i="5"/>
  <c r="R1073" i="5" s="1"/>
  <c r="S1073" i="5" s="1"/>
  <c r="T1073" i="5" s="1"/>
  <c r="U1073" i="5" s="1"/>
  <c r="V1073" i="5" s="1"/>
  <c r="P1073" i="5"/>
  <c r="AE1073" i="5" s="1"/>
  <c r="AF1073" i="5" s="1"/>
  <c r="O1073" i="5"/>
  <c r="N1073" i="5"/>
  <c r="AC1072" i="5"/>
  <c r="AD1072" i="5" s="1"/>
  <c r="AA1072" i="5"/>
  <c r="AB1072" i="5" s="1"/>
  <c r="Y1072" i="5"/>
  <c r="Z1072" i="5" s="1"/>
  <c r="W1072" i="5"/>
  <c r="X1072" i="5" s="1"/>
  <c r="Q1072" i="5"/>
  <c r="R1072" i="5" s="1"/>
  <c r="S1072" i="5" s="1"/>
  <c r="T1072" i="5" s="1"/>
  <c r="U1072" i="5" s="1"/>
  <c r="V1072" i="5" s="1"/>
  <c r="P1072" i="5"/>
  <c r="AE1072" i="5" s="1"/>
  <c r="AF1072" i="5" s="1"/>
  <c r="O1072" i="5"/>
  <c r="N1072" i="5"/>
  <c r="AC1071" i="5"/>
  <c r="AD1071" i="5" s="1"/>
  <c r="AA1071" i="5"/>
  <c r="AB1071" i="5" s="1"/>
  <c r="Y1071" i="5"/>
  <c r="Z1071" i="5" s="1"/>
  <c r="W1071" i="5"/>
  <c r="X1071" i="5" s="1"/>
  <c r="Q1071" i="5"/>
  <c r="R1071" i="5" s="1"/>
  <c r="S1071" i="5" s="1"/>
  <c r="T1071" i="5" s="1"/>
  <c r="U1071" i="5" s="1"/>
  <c r="V1071" i="5" s="1"/>
  <c r="P1071" i="5"/>
  <c r="AE1071" i="5" s="1"/>
  <c r="AF1071" i="5" s="1"/>
  <c r="O1071" i="5"/>
  <c r="N1071" i="5"/>
  <c r="AC1070" i="5"/>
  <c r="AD1070" i="5" s="1"/>
  <c r="AA1070" i="5"/>
  <c r="AB1070" i="5" s="1"/>
  <c r="Y1070" i="5"/>
  <c r="Z1070" i="5" s="1"/>
  <c r="W1070" i="5"/>
  <c r="X1070" i="5" s="1"/>
  <c r="Q1070" i="5"/>
  <c r="R1070" i="5" s="1"/>
  <c r="S1070" i="5" s="1"/>
  <c r="T1070" i="5" s="1"/>
  <c r="U1070" i="5" s="1"/>
  <c r="V1070" i="5" s="1"/>
  <c r="P1070" i="5"/>
  <c r="AE1070" i="5" s="1"/>
  <c r="AF1070" i="5" s="1"/>
  <c r="O1070" i="5"/>
  <c r="N1070" i="5"/>
  <c r="AC1069" i="5"/>
  <c r="AD1069" i="5" s="1"/>
  <c r="AA1069" i="5"/>
  <c r="AB1069" i="5" s="1"/>
  <c r="Y1069" i="5"/>
  <c r="Z1069" i="5" s="1"/>
  <c r="W1069" i="5"/>
  <c r="X1069" i="5" s="1"/>
  <c r="Q1069" i="5"/>
  <c r="R1069" i="5" s="1"/>
  <c r="S1069" i="5" s="1"/>
  <c r="T1069" i="5" s="1"/>
  <c r="U1069" i="5" s="1"/>
  <c r="V1069" i="5" s="1"/>
  <c r="P1069" i="5"/>
  <c r="AE1069" i="5" s="1"/>
  <c r="AF1069" i="5" s="1"/>
  <c r="O1069" i="5"/>
  <c r="N1069" i="5"/>
  <c r="AC1068" i="5"/>
  <c r="AD1068" i="5" s="1"/>
  <c r="AA1068" i="5"/>
  <c r="AB1068" i="5" s="1"/>
  <c r="Y1068" i="5"/>
  <c r="Z1068" i="5" s="1"/>
  <c r="W1068" i="5"/>
  <c r="X1068" i="5" s="1"/>
  <c r="Q1068" i="5"/>
  <c r="R1068" i="5" s="1"/>
  <c r="S1068" i="5" s="1"/>
  <c r="T1068" i="5" s="1"/>
  <c r="U1068" i="5" s="1"/>
  <c r="V1068" i="5" s="1"/>
  <c r="P1068" i="5"/>
  <c r="AE1068" i="5" s="1"/>
  <c r="AF1068" i="5" s="1"/>
  <c r="O1068" i="5"/>
  <c r="N1068" i="5"/>
  <c r="AC1067" i="5"/>
  <c r="AD1067" i="5" s="1"/>
  <c r="AA1067" i="5"/>
  <c r="AB1067" i="5" s="1"/>
  <c r="Y1067" i="5"/>
  <c r="Z1067" i="5" s="1"/>
  <c r="W1067" i="5"/>
  <c r="X1067" i="5" s="1"/>
  <c r="Q1067" i="5"/>
  <c r="R1067" i="5" s="1"/>
  <c r="S1067" i="5" s="1"/>
  <c r="T1067" i="5" s="1"/>
  <c r="U1067" i="5" s="1"/>
  <c r="V1067" i="5" s="1"/>
  <c r="P1067" i="5"/>
  <c r="AE1067" i="5" s="1"/>
  <c r="AF1067" i="5" s="1"/>
  <c r="O1067" i="5"/>
  <c r="N1067" i="5"/>
  <c r="AC1066" i="5"/>
  <c r="AD1066" i="5" s="1"/>
  <c r="AA1066" i="5"/>
  <c r="AB1066" i="5" s="1"/>
  <c r="Y1066" i="5"/>
  <c r="Z1066" i="5" s="1"/>
  <c r="W1066" i="5"/>
  <c r="X1066" i="5" s="1"/>
  <c r="Q1066" i="5"/>
  <c r="R1066" i="5" s="1"/>
  <c r="S1066" i="5" s="1"/>
  <c r="T1066" i="5" s="1"/>
  <c r="U1066" i="5" s="1"/>
  <c r="V1066" i="5" s="1"/>
  <c r="P1066" i="5"/>
  <c r="AE1066" i="5" s="1"/>
  <c r="AF1066" i="5" s="1"/>
  <c r="O1066" i="5"/>
  <c r="N1066" i="5"/>
  <c r="AC1065" i="5"/>
  <c r="AD1065" i="5" s="1"/>
  <c r="AA1065" i="5"/>
  <c r="AB1065" i="5" s="1"/>
  <c r="Y1065" i="5"/>
  <c r="Z1065" i="5" s="1"/>
  <c r="W1065" i="5"/>
  <c r="X1065" i="5" s="1"/>
  <c r="Q1065" i="5"/>
  <c r="R1065" i="5" s="1"/>
  <c r="S1065" i="5" s="1"/>
  <c r="T1065" i="5" s="1"/>
  <c r="U1065" i="5" s="1"/>
  <c r="V1065" i="5" s="1"/>
  <c r="P1065" i="5"/>
  <c r="AE1065" i="5" s="1"/>
  <c r="AF1065" i="5" s="1"/>
  <c r="O1065" i="5"/>
  <c r="N1065" i="5"/>
  <c r="AC1064" i="5"/>
  <c r="AD1064" i="5" s="1"/>
  <c r="AA1064" i="5"/>
  <c r="AB1064" i="5" s="1"/>
  <c r="Y1064" i="5"/>
  <c r="Z1064" i="5" s="1"/>
  <c r="W1064" i="5"/>
  <c r="X1064" i="5" s="1"/>
  <c r="Q1064" i="5"/>
  <c r="R1064" i="5" s="1"/>
  <c r="S1064" i="5" s="1"/>
  <c r="T1064" i="5" s="1"/>
  <c r="U1064" i="5" s="1"/>
  <c r="V1064" i="5" s="1"/>
  <c r="P1064" i="5"/>
  <c r="AE1064" i="5" s="1"/>
  <c r="AF1064" i="5" s="1"/>
  <c r="O1064" i="5"/>
  <c r="N1064" i="5"/>
  <c r="AC1063" i="5"/>
  <c r="AD1063" i="5" s="1"/>
  <c r="AA1063" i="5"/>
  <c r="AB1063" i="5" s="1"/>
  <c r="Y1063" i="5"/>
  <c r="Z1063" i="5" s="1"/>
  <c r="W1063" i="5"/>
  <c r="X1063" i="5" s="1"/>
  <c r="Q1063" i="5"/>
  <c r="R1063" i="5" s="1"/>
  <c r="S1063" i="5" s="1"/>
  <c r="T1063" i="5" s="1"/>
  <c r="U1063" i="5" s="1"/>
  <c r="V1063" i="5" s="1"/>
  <c r="P1063" i="5"/>
  <c r="AE1063" i="5" s="1"/>
  <c r="AF1063" i="5" s="1"/>
  <c r="O1063" i="5"/>
  <c r="N1063" i="5"/>
  <c r="AC1062" i="5"/>
  <c r="AD1062" i="5" s="1"/>
  <c r="AA1062" i="5"/>
  <c r="AB1062" i="5" s="1"/>
  <c r="Y1062" i="5"/>
  <c r="Z1062" i="5" s="1"/>
  <c r="W1062" i="5"/>
  <c r="X1062" i="5" s="1"/>
  <c r="Q1062" i="5"/>
  <c r="R1062" i="5" s="1"/>
  <c r="S1062" i="5" s="1"/>
  <c r="T1062" i="5" s="1"/>
  <c r="U1062" i="5" s="1"/>
  <c r="V1062" i="5" s="1"/>
  <c r="P1062" i="5"/>
  <c r="AE1062" i="5" s="1"/>
  <c r="AF1062" i="5" s="1"/>
  <c r="O1062" i="5"/>
  <c r="N1062" i="5"/>
  <c r="AC1061" i="5"/>
  <c r="AD1061" i="5" s="1"/>
  <c r="AA1061" i="5"/>
  <c r="AB1061" i="5" s="1"/>
  <c r="Y1061" i="5"/>
  <c r="Z1061" i="5" s="1"/>
  <c r="W1061" i="5"/>
  <c r="X1061" i="5" s="1"/>
  <c r="Q1061" i="5"/>
  <c r="R1061" i="5" s="1"/>
  <c r="S1061" i="5" s="1"/>
  <c r="T1061" i="5" s="1"/>
  <c r="U1061" i="5" s="1"/>
  <c r="V1061" i="5" s="1"/>
  <c r="P1061" i="5"/>
  <c r="AE1061" i="5" s="1"/>
  <c r="AF1061" i="5" s="1"/>
  <c r="O1061" i="5"/>
  <c r="N1061" i="5"/>
  <c r="AC1060" i="5"/>
  <c r="AD1060" i="5" s="1"/>
  <c r="AA1060" i="5"/>
  <c r="AB1060" i="5" s="1"/>
  <c r="Y1060" i="5"/>
  <c r="Z1060" i="5" s="1"/>
  <c r="W1060" i="5"/>
  <c r="X1060" i="5" s="1"/>
  <c r="Q1060" i="5"/>
  <c r="R1060" i="5" s="1"/>
  <c r="S1060" i="5" s="1"/>
  <c r="T1060" i="5" s="1"/>
  <c r="U1060" i="5" s="1"/>
  <c r="V1060" i="5" s="1"/>
  <c r="P1060" i="5"/>
  <c r="AE1060" i="5" s="1"/>
  <c r="AF1060" i="5" s="1"/>
  <c r="O1060" i="5"/>
  <c r="N1060" i="5"/>
  <c r="AC1059" i="5"/>
  <c r="AD1059" i="5" s="1"/>
  <c r="AA1059" i="5"/>
  <c r="AB1059" i="5" s="1"/>
  <c r="Y1059" i="5"/>
  <c r="Z1059" i="5" s="1"/>
  <c r="W1059" i="5"/>
  <c r="X1059" i="5" s="1"/>
  <c r="Q1059" i="5"/>
  <c r="R1059" i="5" s="1"/>
  <c r="S1059" i="5" s="1"/>
  <c r="T1059" i="5" s="1"/>
  <c r="U1059" i="5" s="1"/>
  <c r="V1059" i="5" s="1"/>
  <c r="P1059" i="5"/>
  <c r="AE1059" i="5" s="1"/>
  <c r="AF1059" i="5" s="1"/>
  <c r="O1059" i="5"/>
  <c r="N1059" i="5"/>
  <c r="AC1058" i="5"/>
  <c r="AD1058" i="5" s="1"/>
  <c r="AA1058" i="5"/>
  <c r="AB1058" i="5" s="1"/>
  <c r="Y1058" i="5"/>
  <c r="Z1058" i="5" s="1"/>
  <c r="W1058" i="5"/>
  <c r="X1058" i="5" s="1"/>
  <c r="Q1058" i="5"/>
  <c r="R1058" i="5" s="1"/>
  <c r="S1058" i="5" s="1"/>
  <c r="T1058" i="5" s="1"/>
  <c r="U1058" i="5" s="1"/>
  <c r="V1058" i="5" s="1"/>
  <c r="P1058" i="5"/>
  <c r="AE1058" i="5" s="1"/>
  <c r="AF1058" i="5" s="1"/>
  <c r="O1058" i="5"/>
  <c r="N1058" i="5"/>
  <c r="AC1057" i="5"/>
  <c r="AD1057" i="5" s="1"/>
  <c r="AA1057" i="5"/>
  <c r="AB1057" i="5" s="1"/>
  <c r="Y1057" i="5"/>
  <c r="Z1057" i="5" s="1"/>
  <c r="W1057" i="5"/>
  <c r="X1057" i="5" s="1"/>
  <c r="Q1057" i="5"/>
  <c r="R1057" i="5" s="1"/>
  <c r="S1057" i="5" s="1"/>
  <c r="T1057" i="5" s="1"/>
  <c r="U1057" i="5" s="1"/>
  <c r="V1057" i="5" s="1"/>
  <c r="P1057" i="5"/>
  <c r="AE1057" i="5" s="1"/>
  <c r="AF1057" i="5" s="1"/>
  <c r="O1057" i="5"/>
  <c r="N1057" i="5"/>
  <c r="AC1056" i="5"/>
  <c r="AD1056" i="5" s="1"/>
  <c r="AA1056" i="5"/>
  <c r="AB1056" i="5" s="1"/>
  <c r="Y1056" i="5"/>
  <c r="Z1056" i="5" s="1"/>
  <c r="W1056" i="5"/>
  <c r="X1056" i="5" s="1"/>
  <c r="Q1056" i="5"/>
  <c r="R1056" i="5" s="1"/>
  <c r="S1056" i="5" s="1"/>
  <c r="T1056" i="5" s="1"/>
  <c r="U1056" i="5" s="1"/>
  <c r="V1056" i="5" s="1"/>
  <c r="P1056" i="5"/>
  <c r="AE1056" i="5" s="1"/>
  <c r="AF1056" i="5" s="1"/>
  <c r="O1056" i="5"/>
  <c r="N1056" i="5"/>
  <c r="AC1055" i="5"/>
  <c r="AD1055" i="5" s="1"/>
  <c r="AA1055" i="5"/>
  <c r="AB1055" i="5" s="1"/>
  <c r="Y1055" i="5"/>
  <c r="Z1055" i="5" s="1"/>
  <c r="W1055" i="5"/>
  <c r="X1055" i="5" s="1"/>
  <c r="Q1055" i="5"/>
  <c r="R1055" i="5" s="1"/>
  <c r="S1055" i="5" s="1"/>
  <c r="T1055" i="5" s="1"/>
  <c r="U1055" i="5" s="1"/>
  <c r="V1055" i="5" s="1"/>
  <c r="P1055" i="5"/>
  <c r="AE1055" i="5" s="1"/>
  <c r="AF1055" i="5" s="1"/>
  <c r="O1055" i="5"/>
  <c r="N1055" i="5"/>
  <c r="AC1054" i="5"/>
  <c r="AD1054" i="5" s="1"/>
  <c r="AA1054" i="5"/>
  <c r="AB1054" i="5" s="1"/>
  <c r="Y1054" i="5"/>
  <c r="Z1054" i="5" s="1"/>
  <c r="W1054" i="5"/>
  <c r="X1054" i="5" s="1"/>
  <c r="Q1054" i="5"/>
  <c r="R1054" i="5" s="1"/>
  <c r="S1054" i="5" s="1"/>
  <c r="T1054" i="5" s="1"/>
  <c r="U1054" i="5" s="1"/>
  <c r="V1054" i="5" s="1"/>
  <c r="P1054" i="5"/>
  <c r="AE1054" i="5" s="1"/>
  <c r="AF1054" i="5" s="1"/>
  <c r="O1054" i="5"/>
  <c r="N1054" i="5"/>
  <c r="AC1053" i="5"/>
  <c r="AD1053" i="5" s="1"/>
  <c r="AA1053" i="5"/>
  <c r="AB1053" i="5" s="1"/>
  <c r="Y1053" i="5"/>
  <c r="Z1053" i="5" s="1"/>
  <c r="W1053" i="5"/>
  <c r="X1053" i="5" s="1"/>
  <c r="Q1053" i="5"/>
  <c r="R1053" i="5" s="1"/>
  <c r="S1053" i="5" s="1"/>
  <c r="T1053" i="5" s="1"/>
  <c r="U1053" i="5" s="1"/>
  <c r="V1053" i="5" s="1"/>
  <c r="P1053" i="5"/>
  <c r="AE1053" i="5" s="1"/>
  <c r="AF1053" i="5" s="1"/>
  <c r="O1053" i="5"/>
  <c r="N1053" i="5"/>
  <c r="AC1052" i="5"/>
  <c r="AD1052" i="5" s="1"/>
  <c r="AA1052" i="5"/>
  <c r="AB1052" i="5" s="1"/>
  <c r="Y1052" i="5"/>
  <c r="Z1052" i="5" s="1"/>
  <c r="W1052" i="5"/>
  <c r="X1052" i="5" s="1"/>
  <c r="Q1052" i="5"/>
  <c r="R1052" i="5" s="1"/>
  <c r="S1052" i="5" s="1"/>
  <c r="T1052" i="5" s="1"/>
  <c r="U1052" i="5" s="1"/>
  <c r="V1052" i="5" s="1"/>
  <c r="P1052" i="5"/>
  <c r="AE1052" i="5" s="1"/>
  <c r="AF1052" i="5" s="1"/>
  <c r="O1052" i="5"/>
  <c r="N1052" i="5"/>
  <c r="AC1051" i="5"/>
  <c r="AD1051" i="5" s="1"/>
  <c r="AA1051" i="5"/>
  <c r="AB1051" i="5" s="1"/>
  <c r="Y1051" i="5"/>
  <c r="Z1051" i="5" s="1"/>
  <c r="W1051" i="5"/>
  <c r="X1051" i="5" s="1"/>
  <c r="Q1051" i="5"/>
  <c r="R1051" i="5" s="1"/>
  <c r="S1051" i="5" s="1"/>
  <c r="T1051" i="5" s="1"/>
  <c r="U1051" i="5" s="1"/>
  <c r="V1051" i="5" s="1"/>
  <c r="P1051" i="5"/>
  <c r="AE1051" i="5" s="1"/>
  <c r="AF1051" i="5" s="1"/>
  <c r="O1051" i="5"/>
  <c r="N1051" i="5"/>
  <c r="AC1050" i="5"/>
  <c r="AD1050" i="5" s="1"/>
  <c r="AA1050" i="5"/>
  <c r="AB1050" i="5" s="1"/>
  <c r="Y1050" i="5"/>
  <c r="Z1050" i="5" s="1"/>
  <c r="W1050" i="5"/>
  <c r="X1050" i="5" s="1"/>
  <c r="Q1050" i="5"/>
  <c r="R1050" i="5" s="1"/>
  <c r="S1050" i="5" s="1"/>
  <c r="T1050" i="5" s="1"/>
  <c r="U1050" i="5" s="1"/>
  <c r="V1050" i="5" s="1"/>
  <c r="P1050" i="5"/>
  <c r="AE1050" i="5" s="1"/>
  <c r="AF1050" i="5" s="1"/>
  <c r="O1050" i="5"/>
  <c r="N1050" i="5"/>
  <c r="AC1049" i="5"/>
  <c r="AD1049" i="5" s="1"/>
  <c r="AA1049" i="5"/>
  <c r="AB1049" i="5" s="1"/>
  <c r="Y1049" i="5"/>
  <c r="Z1049" i="5" s="1"/>
  <c r="W1049" i="5"/>
  <c r="X1049" i="5" s="1"/>
  <c r="Q1049" i="5"/>
  <c r="R1049" i="5" s="1"/>
  <c r="S1049" i="5" s="1"/>
  <c r="T1049" i="5" s="1"/>
  <c r="U1049" i="5" s="1"/>
  <c r="V1049" i="5" s="1"/>
  <c r="P1049" i="5"/>
  <c r="AE1049" i="5" s="1"/>
  <c r="AF1049" i="5" s="1"/>
  <c r="O1049" i="5"/>
  <c r="N1049" i="5"/>
  <c r="AC1048" i="5"/>
  <c r="AD1048" i="5" s="1"/>
  <c r="AA1048" i="5"/>
  <c r="AB1048" i="5" s="1"/>
  <c r="Y1048" i="5"/>
  <c r="Z1048" i="5" s="1"/>
  <c r="W1048" i="5"/>
  <c r="X1048" i="5" s="1"/>
  <c r="Q1048" i="5"/>
  <c r="R1048" i="5" s="1"/>
  <c r="S1048" i="5" s="1"/>
  <c r="T1048" i="5" s="1"/>
  <c r="U1048" i="5" s="1"/>
  <c r="V1048" i="5" s="1"/>
  <c r="P1048" i="5"/>
  <c r="AE1048" i="5" s="1"/>
  <c r="AF1048" i="5" s="1"/>
  <c r="O1048" i="5"/>
  <c r="N1048" i="5"/>
  <c r="AC1047" i="5"/>
  <c r="AD1047" i="5" s="1"/>
  <c r="AA1047" i="5"/>
  <c r="AB1047" i="5" s="1"/>
  <c r="Y1047" i="5"/>
  <c r="Z1047" i="5" s="1"/>
  <c r="W1047" i="5"/>
  <c r="X1047" i="5" s="1"/>
  <c r="Q1047" i="5"/>
  <c r="R1047" i="5" s="1"/>
  <c r="S1047" i="5" s="1"/>
  <c r="T1047" i="5" s="1"/>
  <c r="U1047" i="5" s="1"/>
  <c r="V1047" i="5" s="1"/>
  <c r="P1047" i="5"/>
  <c r="AE1047" i="5" s="1"/>
  <c r="AF1047" i="5" s="1"/>
  <c r="O1047" i="5"/>
  <c r="N1047" i="5"/>
  <c r="AC1046" i="5"/>
  <c r="AD1046" i="5" s="1"/>
  <c r="AA1046" i="5"/>
  <c r="AB1046" i="5" s="1"/>
  <c r="Y1046" i="5"/>
  <c r="Z1046" i="5" s="1"/>
  <c r="W1046" i="5"/>
  <c r="X1046" i="5" s="1"/>
  <c r="Q1046" i="5"/>
  <c r="R1046" i="5" s="1"/>
  <c r="S1046" i="5" s="1"/>
  <c r="T1046" i="5" s="1"/>
  <c r="U1046" i="5" s="1"/>
  <c r="V1046" i="5" s="1"/>
  <c r="P1046" i="5"/>
  <c r="AE1046" i="5" s="1"/>
  <c r="AF1046" i="5" s="1"/>
  <c r="O1046" i="5"/>
  <c r="N1046" i="5"/>
  <c r="AC1045" i="5"/>
  <c r="AD1045" i="5" s="1"/>
  <c r="AA1045" i="5"/>
  <c r="AB1045" i="5" s="1"/>
  <c r="Y1045" i="5"/>
  <c r="Z1045" i="5" s="1"/>
  <c r="W1045" i="5"/>
  <c r="X1045" i="5" s="1"/>
  <c r="Q1045" i="5"/>
  <c r="R1045" i="5" s="1"/>
  <c r="S1045" i="5" s="1"/>
  <c r="T1045" i="5" s="1"/>
  <c r="U1045" i="5" s="1"/>
  <c r="V1045" i="5" s="1"/>
  <c r="P1045" i="5"/>
  <c r="AE1045" i="5" s="1"/>
  <c r="AF1045" i="5" s="1"/>
  <c r="O1045" i="5"/>
  <c r="N1045" i="5"/>
  <c r="AC1044" i="5"/>
  <c r="AD1044" i="5" s="1"/>
  <c r="AA1044" i="5"/>
  <c r="AB1044" i="5" s="1"/>
  <c r="Y1044" i="5"/>
  <c r="Z1044" i="5" s="1"/>
  <c r="W1044" i="5"/>
  <c r="X1044" i="5" s="1"/>
  <c r="Q1044" i="5"/>
  <c r="R1044" i="5" s="1"/>
  <c r="S1044" i="5" s="1"/>
  <c r="T1044" i="5" s="1"/>
  <c r="U1044" i="5" s="1"/>
  <c r="V1044" i="5" s="1"/>
  <c r="P1044" i="5"/>
  <c r="AE1044" i="5" s="1"/>
  <c r="AF1044" i="5" s="1"/>
  <c r="O1044" i="5"/>
  <c r="N1044" i="5"/>
  <c r="AC1043" i="5"/>
  <c r="AD1043" i="5" s="1"/>
  <c r="AA1043" i="5"/>
  <c r="AB1043" i="5" s="1"/>
  <c r="Y1043" i="5"/>
  <c r="Z1043" i="5" s="1"/>
  <c r="W1043" i="5"/>
  <c r="X1043" i="5" s="1"/>
  <c r="Q1043" i="5"/>
  <c r="R1043" i="5" s="1"/>
  <c r="S1043" i="5" s="1"/>
  <c r="T1043" i="5" s="1"/>
  <c r="U1043" i="5" s="1"/>
  <c r="V1043" i="5" s="1"/>
  <c r="P1043" i="5"/>
  <c r="AE1043" i="5" s="1"/>
  <c r="AF1043" i="5" s="1"/>
  <c r="O1043" i="5"/>
  <c r="N1043" i="5"/>
  <c r="AC1042" i="5"/>
  <c r="AD1042" i="5" s="1"/>
  <c r="AA1042" i="5"/>
  <c r="AB1042" i="5" s="1"/>
  <c r="Y1042" i="5"/>
  <c r="Z1042" i="5" s="1"/>
  <c r="W1042" i="5"/>
  <c r="X1042" i="5" s="1"/>
  <c r="Q1042" i="5"/>
  <c r="R1042" i="5" s="1"/>
  <c r="S1042" i="5" s="1"/>
  <c r="T1042" i="5" s="1"/>
  <c r="U1042" i="5" s="1"/>
  <c r="V1042" i="5" s="1"/>
  <c r="P1042" i="5"/>
  <c r="AE1042" i="5" s="1"/>
  <c r="AF1042" i="5" s="1"/>
  <c r="O1042" i="5"/>
  <c r="N1042" i="5"/>
  <c r="AC1041" i="5"/>
  <c r="AD1041" i="5" s="1"/>
  <c r="AA1041" i="5"/>
  <c r="AB1041" i="5" s="1"/>
  <c r="Y1041" i="5"/>
  <c r="Z1041" i="5" s="1"/>
  <c r="W1041" i="5"/>
  <c r="X1041" i="5" s="1"/>
  <c r="Q1041" i="5"/>
  <c r="R1041" i="5" s="1"/>
  <c r="S1041" i="5" s="1"/>
  <c r="T1041" i="5" s="1"/>
  <c r="U1041" i="5" s="1"/>
  <c r="V1041" i="5" s="1"/>
  <c r="P1041" i="5"/>
  <c r="AE1041" i="5" s="1"/>
  <c r="AF1041" i="5" s="1"/>
  <c r="O1041" i="5"/>
  <c r="N1041" i="5"/>
  <c r="AC1040" i="5"/>
  <c r="AD1040" i="5" s="1"/>
  <c r="AA1040" i="5"/>
  <c r="AB1040" i="5" s="1"/>
  <c r="Y1040" i="5"/>
  <c r="Z1040" i="5" s="1"/>
  <c r="W1040" i="5"/>
  <c r="X1040" i="5" s="1"/>
  <c r="Q1040" i="5"/>
  <c r="R1040" i="5" s="1"/>
  <c r="S1040" i="5" s="1"/>
  <c r="T1040" i="5" s="1"/>
  <c r="U1040" i="5" s="1"/>
  <c r="V1040" i="5" s="1"/>
  <c r="P1040" i="5"/>
  <c r="AE1040" i="5" s="1"/>
  <c r="AF1040" i="5" s="1"/>
  <c r="O1040" i="5"/>
  <c r="N1040" i="5"/>
  <c r="AC1039" i="5"/>
  <c r="AD1039" i="5" s="1"/>
  <c r="AA1039" i="5"/>
  <c r="AB1039" i="5" s="1"/>
  <c r="Y1039" i="5"/>
  <c r="Z1039" i="5" s="1"/>
  <c r="W1039" i="5"/>
  <c r="X1039" i="5" s="1"/>
  <c r="Q1039" i="5"/>
  <c r="R1039" i="5" s="1"/>
  <c r="S1039" i="5" s="1"/>
  <c r="T1039" i="5" s="1"/>
  <c r="U1039" i="5" s="1"/>
  <c r="V1039" i="5" s="1"/>
  <c r="P1039" i="5"/>
  <c r="AE1039" i="5" s="1"/>
  <c r="AF1039" i="5" s="1"/>
  <c r="O1039" i="5"/>
  <c r="N1039" i="5"/>
  <c r="AC1038" i="5"/>
  <c r="AD1038" i="5" s="1"/>
  <c r="AA1038" i="5"/>
  <c r="AB1038" i="5" s="1"/>
  <c r="Y1038" i="5"/>
  <c r="Z1038" i="5" s="1"/>
  <c r="W1038" i="5"/>
  <c r="X1038" i="5" s="1"/>
  <c r="Q1038" i="5"/>
  <c r="R1038" i="5" s="1"/>
  <c r="S1038" i="5" s="1"/>
  <c r="T1038" i="5" s="1"/>
  <c r="U1038" i="5" s="1"/>
  <c r="V1038" i="5" s="1"/>
  <c r="P1038" i="5"/>
  <c r="AE1038" i="5" s="1"/>
  <c r="AF1038" i="5" s="1"/>
  <c r="O1038" i="5"/>
  <c r="N1038" i="5"/>
  <c r="AC1037" i="5"/>
  <c r="AD1037" i="5" s="1"/>
  <c r="AA1037" i="5"/>
  <c r="AB1037" i="5" s="1"/>
  <c r="Y1037" i="5"/>
  <c r="Z1037" i="5" s="1"/>
  <c r="W1037" i="5"/>
  <c r="X1037" i="5" s="1"/>
  <c r="Q1037" i="5"/>
  <c r="R1037" i="5" s="1"/>
  <c r="S1037" i="5" s="1"/>
  <c r="T1037" i="5" s="1"/>
  <c r="U1037" i="5" s="1"/>
  <c r="V1037" i="5" s="1"/>
  <c r="P1037" i="5"/>
  <c r="AE1037" i="5" s="1"/>
  <c r="AF1037" i="5" s="1"/>
  <c r="O1037" i="5"/>
  <c r="N1037" i="5"/>
  <c r="AC1036" i="5"/>
  <c r="AD1036" i="5" s="1"/>
  <c r="AA1036" i="5"/>
  <c r="AB1036" i="5" s="1"/>
  <c r="Y1036" i="5"/>
  <c r="Z1036" i="5" s="1"/>
  <c r="W1036" i="5"/>
  <c r="X1036" i="5" s="1"/>
  <c r="Q1036" i="5"/>
  <c r="R1036" i="5" s="1"/>
  <c r="S1036" i="5" s="1"/>
  <c r="T1036" i="5" s="1"/>
  <c r="U1036" i="5" s="1"/>
  <c r="V1036" i="5" s="1"/>
  <c r="P1036" i="5"/>
  <c r="AE1036" i="5" s="1"/>
  <c r="AF1036" i="5" s="1"/>
  <c r="O1036" i="5"/>
  <c r="N1036" i="5"/>
  <c r="AC1035" i="5"/>
  <c r="AD1035" i="5" s="1"/>
  <c r="AA1035" i="5"/>
  <c r="AB1035" i="5" s="1"/>
  <c r="Y1035" i="5"/>
  <c r="Z1035" i="5" s="1"/>
  <c r="W1035" i="5"/>
  <c r="X1035" i="5" s="1"/>
  <c r="Q1035" i="5"/>
  <c r="R1035" i="5" s="1"/>
  <c r="S1035" i="5" s="1"/>
  <c r="T1035" i="5" s="1"/>
  <c r="U1035" i="5" s="1"/>
  <c r="V1035" i="5" s="1"/>
  <c r="P1035" i="5"/>
  <c r="AE1035" i="5" s="1"/>
  <c r="AF1035" i="5" s="1"/>
  <c r="O1035" i="5"/>
  <c r="N1035" i="5"/>
  <c r="AC1034" i="5"/>
  <c r="AD1034" i="5" s="1"/>
  <c r="AA1034" i="5"/>
  <c r="AB1034" i="5" s="1"/>
  <c r="Y1034" i="5"/>
  <c r="Z1034" i="5" s="1"/>
  <c r="W1034" i="5"/>
  <c r="X1034" i="5" s="1"/>
  <c r="Q1034" i="5"/>
  <c r="R1034" i="5" s="1"/>
  <c r="S1034" i="5" s="1"/>
  <c r="T1034" i="5" s="1"/>
  <c r="U1034" i="5" s="1"/>
  <c r="V1034" i="5" s="1"/>
  <c r="P1034" i="5"/>
  <c r="AE1034" i="5" s="1"/>
  <c r="AF1034" i="5" s="1"/>
  <c r="O1034" i="5"/>
  <c r="N1034" i="5"/>
  <c r="AC1033" i="5"/>
  <c r="AD1033" i="5" s="1"/>
  <c r="AA1033" i="5"/>
  <c r="AB1033" i="5" s="1"/>
  <c r="Y1033" i="5"/>
  <c r="Z1033" i="5" s="1"/>
  <c r="W1033" i="5"/>
  <c r="X1033" i="5" s="1"/>
  <c r="Q1033" i="5"/>
  <c r="R1033" i="5" s="1"/>
  <c r="S1033" i="5" s="1"/>
  <c r="T1033" i="5" s="1"/>
  <c r="U1033" i="5" s="1"/>
  <c r="V1033" i="5" s="1"/>
  <c r="P1033" i="5"/>
  <c r="AE1033" i="5" s="1"/>
  <c r="AF1033" i="5" s="1"/>
  <c r="O1033" i="5"/>
  <c r="N1033" i="5"/>
  <c r="AC1032" i="5"/>
  <c r="AD1032" i="5" s="1"/>
  <c r="AA1032" i="5"/>
  <c r="AB1032" i="5" s="1"/>
  <c r="Y1032" i="5"/>
  <c r="Z1032" i="5" s="1"/>
  <c r="W1032" i="5"/>
  <c r="X1032" i="5" s="1"/>
  <c r="Q1032" i="5"/>
  <c r="R1032" i="5" s="1"/>
  <c r="S1032" i="5" s="1"/>
  <c r="T1032" i="5" s="1"/>
  <c r="U1032" i="5" s="1"/>
  <c r="V1032" i="5" s="1"/>
  <c r="P1032" i="5"/>
  <c r="AE1032" i="5" s="1"/>
  <c r="AF1032" i="5" s="1"/>
  <c r="O1032" i="5"/>
  <c r="N1032" i="5"/>
  <c r="AC1031" i="5"/>
  <c r="AD1031" i="5" s="1"/>
  <c r="AA1031" i="5"/>
  <c r="AB1031" i="5" s="1"/>
  <c r="Y1031" i="5"/>
  <c r="Z1031" i="5" s="1"/>
  <c r="W1031" i="5"/>
  <c r="X1031" i="5" s="1"/>
  <c r="Q1031" i="5"/>
  <c r="R1031" i="5" s="1"/>
  <c r="S1031" i="5" s="1"/>
  <c r="T1031" i="5" s="1"/>
  <c r="U1031" i="5" s="1"/>
  <c r="V1031" i="5" s="1"/>
  <c r="P1031" i="5"/>
  <c r="AE1031" i="5" s="1"/>
  <c r="AF1031" i="5" s="1"/>
  <c r="O1031" i="5"/>
  <c r="N1031" i="5"/>
  <c r="AC1030" i="5"/>
  <c r="AD1030" i="5" s="1"/>
  <c r="AA1030" i="5"/>
  <c r="AB1030" i="5" s="1"/>
  <c r="Y1030" i="5"/>
  <c r="Z1030" i="5" s="1"/>
  <c r="W1030" i="5"/>
  <c r="X1030" i="5" s="1"/>
  <c r="Q1030" i="5"/>
  <c r="R1030" i="5" s="1"/>
  <c r="S1030" i="5" s="1"/>
  <c r="T1030" i="5" s="1"/>
  <c r="U1030" i="5" s="1"/>
  <c r="V1030" i="5" s="1"/>
  <c r="P1030" i="5"/>
  <c r="AE1030" i="5" s="1"/>
  <c r="AF1030" i="5" s="1"/>
  <c r="O1030" i="5"/>
  <c r="N1030" i="5"/>
  <c r="AC1029" i="5"/>
  <c r="AD1029" i="5" s="1"/>
  <c r="AA1029" i="5"/>
  <c r="AB1029" i="5" s="1"/>
  <c r="Y1029" i="5"/>
  <c r="Z1029" i="5" s="1"/>
  <c r="W1029" i="5"/>
  <c r="X1029" i="5" s="1"/>
  <c r="Q1029" i="5"/>
  <c r="R1029" i="5" s="1"/>
  <c r="S1029" i="5" s="1"/>
  <c r="T1029" i="5" s="1"/>
  <c r="U1029" i="5" s="1"/>
  <c r="V1029" i="5" s="1"/>
  <c r="P1029" i="5"/>
  <c r="AE1029" i="5" s="1"/>
  <c r="AF1029" i="5" s="1"/>
  <c r="O1029" i="5"/>
  <c r="N1029" i="5"/>
  <c r="AC1028" i="5"/>
  <c r="AD1028" i="5" s="1"/>
  <c r="AA1028" i="5"/>
  <c r="AB1028" i="5" s="1"/>
  <c r="Y1028" i="5"/>
  <c r="Z1028" i="5" s="1"/>
  <c r="W1028" i="5"/>
  <c r="X1028" i="5" s="1"/>
  <c r="Q1028" i="5"/>
  <c r="R1028" i="5" s="1"/>
  <c r="S1028" i="5" s="1"/>
  <c r="T1028" i="5" s="1"/>
  <c r="U1028" i="5" s="1"/>
  <c r="V1028" i="5" s="1"/>
  <c r="P1028" i="5"/>
  <c r="AE1028" i="5" s="1"/>
  <c r="AF1028" i="5" s="1"/>
  <c r="O1028" i="5"/>
  <c r="N1028" i="5"/>
  <c r="AC1027" i="5"/>
  <c r="AD1027" i="5" s="1"/>
  <c r="AA1027" i="5"/>
  <c r="AB1027" i="5" s="1"/>
  <c r="Y1027" i="5"/>
  <c r="Z1027" i="5" s="1"/>
  <c r="W1027" i="5"/>
  <c r="X1027" i="5" s="1"/>
  <c r="Q1027" i="5"/>
  <c r="R1027" i="5" s="1"/>
  <c r="S1027" i="5" s="1"/>
  <c r="T1027" i="5" s="1"/>
  <c r="U1027" i="5" s="1"/>
  <c r="V1027" i="5" s="1"/>
  <c r="P1027" i="5"/>
  <c r="AE1027" i="5" s="1"/>
  <c r="AF1027" i="5" s="1"/>
  <c r="O1027" i="5"/>
  <c r="N1027" i="5"/>
  <c r="AC1026" i="5"/>
  <c r="AD1026" i="5" s="1"/>
  <c r="AA1026" i="5"/>
  <c r="AB1026" i="5" s="1"/>
  <c r="Y1026" i="5"/>
  <c r="Z1026" i="5" s="1"/>
  <c r="W1026" i="5"/>
  <c r="X1026" i="5" s="1"/>
  <c r="Q1026" i="5"/>
  <c r="R1026" i="5" s="1"/>
  <c r="S1026" i="5" s="1"/>
  <c r="T1026" i="5" s="1"/>
  <c r="U1026" i="5" s="1"/>
  <c r="V1026" i="5" s="1"/>
  <c r="P1026" i="5"/>
  <c r="AE1026" i="5" s="1"/>
  <c r="AF1026" i="5" s="1"/>
  <c r="O1026" i="5"/>
  <c r="N1026" i="5"/>
  <c r="AC1025" i="5"/>
  <c r="AD1025" i="5" s="1"/>
  <c r="AA1025" i="5"/>
  <c r="AB1025" i="5" s="1"/>
  <c r="Y1025" i="5"/>
  <c r="Z1025" i="5" s="1"/>
  <c r="W1025" i="5"/>
  <c r="X1025" i="5" s="1"/>
  <c r="Q1025" i="5"/>
  <c r="R1025" i="5" s="1"/>
  <c r="S1025" i="5" s="1"/>
  <c r="T1025" i="5" s="1"/>
  <c r="U1025" i="5" s="1"/>
  <c r="V1025" i="5" s="1"/>
  <c r="P1025" i="5"/>
  <c r="AE1025" i="5" s="1"/>
  <c r="AF1025" i="5" s="1"/>
  <c r="O1025" i="5"/>
  <c r="N1025" i="5"/>
  <c r="AC1024" i="5"/>
  <c r="AD1024" i="5" s="1"/>
  <c r="AA1024" i="5"/>
  <c r="AB1024" i="5" s="1"/>
  <c r="Y1024" i="5"/>
  <c r="Z1024" i="5" s="1"/>
  <c r="W1024" i="5"/>
  <c r="X1024" i="5" s="1"/>
  <c r="Q1024" i="5"/>
  <c r="R1024" i="5" s="1"/>
  <c r="S1024" i="5" s="1"/>
  <c r="T1024" i="5" s="1"/>
  <c r="U1024" i="5" s="1"/>
  <c r="V1024" i="5" s="1"/>
  <c r="P1024" i="5"/>
  <c r="AE1024" i="5" s="1"/>
  <c r="AF1024" i="5" s="1"/>
  <c r="O1024" i="5"/>
  <c r="N1024" i="5"/>
  <c r="AC1023" i="5"/>
  <c r="AD1023" i="5" s="1"/>
  <c r="AA1023" i="5"/>
  <c r="AB1023" i="5" s="1"/>
  <c r="Y1023" i="5"/>
  <c r="Z1023" i="5" s="1"/>
  <c r="W1023" i="5"/>
  <c r="X1023" i="5" s="1"/>
  <c r="Q1023" i="5"/>
  <c r="R1023" i="5" s="1"/>
  <c r="S1023" i="5" s="1"/>
  <c r="T1023" i="5" s="1"/>
  <c r="U1023" i="5" s="1"/>
  <c r="V1023" i="5" s="1"/>
  <c r="P1023" i="5"/>
  <c r="AE1023" i="5" s="1"/>
  <c r="AF1023" i="5" s="1"/>
  <c r="O1023" i="5"/>
  <c r="N1023" i="5"/>
  <c r="AC1022" i="5"/>
  <c r="AD1022" i="5" s="1"/>
  <c r="AA1022" i="5"/>
  <c r="AB1022" i="5" s="1"/>
  <c r="Y1022" i="5"/>
  <c r="Z1022" i="5" s="1"/>
  <c r="W1022" i="5"/>
  <c r="X1022" i="5" s="1"/>
  <c r="Q1022" i="5"/>
  <c r="R1022" i="5" s="1"/>
  <c r="S1022" i="5" s="1"/>
  <c r="T1022" i="5" s="1"/>
  <c r="U1022" i="5" s="1"/>
  <c r="V1022" i="5" s="1"/>
  <c r="P1022" i="5"/>
  <c r="AE1022" i="5" s="1"/>
  <c r="AF1022" i="5" s="1"/>
  <c r="O1022" i="5"/>
  <c r="N1022" i="5"/>
  <c r="AC1021" i="5"/>
  <c r="AD1021" i="5" s="1"/>
  <c r="AA1021" i="5"/>
  <c r="AB1021" i="5" s="1"/>
  <c r="Y1021" i="5"/>
  <c r="Z1021" i="5" s="1"/>
  <c r="W1021" i="5"/>
  <c r="X1021" i="5" s="1"/>
  <c r="Q1021" i="5"/>
  <c r="R1021" i="5" s="1"/>
  <c r="S1021" i="5" s="1"/>
  <c r="T1021" i="5" s="1"/>
  <c r="U1021" i="5" s="1"/>
  <c r="V1021" i="5" s="1"/>
  <c r="P1021" i="5"/>
  <c r="AE1021" i="5" s="1"/>
  <c r="AF1021" i="5" s="1"/>
  <c r="O1021" i="5"/>
  <c r="N1021" i="5"/>
  <c r="AC1020" i="5"/>
  <c r="AD1020" i="5" s="1"/>
  <c r="AA1020" i="5"/>
  <c r="AB1020" i="5" s="1"/>
  <c r="Y1020" i="5"/>
  <c r="Z1020" i="5" s="1"/>
  <c r="W1020" i="5"/>
  <c r="X1020" i="5" s="1"/>
  <c r="Q1020" i="5"/>
  <c r="R1020" i="5" s="1"/>
  <c r="S1020" i="5" s="1"/>
  <c r="T1020" i="5" s="1"/>
  <c r="U1020" i="5" s="1"/>
  <c r="V1020" i="5" s="1"/>
  <c r="P1020" i="5"/>
  <c r="AE1020" i="5" s="1"/>
  <c r="AF1020" i="5" s="1"/>
  <c r="O1020" i="5"/>
  <c r="N1020" i="5"/>
  <c r="AC1019" i="5"/>
  <c r="AD1019" i="5" s="1"/>
  <c r="AA1019" i="5"/>
  <c r="AB1019" i="5" s="1"/>
  <c r="Y1019" i="5"/>
  <c r="Z1019" i="5" s="1"/>
  <c r="W1019" i="5"/>
  <c r="X1019" i="5" s="1"/>
  <c r="Q1019" i="5"/>
  <c r="R1019" i="5" s="1"/>
  <c r="S1019" i="5" s="1"/>
  <c r="T1019" i="5" s="1"/>
  <c r="U1019" i="5" s="1"/>
  <c r="V1019" i="5" s="1"/>
  <c r="P1019" i="5"/>
  <c r="AE1019" i="5" s="1"/>
  <c r="AF1019" i="5" s="1"/>
  <c r="O1019" i="5"/>
  <c r="N1019" i="5"/>
  <c r="AC1018" i="5"/>
  <c r="AD1018" i="5" s="1"/>
  <c r="AA1018" i="5"/>
  <c r="AB1018" i="5" s="1"/>
  <c r="Y1018" i="5"/>
  <c r="Z1018" i="5" s="1"/>
  <c r="W1018" i="5"/>
  <c r="X1018" i="5" s="1"/>
  <c r="Q1018" i="5"/>
  <c r="R1018" i="5" s="1"/>
  <c r="S1018" i="5" s="1"/>
  <c r="T1018" i="5" s="1"/>
  <c r="U1018" i="5" s="1"/>
  <c r="V1018" i="5" s="1"/>
  <c r="P1018" i="5"/>
  <c r="AE1018" i="5" s="1"/>
  <c r="AF1018" i="5" s="1"/>
  <c r="O1018" i="5"/>
  <c r="N1018" i="5"/>
  <c r="AC1017" i="5"/>
  <c r="AD1017" i="5" s="1"/>
  <c r="AA1017" i="5"/>
  <c r="AB1017" i="5" s="1"/>
  <c r="Y1017" i="5"/>
  <c r="Z1017" i="5" s="1"/>
  <c r="W1017" i="5"/>
  <c r="X1017" i="5" s="1"/>
  <c r="Q1017" i="5"/>
  <c r="R1017" i="5" s="1"/>
  <c r="S1017" i="5" s="1"/>
  <c r="T1017" i="5" s="1"/>
  <c r="U1017" i="5" s="1"/>
  <c r="V1017" i="5" s="1"/>
  <c r="P1017" i="5"/>
  <c r="AE1017" i="5" s="1"/>
  <c r="AF1017" i="5" s="1"/>
  <c r="O1017" i="5"/>
  <c r="N1017" i="5"/>
  <c r="AC1016" i="5"/>
  <c r="AD1016" i="5" s="1"/>
  <c r="AA1016" i="5"/>
  <c r="AB1016" i="5" s="1"/>
  <c r="Y1016" i="5"/>
  <c r="Z1016" i="5" s="1"/>
  <c r="W1016" i="5"/>
  <c r="X1016" i="5" s="1"/>
  <c r="Q1016" i="5"/>
  <c r="R1016" i="5" s="1"/>
  <c r="S1016" i="5" s="1"/>
  <c r="T1016" i="5" s="1"/>
  <c r="U1016" i="5" s="1"/>
  <c r="V1016" i="5" s="1"/>
  <c r="P1016" i="5"/>
  <c r="AE1016" i="5" s="1"/>
  <c r="AF1016" i="5" s="1"/>
  <c r="O1016" i="5"/>
  <c r="N1016" i="5"/>
  <c r="AC1015" i="5"/>
  <c r="AD1015" i="5" s="1"/>
  <c r="AA1015" i="5"/>
  <c r="AB1015" i="5" s="1"/>
  <c r="Y1015" i="5"/>
  <c r="Z1015" i="5" s="1"/>
  <c r="W1015" i="5"/>
  <c r="X1015" i="5" s="1"/>
  <c r="Q1015" i="5"/>
  <c r="R1015" i="5" s="1"/>
  <c r="S1015" i="5" s="1"/>
  <c r="T1015" i="5" s="1"/>
  <c r="U1015" i="5" s="1"/>
  <c r="V1015" i="5" s="1"/>
  <c r="P1015" i="5"/>
  <c r="AE1015" i="5" s="1"/>
  <c r="AF1015" i="5" s="1"/>
  <c r="O1015" i="5"/>
  <c r="N1015" i="5"/>
  <c r="AC1014" i="5"/>
  <c r="AD1014" i="5" s="1"/>
  <c r="AA1014" i="5"/>
  <c r="AB1014" i="5" s="1"/>
  <c r="Y1014" i="5"/>
  <c r="Z1014" i="5" s="1"/>
  <c r="W1014" i="5"/>
  <c r="X1014" i="5" s="1"/>
  <c r="Q1014" i="5"/>
  <c r="R1014" i="5" s="1"/>
  <c r="S1014" i="5" s="1"/>
  <c r="T1014" i="5" s="1"/>
  <c r="U1014" i="5" s="1"/>
  <c r="V1014" i="5" s="1"/>
  <c r="P1014" i="5"/>
  <c r="AE1014" i="5" s="1"/>
  <c r="AF1014" i="5" s="1"/>
  <c r="O1014" i="5"/>
  <c r="N1014" i="5"/>
  <c r="AC1013" i="5"/>
  <c r="AD1013" i="5" s="1"/>
  <c r="AA1013" i="5"/>
  <c r="AB1013" i="5" s="1"/>
  <c r="Y1013" i="5"/>
  <c r="Z1013" i="5" s="1"/>
  <c r="W1013" i="5"/>
  <c r="X1013" i="5" s="1"/>
  <c r="Q1013" i="5"/>
  <c r="R1013" i="5" s="1"/>
  <c r="S1013" i="5" s="1"/>
  <c r="T1013" i="5" s="1"/>
  <c r="U1013" i="5" s="1"/>
  <c r="V1013" i="5" s="1"/>
  <c r="P1013" i="5"/>
  <c r="AE1013" i="5" s="1"/>
  <c r="AF1013" i="5" s="1"/>
  <c r="O1013" i="5"/>
  <c r="N1013" i="5"/>
  <c r="AC1012" i="5"/>
  <c r="AD1012" i="5" s="1"/>
  <c r="AA1012" i="5"/>
  <c r="AB1012" i="5" s="1"/>
  <c r="Y1012" i="5"/>
  <c r="Z1012" i="5" s="1"/>
  <c r="W1012" i="5"/>
  <c r="X1012" i="5" s="1"/>
  <c r="Q1012" i="5"/>
  <c r="R1012" i="5" s="1"/>
  <c r="S1012" i="5" s="1"/>
  <c r="T1012" i="5" s="1"/>
  <c r="U1012" i="5" s="1"/>
  <c r="V1012" i="5" s="1"/>
  <c r="P1012" i="5"/>
  <c r="AE1012" i="5" s="1"/>
  <c r="AF1012" i="5" s="1"/>
  <c r="O1012" i="5"/>
  <c r="N1012" i="5"/>
  <c r="AC1011" i="5"/>
  <c r="AD1011" i="5" s="1"/>
  <c r="AA1011" i="5"/>
  <c r="AB1011" i="5" s="1"/>
  <c r="Y1011" i="5"/>
  <c r="Z1011" i="5" s="1"/>
  <c r="W1011" i="5"/>
  <c r="X1011" i="5" s="1"/>
  <c r="Q1011" i="5"/>
  <c r="R1011" i="5" s="1"/>
  <c r="S1011" i="5" s="1"/>
  <c r="T1011" i="5" s="1"/>
  <c r="U1011" i="5" s="1"/>
  <c r="V1011" i="5" s="1"/>
  <c r="P1011" i="5"/>
  <c r="AE1011" i="5" s="1"/>
  <c r="AF1011" i="5" s="1"/>
  <c r="O1011" i="5"/>
  <c r="N1011" i="5"/>
  <c r="AC1010" i="5"/>
  <c r="AD1010" i="5" s="1"/>
  <c r="AA1010" i="5"/>
  <c r="AB1010" i="5" s="1"/>
  <c r="Y1010" i="5"/>
  <c r="Z1010" i="5" s="1"/>
  <c r="W1010" i="5"/>
  <c r="X1010" i="5" s="1"/>
  <c r="Q1010" i="5"/>
  <c r="R1010" i="5" s="1"/>
  <c r="S1010" i="5" s="1"/>
  <c r="T1010" i="5" s="1"/>
  <c r="U1010" i="5" s="1"/>
  <c r="V1010" i="5" s="1"/>
  <c r="P1010" i="5"/>
  <c r="AE1010" i="5" s="1"/>
  <c r="AF1010" i="5" s="1"/>
  <c r="O1010" i="5"/>
  <c r="N1010" i="5"/>
  <c r="AC1009" i="5"/>
  <c r="AD1009" i="5" s="1"/>
  <c r="AA1009" i="5"/>
  <c r="AB1009" i="5" s="1"/>
  <c r="Y1009" i="5"/>
  <c r="Z1009" i="5" s="1"/>
  <c r="W1009" i="5"/>
  <c r="X1009" i="5" s="1"/>
  <c r="Q1009" i="5"/>
  <c r="R1009" i="5" s="1"/>
  <c r="S1009" i="5" s="1"/>
  <c r="T1009" i="5" s="1"/>
  <c r="U1009" i="5" s="1"/>
  <c r="V1009" i="5" s="1"/>
  <c r="P1009" i="5"/>
  <c r="AE1009" i="5" s="1"/>
  <c r="AF1009" i="5" s="1"/>
  <c r="O1009" i="5"/>
  <c r="N1009" i="5"/>
  <c r="AC1008" i="5"/>
  <c r="AD1008" i="5" s="1"/>
  <c r="AA1008" i="5"/>
  <c r="AB1008" i="5" s="1"/>
  <c r="Y1008" i="5"/>
  <c r="Z1008" i="5" s="1"/>
  <c r="W1008" i="5"/>
  <c r="X1008" i="5" s="1"/>
  <c r="Q1008" i="5"/>
  <c r="R1008" i="5" s="1"/>
  <c r="S1008" i="5" s="1"/>
  <c r="T1008" i="5" s="1"/>
  <c r="U1008" i="5" s="1"/>
  <c r="V1008" i="5" s="1"/>
  <c r="P1008" i="5"/>
  <c r="AE1008" i="5" s="1"/>
  <c r="AF1008" i="5" s="1"/>
  <c r="O1008" i="5"/>
  <c r="N1008" i="5"/>
  <c r="AC1007" i="5"/>
  <c r="AD1007" i="5" s="1"/>
  <c r="AA1007" i="5"/>
  <c r="AB1007" i="5" s="1"/>
  <c r="Y1007" i="5"/>
  <c r="Z1007" i="5" s="1"/>
  <c r="W1007" i="5"/>
  <c r="X1007" i="5" s="1"/>
  <c r="Q1007" i="5"/>
  <c r="R1007" i="5" s="1"/>
  <c r="S1007" i="5" s="1"/>
  <c r="T1007" i="5" s="1"/>
  <c r="U1007" i="5" s="1"/>
  <c r="V1007" i="5" s="1"/>
  <c r="P1007" i="5"/>
  <c r="AE1007" i="5" s="1"/>
  <c r="AF1007" i="5" s="1"/>
  <c r="O1007" i="5"/>
  <c r="N1007" i="5"/>
  <c r="AC1006" i="5"/>
  <c r="AD1006" i="5" s="1"/>
  <c r="AA1006" i="5"/>
  <c r="AB1006" i="5" s="1"/>
  <c r="Y1006" i="5"/>
  <c r="Z1006" i="5" s="1"/>
  <c r="W1006" i="5"/>
  <c r="X1006" i="5" s="1"/>
  <c r="Q1006" i="5"/>
  <c r="R1006" i="5" s="1"/>
  <c r="S1006" i="5" s="1"/>
  <c r="T1006" i="5" s="1"/>
  <c r="U1006" i="5" s="1"/>
  <c r="V1006" i="5" s="1"/>
  <c r="P1006" i="5"/>
  <c r="AE1006" i="5" s="1"/>
  <c r="AF1006" i="5" s="1"/>
  <c r="O1006" i="5"/>
  <c r="N1006" i="5"/>
  <c r="AC1005" i="5"/>
  <c r="AD1005" i="5" s="1"/>
  <c r="AA1005" i="5"/>
  <c r="AB1005" i="5" s="1"/>
  <c r="Y1005" i="5"/>
  <c r="Z1005" i="5" s="1"/>
  <c r="W1005" i="5"/>
  <c r="X1005" i="5" s="1"/>
  <c r="Q1005" i="5"/>
  <c r="R1005" i="5" s="1"/>
  <c r="S1005" i="5" s="1"/>
  <c r="T1005" i="5" s="1"/>
  <c r="U1005" i="5" s="1"/>
  <c r="V1005" i="5" s="1"/>
  <c r="P1005" i="5"/>
  <c r="AE1005" i="5" s="1"/>
  <c r="AF1005" i="5" s="1"/>
  <c r="O1005" i="5"/>
  <c r="N1005" i="5"/>
  <c r="AC1004" i="5"/>
  <c r="AD1004" i="5" s="1"/>
  <c r="AA1004" i="5"/>
  <c r="AB1004" i="5" s="1"/>
  <c r="Y1004" i="5"/>
  <c r="Z1004" i="5" s="1"/>
  <c r="W1004" i="5"/>
  <c r="X1004" i="5" s="1"/>
  <c r="Q1004" i="5"/>
  <c r="R1004" i="5" s="1"/>
  <c r="S1004" i="5" s="1"/>
  <c r="T1004" i="5" s="1"/>
  <c r="U1004" i="5" s="1"/>
  <c r="V1004" i="5" s="1"/>
  <c r="P1004" i="5"/>
  <c r="AE1004" i="5" s="1"/>
  <c r="AF1004" i="5" s="1"/>
  <c r="O1004" i="5"/>
  <c r="N1004" i="5"/>
  <c r="AC1003" i="5"/>
  <c r="AD1003" i="5" s="1"/>
  <c r="AA1003" i="5"/>
  <c r="AB1003" i="5" s="1"/>
  <c r="Y1003" i="5"/>
  <c r="Z1003" i="5" s="1"/>
  <c r="W1003" i="5"/>
  <c r="X1003" i="5" s="1"/>
  <c r="Q1003" i="5"/>
  <c r="R1003" i="5" s="1"/>
  <c r="S1003" i="5" s="1"/>
  <c r="T1003" i="5" s="1"/>
  <c r="U1003" i="5" s="1"/>
  <c r="V1003" i="5" s="1"/>
  <c r="P1003" i="5"/>
  <c r="AE1003" i="5" s="1"/>
  <c r="AF1003" i="5" s="1"/>
  <c r="O1003" i="5"/>
  <c r="N1003" i="5"/>
  <c r="AC1002" i="5"/>
  <c r="AD1002" i="5" s="1"/>
  <c r="AA1002" i="5"/>
  <c r="AB1002" i="5" s="1"/>
  <c r="Y1002" i="5"/>
  <c r="Z1002" i="5" s="1"/>
  <c r="W1002" i="5"/>
  <c r="X1002" i="5" s="1"/>
  <c r="Q1002" i="5"/>
  <c r="R1002" i="5" s="1"/>
  <c r="S1002" i="5" s="1"/>
  <c r="T1002" i="5" s="1"/>
  <c r="U1002" i="5" s="1"/>
  <c r="V1002" i="5" s="1"/>
  <c r="P1002" i="5"/>
  <c r="AE1002" i="5" s="1"/>
  <c r="AF1002" i="5" s="1"/>
  <c r="O1002" i="5"/>
  <c r="N1002" i="5"/>
  <c r="AC1001" i="5"/>
  <c r="AD1001" i="5" s="1"/>
  <c r="AA1001" i="5"/>
  <c r="AB1001" i="5" s="1"/>
  <c r="Y1001" i="5"/>
  <c r="Z1001" i="5" s="1"/>
  <c r="W1001" i="5"/>
  <c r="X1001" i="5" s="1"/>
  <c r="Q1001" i="5"/>
  <c r="R1001" i="5" s="1"/>
  <c r="S1001" i="5" s="1"/>
  <c r="T1001" i="5" s="1"/>
  <c r="U1001" i="5" s="1"/>
  <c r="V1001" i="5" s="1"/>
  <c r="P1001" i="5"/>
  <c r="AE1001" i="5" s="1"/>
  <c r="AF1001" i="5" s="1"/>
  <c r="O1001" i="5"/>
  <c r="N1001" i="5"/>
  <c r="AC1000" i="5"/>
  <c r="AD1000" i="5" s="1"/>
  <c r="AA1000" i="5"/>
  <c r="AB1000" i="5" s="1"/>
  <c r="Y1000" i="5"/>
  <c r="Z1000" i="5" s="1"/>
  <c r="W1000" i="5"/>
  <c r="X1000" i="5" s="1"/>
  <c r="Q1000" i="5"/>
  <c r="R1000" i="5" s="1"/>
  <c r="S1000" i="5" s="1"/>
  <c r="T1000" i="5" s="1"/>
  <c r="U1000" i="5" s="1"/>
  <c r="V1000" i="5" s="1"/>
  <c r="P1000" i="5"/>
  <c r="AE1000" i="5" s="1"/>
  <c r="AF1000" i="5" s="1"/>
  <c r="O1000" i="5"/>
  <c r="N1000" i="5"/>
  <c r="AC999" i="5"/>
  <c r="AD999" i="5" s="1"/>
  <c r="AA999" i="5"/>
  <c r="AB999" i="5" s="1"/>
  <c r="Y999" i="5"/>
  <c r="Z999" i="5" s="1"/>
  <c r="W999" i="5"/>
  <c r="X999" i="5" s="1"/>
  <c r="Q999" i="5"/>
  <c r="R999" i="5" s="1"/>
  <c r="S999" i="5" s="1"/>
  <c r="T999" i="5" s="1"/>
  <c r="U999" i="5" s="1"/>
  <c r="V999" i="5" s="1"/>
  <c r="P999" i="5"/>
  <c r="AE999" i="5" s="1"/>
  <c r="AF999" i="5" s="1"/>
  <c r="O999" i="5"/>
  <c r="N999" i="5"/>
  <c r="AC998" i="5"/>
  <c r="AD998" i="5" s="1"/>
  <c r="AA998" i="5"/>
  <c r="AB998" i="5" s="1"/>
  <c r="Y998" i="5"/>
  <c r="Z998" i="5" s="1"/>
  <c r="W998" i="5"/>
  <c r="X998" i="5" s="1"/>
  <c r="Q998" i="5"/>
  <c r="R998" i="5" s="1"/>
  <c r="S998" i="5" s="1"/>
  <c r="T998" i="5" s="1"/>
  <c r="U998" i="5" s="1"/>
  <c r="V998" i="5" s="1"/>
  <c r="P998" i="5"/>
  <c r="AE998" i="5" s="1"/>
  <c r="AF998" i="5" s="1"/>
  <c r="O998" i="5"/>
  <c r="N998" i="5"/>
  <c r="AC997" i="5"/>
  <c r="AD997" i="5" s="1"/>
  <c r="AA997" i="5"/>
  <c r="AB997" i="5" s="1"/>
  <c r="Y997" i="5"/>
  <c r="Z997" i="5" s="1"/>
  <c r="W997" i="5"/>
  <c r="X997" i="5" s="1"/>
  <c r="Q997" i="5"/>
  <c r="R997" i="5" s="1"/>
  <c r="S997" i="5" s="1"/>
  <c r="T997" i="5" s="1"/>
  <c r="U997" i="5" s="1"/>
  <c r="V997" i="5" s="1"/>
  <c r="P997" i="5"/>
  <c r="AE997" i="5" s="1"/>
  <c r="AF997" i="5" s="1"/>
  <c r="O997" i="5"/>
  <c r="N997" i="5"/>
  <c r="AC996" i="5"/>
  <c r="AD996" i="5" s="1"/>
  <c r="AA996" i="5"/>
  <c r="AB996" i="5" s="1"/>
  <c r="Y996" i="5"/>
  <c r="Z996" i="5" s="1"/>
  <c r="W996" i="5"/>
  <c r="X996" i="5" s="1"/>
  <c r="Q996" i="5"/>
  <c r="R996" i="5" s="1"/>
  <c r="S996" i="5" s="1"/>
  <c r="T996" i="5" s="1"/>
  <c r="U996" i="5" s="1"/>
  <c r="V996" i="5" s="1"/>
  <c r="P996" i="5"/>
  <c r="AE996" i="5" s="1"/>
  <c r="AF996" i="5" s="1"/>
  <c r="O996" i="5"/>
  <c r="N996" i="5"/>
  <c r="AC995" i="5"/>
  <c r="AD995" i="5" s="1"/>
  <c r="AA995" i="5"/>
  <c r="AB995" i="5" s="1"/>
  <c r="Y995" i="5"/>
  <c r="Z995" i="5" s="1"/>
  <c r="W995" i="5"/>
  <c r="X995" i="5" s="1"/>
  <c r="Q995" i="5"/>
  <c r="R995" i="5" s="1"/>
  <c r="S995" i="5" s="1"/>
  <c r="T995" i="5" s="1"/>
  <c r="U995" i="5" s="1"/>
  <c r="V995" i="5" s="1"/>
  <c r="P995" i="5"/>
  <c r="AE995" i="5" s="1"/>
  <c r="AF995" i="5" s="1"/>
  <c r="O995" i="5"/>
  <c r="N995" i="5"/>
  <c r="AC994" i="5"/>
  <c r="AD994" i="5" s="1"/>
  <c r="AA994" i="5"/>
  <c r="AB994" i="5" s="1"/>
  <c r="Y994" i="5"/>
  <c r="Z994" i="5" s="1"/>
  <c r="W994" i="5"/>
  <c r="X994" i="5" s="1"/>
  <c r="Q994" i="5"/>
  <c r="R994" i="5" s="1"/>
  <c r="S994" i="5" s="1"/>
  <c r="T994" i="5" s="1"/>
  <c r="U994" i="5" s="1"/>
  <c r="V994" i="5" s="1"/>
  <c r="P994" i="5"/>
  <c r="AE994" i="5" s="1"/>
  <c r="AF994" i="5" s="1"/>
  <c r="O994" i="5"/>
  <c r="N994" i="5"/>
  <c r="AC993" i="5"/>
  <c r="AD993" i="5" s="1"/>
  <c r="AA993" i="5"/>
  <c r="AB993" i="5" s="1"/>
  <c r="Y993" i="5"/>
  <c r="Z993" i="5" s="1"/>
  <c r="W993" i="5"/>
  <c r="X993" i="5" s="1"/>
  <c r="Q993" i="5"/>
  <c r="R993" i="5" s="1"/>
  <c r="S993" i="5" s="1"/>
  <c r="T993" i="5" s="1"/>
  <c r="U993" i="5" s="1"/>
  <c r="V993" i="5" s="1"/>
  <c r="P993" i="5"/>
  <c r="AE993" i="5" s="1"/>
  <c r="AF993" i="5" s="1"/>
  <c r="O993" i="5"/>
  <c r="N993" i="5"/>
  <c r="AC992" i="5"/>
  <c r="AD992" i="5" s="1"/>
  <c r="AA992" i="5"/>
  <c r="AB992" i="5" s="1"/>
  <c r="Y992" i="5"/>
  <c r="Z992" i="5" s="1"/>
  <c r="W992" i="5"/>
  <c r="X992" i="5" s="1"/>
  <c r="Q992" i="5"/>
  <c r="R992" i="5" s="1"/>
  <c r="S992" i="5" s="1"/>
  <c r="T992" i="5" s="1"/>
  <c r="U992" i="5" s="1"/>
  <c r="V992" i="5" s="1"/>
  <c r="P992" i="5"/>
  <c r="AE992" i="5" s="1"/>
  <c r="AF992" i="5" s="1"/>
  <c r="O992" i="5"/>
  <c r="N992" i="5"/>
  <c r="AC991" i="5"/>
  <c r="AD991" i="5" s="1"/>
  <c r="AA991" i="5"/>
  <c r="AB991" i="5" s="1"/>
  <c r="Y991" i="5"/>
  <c r="Z991" i="5" s="1"/>
  <c r="W991" i="5"/>
  <c r="X991" i="5" s="1"/>
  <c r="Q991" i="5"/>
  <c r="R991" i="5" s="1"/>
  <c r="S991" i="5" s="1"/>
  <c r="T991" i="5" s="1"/>
  <c r="U991" i="5" s="1"/>
  <c r="V991" i="5" s="1"/>
  <c r="P991" i="5"/>
  <c r="AE991" i="5" s="1"/>
  <c r="AF991" i="5" s="1"/>
  <c r="O991" i="5"/>
  <c r="N991" i="5"/>
  <c r="AC990" i="5"/>
  <c r="AD990" i="5" s="1"/>
  <c r="AA990" i="5"/>
  <c r="AB990" i="5" s="1"/>
  <c r="Y990" i="5"/>
  <c r="Z990" i="5" s="1"/>
  <c r="W990" i="5"/>
  <c r="X990" i="5" s="1"/>
  <c r="Q990" i="5"/>
  <c r="R990" i="5" s="1"/>
  <c r="S990" i="5" s="1"/>
  <c r="T990" i="5" s="1"/>
  <c r="U990" i="5" s="1"/>
  <c r="V990" i="5" s="1"/>
  <c r="P990" i="5"/>
  <c r="AE990" i="5" s="1"/>
  <c r="AF990" i="5" s="1"/>
  <c r="O990" i="5"/>
  <c r="N990" i="5"/>
  <c r="AC989" i="5"/>
  <c r="AD989" i="5" s="1"/>
  <c r="AA989" i="5"/>
  <c r="AB989" i="5" s="1"/>
  <c r="Y989" i="5"/>
  <c r="Z989" i="5" s="1"/>
  <c r="W989" i="5"/>
  <c r="X989" i="5" s="1"/>
  <c r="Q989" i="5"/>
  <c r="R989" i="5" s="1"/>
  <c r="S989" i="5" s="1"/>
  <c r="T989" i="5" s="1"/>
  <c r="U989" i="5" s="1"/>
  <c r="V989" i="5" s="1"/>
  <c r="P989" i="5"/>
  <c r="AE989" i="5" s="1"/>
  <c r="AF989" i="5" s="1"/>
  <c r="O989" i="5"/>
  <c r="N989" i="5"/>
  <c r="AC988" i="5"/>
  <c r="AD988" i="5" s="1"/>
  <c r="AA988" i="5"/>
  <c r="AB988" i="5" s="1"/>
  <c r="Y988" i="5"/>
  <c r="Z988" i="5" s="1"/>
  <c r="W988" i="5"/>
  <c r="X988" i="5" s="1"/>
  <c r="Q988" i="5"/>
  <c r="R988" i="5" s="1"/>
  <c r="S988" i="5" s="1"/>
  <c r="T988" i="5" s="1"/>
  <c r="U988" i="5" s="1"/>
  <c r="V988" i="5" s="1"/>
  <c r="P988" i="5"/>
  <c r="AE988" i="5" s="1"/>
  <c r="AF988" i="5" s="1"/>
  <c r="O988" i="5"/>
  <c r="N988" i="5"/>
  <c r="AC987" i="5"/>
  <c r="AD987" i="5" s="1"/>
  <c r="AA987" i="5"/>
  <c r="AB987" i="5" s="1"/>
  <c r="Y987" i="5"/>
  <c r="Z987" i="5" s="1"/>
  <c r="W987" i="5"/>
  <c r="X987" i="5" s="1"/>
  <c r="Q987" i="5"/>
  <c r="R987" i="5" s="1"/>
  <c r="S987" i="5" s="1"/>
  <c r="T987" i="5" s="1"/>
  <c r="U987" i="5" s="1"/>
  <c r="V987" i="5" s="1"/>
  <c r="P987" i="5"/>
  <c r="AE987" i="5" s="1"/>
  <c r="AF987" i="5" s="1"/>
  <c r="O987" i="5"/>
  <c r="N987" i="5"/>
  <c r="AC986" i="5"/>
  <c r="AD986" i="5" s="1"/>
  <c r="AA986" i="5"/>
  <c r="AB986" i="5" s="1"/>
  <c r="Y986" i="5"/>
  <c r="Z986" i="5" s="1"/>
  <c r="W986" i="5"/>
  <c r="X986" i="5" s="1"/>
  <c r="Q986" i="5"/>
  <c r="R986" i="5" s="1"/>
  <c r="S986" i="5" s="1"/>
  <c r="T986" i="5" s="1"/>
  <c r="U986" i="5" s="1"/>
  <c r="V986" i="5" s="1"/>
  <c r="P986" i="5"/>
  <c r="AE986" i="5" s="1"/>
  <c r="AF986" i="5" s="1"/>
  <c r="O986" i="5"/>
  <c r="N986" i="5"/>
  <c r="AC985" i="5"/>
  <c r="AD985" i="5" s="1"/>
  <c r="AA985" i="5"/>
  <c r="AB985" i="5" s="1"/>
  <c r="Y985" i="5"/>
  <c r="Z985" i="5" s="1"/>
  <c r="W985" i="5"/>
  <c r="X985" i="5" s="1"/>
  <c r="Q985" i="5"/>
  <c r="R985" i="5" s="1"/>
  <c r="S985" i="5" s="1"/>
  <c r="T985" i="5" s="1"/>
  <c r="U985" i="5" s="1"/>
  <c r="V985" i="5" s="1"/>
  <c r="P985" i="5"/>
  <c r="AE985" i="5" s="1"/>
  <c r="AF985" i="5" s="1"/>
  <c r="O985" i="5"/>
  <c r="N985" i="5"/>
  <c r="AC984" i="5"/>
  <c r="AD984" i="5" s="1"/>
  <c r="AA984" i="5"/>
  <c r="AB984" i="5" s="1"/>
  <c r="Y984" i="5"/>
  <c r="Z984" i="5" s="1"/>
  <c r="W984" i="5"/>
  <c r="X984" i="5" s="1"/>
  <c r="Q984" i="5"/>
  <c r="R984" i="5" s="1"/>
  <c r="S984" i="5" s="1"/>
  <c r="T984" i="5" s="1"/>
  <c r="U984" i="5" s="1"/>
  <c r="V984" i="5" s="1"/>
  <c r="P984" i="5"/>
  <c r="AE984" i="5" s="1"/>
  <c r="AF984" i="5" s="1"/>
  <c r="O984" i="5"/>
  <c r="N984" i="5"/>
  <c r="AC983" i="5"/>
  <c r="AD983" i="5" s="1"/>
  <c r="AA983" i="5"/>
  <c r="AB983" i="5" s="1"/>
  <c r="Y983" i="5"/>
  <c r="Z983" i="5" s="1"/>
  <c r="W983" i="5"/>
  <c r="X983" i="5" s="1"/>
  <c r="Q983" i="5"/>
  <c r="R983" i="5" s="1"/>
  <c r="S983" i="5" s="1"/>
  <c r="T983" i="5" s="1"/>
  <c r="U983" i="5" s="1"/>
  <c r="V983" i="5" s="1"/>
  <c r="P983" i="5"/>
  <c r="AE983" i="5" s="1"/>
  <c r="AF983" i="5" s="1"/>
  <c r="O983" i="5"/>
  <c r="N983" i="5"/>
  <c r="AC982" i="5"/>
  <c r="AD982" i="5" s="1"/>
  <c r="AA982" i="5"/>
  <c r="AB982" i="5" s="1"/>
  <c r="Y982" i="5"/>
  <c r="Z982" i="5" s="1"/>
  <c r="W982" i="5"/>
  <c r="X982" i="5" s="1"/>
  <c r="Q982" i="5"/>
  <c r="R982" i="5" s="1"/>
  <c r="S982" i="5" s="1"/>
  <c r="T982" i="5" s="1"/>
  <c r="U982" i="5" s="1"/>
  <c r="V982" i="5" s="1"/>
  <c r="P982" i="5"/>
  <c r="AE982" i="5" s="1"/>
  <c r="AF982" i="5" s="1"/>
  <c r="O982" i="5"/>
  <c r="N982" i="5"/>
  <c r="AC981" i="5"/>
  <c r="AD981" i="5" s="1"/>
  <c r="AA981" i="5"/>
  <c r="AB981" i="5" s="1"/>
  <c r="Y981" i="5"/>
  <c r="Z981" i="5" s="1"/>
  <c r="W981" i="5"/>
  <c r="X981" i="5" s="1"/>
  <c r="Q981" i="5"/>
  <c r="R981" i="5" s="1"/>
  <c r="S981" i="5" s="1"/>
  <c r="T981" i="5" s="1"/>
  <c r="U981" i="5" s="1"/>
  <c r="V981" i="5" s="1"/>
  <c r="P981" i="5"/>
  <c r="AE981" i="5" s="1"/>
  <c r="AF981" i="5" s="1"/>
  <c r="O981" i="5"/>
  <c r="N981" i="5"/>
  <c r="AC980" i="5"/>
  <c r="AD980" i="5" s="1"/>
  <c r="AA980" i="5"/>
  <c r="AB980" i="5" s="1"/>
  <c r="Y980" i="5"/>
  <c r="Z980" i="5" s="1"/>
  <c r="W980" i="5"/>
  <c r="X980" i="5" s="1"/>
  <c r="Q980" i="5"/>
  <c r="R980" i="5" s="1"/>
  <c r="S980" i="5" s="1"/>
  <c r="T980" i="5" s="1"/>
  <c r="U980" i="5" s="1"/>
  <c r="V980" i="5" s="1"/>
  <c r="P980" i="5"/>
  <c r="AE980" i="5" s="1"/>
  <c r="AF980" i="5" s="1"/>
  <c r="O980" i="5"/>
  <c r="N980" i="5"/>
  <c r="AC979" i="5"/>
  <c r="AD979" i="5" s="1"/>
  <c r="AA979" i="5"/>
  <c r="AB979" i="5" s="1"/>
  <c r="Y979" i="5"/>
  <c r="Z979" i="5" s="1"/>
  <c r="W979" i="5"/>
  <c r="X979" i="5" s="1"/>
  <c r="Q979" i="5"/>
  <c r="R979" i="5" s="1"/>
  <c r="S979" i="5" s="1"/>
  <c r="T979" i="5" s="1"/>
  <c r="U979" i="5" s="1"/>
  <c r="V979" i="5" s="1"/>
  <c r="P979" i="5"/>
  <c r="AE979" i="5" s="1"/>
  <c r="AF979" i="5" s="1"/>
  <c r="O979" i="5"/>
  <c r="N979" i="5"/>
  <c r="AC978" i="5"/>
  <c r="AD978" i="5" s="1"/>
  <c r="AA978" i="5"/>
  <c r="AB978" i="5" s="1"/>
  <c r="Y978" i="5"/>
  <c r="Z978" i="5" s="1"/>
  <c r="W978" i="5"/>
  <c r="X978" i="5" s="1"/>
  <c r="Q978" i="5"/>
  <c r="R978" i="5" s="1"/>
  <c r="S978" i="5" s="1"/>
  <c r="T978" i="5" s="1"/>
  <c r="U978" i="5" s="1"/>
  <c r="V978" i="5" s="1"/>
  <c r="P978" i="5"/>
  <c r="AE978" i="5" s="1"/>
  <c r="AF978" i="5" s="1"/>
  <c r="O978" i="5"/>
  <c r="N978" i="5"/>
  <c r="AC977" i="5"/>
  <c r="AD977" i="5" s="1"/>
  <c r="AA977" i="5"/>
  <c r="AB977" i="5" s="1"/>
  <c r="Y977" i="5"/>
  <c r="Z977" i="5" s="1"/>
  <c r="W977" i="5"/>
  <c r="X977" i="5" s="1"/>
  <c r="Q977" i="5"/>
  <c r="R977" i="5" s="1"/>
  <c r="S977" i="5" s="1"/>
  <c r="T977" i="5" s="1"/>
  <c r="U977" i="5" s="1"/>
  <c r="V977" i="5" s="1"/>
  <c r="P977" i="5"/>
  <c r="AE977" i="5" s="1"/>
  <c r="AF977" i="5" s="1"/>
  <c r="O977" i="5"/>
  <c r="N977" i="5"/>
  <c r="AC976" i="5"/>
  <c r="AD976" i="5" s="1"/>
  <c r="AA976" i="5"/>
  <c r="AB976" i="5" s="1"/>
  <c r="Y976" i="5"/>
  <c r="Z976" i="5" s="1"/>
  <c r="W976" i="5"/>
  <c r="X976" i="5" s="1"/>
  <c r="Q976" i="5"/>
  <c r="R976" i="5" s="1"/>
  <c r="S976" i="5" s="1"/>
  <c r="T976" i="5" s="1"/>
  <c r="U976" i="5" s="1"/>
  <c r="V976" i="5" s="1"/>
  <c r="P976" i="5"/>
  <c r="AE976" i="5" s="1"/>
  <c r="AF976" i="5" s="1"/>
  <c r="O976" i="5"/>
  <c r="N976" i="5"/>
  <c r="AC975" i="5"/>
  <c r="AD975" i="5" s="1"/>
  <c r="AA975" i="5"/>
  <c r="AB975" i="5" s="1"/>
  <c r="Y975" i="5"/>
  <c r="Z975" i="5" s="1"/>
  <c r="W975" i="5"/>
  <c r="X975" i="5" s="1"/>
  <c r="Q975" i="5"/>
  <c r="R975" i="5" s="1"/>
  <c r="S975" i="5" s="1"/>
  <c r="T975" i="5" s="1"/>
  <c r="U975" i="5" s="1"/>
  <c r="V975" i="5" s="1"/>
  <c r="P975" i="5"/>
  <c r="AE975" i="5" s="1"/>
  <c r="AF975" i="5" s="1"/>
  <c r="O975" i="5"/>
  <c r="N975" i="5"/>
  <c r="AC974" i="5"/>
  <c r="AD974" i="5" s="1"/>
  <c r="AA974" i="5"/>
  <c r="AB974" i="5" s="1"/>
  <c r="Y974" i="5"/>
  <c r="Z974" i="5" s="1"/>
  <c r="W974" i="5"/>
  <c r="X974" i="5" s="1"/>
  <c r="Q974" i="5"/>
  <c r="R974" i="5" s="1"/>
  <c r="S974" i="5" s="1"/>
  <c r="T974" i="5" s="1"/>
  <c r="U974" i="5" s="1"/>
  <c r="V974" i="5" s="1"/>
  <c r="P974" i="5"/>
  <c r="AE974" i="5" s="1"/>
  <c r="AF974" i="5" s="1"/>
  <c r="O974" i="5"/>
  <c r="N974" i="5"/>
  <c r="AC973" i="5"/>
  <c r="AD973" i="5" s="1"/>
  <c r="AA973" i="5"/>
  <c r="AB973" i="5" s="1"/>
  <c r="Y973" i="5"/>
  <c r="Z973" i="5" s="1"/>
  <c r="W973" i="5"/>
  <c r="X973" i="5" s="1"/>
  <c r="Q973" i="5"/>
  <c r="R973" i="5" s="1"/>
  <c r="S973" i="5" s="1"/>
  <c r="T973" i="5" s="1"/>
  <c r="U973" i="5" s="1"/>
  <c r="V973" i="5" s="1"/>
  <c r="P973" i="5"/>
  <c r="AE973" i="5" s="1"/>
  <c r="AF973" i="5" s="1"/>
  <c r="O973" i="5"/>
  <c r="N973" i="5"/>
  <c r="AC972" i="5"/>
  <c r="AD972" i="5" s="1"/>
  <c r="AA972" i="5"/>
  <c r="AB972" i="5" s="1"/>
  <c r="Y972" i="5"/>
  <c r="Z972" i="5" s="1"/>
  <c r="W972" i="5"/>
  <c r="X972" i="5" s="1"/>
  <c r="Q972" i="5"/>
  <c r="R972" i="5" s="1"/>
  <c r="S972" i="5" s="1"/>
  <c r="T972" i="5" s="1"/>
  <c r="U972" i="5" s="1"/>
  <c r="V972" i="5" s="1"/>
  <c r="P972" i="5"/>
  <c r="AE972" i="5" s="1"/>
  <c r="AF972" i="5" s="1"/>
  <c r="O972" i="5"/>
  <c r="N972" i="5"/>
  <c r="AC971" i="5"/>
  <c r="AD971" i="5" s="1"/>
  <c r="AA971" i="5"/>
  <c r="AB971" i="5" s="1"/>
  <c r="Y971" i="5"/>
  <c r="Z971" i="5" s="1"/>
  <c r="W971" i="5"/>
  <c r="X971" i="5" s="1"/>
  <c r="Q971" i="5"/>
  <c r="R971" i="5" s="1"/>
  <c r="S971" i="5" s="1"/>
  <c r="T971" i="5" s="1"/>
  <c r="U971" i="5" s="1"/>
  <c r="V971" i="5" s="1"/>
  <c r="P971" i="5"/>
  <c r="AE971" i="5" s="1"/>
  <c r="AF971" i="5" s="1"/>
  <c r="O971" i="5"/>
  <c r="N971" i="5"/>
  <c r="AC970" i="5"/>
  <c r="AD970" i="5" s="1"/>
  <c r="AA970" i="5"/>
  <c r="AB970" i="5" s="1"/>
  <c r="Y970" i="5"/>
  <c r="Z970" i="5" s="1"/>
  <c r="W970" i="5"/>
  <c r="X970" i="5" s="1"/>
  <c r="Q970" i="5"/>
  <c r="R970" i="5" s="1"/>
  <c r="S970" i="5" s="1"/>
  <c r="T970" i="5" s="1"/>
  <c r="U970" i="5" s="1"/>
  <c r="V970" i="5" s="1"/>
  <c r="P970" i="5"/>
  <c r="AE970" i="5" s="1"/>
  <c r="AF970" i="5" s="1"/>
  <c r="O970" i="5"/>
  <c r="N970" i="5"/>
  <c r="AC969" i="5"/>
  <c r="AD969" i="5" s="1"/>
  <c r="AA969" i="5"/>
  <c r="AB969" i="5" s="1"/>
  <c r="Y969" i="5"/>
  <c r="Z969" i="5" s="1"/>
  <c r="W969" i="5"/>
  <c r="X969" i="5" s="1"/>
  <c r="Q969" i="5"/>
  <c r="R969" i="5" s="1"/>
  <c r="S969" i="5" s="1"/>
  <c r="T969" i="5" s="1"/>
  <c r="U969" i="5" s="1"/>
  <c r="V969" i="5" s="1"/>
  <c r="P969" i="5"/>
  <c r="AE969" i="5" s="1"/>
  <c r="AF969" i="5" s="1"/>
  <c r="O969" i="5"/>
  <c r="N969" i="5"/>
  <c r="AC968" i="5"/>
  <c r="AD968" i="5" s="1"/>
  <c r="AA968" i="5"/>
  <c r="AB968" i="5" s="1"/>
  <c r="Y968" i="5"/>
  <c r="Z968" i="5" s="1"/>
  <c r="W968" i="5"/>
  <c r="X968" i="5" s="1"/>
  <c r="Q968" i="5"/>
  <c r="R968" i="5" s="1"/>
  <c r="S968" i="5" s="1"/>
  <c r="T968" i="5" s="1"/>
  <c r="U968" i="5" s="1"/>
  <c r="V968" i="5" s="1"/>
  <c r="P968" i="5"/>
  <c r="AE968" i="5" s="1"/>
  <c r="AF968" i="5" s="1"/>
  <c r="O968" i="5"/>
  <c r="N968" i="5"/>
  <c r="AC967" i="5"/>
  <c r="AD967" i="5" s="1"/>
  <c r="AA967" i="5"/>
  <c r="AB967" i="5" s="1"/>
  <c r="Y967" i="5"/>
  <c r="Z967" i="5" s="1"/>
  <c r="W967" i="5"/>
  <c r="X967" i="5" s="1"/>
  <c r="Q967" i="5"/>
  <c r="R967" i="5" s="1"/>
  <c r="S967" i="5" s="1"/>
  <c r="T967" i="5" s="1"/>
  <c r="U967" i="5" s="1"/>
  <c r="V967" i="5" s="1"/>
  <c r="P967" i="5"/>
  <c r="AE967" i="5" s="1"/>
  <c r="AF967" i="5" s="1"/>
  <c r="O967" i="5"/>
  <c r="N967" i="5"/>
  <c r="AC966" i="5"/>
  <c r="AD966" i="5" s="1"/>
  <c r="AA966" i="5"/>
  <c r="AB966" i="5" s="1"/>
  <c r="Y966" i="5"/>
  <c r="Z966" i="5" s="1"/>
  <c r="W966" i="5"/>
  <c r="X966" i="5" s="1"/>
  <c r="Q966" i="5"/>
  <c r="R966" i="5" s="1"/>
  <c r="S966" i="5" s="1"/>
  <c r="T966" i="5" s="1"/>
  <c r="U966" i="5" s="1"/>
  <c r="V966" i="5" s="1"/>
  <c r="P966" i="5"/>
  <c r="AE966" i="5" s="1"/>
  <c r="AF966" i="5" s="1"/>
  <c r="O966" i="5"/>
  <c r="N966" i="5"/>
  <c r="AC965" i="5"/>
  <c r="AD965" i="5" s="1"/>
  <c r="AA965" i="5"/>
  <c r="AB965" i="5" s="1"/>
  <c r="Y965" i="5"/>
  <c r="Z965" i="5" s="1"/>
  <c r="W965" i="5"/>
  <c r="X965" i="5" s="1"/>
  <c r="Q965" i="5"/>
  <c r="R965" i="5" s="1"/>
  <c r="S965" i="5" s="1"/>
  <c r="T965" i="5" s="1"/>
  <c r="U965" i="5" s="1"/>
  <c r="V965" i="5" s="1"/>
  <c r="P965" i="5"/>
  <c r="AE965" i="5" s="1"/>
  <c r="AF965" i="5" s="1"/>
  <c r="O965" i="5"/>
  <c r="N965" i="5"/>
  <c r="AC964" i="5"/>
  <c r="AD964" i="5" s="1"/>
  <c r="AA964" i="5"/>
  <c r="AB964" i="5" s="1"/>
  <c r="Y964" i="5"/>
  <c r="Z964" i="5" s="1"/>
  <c r="W964" i="5"/>
  <c r="X964" i="5" s="1"/>
  <c r="Q964" i="5"/>
  <c r="R964" i="5" s="1"/>
  <c r="S964" i="5" s="1"/>
  <c r="T964" i="5" s="1"/>
  <c r="U964" i="5" s="1"/>
  <c r="V964" i="5" s="1"/>
  <c r="P964" i="5"/>
  <c r="AE964" i="5" s="1"/>
  <c r="AF964" i="5" s="1"/>
  <c r="O964" i="5"/>
  <c r="N964" i="5"/>
  <c r="AC963" i="5"/>
  <c r="AD963" i="5" s="1"/>
  <c r="AA963" i="5"/>
  <c r="AB963" i="5" s="1"/>
  <c r="Y963" i="5"/>
  <c r="Z963" i="5" s="1"/>
  <c r="W963" i="5"/>
  <c r="X963" i="5" s="1"/>
  <c r="Q963" i="5"/>
  <c r="R963" i="5" s="1"/>
  <c r="S963" i="5" s="1"/>
  <c r="T963" i="5" s="1"/>
  <c r="U963" i="5" s="1"/>
  <c r="V963" i="5" s="1"/>
  <c r="P963" i="5"/>
  <c r="AE963" i="5" s="1"/>
  <c r="AF963" i="5" s="1"/>
  <c r="O963" i="5"/>
  <c r="N963" i="5"/>
  <c r="AC962" i="5"/>
  <c r="AD962" i="5" s="1"/>
  <c r="AA962" i="5"/>
  <c r="AB962" i="5" s="1"/>
  <c r="Y962" i="5"/>
  <c r="Z962" i="5" s="1"/>
  <c r="W962" i="5"/>
  <c r="X962" i="5" s="1"/>
  <c r="Q962" i="5"/>
  <c r="R962" i="5" s="1"/>
  <c r="S962" i="5" s="1"/>
  <c r="T962" i="5" s="1"/>
  <c r="U962" i="5" s="1"/>
  <c r="V962" i="5" s="1"/>
  <c r="P962" i="5"/>
  <c r="AE962" i="5" s="1"/>
  <c r="AF962" i="5" s="1"/>
  <c r="O962" i="5"/>
  <c r="N962" i="5"/>
  <c r="AC961" i="5"/>
  <c r="AD961" i="5" s="1"/>
  <c r="AA961" i="5"/>
  <c r="AB961" i="5" s="1"/>
  <c r="Y961" i="5"/>
  <c r="Z961" i="5" s="1"/>
  <c r="W961" i="5"/>
  <c r="X961" i="5" s="1"/>
  <c r="Q961" i="5"/>
  <c r="R961" i="5" s="1"/>
  <c r="S961" i="5" s="1"/>
  <c r="T961" i="5" s="1"/>
  <c r="U961" i="5" s="1"/>
  <c r="V961" i="5" s="1"/>
  <c r="P961" i="5"/>
  <c r="AE961" i="5" s="1"/>
  <c r="AF961" i="5" s="1"/>
  <c r="O961" i="5"/>
  <c r="N961" i="5"/>
  <c r="AC960" i="5"/>
  <c r="AD960" i="5" s="1"/>
  <c r="AA960" i="5"/>
  <c r="AB960" i="5" s="1"/>
  <c r="Y960" i="5"/>
  <c r="Z960" i="5" s="1"/>
  <c r="W960" i="5"/>
  <c r="X960" i="5" s="1"/>
  <c r="Q960" i="5"/>
  <c r="R960" i="5" s="1"/>
  <c r="S960" i="5" s="1"/>
  <c r="T960" i="5" s="1"/>
  <c r="U960" i="5" s="1"/>
  <c r="V960" i="5" s="1"/>
  <c r="P960" i="5"/>
  <c r="AE960" i="5" s="1"/>
  <c r="AF960" i="5" s="1"/>
  <c r="O960" i="5"/>
  <c r="N960" i="5"/>
  <c r="AC959" i="5"/>
  <c r="AD959" i="5" s="1"/>
  <c r="AA959" i="5"/>
  <c r="AB959" i="5" s="1"/>
  <c r="Y959" i="5"/>
  <c r="Z959" i="5" s="1"/>
  <c r="W959" i="5"/>
  <c r="X959" i="5" s="1"/>
  <c r="Q959" i="5"/>
  <c r="R959" i="5" s="1"/>
  <c r="S959" i="5" s="1"/>
  <c r="T959" i="5" s="1"/>
  <c r="U959" i="5" s="1"/>
  <c r="V959" i="5" s="1"/>
  <c r="P959" i="5"/>
  <c r="AE959" i="5" s="1"/>
  <c r="AF959" i="5" s="1"/>
  <c r="O959" i="5"/>
  <c r="N959" i="5"/>
  <c r="AC958" i="5"/>
  <c r="AD958" i="5" s="1"/>
  <c r="AA958" i="5"/>
  <c r="AB958" i="5" s="1"/>
  <c r="Y958" i="5"/>
  <c r="Z958" i="5" s="1"/>
  <c r="W958" i="5"/>
  <c r="X958" i="5" s="1"/>
  <c r="Q958" i="5"/>
  <c r="R958" i="5" s="1"/>
  <c r="S958" i="5" s="1"/>
  <c r="T958" i="5" s="1"/>
  <c r="U958" i="5" s="1"/>
  <c r="V958" i="5" s="1"/>
  <c r="P958" i="5"/>
  <c r="AE958" i="5" s="1"/>
  <c r="AF958" i="5" s="1"/>
  <c r="O958" i="5"/>
  <c r="N958" i="5"/>
  <c r="AC957" i="5"/>
  <c r="AD957" i="5" s="1"/>
  <c r="AA957" i="5"/>
  <c r="AB957" i="5" s="1"/>
  <c r="Y957" i="5"/>
  <c r="Z957" i="5" s="1"/>
  <c r="W957" i="5"/>
  <c r="X957" i="5" s="1"/>
  <c r="Q957" i="5"/>
  <c r="R957" i="5" s="1"/>
  <c r="S957" i="5" s="1"/>
  <c r="T957" i="5" s="1"/>
  <c r="U957" i="5" s="1"/>
  <c r="V957" i="5" s="1"/>
  <c r="P957" i="5"/>
  <c r="AE957" i="5" s="1"/>
  <c r="AF957" i="5" s="1"/>
  <c r="O957" i="5"/>
  <c r="N957" i="5"/>
  <c r="AC956" i="5"/>
  <c r="AD956" i="5" s="1"/>
  <c r="AA956" i="5"/>
  <c r="AB956" i="5" s="1"/>
  <c r="Y956" i="5"/>
  <c r="Z956" i="5" s="1"/>
  <c r="W956" i="5"/>
  <c r="X956" i="5" s="1"/>
  <c r="Q956" i="5"/>
  <c r="R956" i="5" s="1"/>
  <c r="S956" i="5" s="1"/>
  <c r="T956" i="5" s="1"/>
  <c r="U956" i="5" s="1"/>
  <c r="V956" i="5" s="1"/>
  <c r="P956" i="5"/>
  <c r="AE956" i="5" s="1"/>
  <c r="AF956" i="5" s="1"/>
  <c r="O956" i="5"/>
  <c r="N956" i="5"/>
  <c r="AC955" i="5"/>
  <c r="AD955" i="5" s="1"/>
  <c r="AA955" i="5"/>
  <c r="AB955" i="5" s="1"/>
  <c r="Y955" i="5"/>
  <c r="Z955" i="5" s="1"/>
  <c r="W955" i="5"/>
  <c r="X955" i="5" s="1"/>
  <c r="Q955" i="5"/>
  <c r="R955" i="5" s="1"/>
  <c r="S955" i="5" s="1"/>
  <c r="T955" i="5" s="1"/>
  <c r="U955" i="5" s="1"/>
  <c r="V955" i="5" s="1"/>
  <c r="P955" i="5"/>
  <c r="AE955" i="5" s="1"/>
  <c r="AF955" i="5" s="1"/>
  <c r="O955" i="5"/>
  <c r="N955" i="5"/>
  <c r="AC954" i="5"/>
  <c r="AD954" i="5" s="1"/>
  <c r="AA954" i="5"/>
  <c r="AB954" i="5" s="1"/>
  <c r="Y954" i="5"/>
  <c r="Z954" i="5" s="1"/>
  <c r="W954" i="5"/>
  <c r="X954" i="5" s="1"/>
  <c r="Q954" i="5"/>
  <c r="R954" i="5" s="1"/>
  <c r="S954" i="5" s="1"/>
  <c r="T954" i="5" s="1"/>
  <c r="U954" i="5" s="1"/>
  <c r="V954" i="5" s="1"/>
  <c r="P954" i="5"/>
  <c r="AE954" i="5" s="1"/>
  <c r="AF954" i="5" s="1"/>
  <c r="O954" i="5"/>
  <c r="N954" i="5"/>
  <c r="AC953" i="5"/>
  <c r="AD953" i="5" s="1"/>
  <c r="AA953" i="5"/>
  <c r="AB953" i="5" s="1"/>
  <c r="Y953" i="5"/>
  <c r="Z953" i="5" s="1"/>
  <c r="W953" i="5"/>
  <c r="X953" i="5" s="1"/>
  <c r="Q953" i="5"/>
  <c r="R953" i="5" s="1"/>
  <c r="S953" i="5" s="1"/>
  <c r="T953" i="5" s="1"/>
  <c r="U953" i="5" s="1"/>
  <c r="V953" i="5" s="1"/>
  <c r="P953" i="5"/>
  <c r="AE953" i="5" s="1"/>
  <c r="AF953" i="5" s="1"/>
  <c r="O953" i="5"/>
  <c r="N953" i="5"/>
  <c r="AC952" i="5"/>
  <c r="AD952" i="5" s="1"/>
  <c r="AA952" i="5"/>
  <c r="AB952" i="5" s="1"/>
  <c r="Y952" i="5"/>
  <c r="Z952" i="5" s="1"/>
  <c r="W952" i="5"/>
  <c r="X952" i="5" s="1"/>
  <c r="Q952" i="5"/>
  <c r="R952" i="5" s="1"/>
  <c r="S952" i="5" s="1"/>
  <c r="T952" i="5" s="1"/>
  <c r="U952" i="5" s="1"/>
  <c r="V952" i="5" s="1"/>
  <c r="P952" i="5"/>
  <c r="AE952" i="5" s="1"/>
  <c r="AF952" i="5" s="1"/>
  <c r="O952" i="5"/>
  <c r="N952" i="5"/>
  <c r="AC951" i="5"/>
  <c r="AD951" i="5" s="1"/>
  <c r="AA951" i="5"/>
  <c r="AB951" i="5" s="1"/>
  <c r="Y951" i="5"/>
  <c r="Z951" i="5" s="1"/>
  <c r="W951" i="5"/>
  <c r="X951" i="5" s="1"/>
  <c r="Q951" i="5"/>
  <c r="R951" i="5" s="1"/>
  <c r="S951" i="5" s="1"/>
  <c r="T951" i="5" s="1"/>
  <c r="U951" i="5" s="1"/>
  <c r="V951" i="5" s="1"/>
  <c r="P951" i="5"/>
  <c r="AE951" i="5" s="1"/>
  <c r="AF951" i="5" s="1"/>
  <c r="O951" i="5"/>
  <c r="N951" i="5"/>
  <c r="AC950" i="5"/>
  <c r="AD950" i="5" s="1"/>
  <c r="AA950" i="5"/>
  <c r="AB950" i="5" s="1"/>
  <c r="Y950" i="5"/>
  <c r="Z950" i="5" s="1"/>
  <c r="W950" i="5"/>
  <c r="X950" i="5" s="1"/>
  <c r="Q950" i="5"/>
  <c r="R950" i="5" s="1"/>
  <c r="S950" i="5" s="1"/>
  <c r="T950" i="5" s="1"/>
  <c r="U950" i="5" s="1"/>
  <c r="V950" i="5" s="1"/>
  <c r="P950" i="5"/>
  <c r="AE950" i="5" s="1"/>
  <c r="AF950" i="5" s="1"/>
  <c r="O950" i="5"/>
  <c r="N950" i="5"/>
  <c r="AC949" i="5"/>
  <c r="AD949" i="5" s="1"/>
  <c r="AA949" i="5"/>
  <c r="AB949" i="5" s="1"/>
  <c r="Y949" i="5"/>
  <c r="Z949" i="5" s="1"/>
  <c r="W949" i="5"/>
  <c r="X949" i="5" s="1"/>
  <c r="Q949" i="5"/>
  <c r="R949" i="5" s="1"/>
  <c r="S949" i="5" s="1"/>
  <c r="T949" i="5" s="1"/>
  <c r="U949" i="5" s="1"/>
  <c r="V949" i="5" s="1"/>
  <c r="P949" i="5"/>
  <c r="AE949" i="5" s="1"/>
  <c r="AF949" i="5" s="1"/>
  <c r="O949" i="5"/>
  <c r="N949" i="5"/>
  <c r="AC948" i="5"/>
  <c r="AD948" i="5" s="1"/>
  <c r="AA948" i="5"/>
  <c r="AB948" i="5" s="1"/>
  <c r="Y948" i="5"/>
  <c r="Z948" i="5" s="1"/>
  <c r="W948" i="5"/>
  <c r="X948" i="5" s="1"/>
  <c r="Q948" i="5"/>
  <c r="R948" i="5" s="1"/>
  <c r="S948" i="5" s="1"/>
  <c r="T948" i="5" s="1"/>
  <c r="U948" i="5" s="1"/>
  <c r="V948" i="5" s="1"/>
  <c r="P948" i="5"/>
  <c r="AE948" i="5" s="1"/>
  <c r="AF948" i="5" s="1"/>
  <c r="O948" i="5"/>
  <c r="N948" i="5"/>
  <c r="AC947" i="5"/>
  <c r="AD947" i="5" s="1"/>
  <c r="AA947" i="5"/>
  <c r="AB947" i="5" s="1"/>
  <c r="Y947" i="5"/>
  <c r="Z947" i="5" s="1"/>
  <c r="W947" i="5"/>
  <c r="X947" i="5" s="1"/>
  <c r="Q947" i="5"/>
  <c r="R947" i="5" s="1"/>
  <c r="S947" i="5" s="1"/>
  <c r="T947" i="5" s="1"/>
  <c r="U947" i="5" s="1"/>
  <c r="V947" i="5" s="1"/>
  <c r="P947" i="5"/>
  <c r="AE947" i="5" s="1"/>
  <c r="AF947" i="5" s="1"/>
  <c r="O947" i="5"/>
  <c r="N947" i="5"/>
  <c r="AC946" i="5"/>
  <c r="AD946" i="5" s="1"/>
  <c r="AA946" i="5"/>
  <c r="AB946" i="5" s="1"/>
  <c r="Y946" i="5"/>
  <c r="Z946" i="5" s="1"/>
  <c r="W946" i="5"/>
  <c r="X946" i="5" s="1"/>
  <c r="Q946" i="5"/>
  <c r="R946" i="5" s="1"/>
  <c r="S946" i="5" s="1"/>
  <c r="T946" i="5" s="1"/>
  <c r="U946" i="5" s="1"/>
  <c r="V946" i="5" s="1"/>
  <c r="P946" i="5"/>
  <c r="AE946" i="5" s="1"/>
  <c r="AF946" i="5" s="1"/>
  <c r="O946" i="5"/>
  <c r="N946" i="5"/>
  <c r="AC945" i="5"/>
  <c r="AD945" i="5" s="1"/>
  <c r="AA945" i="5"/>
  <c r="AB945" i="5" s="1"/>
  <c r="Y945" i="5"/>
  <c r="Z945" i="5" s="1"/>
  <c r="W945" i="5"/>
  <c r="X945" i="5" s="1"/>
  <c r="Q945" i="5"/>
  <c r="R945" i="5" s="1"/>
  <c r="S945" i="5" s="1"/>
  <c r="T945" i="5" s="1"/>
  <c r="U945" i="5" s="1"/>
  <c r="V945" i="5" s="1"/>
  <c r="P945" i="5"/>
  <c r="AE945" i="5" s="1"/>
  <c r="AF945" i="5" s="1"/>
  <c r="O945" i="5"/>
  <c r="N945" i="5"/>
  <c r="AC944" i="5"/>
  <c r="AD944" i="5" s="1"/>
  <c r="AA944" i="5"/>
  <c r="AB944" i="5" s="1"/>
  <c r="Y944" i="5"/>
  <c r="Z944" i="5" s="1"/>
  <c r="W944" i="5"/>
  <c r="X944" i="5" s="1"/>
  <c r="Q944" i="5"/>
  <c r="R944" i="5" s="1"/>
  <c r="S944" i="5" s="1"/>
  <c r="T944" i="5" s="1"/>
  <c r="U944" i="5" s="1"/>
  <c r="V944" i="5" s="1"/>
  <c r="P944" i="5"/>
  <c r="AE944" i="5" s="1"/>
  <c r="AF944" i="5" s="1"/>
  <c r="O944" i="5"/>
  <c r="N944" i="5"/>
  <c r="AC943" i="5"/>
  <c r="AD943" i="5" s="1"/>
  <c r="AA943" i="5"/>
  <c r="AB943" i="5" s="1"/>
  <c r="Y943" i="5"/>
  <c r="Z943" i="5" s="1"/>
  <c r="W943" i="5"/>
  <c r="X943" i="5" s="1"/>
  <c r="Q943" i="5"/>
  <c r="R943" i="5" s="1"/>
  <c r="S943" i="5" s="1"/>
  <c r="T943" i="5" s="1"/>
  <c r="U943" i="5" s="1"/>
  <c r="V943" i="5" s="1"/>
  <c r="P943" i="5"/>
  <c r="AE943" i="5" s="1"/>
  <c r="AF943" i="5" s="1"/>
  <c r="O943" i="5"/>
  <c r="N943" i="5"/>
  <c r="AC942" i="5"/>
  <c r="AD942" i="5" s="1"/>
  <c r="AA942" i="5"/>
  <c r="AB942" i="5" s="1"/>
  <c r="Y942" i="5"/>
  <c r="Z942" i="5" s="1"/>
  <c r="W942" i="5"/>
  <c r="X942" i="5" s="1"/>
  <c r="Q942" i="5"/>
  <c r="R942" i="5" s="1"/>
  <c r="S942" i="5" s="1"/>
  <c r="T942" i="5" s="1"/>
  <c r="U942" i="5" s="1"/>
  <c r="V942" i="5" s="1"/>
  <c r="P942" i="5"/>
  <c r="AE942" i="5" s="1"/>
  <c r="AF942" i="5" s="1"/>
  <c r="O942" i="5"/>
  <c r="N942" i="5"/>
  <c r="AC941" i="5"/>
  <c r="AD941" i="5" s="1"/>
  <c r="AA941" i="5"/>
  <c r="AB941" i="5" s="1"/>
  <c r="Y941" i="5"/>
  <c r="Z941" i="5" s="1"/>
  <c r="W941" i="5"/>
  <c r="X941" i="5" s="1"/>
  <c r="Q941" i="5"/>
  <c r="R941" i="5" s="1"/>
  <c r="S941" i="5" s="1"/>
  <c r="T941" i="5" s="1"/>
  <c r="U941" i="5" s="1"/>
  <c r="V941" i="5" s="1"/>
  <c r="P941" i="5"/>
  <c r="AE941" i="5" s="1"/>
  <c r="AF941" i="5" s="1"/>
  <c r="O941" i="5"/>
  <c r="N941" i="5"/>
  <c r="AC940" i="5"/>
  <c r="AD940" i="5" s="1"/>
  <c r="AA940" i="5"/>
  <c r="AB940" i="5" s="1"/>
  <c r="Y940" i="5"/>
  <c r="Z940" i="5" s="1"/>
  <c r="W940" i="5"/>
  <c r="X940" i="5" s="1"/>
  <c r="Q940" i="5"/>
  <c r="R940" i="5" s="1"/>
  <c r="S940" i="5" s="1"/>
  <c r="T940" i="5" s="1"/>
  <c r="U940" i="5" s="1"/>
  <c r="V940" i="5" s="1"/>
  <c r="P940" i="5"/>
  <c r="AE940" i="5" s="1"/>
  <c r="AF940" i="5" s="1"/>
  <c r="O940" i="5"/>
  <c r="N940" i="5"/>
  <c r="AC939" i="5"/>
  <c r="AD939" i="5" s="1"/>
  <c r="AA939" i="5"/>
  <c r="AB939" i="5" s="1"/>
  <c r="Y939" i="5"/>
  <c r="Z939" i="5" s="1"/>
  <c r="W939" i="5"/>
  <c r="X939" i="5" s="1"/>
  <c r="Q939" i="5"/>
  <c r="R939" i="5" s="1"/>
  <c r="S939" i="5" s="1"/>
  <c r="T939" i="5" s="1"/>
  <c r="U939" i="5" s="1"/>
  <c r="V939" i="5" s="1"/>
  <c r="P939" i="5"/>
  <c r="AE939" i="5" s="1"/>
  <c r="AF939" i="5" s="1"/>
  <c r="O939" i="5"/>
  <c r="N939" i="5"/>
  <c r="AC938" i="5"/>
  <c r="AD938" i="5" s="1"/>
  <c r="AA938" i="5"/>
  <c r="AB938" i="5" s="1"/>
  <c r="Y938" i="5"/>
  <c r="Z938" i="5" s="1"/>
  <c r="W938" i="5"/>
  <c r="X938" i="5" s="1"/>
  <c r="Q938" i="5"/>
  <c r="R938" i="5" s="1"/>
  <c r="S938" i="5" s="1"/>
  <c r="T938" i="5" s="1"/>
  <c r="U938" i="5" s="1"/>
  <c r="V938" i="5" s="1"/>
  <c r="P938" i="5"/>
  <c r="AE938" i="5" s="1"/>
  <c r="AF938" i="5" s="1"/>
  <c r="O938" i="5"/>
  <c r="N938" i="5"/>
  <c r="AC937" i="5"/>
  <c r="AD937" i="5" s="1"/>
  <c r="AA937" i="5"/>
  <c r="AB937" i="5" s="1"/>
  <c r="Y937" i="5"/>
  <c r="Z937" i="5" s="1"/>
  <c r="W937" i="5"/>
  <c r="X937" i="5" s="1"/>
  <c r="Q937" i="5"/>
  <c r="R937" i="5" s="1"/>
  <c r="S937" i="5" s="1"/>
  <c r="T937" i="5" s="1"/>
  <c r="U937" i="5" s="1"/>
  <c r="V937" i="5" s="1"/>
  <c r="P937" i="5"/>
  <c r="AE937" i="5" s="1"/>
  <c r="AF937" i="5" s="1"/>
  <c r="O937" i="5"/>
  <c r="N937" i="5"/>
  <c r="AC936" i="5"/>
  <c r="AD936" i="5" s="1"/>
  <c r="AA936" i="5"/>
  <c r="AB936" i="5" s="1"/>
  <c r="Y936" i="5"/>
  <c r="Z936" i="5" s="1"/>
  <c r="W936" i="5"/>
  <c r="X936" i="5" s="1"/>
  <c r="Q936" i="5"/>
  <c r="R936" i="5" s="1"/>
  <c r="S936" i="5" s="1"/>
  <c r="T936" i="5" s="1"/>
  <c r="U936" i="5" s="1"/>
  <c r="V936" i="5" s="1"/>
  <c r="P936" i="5"/>
  <c r="AE936" i="5" s="1"/>
  <c r="AF936" i="5" s="1"/>
  <c r="O936" i="5"/>
  <c r="N936" i="5"/>
  <c r="AC935" i="5"/>
  <c r="AD935" i="5" s="1"/>
  <c r="AA935" i="5"/>
  <c r="AB935" i="5" s="1"/>
  <c r="Y935" i="5"/>
  <c r="Z935" i="5" s="1"/>
  <c r="W935" i="5"/>
  <c r="X935" i="5" s="1"/>
  <c r="Q935" i="5"/>
  <c r="R935" i="5" s="1"/>
  <c r="S935" i="5" s="1"/>
  <c r="T935" i="5" s="1"/>
  <c r="U935" i="5" s="1"/>
  <c r="V935" i="5" s="1"/>
  <c r="P935" i="5"/>
  <c r="AE935" i="5" s="1"/>
  <c r="AF935" i="5" s="1"/>
  <c r="O935" i="5"/>
  <c r="N935" i="5"/>
  <c r="AC934" i="5"/>
  <c r="AD934" i="5" s="1"/>
  <c r="AA934" i="5"/>
  <c r="AB934" i="5" s="1"/>
  <c r="Y934" i="5"/>
  <c r="Z934" i="5" s="1"/>
  <c r="W934" i="5"/>
  <c r="X934" i="5" s="1"/>
  <c r="Q934" i="5"/>
  <c r="R934" i="5" s="1"/>
  <c r="S934" i="5" s="1"/>
  <c r="T934" i="5" s="1"/>
  <c r="U934" i="5" s="1"/>
  <c r="V934" i="5" s="1"/>
  <c r="P934" i="5"/>
  <c r="AE934" i="5" s="1"/>
  <c r="AF934" i="5" s="1"/>
  <c r="O934" i="5"/>
  <c r="N934" i="5"/>
  <c r="AC933" i="5"/>
  <c r="AD933" i="5" s="1"/>
  <c r="AA933" i="5"/>
  <c r="AB933" i="5" s="1"/>
  <c r="Y933" i="5"/>
  <c r="Z933" i="5" s="1"/>
  <c r="W933" i="5"/>
  <c r="X933" i="5" s="1"/>
  <c r="Q933" i="5"/>
  <c r="R933" i="5" s="1"/>
  <c r="S933" i="5" s="1"/>
  <c r="T933" i="5" s="1"/>
  <c r="U933" i="5" s="1"/>
  <c r="V933" i="5" s="1"/>
  <c r="P933" i="5"/>
  <c r="AE933" i="5" s="1"/>
  <c r="AF933" i="5" s="1"/>
  <c r="O933" i="5"/>
  <c r="N933" i="5"/>
  <c r="AC932" i="5"/>
  <c r="AD932" i="5" s="1"/>
  <c r="AA932" i="5"/>
  <c r="AB932" i="5" s="1"/>
  <c r="Y932" i="5"/>
  <c r="Z932" i="5" s="1"/>
  <c r="W932" i="5"/>
  <c r="X932" i="5" s="1"/>
  <c r="Q932" i="5"/>
  <c r="R932" i="5" s="1"/>
  <c r="S932" i="5" s="1"/>
  <c r="T932" i="5" s="1"/>
  <c r="U932" i="5" s="1"/>
  <c r="V932" i="5" s="1"/>
  <c r="P932" i="5"/>
  <c r="AE932" i="5" s="1"/>
  <c r="AF932" i="5" s="1"/>
  <c r="O932" i="5"/>
  <c r="N932" i="5"/>
  <c r="AC931" i="5"/>
  <c r="AD931" i="5" s="1"/>
  <c r="AA931" i="5"/>
  <c r="AB931" i="5" s="1"/>
  <c r="Y931" i="5"/>
  <c r="Z931" i="5" s="1"/>
  <c r="W931" i="5"/>
  <c r="X931" i="5" s="1"/>
  <c r="Q931" i="5"/>
  <c r="R931" i="5" s="1"/>
  <c r="S931" i="5" s="1"/>
  <c r="T931" i="5" s="1"/>
  <c r="U931" i="5" s="1"/>
  <c r="V931" i="5" s="1"/>
  <c r="P931" i="5"/>
  <c r="AE931" i="5" s="1"/>
  <c r="AF931" i="5" s="1"/>
  <c r="O931" i="5"/>
  <c r="N931" i="5"/>
  <c r="AC930" i="5"/>
  <c r="AD930" i="5" s="1"/>
  <c r="AA930" i="5"/>
  <c r="AB930" i="5" s="1"/>
  <c r="Y930" i="5"/>
  <c r="Z930" i="5" s="1"/>
  <c r="W930" i="5"/>
  <c r="X930" i="5" s="1"/>
  <c r="Q930" i="5"/>
  <c r="R930" i="5" s="1"/>
  <c r="S930" i="5" s="1"/>
  <c r="T930" i="5" s="1"/>
  <c r="U930" i="5" s="1"/>
  <c r="V930" i="5" s="1"/>
  <c r="P930" i="5"/>
  <c r="AE930" i="5" s="1"/>
  <c r="AF930" i="5" s="1"/>
  <c r="O930" i="5"/>
  <c r="N930" i="5"/>
  <c r="AC929" i="5"/>
  <c r="AD929" i="5" s="1"/>
  <c r="AA929" i="5"/>
  <c r="AB929" i="5" s="1"/>
  <c r="Y929" i="5"/>
  <c r="Z929" i="5" s="1"/>
  <c r="W929" i="5"/>
  <c r="X929" i="5" s="1"/>
  <c r="Q929" i="5"/>
  <c r="R929" i="5" s="1"/>
  <c r="S929" i="5" s="1"/>
  <c r="T929" i="5" s="1"/>
  <c r="U929" i="5" s="1"/>
  <c r="V929" i="5" s="1"/>
  <c r="P929" i="5"/>
  <c r="AE929" i="5" s="1"/>
  <c r="AF929" i="5" s="1"/>
  <c r="O929" i="5"/>
  <c r="N929" i="5"/>
  <c r="AC928" i="5"/>
  <c r="AD928" i="5" s="1"/>
  <c r="AA928" i="5"/>
  <c r="AB928" i="5" s="1"/>
  <c r="Y928" i="5"/>
  <c r="Z928" i="5" s="1"/>
  <c r="W928" i="5"/>
  <c r="X928" i="5" s="1"/>
  <c r="Q928" i="5"/>
  <c r="R928" i="5" s="1"/>
  <c r="S928" i="5" s="1"/>
  <c r="T928" i="5" s="1"/>
  <c r="U928" i="5" s="1"/>
  <c r="V928" i="5" s="1"/>
  <c r="P928" i="5"/>
  <c r="AE928" i="5" s="1"/>
  <c r="AF928" i="5" s="1"/>
  <c r="O928" i="5"/>
  <c r="N928" i="5"/>
  <c r="AC927" i="5"/>
  <c r="AD927" i="5" s="1"/>
  <c r="AA927" i="5"/>
  <c r="AB927" i="5" s="1"/>
  <c r="Y927" i="5"/>
  <c r="Z927" i="5" s="1"/>
  <c r="W927" i="5"/>
  <c r="X927" i="5" s="1"/>
  <c r="Q927" i="5"/>
  <c r="R927" i="5" s="1"/>
  <c r="S927" i="5" s="1"/>
  <c r="T927" i="5" s="1"/>
  <c r="U927" i="5" s="1"/>
  <c r="V927" i="5" s="1"/>
  <c r="P927" i="5"/>
  <c r="AE927" i="5" s="1"/>
  <c r="AF927" i="5" s="1"/>
  <c r="O927" i="5"/>
  <c r="N927" i="5"/>
  <c r="AC926" i="5"/>
  <c r="AD926" i="5" s="1"/>
  <c r="AA926" i="5"/>
  <c r="AB926" i="5" s="1"/>
  <c r="Y926" i="5"/>
  <c r="Z926" i="5" s="1"/>
  <c r="W926" i="5"/>
  <c r="X926" i="5" s="1"/>
  <c r="Q926" i="5"/>
  <c r="R926" i="5" s="1"/>
  <c r="S926" i="5" s="1"/>
  <c r="T926" i="5" s="1"/>
  <c r="U926" i="5" s="1"/>
  <c r="V926" i="5" s="1"/>
  <c r="P926" i="5"/>
  <c r="AE926" i="5" s="1"/>
  <c r="AF926" i="5" s="1"/>
  <c r="O926" i="5"/>
  <c r="N926" i="5"/>
  <c r="AC925" i="5"/>
  <c r="AD925" i="5" s="1"/>
  <c r="AA925" i="5"/>
  <c r="AB925" i="5" s="1"/>
  <c r="Y925" i="5"/>
  <c r="Z925" i="5" s="1"/>
  <c r="W925" i="5"/>
  <c r="X925" i="5" s="1"/>
  <c r="Q925" i="5"/>
  <c r="R925" i="5" s="1"/>
  <c r="S925" i="5" s="1"/>
  <c r="T925" i="5" s="1"/>
  <c r="U925" i="5" s="1"/>
  <c r="V925" i="5" s="1"/>
  <c r="P925" i="5"/>
  <c r="AE925" i="5" s="1"/>
  <c r="AF925" i="5" s="1"/>
  <c r="O925" i="5"/>
  <c r="N925" i="5"/>
  <c r="AC924" i="5"/>
  <c r="AD924" i="5" s="1"/>
  <c r="AA924" i="5"/>
  <c r="AB924" i="5" s="1"/>
  <c r="Y924" i="5"/>
  <c r="Z924" i="5" s="1"/>
  <c r="W924" i="5"/>
  <c r="X924" i="5" s="1"/>
  <c r="Q924" i="5"/>
  <c r="R924" i="5" s="1"/>
  <c r="S924" i="5" s="1"/>
  <c r="T924" i="5" s="1"/>
  <c r="U924" i="5" s="1"/>
  <c r="V924" i="5" s="1"/>
  <c r="P924" i="5"/>
  <c r="AE924" i="5" s="1"/>
  <c r="AF924" i="5" s="1"/>
  <c r="O924" i="5"/>
  <c r="N924" i="5"/>
  <c r="AC923" i="5"/>
  <c r="AD923" i="5" s="1"/>
  <c r="AA923" i="5"/>
  <c r="AB923" i="5" s="1"/>
  <c r="Y923" i="5"/>
  <c r="Z923" i="5" s="1"/>
  <c r="W923" i="5"/>
  <c r="X923" i="5" s="1"/>
  <c r="Q923" i="5"/>
  <c r="R923" i="5" s="1"/>
  <c r="S923" i="5" s="1"/>
  <c r="T923" i="5" s="1"/>
  <c r="U923" i="5" s="1"/>
  <c r="V923" i="5" s="1"/>
  <c r="P923" i="5"/>
  <c r="AE923" i="5" s="1"/>
  <c r="AF923" i="5" s="1"/>
  <c r="O923" i="5"/>
  <c r="N923" i="5"/>
  <c r="AC922" i="5"/>
  <c r="AD922" i="5" s="1"/>
  <c r="AA922" i="5"/>
  <c r="AB922" i="5" s="1"/>
  <c r="Y922" i="5"/>
  <c r="Z922" i="5" s="1"/>
  <c r="W922" i="5"/>
  <c r="X922" i="5" s="1"/>
  <c r="Q922" i="5"/>
  <c r="R922" i="5" s="1"/>
  <c r="S922" i="5" s="1"/>
  <c r="T922" i="5" s="1"/>
  <c r="U922" i="5" s="1"/>
  <c r="V922" i="5" s="1"/>
  <c r="P922" i="5"/>
  <c r="AE922" i="5" s="1"/>
  <c r="AF922" i="5" s="1"/>
  <c r="O922" i="5"/>
  <c r="N922" i="5"/>
  <c r="AC921" i="5"/>
  <c r="AD921" i="5" s="1"/>
  <c r="AA921" i="5"/>
  <c r="AB921" i="5" s="1"/>
  <c r="Y921" i="5"/>
  <c r="Z921" i="5" s="1"/>
  <c r="W921" i="5"/>
  <c r="X921" i="5" s="1"/>
  <c r="Q921" i="5"/>
  <c r="R921" i="5" s="1"/>
  <c r="S921" i="5" s="1"/>
  <c r="T921" i="5" s="1"/>
  <c r="U921" i="5" s="1"/>
  <c r="V921" i="5" s="1"/>
  <c r="P921" i="5"/>
  <c r="AE921" i="5" s="1"/>
  <c r="AF921" i="5" s="1"/>
  <c r="O921" i="5"/>
  <c r="N921" i="5"/>
  <c r="AC920" i="5"/>
  <c r="AD920" i="5" s="1"/>
  <c r="AA920" i="5"/>
  <c r="AB920" i="5" s="1"/>
  <c r="Y920" i="5"/>
  <c r="Z920" i="5" s="1"/>
  <c r="W920" i="5"/>
  <c r="X920" i="5" s="1"/>
  <c r="Q920" i="5"/>
  <c r="R920" i="5" s="1"/>
  <c r="S920" i="5" s="1"/>
  <c r="T920" i="5" s="1"/>
  <c r="U920" i="5" s="1"/>
  <c r="V920" i="5" s="1"/>
  <c r="P920" i="5"/>
  <c r="AE920" i="5" s="1"/>
  <c r="AF920" i="5" s="1"/>
  <c r="O920" i="5"/>
  <c r="N920" i="5"/>
  <c r="AC919" i="5"/>
  <c r="AD919" i="5" s="1"/>
  <c r="AA919" i="5"/>
  <c r="AB919" i="5" s="1"/>
  <c r="Y919" i="5"/>
  <c r="Z919" i="5" s="1"/>
  <c r="W919" i="5"/>
  <c r="X919" i="5" s="1"/>
  <c r="Q919" i="5"/>
  <c r="R919" i="5" s="1"/>
  <c r="S919" i="5" s="1"/>
  <c r="T919" i="5" s="1"/>
  <c r="U919" i="5" s="1"/>
  <c r="V919" i="5" s="1"/>
  <c r="P919" i="5"/>
  <c r="AE919" i="5" s="1"/>
  <c r="AF919" i="5" s="1"/>
  <c r="O919" i="5"/>
  <c r="N919" i="5"/>
  <c r="AC918" i="5"/>
  <c r="AD918" i="5" s="1"/>
  <c r="AA918" i="5"/>
  <c r="AB918" i="5" s="1"/>
  <c r="Y918" i="5"/>
  <c r="Z918" i="5" s="1"/>
  <c r="W918" i="5"/>
  <c r="X918" i="5" s="1"/>
  <c r="Q918" i="5"/>
  <c r="R918" i="5" s="1"/>
  <c r="S918" i="5" s="1"/>
  <c r="T918" i="5" s="1"/>
  <c r="U918" i="5" s="1"/>
  <c r="V918" i="5" s="1"/>
  <c r="P918" i="5"/>
  <c r="AE918" i="5" s="1"/>
  <c r="AF918" i="5" s="1"/>
  <c r="O918" i="5"/>
  <c r="N918" i="5"/>
  <c r="AC917" i="5"/>
  <c r="AD917" i="5" s="1"/>
  <c r="AA917" i="5"/>
  <c r="AB917" i="5" s="1"/>
  <c r="Y917" i="5"/>
  <c r="Z917" i="5" s="1"/>
  <c r="W917" i="5"/>
  <c r="X917" i="5" s="1"/>
  <c r="Q917" i="5"/>
  <c r="R917" i="5" s="1"/>
  <c r="S917" i="5" s="1"/>
  <c r="T917" i="5" s="1"/>
  <c r="U917" i="5" s="1"/>
  <c r="V917" i="5" s="1"/>
  <c r="P917" i="5"/>
  <c r="AE917" i="5" s="1"/>
  <c r="AF917" i="5" s="1"/>
  <c r="O917" i="5"/>
  <c r="N917" i="5"/>
  <c r="AC916" i="5"/>
  <c r="AD916" i="5" s="1"/>
  <c r="AA916" i="5"/>
  <c r="AB916" i="5" s="1"/>
  <c r="Y916" i="5"/>
  <c r="Z916" i="5" s="1"/>
  <c r="W916" i="5"/>
  <c r="X916" i="5" s="1"/>
  <c r="Q916" i="5"/>
  <c r="R916" i="5" s="1"/>
  <c r="S916" i="5" s="1"/>
  <c r="T916" i="5" s="1"/>
  <c r="U916" i="5" s="1"/>
  <c r="V916" i="5" s="1"/>
  <c r="P916" i="5"/>
  <c r="AE916" i="5" s="1"/>
  <c r="AF916" i="5" s="1"/>
  <c r="O916" i="5"/>
  <c r="N916" i="5"/>
  <c r="AC915" i="5"/>
  <c r="AD915" i="5" s="1"/>
  <c r="AA915" i="5"/>
  <c r="AB915" i="5" s="1"/>
  <c r="Y915" i="5"/>
  <c r="Z915" i="5" s="1"/>
  <c r="W915" i="5"/>
  <c r="X915" i="5" s="1"/>
  <c r="Q915" i="5"/>
  <c r="R915" i="5" s="1"/>
  <c r="S915" i="5" s="1"/>
  <c r="T915" i="5" s="1"/>
  <c r="U915" i="5" s="1"/>
  <c r="V915" i="5" s="1"/>
  <c r="P915" i="5"/>
  <c r="AE915" i="5" s="1"/>
  <c r="AF915" i="5" s="1"/>
  <c r="O915" i="5"/>
  <c r="N915" i="5"/>
  <c r="AC914" i="5"/>
  <c r="AD914" i="5" s="1"/>
  <c r="AA914" i="5"/>
  <c r="AB914" i="5" s="1"/>
  <c r="Y914" i="5"/>
  <c r="Z914" i="5" s="1"/>
  <c r="W914" i="5"/>
  <c r="X914" i="5" s="1"/>
  <c r="Q914" i="5"/>
  <c r="R914" i="5" s="1"/>
  <c r="S914" i="5" s="1"/>
  <c r="T914" i="5" s="1"/>
  <c r="U914" i="5" s="1"/>
  <c r="V914" i="5" s="1"/>
  <c r="P914" i="5"/>
  <c r="AE914" i="5" s="1"/>
  <c r="AF914" i="5" s="1"/>
  <c r="O914" i="5"/>
  <c r="N914" i="5"/>
  <c r="AC913" i="5"/>
  <c r="AD913" i="5" s="1"/>
  <c r="AA913" i="5"/>
  <c r="AB913" i="5" s="1"/>
  <c r="Y913" i="5"/>
  <c r="Z913" i="5" s="1"/>
  <c r="W913" i="5"/>
  <c r="X913" i="5" s="1"/>
  <c r="Q913" i="5"/>
  <c r="R913" i="5" s="1"/>
  <c r="S913" i="5" s="1"/>
  <c r="T913" i="5" s="1"/>
  <c r="U913" i="5" s="1"/>
  <c r="V913" i="5" s="1"/>
  <c r="P913" i="5"/>
  <c r="AE913" i="5" s="1"/>
  <c r="AF913" i="5" s="1"/>
  <c r="O913" i="5"/>
  <c r="N913" i="5"/>
  <c r="AC912" i="5"/>
  <c r="AD912" i="5" s="1"/>
  <c r="AA912" i="5"/>
  <c r="AB912" i="5" s="1"/>
  <c r="Y912" i="5"/>
  <c r="Z912" i="5" s="1"/>
  <c r="W912" i="5"/>
  <c r="X912" i="5" s="1"/>
  <c r="Q912" i="5"/>
  <c r="R912" i="5" s="1"/>
  <c r="S912" i="5" s="1"/>
  <c r="T912" i="5" s="1"/>
  <c r="U912" i="5" s="1"/>
  <c r="V912" i="5" s="1"/>
  <c r="P912" i="5"/>
  <c r="AE912" i="5" s="1"/>
  <c r="AF912" i="5" s="1"/>
  <c r="O912" i="5"/>
  <c r="N912" i="5"/>
  <c r="AC911" i="5"/>
  <c r="AD911" i="5" s="1"/>
  <c r="AA911" i="5"/>
  <c r="AB911" i="5" s="1"/>
  <c r="Y911" i="5"/>
  <c r="Z911" i="5" s="1"/>
  <c r="W911" i="5"/>
  <c r="X911" i="5" s="1"/>
  <c r="Q911" i="5"/>
  <c r="R911" i="5" s="1"/>
  <c r="S911" i="5" s="1"/>
  <c r="T911" i="5" s="1"/>
  <c r="U911" i="5" s="1"/>
  <c r="V911" i="5" s="1"/>
  <c r="P911" i="5"/>
  <c r="AE911" i="5" s="1"/>
  <c r="AF911" i="5" s="1"/>
  <c r="O911" i="5"/>
  <c r="N911" i="5"/>
  <c r="AC910" i="5"/>
  <c r="AD910" i="5" s="1"/>
  <c r="AA910" i="5"/>
  <c r="AB910" i="5" s="1"/>
  <c r="Y910" i="5"/>
  <c r="Z910" i="5" s="1"/>
  <c r="W910" i="5"/>
  <c r="X910" i="5" s="1"/>
  <c r="Q910" i="5"/>
  <c r="R910" i="5" s="1"/>
  <c r="S910" i="5" s="1"/>
  <c r="T910" i="5" s="1"/>
  <c r="U910" i="5" s="1"/>
  <c r="V910" i="5" s="1"/>
  <c r="P910" i="5"/>
  <c r="AE910" i="5" s="1"/>
  <c r="AF910" i="5" s="1"/>
  <c r="O910" i="5"/>
  <c r="N910" i="5"/>
  <c r="AC909" i="5"/>
  <c r="AD909" i="5" s="1"/>
  <c r="AA909" i="5"/>
  <c r="AB909" i="5" s="1"/>
  <c r="Y909" i="5"/>
  <c r="Z909" i="5" s="1"/>
  <c r="W909" i="5"/>
  <c r="X909" i="5" s="1"/>
  <c r="Q909" i="5"/>
  <c r="R909" i="5" s="1"/>
  <c r="S909" i="5" s="1"/>
  <c r="T909" i="5" s="1"/>
  <c r="U909" i="5" s="1"/>
  <c r="V909" i="5" s="1"/>
  <c r="P909" i="5"/>
  <c r="AE909" i="5" s="1"/>
  <c r="AF909" i="5" s="1"/>
  <c r="O909" i="5"/>
  <c r="N909" i="5"/>
  <c r="AC908" i="5"/>
  <c r="AD908" i="5" s="1"/>
  <c r="AA908" i="5"/>
  <c r="AB908" i="5" s="1"/>
  <c r="Y908" i="5"/>
  <c r="Z908" i="5" s="1"/>
  <c r="W908" i="5"/>
  <c r="X908" i="5" s="1"/>
  <c r="Q908" i="5"/>
  <c r="R908" i="5" s="1"/>
  <c r="S908" i="5" s="1"/>
  <c r="T908" i="5" s="1"/>
  <c r="U908" i="5" s="1"/>
  <c r="V908" i="5" s="1"/>
  <c r="P908" i="5"/>
  <c r="AE908" i="5" s="1"/>
  <c r="AF908" i="5" s="1"/>
  <c r="O908" i="5"/>
  <c r="N908" i="5"/>
  <c r="AC907" i="5"/>
  <c r="AD907" i="5" s="1"/>
  <c r="AA907" i="5"/>
  <c r="AB907" i="5" s="1"/>
  <c r="Y907" i="5"/>
  <c r="Z907" i="5" s="1"/>
  <c r="W907" i="5"/>
  <c r="X907" i="5" s="1"/>
  <c r="Q907" i="5"/>
  <c r="R907" i="5" s="1"/>
  <c r="S907" i="5" s="1"/>
  <c r="T907" i="5" s="1"/>
  <c r="U907" i="5" s="1"/>
  <c r="V907" i="5" s="1"/>
  <c r="P907" i="5"/>
  <c r="AE907" i="5" s="1"/>
  <c r="AF907" i="5" s="1"/>
  <c r="O907" i="5"/>
  <c r="N907" i="5"/>
  <c r="AC906" i="5"/>
  <c r="AD906" i="5" s="1"/>
  <c r="AA906" i="5"/>
  <c r="AB906" i="5" s="1"/>
  <c r="Y906" i="5"/>
  <c r="Z906" i="5" s="1"/>
  <c r="W906" i="5"/>
  <c r="X906" i="5" s="1"/>
  <c r="Q906" i="5"/>
  <c r="R906" i="5" s="1"/>
  <c r="S906" i="5" s="1"/>
  <c r="T906" i="5" s="1"/>
  <c r="U906" i="5" s="1"/>
  <c r="V906" i="5" s="1"/>
  <c r="P906" i="5"/>
  <c r="AE906" i="5" s="1"/>
  <c r="AF906" i="5" s="1"/>
  <c r="O906" i="5"/>
  <c r="N906" i="5"/>
  <c r="AC905" i="5"/>
  <c r="AD905" i="5" s="1"/>
  <c r="AA905" i="5"/>
  <c r="AB905" i="5" s="1"/>
  <c r="Y905" i="5"/>
  <c r="Z905" i="5" s="1"/>
  <c r="W905" i="5"/>
  <c r="X905" i="5" s="1"/>
  <c r="Q905" i="5"/>
  <c r="R905" i="5" s="1"/>
  <c r="S905" i="5" s="1"/>
  <c r="T905" i="5" s="1"/>
  <c r="U905" i="5" s="1"/>
  <c r="V905" i="5" s="1"/>
  <c r="P905" i="5"/>
  <c r="AE905" i="5" s="1"/>
  <c r="AF905" i="5" s="1"/>
  <c r="O905" i="5"/>
  <c r="N905" i="5"/>
  <c r="AC904" i="5"/>
  <c r="AD904" i="5" s="1"/>
  <c r="AA904" i="5"/>
  <c r="AB904" i="5" s="1"/>
  <c r="Y904" i="5"/>
  <c r="Z904" i="5" s="1"/>
  <c r="W904" i="5"/>
  <c r="X904" i="5" s="1"/>
  <c r="Q904" i="5"/>
  <c r="R904" i="5" s="1"/>
  <c r="S904" i="5" s="1"/>
  <c r="T904" i="5" s="1"/>
  <c r="U904" i="5" s="1"/>
  <c r="V904" i="5" s="1"/>
  <c r="P904" i="5"/>
  <c r="AE904" i="5" s="1"/>
  <c r="AF904" i="5" s="1"/>
  <c r="O904" i="5"/>
  <c r="N904" i="5"/>
  <c r="AC903" i="5"/>
  <c r="AD903" i="5" s="1"/>
  <c r="AA903" i="5"/>
  <c r="AB903" i="5" s="1"/>
  <c r="Y903" i="5"/>
  <c r="Z903" i="5" s="1"/>
  <c r="W903" i="5"/>
  <c r="X903" i="5" s="1"/>
  <c r="Q903" i="5"/>
  <c r="R903" i="5" s="1"/>
  <c r="S903" i="5" s="1"/>
  <c r="T903" i="5" s="1"/>
  <c r="U903" i="5" s="1"/>
  <c r="V903" i="5" s="1"/>
  <c r="P903" i="5"/>
  <c r="AE903" i="5" s="1"/>
  <c r="AF903" i="5" s="1"/>
  <c r="O903" i="5"/>
  <c r="N903" i="5"/>
  <c r="AC902" i="5"/>
  <c r="AD902" i="5" s="1"/>
  <c r="AA902" i="5"/>
  <c r="AB902" i="5" s="1"/>
  <c r="Y902" i="5"/>
  <c r="Z902" i="5" s="1"/>
  <c r="W902" i="5"/>
  <c r="X902" i="5" s="1"/>
  <c r="Q902" i="5"/>
  <c r="R902" i="5" s="1"/>
  <c r="S902" i="5" s="1"/>
  <c r="T902" i="5" s="1"/>
  <c r="U902" i="5" s="1"/>
  <c r="V902" i="5" s="1"/>
  <c r="P902" i="5"/>
  <c r="AE902" i="5" s="1"/>
  <c r="AF902" i="5" s="1"/>
  <c r="O902" i="5"/>
  <c r="N902" i="5"/>
  <c r="AC901" i="5"/>
  <c r="AD901" i="5" s="1"/>
  <c r="AA901" i="5"/>
  <c r="AB901" i="5" s="1"/>
  <c r="Y901" i="5"/>
  <c r="Z901" i="5" s="1"/>
  <c r="W901" i="5"/>
  <c r="X901" i="5" s="1"/>
  <c r="Q901" i="5"/>
  <c r="R901" i="5" s="1"/>
  <c r="S901" i="5" s="1"/>
  <c r="T901" i="5" s="1"/>
  <c r="U901" i="5" s="1"/>
  <c r="V901" i="5" s="1"/>
  <c r="P901" i="5"/>
  <c r="AE901" i="5" s="1"/>
  <c r="AF901" i="5" s="1"/>
  <c r="O901" i="5"/>
  <c r="N901" i="5"/>
  <c r="AC900" i="5"/>
  <c r="AD900" i="5" s="1"/>
  <c r="AA900" i="5"/>
  <c r="AB900" i="5" s="1"/>
  <c r="Y900" i="5"/>
  <c r="Z900" i="5" s="1"/>
  <c r="W900" i="5"/>
  <c r="X900" i="5" s="1"/>
  <c r="Q900" i="5"/>
  <c r="R900" i="5" s="1"/>
  <c r="S900" i="5" s="1"/>
  <c r="T900" i="5" s="1"/>
  <c r="U900" i="5" s="1"/>
  <c r="V900" i="5" s="1"/>
  <c r="P900" i="5"/>
  <c r="AE900" i="5" s="1"/>
  <c r="AF900" i="5" s="1"/>
  <c r="O900" i="5"/>
  <c r="N900" i="5"/>
  <c r="AC899" i="5"/>
  <c r="AD899" i="5" s="1"/>
  <c r="AA899" i="5"/>
  <c r="AB899" i="5" s="1"/>
  <c r="Y899" i="5"/>
  <c r="Z899" i="5" s="1"/>
  <c r="W899" i="5"/>
  <c r="X899" i="5" s="1"/>
  <c r="Q899" i="5"/>
  <c r="R899" i="5" s="1"/>
  <c r="S899" i="5" s="1"/>
  <c r="T899" i="5" s="1"/>
  <c r="U899" i="5" s="1"/>
  <c r="V899" i="5" s="1"/>
  <c r="P899" i="5"/>
  <c r="AE899" i="5" s="1"/>
  <c r="AF899" i="5" s="1"/>
  <c r="O899" i="5"/>
  <c r="N899" i="5"/>
  <c r="AC898" i="5"/>
  <c r="AD898" i="5" s="1"/>
  <c r="AA898" i="5"/>
  <c r="AB898" i="5" s="1"/>
  <c r="Y898" i="5"/>
  <c r="Z898" i="5" s="1"/>
  <c r="W898" i="5"/>
  <c r="X898" i="5" s="1"/>
  <c r="Q898" i="5"/>
  <c r="R898" i="5" s="1"/>
  <c r="S898" i="5" s="1"/>
  <c r="T898" i="5" s="1"/>
  <c r="U898" i="5" s="1"/>
  <c r="V898" i="5" s="1"/>
  <c r="P898" i="5"/>
  <c r="AE898" i="5" s="1"/>
  <c r="AF898" i="5" s="1"/>
  <c r="O898" i="5"/>
  <c r="N898" i="5"/>
  <c r="AC897" i="5"/>
  <c r="AD897" i="5" s="1"/>
  <c r="AA897" i="5"/>
  <c r="AB897" i="5" s="1"/>
  <c r="Y897" i="5"/>
  <c r="Z897" i="5" s="1"/>
  <c r="W897" i="5"/>
  <c r="X897" i="5" s="1"/>
  <c r="Q897" i="5"/>
  <c r="R897" i="5" s="1"/>
  <c r="S897" i="5" s="1"/>
  <c r="T897" i="5" s="1"/>
  <c r="U897" i="5" s="1"/>
  <c r="V897" i="5" s="1"/>
  <c r="P897" i="5"/>
  <c r="AE897" i="5" s="1"/>
  <c r="AF897" i="5" s="1"/>
  <c r="O897" i="5"/>
  <c r="N897" i="5"/>
  <c r="AC896" i="5"/>
  <c r="AD896" i="5" s="1"/>
  <c r="AA896" i="5"/>
  <c r="AB896" i="5" s="1"/>
  <c r="Y896" i="5"/>
  <c r="Z896" i="5" s="1"/>
  <c r="W896" i="5"/>
  <c r="X896" i="5" s="1"/>
  <c r="Q896" i="5"/>
  <c r="R896" i="5" s="1"/>
  <c r="S896" i="5" s="1"/>
  <c r="T896" i="5" s="1"/>
  <c r="U896" i="5" s="1"/>
  <c r="V896" i="5" s="1"/>
  <c r="P896" i="5"/>
  <c r="AE896" i="5" s="1"/>
  <c r="AF896" i="5" s="1"/>
  <c r="O896" i="5"/>
  <c r="N896" i="5"/>
  <c r="AC895" i="5"/>
  <c r="AD895" i="5" s="1"/>
  <c r="AA895" i="5"/>
  <c r="AB895" i="5" s="1"/>
  <c r="Y895" i="5"/>
  <c r="Z895" i="5" s="1"/>
  <c r="W895" i="5"/>
  <c r="X895" i="5" s="1"/>
  <c r="Q895" i="5"/>
  <c r="R895" i="5" s="1"/>
  <c r="S895" i="5" s="1"/>
  <c r="T895" i="5" s="1"/>
  <c r="U895" i="5" s="1"/>
  <c r="V895" i="5" s="1"/>
  <c r="P895" i="5"/>
  <c r="AE895" i="5" s="1"/>
  <c r="AF895" i="5" s="1"/>
  <c r="O895" i="5"/>
  <c r="N895" i="5"/>
  <c r="AC894" i="5"/>
  <c r="AD894" i="5" s="1"/>
  <c r="AA894" i="5"/>
  <c r="AB894" i="5" s="1"/>
  <c r="Y894" i="5"/>
  <c r="Z894" i="5" s="1"/>
  <c r="W894" i="5"/>
  <c r="X894" i="5" s="1"/>
  <c r="Q894" i="5"/>
  <c r="R894" i="5" s="1"/>
  <c r="S894" i="5" s="1"/>
  <c r="T894" i="5" s="1"/>
  <c r="U894" i="5" s="1"/>
  <c r="V894" i="5" s="1"/>
  <c r="P894" i="5"/>
  <c r="AE894" i="5" s="1"/>
  <c r="AF894" i="5" s="1"/>
  <c r="O894" i="5"/>
  <c r="N894" i="5"/>
  <c r="AC893" i="5"/>
  <c r="AD893" i="5" s="1"/>
  <c r="AA893" i="5"/>
  <c r="AB893" i="5" s="1"/>
  <c r="Y893" i="5"/>
  <c r="Z893" i="5" s="1"/>
  <c r="W893" i="5"/>
  <c r="X893" i="5" s="1"/>
  <c r="Q893" i="5"/>
  <c r="R893" i="5" s="1"/>
  <c r="S893" i="5" s="1"/>
  <c r="T893" i="5" s="1"/>
  <c r="U893" i="5" s="1"/>
  <c r="V893" i="5" s="1"/>
  <c r="P893" i="5"/>
  <c r="AE893" i="5" s="1"/>
  <c r="AF893" i="5" s="1"/>
  <c r="O893" i="5"/>
  <c r="N893" i="5"/>
  <c r="AC892" i="5"/>
  <c r="AD892" i="5" s="1"/>
  <c r="AA892" i="5"/>
  <c r="AB892" i="5" s="1"/>
  <c r="Y892" i="5"/>
  <c r="Z892" i="5" s="1"/>
  <c r="W892" i="5"/>
  <c r="X892" i="5" s="1"/>
  <c r="Q892" i="5"/>
  <c r="R892" i="5" s="1"/>
  <c r="S892" i="5" s="1"/>
  <c r="T892" i="5" s="1"/>
  <c r="U892" i="5" s="1"/>
  <c r="V892" i="5" s="1"/>
  <c r="P892" i="5"/>
  <c r="AE892" i="5" s="1"/>
  <c r="AF892" i="5" s="1"/>
  <c r="O892" i="5"/>
  <c r="N892" i="5"/>
  <c r="AC891" i="5"/>
  <c r="AD891" i="5" s="1"/>
  <c r="AA891" i="5"/>
  <c r="AB891" i="5" s="1"/>
  <c r="Y891" i="5"/>
  <c r="Z891" i="5" s="1"/>
  <c r="W891" i="5"/>
  <c r="X891" i="5" s="1"/>
  <c r="Q891" i="5"/>
  <c r="R891" i="5" s="1"/>
  <c r="S891" i="5" s="1"/>
  <c r="T891" i="5" s="1"/>
  <c r="U891" i="5" s="1"/>
  <c r="V891" i="5" s="1"/>
  <c r="P891" i="5"/>
  <c r="AE891" i="5" s="1"/>
  <c r="AF891" i="5" s="1"/>
  <c r="O891" i="5"/>
  <c r="N891" i="5"/>
  <c r="AC890" i="5"/>
  <c r="AD890" i="5" s="1"/>
  <c r="AA890" i="5"/>
  <c r="AB890" i="5" s="1"/>
  <c r="Y890" i="5"/>
  <c r="Z890" i="5" s="1"/>
  <c r="W890" i="5"/>
  <c r="X890" i="5" s="1"/>
  <c r="Q890" i="5"/>
  <c r="R890" i="5" s="1"/>
  <c r="S890" i="5" s="1"/>
  <c r="T890" i="5" s="1"/>
  <c r="U890" i="5" s="1"/>
  <c r="V890" i="5" s="1"/>
  <c r="P890" i="5"/>
  <c r="AE890" i="5" s="1"/>
  <c r="AF890" i="5" s="1"/>
  <c r="O890" i="5"/>
  <c r="N890" i="5"/>
  <c r="AC889" i="5"/>
  <c r="AD889" i="5" s="1"/>
  <c r="AA889" i="5"/>
  <c r="AB889" i="5" s="1"/>
  <c r="Y889" i="5"/>
  <c r="Z889" i="5" s="1"/>
  <c r="W889" i="5"/>
  <c r="X889" i="5" s="1"/>
  <c r="Q889" i="5"/>
  <c r="R889" i="5" s="1"/>
  <c r="S889" i="5" s="1"/>
  <c r="T889" i="5" s="1"/>
  <c r="U889" i="5" s="1"/>
  <c r="V889" i="5" s="1"/>
  <c r="P889" i="5"/>
  <c r="AE889" i="5" s="1"/>
  <c r="AF889" i="5" s="1"/>
  <c r="O889" i="5"/>
  <c r="N889" i="5"/>
  <c r="AC888" i="5"/>
  <c r="AD888" i="5" s="1"/>
  <c r="AA888" i="5"/>
  <c r="AB888" i="5" s="1"/>
  <c r="Y888" i="5"/>
  <c r="Z888" i="5" s="1"/>
  <c r="W888" i="5"/>
  <c r="X888" i="5" s="1"/>
  <c r="Q888" i="5"/>
  <c r="R888" i="5" s="1"/>
  <c r="S888" i="5" s="1"/>
  <c r="T888" i="5" s="1"/>
  <c r="U888" i="5" s="1"/>
  <c r="V888" i="5" s="1"/>
  <c r="P888" i="5"/>
  <c r="AE888" i="5" s="1"/>
  <c r="AF888" i="5" s="1"/>
  <c r="O888" i="5"/>
  <c r="N888" i="5"/>
  <c r="AC887" i="5"/>
  <c r="AD887" i="5" s="1"/>
  <c r="AA887" i="5"/>
  <c r="AB887" i="5" s="1"/>
  <c r="Y887" i="5"/>
  <c r="Z887" i="5" s="1"/>
  <c r="W887" i="5"/>
  <c r="X887" i="5" s="1"/>
  <c r="Q887" i="5"/>
  <c r="R887" i="5" s="1"/>
  <c r="S887" i="5" s="1"/>
  <c r="T887" i="5" s="1"/>
  <c r="U887" i="5" s="1"/>
  <c r="V887" i="5" s="1"/>
  <c r="P887" i="5"/>
  <c r="AE887" i="5" s="1"/>
  <c r="AF887" i="5" s="1"/>
  <c r="O887" i="5"/>
  <c r="N887" i="5"/>
  <c r="AC886" i="5"/>
  <c r="AD886" i="5" s="1"/>
  <c r="AA886" i="5"/>
  <c r="AB886" i="5" s="1"/>
  <c r="Y886" i="5"/>
  <c r="Z886" i="5" s="1"/>
  <c r="W886" i="5"/>
  <c r="X886" i="5" s="1"/>
  <c r="Q886" i="5"/>
  <c r="R886" i="5" s="1"/>
  <c r="S886" i="5" s="1"/>
  <c r="T886" i="5" s="1"/>
  <c r="U886" i="5" s="1"/>
  <c r="V886" i="5" s="1"/>
  <c r="P886" i="5"/>
  <c r="AE886" i="5" s="1"/>
  <c r="AF886" i="5" s="1"/>
  <c r="O886" i="5"/>
  <c r="N886" i="5"/>
  <c r="AC885" i="5"/>
  <c r="AD885" i="5" s="1"/>
  <c r="AA885" i="5"/>
  <c r="AB885" i="5" s="1"/>
  <c r="Y885" i="5"/>
  <c r="Z885" i="5" s="1"/>
  <c r="W885" i="5"/>
  <c r="X885" i="5" s="1"/>
  <c r="Q885" i="5"/>
  <c r="R885" i="5" s="1"/>
  <c r="S885" i="5" s="1"/>
  <c r="T885" i="5" s="1"/>
  <c r="U885" i="5" s="1"/>
  <c r="V885" i="5" s="1"/>
  <c r="P885" i="5"/>
  <c r="AE885" i="5" s="1"/>
  <c r="AF885" i="5" s="1"/>
  <c r="O885" i="5"/>
  <c r="N885" i="5"/>
  <c r="AC884" i="5"/>
  <c r="AD884" i="5" s="1"/>
  <c r="AA884" i="5"/>
  <c r="AB884" i="5" s="1"/>
  <c r="Y884" i="5"/>
  <c r="Z884" i="5" s="1"/>
  <c r="W884" i="5"/>
  <c r="X884" i="5" s="1"/>
  <c r="Q884" i="5"/>
  <c r="R884" i="5" s="1"/>
  <c r="S884" i="5" s="1"/>
  <c r="T884" i="5" s="1"/>
  <c r="U884" i="5" s="1"/>
  <c r="V884" i="5" s="1"/>
  <c r="P884" i="5"/>
  <c r="AE884" i="5" s="1"/>
  <c r="AF884" i="5" s="1"/>
  <c r="O884" i="5"/>
  <c r="N884" i="5"/>
  <c r="AC883" i="5"/>
  <c r="AD883" i="5" s="1"/>
  <c r="AA883" i="5"/>
  <c r="AB883" i="5" s="1"/>
  <c r="Y883" i="5"/>
  <c r="Z883" i="5" s="1"/>
  <c r="W883" i="5"/>
  <c r="X883" i="5" s="1"/>
  <c r="Q883" i="5"/>
  <c r="R883" i="5" s="1"/>
  <c r="S883" i="5" s="1"/>
  <c r="T883" i="5" s="1"/>
  <c r="U883" i="5" s="1"/>
  <c r="V883" i="5" s="1"/>
  <c r="P883" i="5"/>
  <c r="AE883" i="5" s="1"/>
  <c r="AF883" i="5" s="1"/>
  <c r="O883" i="5"/>
  <c r="N883" i="5"/>
  <c r="AC882" i="5"/>
  <c r="AD882" i="5" s="1"/>
  <c r="AA882" i="5"/>
  <c r="AB882" i="5" s="1"/>
  <c r="Y882" i="5"/>
  <c r="Z882" i="5" s="1"/>
  <c r="W882" i="5"/>
  <c r="X882" i="5" s="1"/>
  <c r="Q882" i="5"/>
  <c r="R882" i="5" s="1"/>
  <c r="S882" i="5" s="1"/>
  <c r="T882" i="5" s="1"/>
  <c r="U882" i="5" s="1"/>
  <c r="V882" i="5" s="1"/>
  <c r="P882" i="5"/>
  <c r="AE882" i="5" s="1"/>
  <c r="AF882" i="5" s="1"/>
  <c r="O882" i="5"/>
  <c r="N882" i="5"/>
  <c r="AC881" i="5"/>
  <c r="AD881" i="5" s="1"/>
  <c r="AA881" i="5"/>
  <c r="AB881" i="5" s="1"/>
  <c r="Y881" i="5"/>
  <c r="Z881" i="5" s="1"/>
  <c r="W881" i="5"/>
  <c r="X881" i="5" s="1"/>
  <c r="Q881" i="5"/>
  <c r="R881" i="5" s="1"/>
  <c r="S881" i="5" s="1"/>
  <c r="T881" i="5" s="1"/>
  <c r="U881" i="5" s="1"/>
  <c r="V881" i="5" s="1"/>
  <c r="P881" i="5"/>
  <c r="AE881" i="5" s="1"/>
  <c r="AF881" i="5" s="1"/>
  <c r="O881" i="5"/>
  <c r="N881" i="5"/>
  <c r="AC880" i="5"/>
  <c r="AD880" i="5" s="1"/>
  <c r="AA880" i="5"/>
  <c r="AB880" i="5" s="1"/>
  <c r="Y880" i="5"/>
  <c r="Z880" i="5" s="1"/>
  <c r="W880" i="5"/>
  <c r="X880" i="5" s="1"/>
  <c r="Q880" i="5"/>
  <c r="R880" i="5" s="1"/>
  <c r="S880" i="5" s="1"/>
  <c r="T880" i="5" s="1"/>
  <c r="U880" i="5" s="1"/>
  <c r="V880" i="5" s="1"/>
  <c r="P880" i="5"/>
  <c r="AE880" i="5" s="1"/>
  <c r="AF880" i="5" s="1"/>
  <c r="O880" i="5"/>
  <c r="N880" i="5"/>
  <c r="AC879" i="5"/>
  <c r="AD879" i="5" s="1"/>
  <c r="AA879" i="5"/>
  <c r="AB879" i="5" s="1"/>
  <c r="Y879" i="5"/>
  <c r="Z879" i="5" s="1"/>
  <c r="W879" i="5"/>
  <c r="X879" i="5" s="1"/>
  <c r="Q879" i="5"/>
  <c r="R879" i="5" s="1"/>
  <c r="S879" i="5" s="1"/>
  <c r="T879" i="5" s="1"/>
  <c r="U879" i="5" s="1"/>
  <c r="V879" i="5" s="1"/>
  <c r="P879" i="5"/>
  <c r="AE879" i="5" s="1"/>
  <c r="AF879" i="5" s="1"/>
  <c r="O879" i="5"/>
  <c r="N879" i="5"/>
  <c r="AC878" i="5"/>
  <c r="AD878" i="5" s="1"/>
  <c r="AA878" i="5"/>
  <c r="AB878" i="5" s="1"/>
  <c r="Y878" i="5"/>
  <c r="Z878" i="5" s="1"/>
  <c r="W878" i="5"/>
  <c r="X878" i="5" s="1"/>
  <c r="Q878" i="5"/>
  <c r="R878" i="5" s="1"/>
  <c r="S878" i="5" s="1"/>
  <c r="T878" i="5" s="1"/>
  <c r="U878" i="5" s="1"/>
  <c r="V878" i="5" s="1"/>
  <c r="P878" i="5"/>
  <c r="AE878" i="5" s="1"/>
  <c r="AF878" i="5" s="1"/>
  <c r="O878" i="5"/>
  <c r="N878" i="5"/>
  <c r="AC877" i="5"/>
  <c r="AD877" i="5" s="1"/>
  <c r="AA877" i="5"/>
  <c r="AB877" i="5" s="1"/>
  <c r="Y877" i="5"/>
  <c r="Z877" i="5" s="1"/>
  <c r="W877" i="5"/>
  <c r="X877" i="5" s="1"/>
  <c r="Q877" i="5"/>
  <c r="R877" i="5" s="1"/>
  <c r="S877" i="5" s="1"/>
  <c r="T877" i="5" s="1"/>
  <c r="U877" i="5" s="1"/>
  <c r="V877" i="5" s="1"/>
  <c r="P877" i="5"/>
  <c r="AE877" i="5" s="1"/>
  <c r="AF877" i="5" s="1"/>
  <c r="O877" i="5"/>
  <c r="N877" i="5"/>
  <c r="AC876" i="5"/>
  <c r="AD876" i="5" s="1"/>
  <c r="AA876" i="5"/>
  <c r="AB876" i="5" s="1"/>
  <c r="Y876" i="5"/>
  <c r="Z876" i="5" s="1"/>
  <c r="W876" i="5"/>
  <c r="X876" i="5" s="1"/>
  <c r="Q876" i="5"/>
  <c r="R876" i="5" s="1"/>
  <c r="S876" i="5" s="1"/>
  <c r="T876" i="5" s="1"/>
  <c r="U876" i="5" s="1"/>
  <c r="V876" i="5" s="1"/>
  <c r="P876" i="5"/>
  <c r="AE876" i="5" s="1"/>
  <c r="AF876" i="5" s="1"/>
  <c r="O876" i="5"/>
  <c r="N876" i="5"/>
  <c r="AC875" i="5"/>
  <c r="AD875" i="5" s="1"/>
  <c r="AA875" i="5"/>
  <c r="AB875" i="5" s="1"/>
  <c r="Y875" i="5"/>
  <c r="Z875" i="5" s="1"/>
  <c r="W875" i="5"/>
  <c r="X875" i="5" s="1"/>
  <c r="Q875" i="5"/>
  <c r="R875" i="5" s="1"/>
  <c r="S875" i="5" s="1"/>
  <c r="T875" i="5" s="1"/>
  <c r="U875" i="5" s="1"/>
  <c r="V875" i="5" s="1"/>
  <c r="P875" i="5"/>
  <c r="AE875" i="5" s="1"/>
  <c r="AF875" i="5" s="1"/>
  <c r="O875" i="5"/>
  <c r="N875" i="5"/>
  <c r="AC874" i="5"/>
  <c r="AD874" i="5" s="1"/>
  <c r="AA874" i="5"/>
  <c r="AB874" i="5" s="1"/>
  <c r="Y874" i="5"/>
  <c r="Z874" i="5" s="1"/>
  <c r="W874" i="5"/>
  <c r="X874" i="5" s="1"/>
  <c r="Q874" i="5"/>
  <c r="R874" i="5" s="1"/>
  <c r="S874" i="5" s="1"/>
  <c r="T874" i="5" s="1"/>
  <c r="U874" i="5" s="1"/>
  <c r="V874" i="5" s="1"/>
  <c r="P874" i="5"/>
  <c r="AE874" i="5" s="1"/>
  <c r="AF874" i="5" s="1"/>
  <c r="O874" i="5"/>
  <c r="N874" i="5"/>
  <c r="AC873" i="5"/>
  <c r="AD873" i="5" s="1"/>
  <c r="AA873" i="5"/>
  <c r="AB873" i="5" s="1"/>
  <c r="Y873" i="5"/>
  <c r="Z873" i="5" s="1"/>
  <c r="W873" i="5"/>
  <c r="X873" i="5" s="1"/>
  <c r="Q873" i="5"/>
  <c r="R873" i="5" s="1"/>
  <c r="S873" i="5" s="1"/>
  <c r="T873" i="5" s="1"/>
  <c r="U873" i="5" s="1"/>
  <c r="V873" i="5" s="1"/>
  <c r="P873" i="5"/>
  <c r="AE873" i="5" s="1"/>
  <c r="AF873" i="5" s="1"/>
  <c r="O873" i="5"/>
  <c r="N873" i="5"/>
  <c r="AC872" i="5"/>
  <c r="AD872" i="5" s="1"/>
  <c r="AA872" i="5"/>
  <c r="AB872" i="5" s="1"/>
  <c r="Y872" i="5"/>
  <c r="Z872" i="5" s="1"/>
  <c r="W872" i="5"/>
  <c r="X872" i="5" s="1"/>
  <c r="Q872" i="5"/>
  <c r="R872" i="5" s="1"/>
  <c r="S872" i="5" s="1"/>
  <c r="T872" i="5" s="1"/>
  <c r="U872" i="5" s="1"/>
  <c r="V872" i="5" s="1"/>
  <c r="P872" i="5"/>
  <c r="AE872" i="5" s="1"/>
  <c r="AF872" i="5" s="1"/>
  <c r="O872" i="5"/>
  <c r="N872" i="5"/>
  <c r="AC871" i="5"/>
  <c r="AD871" i="5" s="1"/>
  <c r="AA871" i="5"/>
  <c r="AB871" i="5" s="1"/>
  <c r="Y871" i="5"/>
  <c r="Z871" i="5" s="1"/>
  <c r="W871" i="5"/>
  <c r="X871" i="5" s="1"/>
  <c r="Q871" i="5"/>
  <c r="R871" i="5" s="1"/>
  <c r="S871" i="5" s="1"/>
  <c r="T871" i="5" s="1"/>
  <c r="U871" i="5" s="1"/>
  <c r="V871" i="5" s="1"/>
  <c r="P871" i="5"/>
  <c r="AE871" i="5" s="1"/>
  <c r="AF871" i="5" s="1"/>
  <c r="O871" i="5"/>
  <c r="N871" i="5"/>
  <c r="AC870" i="5"/>
  <c r="AD870" i="5" s="1"/>
  <c r="AA870" i="5"/>
  <c r="AB870" i="5" s="1"/>
  <c r="Y870" i="5"/>
  <c r="Z870" i="5" s="1"/>
  <c r="W870" i="5"/>
  <c r="X870" i="5" s="1"/>
  <c r="Q870" i="5"/>
  <c r="R870" i="5" s="1"/>
  <c r="S870" i="5" s="1"/>
  <c r="T870" i="5" s="1"/>
  <c r="U870" i="5" s="1"/>
  <c r="V870" i="5" s="1"/>
  <c r="P870" i="5"/>
  <c r="AE870" i="5" s="1"/>
  <c r="AF870" i="5" s="1"/>
  <c r="O870" i="5"/>
  <c r="N870" i="5"/>
  <c r="AC869" i="5"/>
  <c r="AD869" i="5" s="1"/>
  <c r="AA869" i="5"/>
  <c r="AB869" i="5" s="1"/>
  <c r="Y869" i="5"/>
  <c r="Z869" i="5" s="1"/>
  <c r="W869" i="5"/>
  <c r="X869" i="5" s="1"/>
  <c r="Q869" i="5"/>
  <c r="R869" i="5" s="1"/>
  <c r="S869" i="5" s="1"/>
  <c r="T869" i="5" s="1"/>
  <c r="U869" i="5" s="1"/>
  <c r="V869" i="5" s="1"/>
  <c r="P869" i="5"/>
  <c r="AE869" i="5" s="1"/>
  <c r="AF869" i="5" s="1"/>
  <c r="O869" i="5"/>
  <c r="N869" i="5"/>
  <c r="AC868" i="5"/>
  <c r="AD868" i="5" s="1"/>
  <c r="AA868" i="5"/>
  <c r="AB868" i="5" s="1"/>
  <c r="Y868" i="5"/>
  <c r="Z868" i="5" s="1"/>
  <c r="W868" i="5"/>
  <c r="X868" i="5" s="1"/>
  <c r="Q868" i="5"/>
  <c r="R868" i="5" s="1"/>
  <c r="S868" i="5" s="1"/>
  <c r="T868" i="5" s="1"/>
  <c r="U868" i="5" s="1"/>
  <c r="V868" i="5" s="1"/>
  <c r="P868" i="5"/>
  <c r="AE868" i="5" s="1"/>
  <c r="AF868" i="5" s="1"/>
  <c r="O868" i="5"/>
  <c r="N868" i="5"/>
  <c r="AC867" i="5"/>
  <c r="AD867" i="5" s="1"/>
  <c r="AA867" i="5"/>
  <c r="AB867" i="5" s="1"/>
  <c r="Y867" i="5"/>
  <c r="Z867" i="5" s="1"/>
  <c r="W867" i="5"/>
  <c r="X867" i="5" s="1"/>
  <c r="Q867" i="5"/>
  <c r="R867" i="5" s="1"/>
  <c r="S867" i="5" s="1"/>
  <c r="T867" i="5" s="1"/>
  <c r="U867" i="5" s="1"/>
  <c r="V867" i="5" s="1"/>
  <c r="P867" i="5"/>
  <c r="AE867" i="5" s="1"/>
  <c r="AF867" i="5" s="1"/>
  <c r="O867" i="5"/>
  <c r="N867" i="5"/>
  <c r="AC866" i="5"/>
  <c r="AD866" i="5" s="1"/>
  <c r="AA866" i="5"/>
  <c r="AB866" i="5" s="1"/>
  <c r="Y866" i="5"/>
  <c r="Z866" i="5" s="1"/>
  <c r="W866" i="5"/>
  <c r="X866" i="5" s="1"/>
  <c r="Q866" i="5"/>
  <c r="R866" i="5" s="1"/>
  <c r="S866" i="5" s="1"/>
  <c r="T866" i="5" s="1"/>
  <c r="U866" i="5" s="1"/>
  <c r="V866" i="5" s="1"/>
  <c r="P866" i="5"/>
  <c r="AE866" i="5" s="1"/>
  <c r="AF866" i="5" s="1"/>
  <c r="O866" i="5"/>
  <c r="N866" i="5"/>
  <c r="AC865" i="5"/>
  <c r="AD865" i="5" s="1"/>
  <c r="AA865" i="5"/>
  <c r="AB865" i="5" s="1"/>
  <c r="Y865" i="5"/>
  <c r="Z865" i="5" s="1"/>
  <c r="W865" i="5"/>
  <c r="X865" i="5" s="1"/>
  <c r="Q865" i="5"/>
  <c r="R865" i="5" s="1"/>
  <c r="S865" i="5" s="1"/>
  <c r="T865" i="5" s="1"/>
  <c r="U865" i="5" s="1"/>
  <c r="V865" i="5" s="1"/>
  <c r="P865" i="5"/>
  <c r="AE865" i="5" s="1"/>
  <c r="AF865" i="5" s="1"/>
  <c r="O865" i="5"/>
  <c r="N865" i="5"/>
  <c r="AC864" i="5"/>
  <c r="AD864" i="5" s="1"/>
  <c r="AA864" i="5"/>
  <c r="AB864" i="5" s="1"/>
  <c r="Y864" i="5"/>
  <c r="Z864" i="5" s="1"/>
  <c r="W864" i="5"/>
  <c r="X864" i="5" s="1"/>
  <c r="Q864" i="5"/>
  <c r="R864" i="5" s="1"/>
  <c r="S864" i="5" s="1"/>
  <c r="T864" i="5" s="1"/>
  <c r="U864" i="5" s="1"/>
  <c r="V864" i="5" s="1"/>
  <c r="P864" i="5"/>
  <c r="AE864" i="5" s="1"/>
  <c r="AF864" i="5" s="1"/>
  <c r="O864" i="5"/>
  <c r="N864" i="5"/>
  <c r="AC863" i="5"/>
  <c r="AD863" i="5" s="1"/>
  <c r="AA863" i="5"/>
  <c r="AB863" i="5" s="1"/>
  <c r="Y863" i="5"/>
  <c r="Z863" i="5" s="1"/>
  <c r="W863" i="5"/>
  <c r="X863" i="5" s="1"/>
  <c r="Q863" i="5"/>
  <c r="R863" i="5" s="1"/>
  <c r="S863" i="5" s="1"/>
  <c r="T863" i="5" s="1"/>
  <c r="U863" i="5" s="1"/>
  <c r="V863" i="5" s="1"/>
  <c r="P863" i="5"/>
  <c r="AE863" i="5" s="1"/>
  <c r="AF863" i="5" s="1"/>
  <c r="O863" i="5"/>
  <c r="N863" i="5"/>
  <c r="AC862" i="5"/>
  <c r="AD862" i="5" s="1"/>
  <c r="AA862" i="5"/>
  <c r="AB862" i="5" s="1"/>
  <c r="Y862" i="5"/>
  <c r="Z862" i="5" s="1"/>
  <c r="W862" i="5"/>
  <c r="X862" i="5" s="1"/>
  <c r="Q862" i="5"/>
  <c r="R862" i="5" s="1"/>
  <c r="S862" i="5" s="1"/>
  <c r="T862" i="5" s="1"/>
  <c r="U862" i="5" s="1"/>
  <c r="V862" i="5" s="1"/>
  <c r="P862" i="5"/>
  <c r="AE862" i="5" s="1"/>
  <c r="AF862" i="5" s="1"/>
  <c r="O862" i="5"/>
  <c r="N862" i="5"/>
  <c r="AC861" i="5"/>
  <c r="AD861" i="5" s="1"/>
  <c r="AA861" i="5"/>
  <c r="AB861" i="5" s="1"/>
  <c r="Y861" i="5"/>
  <c r="Z861" i="5" s="1"/>
  <c r="W861" i="5"/>
  <c r="X861" i="5" s="1"/>
  <c r="Q861" i="5"/>
  <c r="R861" i="5" s="1"/>
  <c r="S861" i="5" s="1"/>
  <c r="T861" i="5" s="1"/>
  <c r="U861" i="5" s="1"/>
  <c r="V861" i="5" s="1"/>
  <c r="P861" i="5"/>
  <c r="AE861" i="5" s="1"/>
  <c r="AF861" i="5" s="1"/>
  <c r="O861" i="5"/>
  <c r="N861" i="5"/>
  <c r="AC860" i="5"/>
  <c r="AD860" i="5" s="1"/>
  <c r="AA860" i="5"/>
  <c r="AB860" i="5" s="1"/>
  <c r="Y860" i="5"/>
  <c r="Z860" i="5" s="1"/>
  <c r="W860" i="5"/>
  <c r="X860" i="5" s="1"/>
  <c r="Q860" i="5"/>
  <c r="R860" i="5" s="1"/>
  <c r="S860" i="5" s="1"/>
  <c r="T860" i="5" s="1"/>
  <c r="U860" i="5" s="1"/>
  <c r="V860" i="5" s="1"/>
  <c r="P860" i="5"/>
  <c r="AE860" i="5" s="1"/>
  <c r="AF860" i="5" s="1"/>
  <c r="O860" i="5"/>
  <c r="N860" i="5"/>
  <c r="AC859" i="5"/>
  <c r="AD859" i="5" s="1"/>
  <c r="AA859" i="5"/>
  <c r="AB859" i="5" s="1"/>
  <c r="Y859" i="5"/>
  <c r="Z859" i="5" s="1"/>
  <c r="W859" i="5"/>
  <c r="X859" i="5" s="1"/>
  <c r="Q859" i="5"/>
  <c r="R859" i="5" s="1"/>
  <c r="S859" i="5" s="1"/>
  <c r="T859" i="5" s="1"/>
  <c r="U859" i="5" s="1"/>
  <c r="V859" i="5" s="1"/>
  <c r="P859" i="5"/>
  <c r="AE859" i="5" s="1"/>
  <c r="AF859" i="5" s="1"/>
  <c r="O859" i="5"/>
  <c r="N859" i="5"/>
  <c r="AC858" i="5"/>
  <c r="AD858" i="5" s="1"/>
  <c r="AA858" i="5"/>
  <c r="AB858" i="5" s="1"/>
  <c r="Y858" i="5"/>
  <c r="Z858" i="5" s="1"/>
  <c r="W858" i="5"/>
  <c r="X858" i="5" s="1"/>
  <c r="Q858" i="5"/>
  <c r="R858" i="5" s="1"/>
  <c r="S858" i="5" s="1"/>
  <c r="T858" i="5" s="1"/>
  <c r="U858" i="5" s="1"/>
  <c r="V858" i="5" s="1"/>
  <c r="P858" i="5"/>
  <c r="AE858" i="5" s="1"/>
  <c r="AF858" i="5" s="1"/>
  <c r="O858" i="5"/>
  <c r="N858" i="5"/>
  <c r="AC857" i="5"/>
  <c r="AD857" i="5" s="1"/>
  <c r="AA857" i="5"/>
  <c r="AB857" i="5" s="1"/>
  <c r="Y857" i="5"/>
  <c r="Z857" i="5" s="1"/>
  <c r="W857" i="5"/>
  <c r="X857" i="5" s="1"/>
  <c r="Q857" i="5"/>
  <c r="R857" i="5" s="1"/>
  <c r="S857" i="5" s="1"/>
  <c r="T857" i="5" s="1"/>
  <c r="U857" i="5" s="1"/>
  <c r="V857" i="5" s="1"/>
  <c r="P857" i="5"/>
  <c r="AE857" i="5" s="1"/>
  <c r="AF857" i="5" s="1"/>
  <c r="O857" i="5"/>
  <c r="N857" i="5"/>
  <c r="AC856" i="5"/>
  <c r="AD856" i="5" s="1"/>
  <c r="AA856" i="5"/>
  <c r="AB856" i="5" s="1"/>
  <c r="Y856" i="5"/>
  <c r="Z856" i="5" s="1"/>
  <c r="W856" i="5"/>
  <c r="X856" i="5" s="1"/>
  <c r="Q856" i="5"/>
  <c r="R856" i="5" s="1"/>
  <c r="S856" i="5" s="1"/>
  <c r="T856" i="5" s="1"/>
  <c r="U856" i="5" s="1"/>
  <c r="V856" i="5" s="1"/>
  <c r="P856" i="5"/>
  <c r="AE856" i="5" s="1"/>
  <c r="AF856" i="5" s="1"/>
  <c r="O856" i="5"/>
  <c r="N856" i="5"/>
  <c r="AC855" i="5"/>
  <c r="AD855" i="5" s="1"/>
  <c r="AA855" i="5"/>
  <c r="AB855" i="5" s="1"/>
  <c r="Y855" i="5"/>
  <c r="Z855" i="5" s="1"/>
  <c r="W855" i="5"/>
  <c r="X855" i="5" s="1"/>
  <c r="Q855" i="5"/>
  <c r="R855" i="5" s="1"/>
  <c r="S855" i="5" s="1"/>
  <c r="T855" i="5" s="1"/>
  <c r="U855" i="5" s="1"/>
  <c r="V855" i="5" s="1"/>
  <c r="P855" i="5"/>
  <c r="AE855" i="5" s="1"/>
  <c r="AF855" i="5" s="1"/>
  <c r="O855" i="5"/>
  <c r="N855" i="5"/>
  <c r="AC854" i="5"/>
  <c r="AD854" i="5" s="1"/>
  <c r="AA854" i="5"/>
  <c r="AB854" i="5" s="1"/>
  <c r="Y854" i="5"/>
  <c r="Z854" i="5" s="1"/>
  <c r="W854" i="5"/>
  <c r="X854" i="5" s="1"/>
  <c r="Q854" i="5"/>
  <c r="R854" i="5" s="1"/>
  <c r="S854" i="5" s="1"/>
  <c r="T854" i="5" s="1"/>
  <c r="U854" i="5" s="1"/>
  <c r="V854" i="5" s="1"/>
  <c r="P854" i="5"/>
  <c r="AE854" i="5" s="1"/>
  <c r="AF854" i="5" s="1"/>
  <c r="O854" i="5"/>
  <c r="N854" i="5"/>
  <c r="AC853" i="5"/>
  <c r="AD853" i="5" s="1"/>
  <c r="AA853" i="5"/>
  <c r="AB853" i="5" s="1"/>
  <c r="Y853" i="5"/>
  <c r="Z853" i="5" s="1"/>
  <c r="W853" i="5"/>
  <c r="X853" i="5" s="1"/>
  <c r="Q853" i="5"/>
  <c r="R853" i="5" s="1"/>
  <c r="S853" i="5" s="1"/>
  <c r="T853" i="5" s="1"/>
  <c r="U853" i="5" s="1"/>
  <c r="V853" i="5" s="1"/>
  <c r="P853" i="5"/>
  <c r="AE853" i="5" s="1"/>
  <c r="AF853" i="5" s="1"/>
  <c r="O853" i="5"/>
  <c r="N853" i="5"/>
  <c r="AC852" i="5"/>
  <c r="AD852" i="5" s="1"/>
  <c r="AA852" i="5"/>
  <c r="AB852" i="5" s="1"/>
  <c r="Y852" i="5"/>
  <c r="Z852" i="5" s="1"/>
  <c r="W852" i="5"/>
  <c r="X852" i="5" s="1"/>
  <c r="Q852" i="5"/>
  <c r="R852" i="5" s="1"/>
  <c r="S852" i="5" s="1"/>
  <c r="T852" i="5" s="1"/>
  <c r="U852" i="5" s="1"/>
  <c r="V852" i="5" s="1"/>
  <c r="P852" i="5"/>
  <c r="AE852" i="5" s="1"/>
  <c r="AF852" i="5" s="1"/>
  <c r="O852" i="5"/>
  <c r="N852" i="5"/>
  <c r="AC851" i="5"/>
  <c r="AD851" i="5" s="1"/>
  <c r="AA851" i="5"/>
  <c r="AB851" i="5" s="1"/>
  <c r="Y851" i="5"/>
  <c r="Z851" i="5" s="1"/>
  <c r="W851" i="5"/>
  <c r="X851" i="5" s="1"/>
  <c r="Q851" i="5"/>
  <c r="R851" i="5" s="1"/>
  <c r="S851" i="5" s="1"/>
  <c r="T851" i="5" s="1"/>
  <c r="U851" i="5" s="1"/>
  <c r="V851" i="5" s="1"/>
  <c r="P851" i="5"/>
  <c r="AE851" i="5" s="1"/>
  <c r="AF851" i="5" s="1"/>
  <c r="O851" i="5"/>
  <c r="N851" i="5"/>
  <c r="AC850" i="5"/>
  <c r="AD850" i="5" s="1"/>
  <c r="AA850" i="5"/>
  <c r="AB850" i="5" s="1"/>
  <c r="Y850" i="5"/>
  <c r="Z850" i="5" s="1"/>
  <c r="W850" i="5"/>
  <c r="X850" i="5" s="1"/>
  <c r="Q850" i="5"/>
  <c r="R850" i="5" s="1"/>
  <c r="S850" i="5" s="1"/>
  <c r="T850" i="5" s="1"/>
  <c r="U850" i="5" s="1"/>
  <c r="V850" i="5" s="1"/>
  <c r="P850" i="5"/>
  <c r="AE850" i="5" s="1"/>
  <c r="AF850" i="5" s="1"/>
  <c r="O850" i="5"/>
  <c r="N850" i="5"/>
  <c r="AC849" i="5"/>
  <c r="AD849" i="5" s="1"/>
  <c r="AA849" i="5"/>
  <c r="AB849" i="5" s="1"/>
  <c r="Y849" i="5"/>
  <c r="Z849" i="5" s="1"/>
  <c r="W849" i="5"/>
  <c r="X849" i="5" s="1"/>
  <c r="Q849" i="5"/>
  <c r="R849" i="5" s="1"/>
  <c r="S849" i="5" s="1"/>
  <c r="T849" i="5" s="1"/>
  <c r="U849" i="5" s="1"/>
  <c r="V849" i="5" s="1"/>
  <c r="P849" i="5"/>
  <c r="AE849" i="5" s="1"/>
  <c r="AF849" i="5" s="1"/>
  <c r="O849" i="5"/>
  <c r="N849" i="5"/>
  <c r="AC848" i="5"/>
  <c r="AD848" i="5" s="1"/>
  <c r="AA848" i="5"/>
  <c r="AB848" i="5" s="1"/>
  <c r="Y848" i="5"/>
  <c r="Z848" i="5" s="1"/>
  <c r="W848" i="5"/>
  <c r="X848" i="5" s="1"/>
  <c r="Q848" i="5"/>
  <c r="R848" i="5" s="1"/>
  <c r="S848" i="5" s="1"/>
  <c r="T848" i="5" s="1"/>
  <c r="U848" i="5" s="1"/>
  <c r="V848" i="5" s="1"/>
  <c r="P848" i="5"/>
  <c r="AE848" i="5" s="1"/>
  <c r="AF848" i="5" s="1"/>
  <c r="O848" i="5"/>
  <c r="N848" i="5"/>
  <c r="AC847" i="5"/>
  <c r="AD847" i="5" s="1"/>
  <c r="AA847" i="5"/>
  <c r="AB847" i="5" s="1"/>
  <c r="Y847" i="5"/>
  <c r="Z847" i="5" s="1"/>
  <c r="W847" i="5"/>
  <c r="X847" i="5" s="1"/>
  <c r="Q847" i="5"/>
  <c r="R847" i="5" s="1"/>
  <c r="S847" i="5" s="1"/>
  <c r="T847" i="5" s="1"/>
  <c r="U847" i="5" s="1"/>
  <c r="V847" i="5" s="1"/>
  <c r="P847" i="5"/>
  <c r="AE847" i="5" s="1"/>
  <c r="AF847" i="5" s="1"/>
  <c r="O847" i="5"/>
  <c r="N847" i="5"/>
  <c r="AC846" i="5"/>
  <c r="AD846" i="5" s="1"/>
  <c r="AA846" i="5"/>
  <c r="AB846" i="5" s="1"/>
  <c r="Y846" i="5"/>
  <c r="Z846" i="5" s="1"/>
  <c r="W846" i="5"/>
  <c r="X846" i="5" s="1"/>
  <c r="Q846" i="5"/>
  <c r="R846" i="5" s="1"/>
  <c r="S846" i="5" s="1"/>
  <c r="T846" i="5" s="1"/>
  <c r="U846" i="5" s="1"/>
  <c r="V846" i="5" s="1"/>
  <c r="P846" i="5"/>
  <c r="AE846" i="5" s="1"/>
  <c r="AF846" i="5" s="1"/>
  <c r="O846" i="5"/>
  <c r="N846" i="5"/>
  <c r="AC845" i="5"/>
  <c r="AD845" i="5" s="1"/>
  <c r="AA845" i="5"/>
  <c r="AB845" i="5" s="1"/>
  <c r="Y845" i="5"/>
  <c r="Z845" i="5" s="1"/>
  <c r="W845" i="5"/>
  <c r="X845" i="5" s="1"/>
  <c r="Q845" i="5"/>
  <c r="R845" i="5" s="1"/>
  <c r="S845" i="5" s="1"/>
  <c r="T845" i="5" s="1"/>
  <c r="U845" i="5" s="1"/>
  <c r="V845" i="5" s="1"/>
  <c r="P845" i="5"/>
  <c r="AE845" i="5" s="1"/>
  <c r="AF845" i="5" s="1"/>
  <c r="O845" i="5"/>
  <c r="N845" i="5"/>
  <c r="AC844" i="5"/>
  <c r="AD844" i="5" s="1"/>
  <c r="AA844" i="5"/>
  <c r="AB844" i="5" s="1"/>
  <c r="Y844" i="5"/>
  <c r="Z844" i="5" s="1"/>
  <c r="W844" i="5"/>
  <c r="X844" i="5" s="1"/>
  <c r="Q844" i="5"/>
  <c r="R844" i="5" s="1"/>
  <c r="S844" i="5" s="1"/>
  <c r="T844" i="5" s="1"/>
  <c r="U844" i="5" s="1"/>
  <c r="V844" i="5" s="1"/>
  <c r="P844" i="5"/>
  <c r="AE844" i="5" s="1"/>
  <c r="AF844" i="5" s="1"/>
  <c r="O844" i="5"/>
  <c r="N844" i="5"/>
  <c r="AC843" i="5"/>
  <c r="AD843" i="5" s="1"/>
  <c r="AA843" i="5"/>
  <c r="AB843" i="5" s="1"/>
  <c r="Y843" i="5"/>
  <c r="Z843" i="5" s="1"/>
  <c r="W843" i="5"/>
  <c r="X843" i="5" s="1"/>
  <c r="Q843" i="5"/>
  <c r="R843" i="5" s="1"/>
  <c r="S843" i="5" s="1"/>
  <c r="T843" i="5" s="1"/>
  <c r="U843" i="5" s="1"/>
  <c r="V843" i="5" s="1"/>
  <c r="P843" i="5"/>
  <c r="AE843" i="5" s="1"/>
  <c r="AF843" i="5" s="1"/>
  <c r="O843" i="5"/>
  <c r="N843" i="5"/>
  <c r="AC842" i="5"/>
  <c r="AD842" i="5" s="1"/>
  <c r="AA842" i="5"/>
  <c r="AB842" i="5" s="1"/>
  <c r="Y842" i="5"/>
  <c r="Z842" i="5" s="1"/>
  <c r="W842" i="5"/>
  <c r="X842" i="5" s="1"/>
  <c r="Q842" i="5"/>
  <c r="R842" i="5" s="1"/>
  <c r="S842" i="5" s="1"/>
  <c r="T842" i="5" s="1"/>
  <c r="U842" i="5" s="1"/>
  <c r="V842" i="5" s="1"/>
  <c r="P842" i="5"/>
  <c r="AE842" i="5" s="1"/>
  <c r="AF842" i="5" s="1"/>
  <c r="O842" i="5"/>
  <c r="N842" i="5"/>
  <c r="AC841" i="5"/>
  <c r="AD841" i="5" s="1"/>
  <c r="AA841" i="5"/>
  <c r="AB841" i="5" s="1"/>
  <c r="Y841" i="5"/>
  <c r="Z841" i="5" s="1"/>
  <c r="W841" i="5"/>
  <c r="X841" i="5" s="1"/>
  <c r="Q841" i="5"/>
  <c r="R841" i="5" s="1"/>
  <c r="S841" i="5" s="1"/>
  <c r="T841" i="5" s="1"/>
  <c r="U841" i="5" s="1"/>
  <c r="V841" i="5" s="1"/>
  <c r="P841" i="5"/>
  <c r="AE841" i="5" s="1"/>
  <c r="AF841" i="5" s="1"/>
  <c r="O841" i="5"/>
  <c r="N841" i="5"/>
  <c r="AC840" i="5"/>
  <c r="AD840" i="5" s="1"/>
  <c r="AA840" i="5"/>
  <c r="AB840" i="5" s="1"/>
  <c r="Y840" i="5"/>
  <c r="Z840" i="5" s="1"/>
  <c r="W840" i="5"/>
  <c r="X840" i="5" s="1"/>
  <c r="Q840" i="5"/>
  <c r="R840" i="5" s="1"/>
  <c r="S840" i="5" s="1"/>
  <c r="T840" i="5" s="1"/>
  <c r="U840" i="5" s="1"/>
  <c r="V840" i="5" s="1"/>
  <c r="P840" i="5"/>
  <c r="AE840" i="5" s="1"/>
  <c r="AF840" i="5" s="1"/>
  <c r="O840" i="5"/>
  <c r="N840" i="5"/>
  <c r="AC839" i="5"/>
  <c r="AD839" i="5" s="1"/>
  <c r="AA839" i="5"/>
  <c r="AB839" i="5" s="1"/>
  <c r="Y839" i="5"/>
  <c r="Z839" i="5" s="1"/>
  <c r="W839" i="5"/>
  <c r="X839" i="5" s="1"/>
  <c r="Q839" i="5"/>
  <c r="R839" i="5" s="1"/>
  <c r="S839" i="5" s="1"/>
  <c r="T839" i="5" s="1"/>
  <c r="U839" i="5" s="1"/>
  <c r="V839" i="5" s="1"/>
  <c r="P839" i="5"/>
  <c r="AE839" i="5" s="1"/>
  <c r="AF839" i="5" s="1"/>
  <c r="O839" i="5"/>
  <c r="N839" i="5"/>
  <c r="AC838" i="5"/>
  <c r="AD838" i="5" s="1"/>
  <c r="AA838" i="5"/>
  <c r="AB838" i="5" s="1"/>
  <c r="Y838" i="5"/>
  <c r="Z838" i="5" s="1"/>
  <c r="W838" i="5"/>
  <c r="X838" i="5" s="1"/>
  <c r="Q838" i="5"/>
  <c r="R838" i="5" s="1"/>
  <c r="S838" i="5" s="1"/>
  <c r="T838" i="5" s="1"/>
  <c r="U838" i="5" s="1"/>
  <c r="V838" i="5" s="1"/>
  <c r="P838" i="5"/>
  <c r="AE838" i="5" s="1"/>
  <c r="AF838" i="5" s="1"/>
  <c r="O838" i="5"/>
  <c r="N838" i="5"/>
  <c r="AC837" i="5"/>
  <c r="AD837" i="5" s="1"/>
  <c r="AA837" i="5"/>
  <c r="AB837" i="5" s="1"/>
  <c r="Y837" i="5"/>
  <c r="Z837" i="5" s="1"/>
  <c r="W837" i="5"/>
  <c r="X837" i="5" s="1"/>
  <c r="Q837" i="5"/>
  <c r="R837" i="5" s="1"/>
  <c r="S837" i="5" s="1"/>
  <c r="T837" i="5" s="1"/>
  <c r="U837" i="5" s="1"/>
  <c r="V837" i="5" s="1"/>
  <c r="P837" i="5"/>
  <c r="AE837" i="5" s="1"/>
  <c r="AF837" i="5" s="1"/>
  <c r="O837" i="5"/>
  <c r="N837" i="5"/>
  <c r="AC836" i="5"/>
  <c r="AD836" i="5" s="1"/>
  <c r="AA836" i="5"/>
  <c r="AB836" i="5" s="1"/>
  <c r="Y836" i="5"/>
  <c r="Z836" i="5" s="1"/>
  <c r="W836" i="5"/>
  <c r="X836" i="5" s="1"/>
  <c r="Q836" i="5"/>
  <c r="R836" i="5" s="1"/>
  <c r="S836" i="5" s="1"/>
  <c r="T836" i="5" s="1"/>
  <c r="U836" i="5" s="1"/>
  <c r="V836" i="5" s="1"/>
  <c r="P836" i="5"/>
  <c r="AE836" i="5" s="1"/>
  <c r="AF836" i="5" s="1"/>
  <c r="O836" i="5"/>
  <c r="N836" i="5"/>
  <c r="AC835" i="5"/>
  <c r="AD835" i="5" s="1"/>
  <c r="AA835" i="5"/>
  <c r="AB835" i="5" s="1"/>
  <c r="Y835" i="5"/>
  <c r="Z835" i="5" s="1"/>
  <c r="W835" i="5"/>
  <c r="X835" i="5" s="1"/>
  <c r="Q835" i="5"/>
  <c r="R835" i="5" s="1"/>
  <c r="S835" i="5" s="1"/>
  <c r="T835" i="5" s="1"/>
  <c r="U835" i="5" s="1"/>
  <c r="V835" i="5" s="1"/>
  <c r="P835" i="5"/>
  <c r="AE835" i="5" s="1"/>
  <c r="AF835" i="5" s="1"/>
  <c r="O835" i="5"/>
  <c r="N835" i="5"/>
  <c r="AC834" i="5"/>
  <c r="AD834" i="5" s="1"/>
  <c r="AA834" i="5"/>
  <c r="AB834" i="5" s="1"/>
  <c r="Y834" i="5"/>
  <c r="Z834" i="5" s="1"/>
  <c r="W834" i="5"/>
  <c r="X834" i="5" s="1"/>
  <c r="Q834" i="5"/>
  <c r="R834" i="5" s="1"/>
  <c r="S834" i="5" s="1"/>
  <c r="T834" i="5" s="1"/>
  <c r="U834" i="5" s="1"/>
  <c r="V834" i="5" s="1"/>
  <c r="P834" i="5"/>
  <c r="AE834" i="5" s="1"/>
  <c r="AF834" i="5" s="1"/>
  <c r="O834" i="5"/>
  <c r="N834" i="5"/>
  <c r="AC833" i="5"/>
  <c r="AD833" i="5" s="1"/>
  <c r="AA833" i="5"/>
  <c r="AB833" i="5" s="1"/>
  <c r="Y833" i="5"/>
  <c r="Z833" i="5" s="1"/>
  <c r="W833" i="5"/>
  <c r="X833" i="5" s="1"/>
  <c r="Q833" i="5"/>
  <c r="R833" i="5" s="1"/>
  <c r="S833" i="5" s="1"/>
  <c r="T833" i="5" s="1"/>
  <c r="U833" i="5" s="1"/>
  <c r="V833" i="5" s="1"/>
  <c r="P833" i="5"/>
  <c r="AE833" i="5" s="1"/>
  <c r="AF833" i="5" s="1"/>
  <c r="O833" i="5"/>
  <c r="N833" i="5"/>
  <c r="AC832" i="5"/>
  <c r="AD832" i="5" s="1"/>
  <c r="AA832" i="5"/>
  <c r="AB832" i="5" s="1"/>
  <c r="Y832" i="5"/>
  <c r="Z832" i="5" s="1"/>
  <c r="W832" i="5"/>
  <c r="X832" i="5" s="1"/>
  <c r="Q832" i="5"/>
  <c r="R832" i="5" s="1"/>
  <c r="S832" i="5" s="1"/>
  <c r="T832" i="5" s="1"/>
  <c r="U832" i="5" s="1"/>
  <c r="V832" i="5" s="1"/>
  <c r="P832" i="5"/>
  <c r="AE832" i="5" s="1"/>
  <c r="AF832" i="5" s="1"/>
  <c r="O832" i="5"/>
  <c r="N832" i="5"/>
  <c r="AC831" i="5"/>
  <c r="AD831" i="5" s="1"/>
  <c r="AA831" i="5"/>
  <c r="AB831" i="5" s="1"/>
  <c r="Y831" i="5"/>
  <c r="Z831" i="5" s="1"/>
  <c r="W831" i="5"/>
  <c r="X831" i="5" s="1"/>
  <c r="Q831" i="5"/>
  <c r="R831" i="5" s="1"/>
  <c r="S831" i="5" s="1"/>
  <c r="T831" i="5" s="1"/>
  <c r="U831" i="5" s="1"/>
  <c r="V831" i="5" s="1"/>
  <c r="P831" i="5"/>
  <c r="AE831" i="5" s="1"/>
  <c r="AF831" i="5" s="1"/>
  <c r="O831" i="5"/>
  <c r="N831" i="5"/>
  <c r="AC830" i="5"/>
  <c r="AD830" i="5" s="1"/>
  <c r="AA830" i="5"/>
  <c r="AB830" i="5" s="1"/>
  <c r="Y830" i="5"/>
  <c r="Z830" i="5" s="1"/>
  <c r="W830" i="5"/>
  <c r="X830" i="5" s="1"/>
  <c r="Q830" i="5"/>
  <c r="R830" i="5" s="1"/>
  <c r="S830" i="5" s="1"/>
  <c r="T830" i="5" s="1"/>
  <c r="U830" i="5" s="1"/>
  <c r="V830" i="5" s="1"/>
  <c r="P830" i="5"/>
  <c r="AE830" i="5" s="1"/>
  <c r="AF830" i="5" s="1"/>
  <c r="O830" i="5"/>
  <c r="N830" i="5"/>
  <c r="AC829" i="5"/>
  <c r="AD829" i="5" s="1"/>
  <c r="AA829" i="5"/>
  <c r="AB829" i="5" s="1"/>
  <c r="Y829" i="5"/>
  <c r="Z829" i="5" s="1"/>
  <c r="W829" i="5"/>
  <c r="X829" i="5" s="1"/>
  <c r="Q829" i="5"/>
  <c r="R829" i="5" s="1"/>
  <c r="S829" i="5" s="1"/>
  <c r="T829" i="5" s="1"/>
  <c r="U829" i="5" s="1"/>
  <c r="V829" i="5" s="1"/>
  <c r="P829" i="5"/>
  <c r="AE829" i="5" s="1"/>
  <c r="AF829" i="5" s="1"/>
  <c r="O829" i="5"/>
  <c r="N829" i="5"/>
  <c r="AC828" i="5"/>
  <c r="AD828" i="5" s="1"/>
  <c r="AA828" i="5"/>
  <c r="AB828" i="5" s="1"/>
  <c r="Y828" i="5"/>
  <c r="Z828" i="5" s="1"/>
  <c r="W828" i="5"/>
  <c r="X828" i="5" s="1"/>
  <c r="Q828" i="5"/>
  <c r="R828" i="5" s="1"/>
  <c r="S828" i="5" s="1"/>
  <c r="T828" i="5" s="1"/>
  <c r="U828" i="5" s="1"/>
  <c r="V828" i="5" s="1"/>
  <c r="P828" i="5"/>
  <c r="AE828" i="5" s="1"/>
  <c r="AF828" i="5" s="1"/>
  <c r="O828" i="5"/>
  <c r="N828" i="5"/>
  <c r="AC827" i="5"/>
  <c r="AD827" i="5" s="1"/>
  <c r="AA827" i="5"/>
  <c r="AB827" i="5" s="1"/>
  <c r="Y827" i="5"/>
  <c r="Z827" i="5" s="1"/>
  <c r="W827" i="5"/>
  <c r="X827" i="5" s="1"/>
  <c r="Q827" i="5"/>
  <c r="R827" i="5" s="1"/>
  <c r="S827" i="5" s="1"/>
  <c r="T827" i="5" s="1"/>
  <c r="U827" i="5" s="1"/>
  <c r="V827" i="5" s="1"/>
  <c r="P827" i="5"/>
  <c r="AE827" i="5" s="1"/>
  <c r="AF827" i="5" s="1"/>
  <c r="O827" i="5"/>
  <c r="N827" i="5"/>
  <c r="AC826" i="5"/>
  <c r="AD826" i="5" s="1"/>
  <c r="AA826" i="5"/>
  <c r="AB826" i="5" s="1"/>
  <c r="Y826" i="5"/>
  <c r="Z826" i="5" s="1"/>
  <c r="W826" i="5"/>
  <c r="X826" i="5" s="1"/>
  <c r="Q826" i="5"/>
  <c r="R826" i="5" s="1"/>
  <c r="S826" i="5" s="1"/>
  <c r="T826" i="5" s="1"/>
  <c r="U826" i="5" s="1"/>
  <c r="V826" i="5" s="1"/>
  <c r="P826" i="5"/>
  <c r="AE826" i="5" s="1"/>
  <c r="AF826" i="5" s="1"/>
  <c r="O826" i="5"/>
  <c r="N826" i="5"/>
  <c r="AC825" i="5"/>
  <c r="AD825" i="5" s="1"/>
  <c r="AA825" i="5"/>
  <c r="AB825" i="5" s="1"/>
  <c r="Y825" i="5"/>
  <c r="Z825" i="5" s="1"/>
  <c r="W825" i="5"/>
  <c r="X825" i="5" s="1"/>
  <c r="Q825" i="5"/>
  <c r="R825" i="5" s="1"/>
  <c r="S825" i="5" s="1"/>
  <c r="T825" i="5" s="1"/>
  <c r="U825" i="5" s="1"/>
  <c r="V825" i="5" s="1"/>
  <c r="P825" i="5"/>
  <c r="AE825" i="5" s="1"/>
  <c r="AF825" i="5" s="1"/>
  <c r="O825" i="5"/>
  <c r="N825" i="5"/>
  <c r="AC824" i="5"/>
  <c r="AD824" i="5" s="1"/>
  <c r="AA824" i="5"/>
  <c r="AB824" i="5" s="1"/>
  <c r="Y824" i="5"/>
  <c r="Z824" i="5" s="1"/>
  <c r="W824" i="5"/>
  <c r="X824" i="5" s="1"/>
  <c r="Q824" i="5"/>
  <c r="R824" i="5" s="1"/>
  <c r="S824" i="5" s="1"/>
  <c r="T824" i="5" s="1"/>
  <c r="U824" i="5" s="1"/>
  <c r="V824" i="5" s="1"/>
  <c r="P824" i="5"/>
  <c r="AE824" i="5" s="1"/>
  <c r="AF824" i="5" s="1"/>
  <c r="O824" i="5"/>
  <c r="N824" i="5"/>
  <c r="AC823" i="5"/>
  <c r="AD823" i="5" s="1"/>
  <c r="AA823" i="5"/>
  <c r="AB823" i="5" s="1"/>
  <c r="Y823" i="5"/>
  <c r="Z823" i="5" s="1"/>
  <c r="W823" i="5"/>
  <c r="X823" i="5" s="1"/>
  <c r="Q823" i="5"/>
  <c r="R823" i="5" s="1"/>
  <c r="S823" i="5" s="1"/>
  <c r="T823" i="5" s="1"/>
  <c r="U823" i="5" s="1"/>
  <c r="V823" i="5" s="1"/>
  <c r="P823" i="5"/>
  <c r="AE823" i="5" s="1"/>
  <c r="AF823" i="5" s="1"/>
  <c r="O823" i="5"/>
  <c r="N823" i="5"/>
  <c r="AC822" i="5"/>
  <c r="AD822" i="5" s="1"/>
  <c r="AA822" i="5"/>
  <c r="AB822" i="5" s="1"/>
  <c r="Y822" i="5"/>
  <c r="Z822" i="5" s="1"/>
  <c r="W822" i="5"/>
  <c r="X822" i="5" s="1"/>
  <c r="Q822" i="5"/>
  <c r="R822" i="5" s="1"/>
  <c r="S822" i="5" s="1"/>
  <c r="T822" i="5" s="1"/>
  <c r="U822" i="5" s="1"/>
  <c r="V822" i="5" s="1"/>
  <c r="P822" i="5"/>
  <c r="AE822" i="5" s="1"/>
  <c r="AF822" i="5" s="1"/>
  <c r="O822" i="5"/>
  <c r="N822" i="5"/>
  <c r="AC821" i="5"/>
  <c r="AD821" i="5" s="1"/>
  <c r="AA821" i="5"/>
  <c r="AB821" i="5" s="1"/>
  <c r="Y821" i="5"/>
  <c r="Z821" i="5" s="1"/>
  <c r="W821" i="5"/>
  <c r="X821" i="5" s="1"/>
  <c r="Q821" i="5"/>
  <c r="R821" i="5" s="1"/>
  <c r="S821" i="5" s="1"/>
  <c r="T821" i="5" s="1"/>
  <c r="U821" i="5" s="1"/>
  <c r="V821" i="5" s="1"/>
  <c r="P821" i="5"/>
  <c r="AE821" i="5" s="1"/>
  <c r="AF821" i="5" s="1"/>
  <c r="O821" i="5"/>
  <c r="N821" i="5"/>
  <c r="AC820" i="5"/>
  <c r="AD820" i="5" s="1"/>
  <c r="AA820" i="5"/>
  <c r="AB820" i="5" s="1"/>
  <c r="Y820" i="5"/>
  <c r="Z820" i="5" s="1"/>
  <c r="W820" i="5"/>
  <c r="X820" i="5" s="1"/>
  <c r="Q820" i="5"/>
  <c r="R820" i="5" s="1"/>
  <c r="S820" i="5" s="1"/>
  <c r="T820" i="5" s="1"/>
  <c r="U820" i="5" s="1"/>
  <c r="V820" i="5" s="1"/>
  <c r="P820" i="5"/>
  <c r="AE820" i="5" s="1"/>
  <c r="AF820" i="5" s="1"/>
  <c r="O820" i="5"/>
  <c r="N820" i="5"/>
  <c r="AC819" i="5"/>
  <c r="AD819" i="5" s="1"/>
  <c r="AA819" i="5"/>
  <c r="AB819" i="5" s="1"/>
  <c r="Y819" i="5"/>
  <c r="Z819" i="5" s="1"/>
  <c r="W819" i="5"/>
  <c r="X819" i="5" s="1"/>
  <c r="Q819" i="5"/>
  <c r="R819" i="5" s="1"/>
  <c r="S819" i="5" s="1"/>
  <c r="T819" i="5" s="1"/>
  <c r="U819" i="5" s="1"/>
  <c r="V819" i="5" s="1"/>
  <c r="P819" i="5"/>
  <c r="AE819" i="5" s="1"/>
  <c r="AF819" i="5" s="1"/>
  <c r="O819" i="5"/>
  <c r="N819" i="5"/>
  <c r="AC818" i="5"/>
  <c r="AD818" i="5" s="1"/>
  <c r="AA818" i="5"/>
  <c r="AB818" i="5" s="1"/>
  <c r="Y818" i="5"/>
  <c r="Z818" i="5" s="1"/>
  <c r="W818" i="5"/>
  <c r="X818" i="5" s="1"/>
  <c r="Q818" i="5"/>
  <c r="R818" i="5" s="1"/>
  <c r="S818" i="5" s="1"/>
  <c r="T818" i="5" s="1"/>
  <c r="U818" i="5" s="1"/>
  <c r="V818" i="5" s="1"/>
  <c r="P818" i="5"/>
  <c r="AE818" i="5" s="1"/>
  <c r="AF818" i="5" s="1"/>
  <c r="O818" i="5"/>
  <c r="N818" i="5"/>
  <c r="AC817" i="5"/>
  <c r="AD817" i="5" s="1"/>
  <c r="AA817" i="5"/>
  <c r="AB817" i="5" s="1"/>
  <c r="Y817" i="5"/>
  <c r="Z817" i="5" s="1"/>
  <c r="W817" i="5"/>
  <c r="X817" i="5" s="1"/>
  <c r="Q817" i="5"/>
  <c r="R817" i="5" s="1"/>
  <c r="S817" i="5" s="1"/>
  <c r="T817" i="5" s="1"/>
  <c r="U817" i="5" s="1"/>
  <c r="V817" i="5" s="1"/>
  <c r="P817" i="5"/>
  <c r="AE817" i="5" s="1"/>
  <c r="AF817" i="5" s="1"/>
  <c r="O817" i="5"/>
  <c r="N817" i="5"/>
  <c r="AC816" i="5"/>
  <c r="AD816" i="5" s="1"/>
  <c r="AA816" i="5"/>
  <c r="AB816" i="5" s="1"/>
  <c r="Y816" i="5"/>
  <c r="Z816" i="5" s="1"/>
  <c r="W816" i="5"/>
  <c r="X816" i="5" s="1"/>
  <c r="Q816" i="5"/>
  <c r="R816" i="5" s="1"/>
  <c r="S816" i="5" s="1"/>
  <c r="T816" i="5" s="1"/>
  <c r="U816" i="5" s="1"/>
  <c r="V816" i="5" s="1"/>
  <c r="P816" i="5"/>
  <c r="AE816" i="5" s="1"/>
  <c r="AF816" i="5" s="1"/>
  <c r="O816" i="5"/>
  <c r="N816" i="5"/>
  <c r="AC815" i="5"/>
  <c r="AD815" i="5" s="1"/>
  <c r="AA815" i="5"/>
  <c r="AB815" i="5" s="1"/>
  <c r="Y815" i="5"/>
  <c r="Z815" i="5" s="1"/>
  <c r="W815" i="5"/>
  <c r="X815" i="5" s="1"/>
  <c r="Q815" i="5"/>
  <c r="R815" i="5" s="1"/>
  <c r="S815" i="5" s="1"/>
  <c r="T815" i="5" s="1"/>
  <c r="U815" i="5" s="1"/>
  <c r="V815" i="5" s="1"/>
  <c r="P815" i="5"/>
  <c r="AE815" i="5" s="1"/>
  <c r="AF815" i="5" s="1"/>
  <c r="O815" i="5"/>
  <c r="N815" i="5"/>
  <c r="AC814" i="5"/>
  <c r="AD814" i="5" s="1"/>
  <c r="AA814" i="5"/>
  <c r="AB814" i="5" s="1"/>
  <c r="Y814" i="5"/>
  <c r="Z814" i="5" s="1"/>
  <c r="W814" i="5"/>
  <c r="X814" i="5" s="1"/>
  <c r="Q814" i="5"/>
  <c r="R814" i="5" s="1"/>
  <c r="S814" i="5" s="1"/>
  <c r="T814" i="5" s="1"/>
  <c r="U814" i="5" s="1"/>
  <c r="V814" i="5" s="1"/>
  <c r="P814" i="5"/>
  <c r="AE814" i="5" s="1"/>
  <c r="AF814" i="5" s="1"/>
  <c r="O814" i="5"/>
  <c r="N814" i="5"/>
  <c r="AC813" i="5"/>
  <c r="AD813" i="5" s="1"/>
  <c r="AA813" i="5"/>
  <c r="AB813" i="5" s="1"/>
  <c r="Y813" i="5"/>
  <c r="Z813" i="5" s="1"/>
  <c r="W813" i="5"/>
  <c r="X813" i="5" s="1"/>
  <c r="Q813" i="5"/>
  <c r="R813" i="5" s="1"/>
  <c r="S813" i="5" s="1"/>
  <c r="T813" i="5" s="1"/>
  <c r="U813" i="5" s="1"/>
  <c r="V813" i="5" s="1"/>
  <c r="P813" i="5"/>
  <c r="AE813" i="5" s="1"/>
  <c r="AF813" i="5" s="1"/>
  <c r="O813" i="5"/>
  <c r="N813" i="5"/>
  <c r="AC812" i="5"/>
  <c r="AD812" i="5" s="1"/>
  <c r="AA812" i="5"/>
  <c r="AB812" i="5" s="1"/>
  <c r="Y812" i="5"/>
  <c r="Z812" i="5" s="1"/>
  <c r="W812" i="5"/>
  <c r="X812" i="5" s="1"/>
  <c r="Q812" i="5"/>
  <c r="R812" i="5" s="1"/>
  <c r="S812" i="5" s="1"/>
  <c r="T812" i="5" s="1"/>
  <c r="U812" i="5" s="1"/>
  <c r="V812" i="5" s="1"/>
  <c r="P812" i="5"/>
  <c r="AE812" i="5" s="1"/>
  <c r="AF812" i="5" s="1"/>
  <c r="O812" i="5"/>
  <c r="N812" i="5"/>
  <c r="AC811" i="5"/>
  <c r="AD811" i="5" s="1"/>
  <c r="AA811" i="5"/>
  <c r="AB811" i="5" s="1"/>
  <c r="Y811" i="5"/>
  <c r="Z811" i="5" s="1"/>
  <c r="W811" i="5"/>
  <c r="X811" i="5" s="1"/>
  <c r="Q811" i="5"/>
  <c r="R811" i="5" s="1"/>
  <c r="S811" i="5" s="1"/>
  <c r="T811" i="5" s="1"/>
  <c r="U811" i="5" s="1"/>
  <c r="V811" i="5" s="1"/>
  <c r="P811" i="5"/>
  <c r="AE811" i="5" s="1"/>
  <c r="AF811" i="5" s="1"/>
  <c r="O811" i="5"/>
  <c r="N811" i="5"/>
  <c r="AC810" i="5"/>
  <c r="AD810" i="5" s="1"/>
  <c r="AA810" i="5"/>
  <c r="AB810" i="5" s="1"/>
  <c r="Y810" i="5"/>
  <c r="Z810" i="5" s="1"/>
  <c r="W810" i="5"/>
  <c r="X810" i="5" s="1"/>
  <c r="Q810" i="5"/>
  <c r="R810" i="5" s="1"/>
  <c r="S810" i="5" s="1"/>
  <c r="T810" i="5" s="1"/>
  <c r="U810" i="5" s="1"/>
  <c r="V810" i="5" s="1"/>
  <c r="P810" i="5"/>
  <c r="AE810" i="5" s="1"/>
  <c r="AF810" i="5" s="1"/>
  <c r="O810" i="5"/>
  <c r="N810" i="5"/>
  <c r="AC809" i="5"/>
  <c r="AD809" i="5" s="1"/>
  <c r="AA809" i="5"/>
  <c r="AB809" i="5" s="1"/>
  <c r="Y809" i="5"/>
  <c r="Z809" i="5" s="1"/>
  <c r="W809" i="5"/>
  <c r="X809" i="5" s="1"/>
  <c r="Q809" i="5"/>
  <c r="R809" i="5" s="1"/>
  <c r="S809" i="5" s="1"/>
  <c r="T809" i="5" s="1"/>
  <c r="U809" i="5" s="1"/>
  <c r="V809" i="5" s="1"/>
  <c r="P809" i="5"/>
  <c r="AE809" i="5" s="1"/>
  <c r="AF809" i="5" s="1"/>
  <c r="O809" i="5"/>
  <c r="N809" i="5"/>
  <c r="AC808" i="5"/>
  <c r="AD808" i="5" s="1"/>
  <c r="AA808" i="5"/>
  <c r="AB808" i="5" s="1"/>
  <c r="Y808" i="5"/>
  <c r="Z808" i="5" s="1"/>
  <c r="W808" i="5"/>
  <c r="X808" i="5" s="1"/>
  <c r="Q808" i="5"/>
  <c r="R808" i="5" s="1"/>
  <c r="S808" i="5" s="1"/>
  <c r="T808" i="5" s="1"/>
  <c r="U808" i="5" s="1"/>
  <c r="V808" i="5" s="1"/>
  <c r="P808" i="5"/>
  <c r="AE808" i="5" s="1"/>
  <c r="AF808" i="5" s="1"/>
  <c r="O808" i="5"/>
  <c r="N808" i="5"/>
  <c r="AC807" i="5"/>
  <c r="AD807" i="5" s="1"/>
  <c r="AA807" i="5"/>
  <c r="AB807" i="5" s="1"/>
  <c r="Y807" i="5"/>
  <c r="Z807" i="5" s="1"/>
  <c r="W807" i="5"/>
  <c r="X807" i="5" s="1"/>
  <c r="Q807" i="5"/>
  <c r="R807" i="5" s="1"/>
  <c r="S807" i="5" s="1"/>
  <c r="T807" i="5" s="1"/>
  <c r="U807" i="5" s="1"/>
  <c r="V807" i="5" s="1"/>
  <c r="P807" i="5"/>
  <c r="AE807" i="5" s="1"/>
  <c r="AF807" i="5" s="1"/>
  <c r="O807" i="5"/>
  <c r="N807" i="5"/>
  <c r="AC806" i="5"/>
  <c r="AD806" i="5" s="1"/>
  <c r="AA806" i="5"/>
  <c r="AB806" i="5" s="1"/>
  <c r="Y806" i="5"/>
  <c r="Z806" i="5" s="1"/>
  <c r="W806" i="5"/>
  <c r="X806" i="5" s="1"/>
  <c r="Q806" i="5"/>
  <c r="R806" i="5" s="1"/>
  <c r="S806" i="5" s="1"/>
  <c r="T806" i="5" s="1"/>
  <c r="U806" i="5" s="1"/>
  <c r="V806" i="5" s="1"/>
  <c r="P806" i="5"/>
  <c r="AE806" i="5" s="1"/>
  <c r="AF806" i="5" s="1"/>
  <c r="O806" i="5"/>
  <c r="N806" i="5"/>
  <c r="AC805" i="5"/>
  <c r="AD805" i="5" s="1"/>
  <c r="AA805" i="5"/>
  <c r="AB805" i="5" s="1"/>
  <c r="Y805" i="5"/>
  <c r="Z805" i="5" s="1"/>
  <c r="W805" i="5"/>
  <c r="X805" i="5" s="1"/>
  <c r="Q805" i="5"/>
  <c r="R805" i="5" s="1"/>
  <c r="S805" i="5" s="1"/>
  <c r="T805" i="5" s="1"/>
  <c r="U805" i="5" s="1"/>
  <c r="V805" i="5" s="1"/>
  <c r="P805" i="5"/>
  <c r="AE805" i="5" s="1"/>
  <c r="AF805" i="5" s="1"/>
  <c r="O805" i="5"/>
  <c r="N805" i="5"/>
  <c r="AC804" i="5"/>
  <c r="AD804" i="5" s="1"/>
  <c r="AA804" i="5"/>
  <c r="AB804" i="5" s="1"/>
  <c r="Y804" i="5"/>
  <c r="Z804" i="5" s="1"/>
  <c r="W804" i="5"/>
  <c r="X804" i="5" s="1"/>
  <c r="Q804" i="5"/>
  <c r="R804" i="5" s="1"/>
  <c r="S804" i="5" s="1"/>
  <c r="T804" i="5" s="1"/>
  <c r="U804" i="5" s="1"/>
  <c r="V804" i="5" s="1"/>
  <c r="P804" i="5"/>
  <c r="AE804" i="5" s="1"/>
  <c r="AF804" i="5" s="1"/>
  <c r="O804" i="5"/>
  <c r="N804" i="5"/>
  <c r="AC803" i="5"/>
  <c r="AD803" i="5" s="1"/>
  <c r="AA803" i="5"/>
  <c r="AB803" i="5" s="1"/>
  <c r="Y803" i="5"/>
  <c r="Z803" i="5" s="1"/>
  <c r="W803" i="5"/>
  <c r="X803" i="5" s="1"/>
  <c r="Q803" i="5"/>
  <c r="R803" i="5" s="1"/>
  <c r="S803" i="5" s="1"/>
  <c r="T803" i="5" s="1"/>
  <c r="U803" i="5" s="1"/>
  <c r="V803" i="5" s="1"/>
  <c r="P803" i="5"/>
  <c r="AE803" i="5" s="1"/>
  <c r="AF803" i="5" s="1"/>
  <c r="O803" i="5"/>
  <c r="N803" i="5"/>
  <c r="AC802" i="5"/>
  <c r="AD802" i="5" s="1"/>
  <c r="AA802" i="5"/>
  <c r="AB802" i="5" s="1"/>
  <c r="Y802" i="5"/>
  <c r="Z802" i="5" s="1"/>
  <c r="W802" i="5"/>
  <c r="X802" i="5" s="1"/>
  <c r="Q802" i="5"/>
  <c r="R802" i="5" s="1"/>
  <c r="S802" i="5" s="1"/>
  <c r="T802" i="5" s="1"/>
  <c r="U802" i="5" s="1"/>
  <c r="V802" i="5" s="1"/>
  <c r="P802" i="5"/>
  <c r="AE802" i="5" s="1"/>
  <c r="AF802" i="5" s="1"/>
  <c r="O802" i="5"/>
  <c r="N802" i="5"/>
  <c r="AC801" i="5"/>
  <c r="AD801" i="5" s="1"/>
  <c r="AA801" i="5"/>
  <c r="AB801" i="5" s="1"/>
  <c r="Y801" i="5"/>
  <c r="Z801" i="5" s="1"/>
  <c r="W801" i="5"/>
  <c r="X801" i="5" s="1"/>
  <c r="Q801" i="5"/>
  <c r="R801" i="5" s="1"/>
  <c r="S801" i="5" s="1"/>
  <c r="T801" i="5" s="1"/>
  <c r="U801" i="5" s="1"/>
  <c r="V801" i="5" s="1"/>
  <c r="P801" i="5"/>
  <c r="AE801" i="5" s="1"/>
  <c r="AF801" i="5" s="1"/>
  <c r="O801" i="5"/>
  <c r="N801" i="5"/>
  <c r="AC800" i="5"/>
  <c r="AD800" i="5" s="1"/>
  <c r="AA800" i="5"/>
  <c r="AB800" i="5" s="1"/>
  <c r="Y800" i="5"/>
  <c r="Z800" i="5" s="1"/>
  <c r="W800" i="5"/>
  <c r="X800" i="5" s="1"/>
  <c r="Q800" i="5"/>
  <c r="R800" i="5" s="1"/>
  <c r="S800" i="5" s="1"/>
  <c r="T800" i="5" s="1"/>
  <c r="U800" i="5" s="1"/>
  <c r="V800" i="5" s="1"/>
  <c r="P800" i="5"/>
  <c r="AE800" i="5" s="1"/>
  <c r="AF800" i="5" s="1"/>
  <c r="O800" i="5"/>
  <c r="N800" i="5"/>
  <c r="AC799" i="5"/>
  <c r="AD799" i="5" s="1"/>
  <c r="AA799" i="5"/>
  <c r="AB799" i="5" s="1"/>
  <c r="Y799" i="5"/>
  <c r="Z799" i="5" s="1"/>
  <c r="W799" i="5"/>
  <c r="X799" i="5" s="1"/>
  <c r="Q799" i="5"/>
  <c r="R799" i="5" s="1"/>
  <c r="S799" i="5" s="1"/>
  <c r="T799" i="5" s="1"/>
  <c r="U799" i="5" s="1"/>
  <c r="V799" i="5" s="1"/>
  <c r="P799" i="5"/>
  <c r="AE799" i="5" s="1"/>
  <c r="AF799" i="5" s="1"/>
  <c r="O799" i="5"/>
  <c r="N799" i="5"/>
  <c r="AC798" i="5"/>
  <c r="AD798" i="5" s="1"/>
  <c r="AA798" i="5"/>
  <c r="AB798" i="5" s="1"/>
  <c r="Y798" i="5"/>
  <c r="Z798" i="5" s="1"/>
  <c r="W798" i="5"/>
  <c r="X798" i="5" s="1"/>
  <c r="Q798" i="5"/>
  <c r="R798" i="5" s="1"/>
  <c r="S798" i="5" s="1"/>
  <c r="T798" i="5" s="1"/>
  <c r="U798" i="5" s="1"/>
  <c r="V798" i="5" s="1"/>
  <c r="P798" i="5"/>
  <c r="AE798" i="5" s="1"/>
  <c r="AF798" i="5" s="1"/>
  <c r="O798" i="5"/>
  <c r="N798" i="5"/>
  <c r="AC797" i="5"/>
  <c r="AD797" i="5" s="1"/>
  <c r="AA797" i="5"/>
  <c r="AB797" i="5" s="1"/>
  <c r="Y797" i="5"/>
  <c r="Z797" i="5" s="1"/>
  <c r="W797" i="5"/>
  <c r="X797" i="5" s="1"/>
  <c r="Q797" i="5"/>
  <c r="R797" i="5" s="1"/>
  <c r="S797" i="5" s="1"/>
  <c r="T797" i="5" s="1"/>
  <c r="U797" i="5" s="1"/>
  <c r="V797" i="5" s="1"/>
  <c r="P797" i="5"/>
  <c r="AE797" i="5" s="1"/>
  <c r="AF797" i="5" s="1"/>
  <c r="O797" i="5"/>
  <c r="N797" i="5"/>
  <c r="AC796" i="5"/>
  <c r="AD796" i="5" s="1"/>
  <c r="AA796" i="5"/>
  <c r="AB796" i="5" s="1"/>
  <c r="Y796" i="5"/>
  <c r="Z796" i="5" s="1"/>
  <c r="W796" i="5"/>
  <c r="X796" i="5" s="1"/>
  <c r="Q796" i="5"/>
  <c r="R796" i="5" s="1"/>
  <c r="S796" i="5" s="1"/>
  <c r="T796" i="5" s="1"/>
  <c r="U796" i="5" s="1"/>
  <c r="V796" i="5" s="1"/>
  <c r="P796" i="5"/>
  <c r="AE796" i="5" s="1"/>
  <c r="AF796" i="5" s="1"/>
  <c r="O796" i="5"/>
  <c r="N796" i="5"/>
  <c r="AC795" i="5"/>
  <c r="AD795" i="5" s="1"/>
  <c r="AA795" i="5"/>
  <c r="AB795" i="5" s="1"/>
  <c r="Y795" i="5"/>
  <c r="Z795" i="5" s="1"/>
  <c r="W795" i="5"/>
  <c r="X795" i="5" s="1"/>
  <c r="Q795" i="5"/>
  <c r="R795" i="5" s="1"/>
  <c r="S795" i="5" s="1"/>
  <c r="T795" i="5" s="1"/>
  <c r="U795" i="5" s="1"/>
  <c r="V795" i="5" s="1"/>
  <c r="P795" i="5"/>
  <c r="AE795" i="5" s="1"/>
  <c r="AF795" i="5" s="1"/>
  <c r="O795" i="5"/>
  <c r="N795" i="5"/>
  <c r="AC794" i="5"/>
  <c r="AD794" i="5" s="1"/>
  <c r="AA794" i="5"/>
  <c r="AB794" i="5" s="1"/>
  <c r="Y794" i="5"/>
  <c r="Z794" i="5" s="1"/>
  <c r="W794" i="5"/>
  <c r="X794" i="5" s="1"/>
  <c r="Q794" i="5"/>
  <c r="R794" i="5" s="1"/>
  <c r="S794" i="5" s="1"/>
  <c r="T794" i="5" s="1"/>
  <c r="U794" i="5" s="1"/>
  <c r="V794" i="5" s="1"/>
  <c r="P794" i="5"/>
  <c r="AE794" i="5" s="1"/>
  <c r="AF794" i="5" s="1"/>
  <c r="O794" i="5"/>
  <c r="N794" i="5"/>
  <c r="AC793" i="5"/>
  <c r="AD793" i="5" s="1"/>
  <c r="AA793" i="5"/>
  <c r="AB793" i="5" s="1"/>
  <c r="Y793" i="5"/>
  <c r="Z793" i="5" s="1"/>
  <c r="W793" i="5"/>
  <c r="X793" i="5" s="1"/>
  <c r="Q793" i="5"/>
  <c r="R793" i="5" s="1"/>
  <c r="S793" i="5" s="1"/>
  <c r="T793" i="5" s="1"/>
  <c r="U793" i="5" s="1"/>
  <c r="V793" i="5" s="1"/>
  <c r="P793" i="5"/>
  <c r="AE793" i="5" s="1"/>
  <c r="AF793" i="5" s="1"/>
  <c r="O793" i="5"/>
  <c r="N793" i="5"/>
  <c r="AC792" i="5"/>
  <c r="AD792" i="5" s="1"/>
  <c r="AA792" i="5"/>
  <c r="AB792" i="5" s="1"/>
  <c r="Y792" i="5"/>
  <c r="Z792" i="5" s="1"/>
  <c r="W792" i="5"/>
  <c r="X792" i="5" s="1"/>
  <c r="Q792" i="5"/>
  <c r="R792" i="5" s="1"/>
  <c r="S792" i="5" s="1"/>
  <c r="T792" i="5" s="1"/>
  <c r="U792" i="5" s="1"/>
  <c r="V792" i="5" s="1"/>
  <c r="P792" i="5"/>
  <c r="AE792" i="5" s="1"/>
  <c r="AF792" i="5" s="1"/>
  <c r="O792" i="5"/>
  <c r="N792" i="5"/>
  <c r="AC791" i="5"/>
  <c r="AD791" i="5" s="1"/>
  <c r="AA791" i="5"/>
  <c r="AB791" i="5" s="1"/>
  <c r="Y791" i="5"/>
  <c r="Z791" i="5" s="1"/>
  <c r="W791" i="5"/>
  <c r="X791" i="5" s="1"/>
  <c r="Q791" i="5"/>
  <c r="R791" i="5" s="1"/>
  <c r="S791" i="5" s="1"/>
  <c r="T791" i="5" s="1"/>
  <c r="U791" i="5" s="1"/>
  <c r="V791" i="5" s="1"/>
  <c r="P791" i="5"/>
  <c r="AE791" i="5" s="1"/>
  <c r="AF791" i="5" s="1"/>
  <c r="O791" i="5"/>
  <c r="N791" i="5"/>
  <c r="AC790" i="5"/>
  <c r="AD790" i="5" s="1"/>
  <c r="AA790" i="5"/>
  <c r="AB790" i="5" s="1"/>
  <c r="Y790" i="5"/>
  <c r="Z790" i="5" s="1"/>
  <c r="W790" i="5"/>
  <c r="X790" i="5" s="1"/>
  <c r="Q790" i="5"/>
  <c r="R790" i="5" s="1"/>
  <c r="S790" i="5" s="1"/>
  <c r="T790" i="5" s="1"/>
  <c r="U790" i="5" s="1"/>
  <c r="V790" i="5" s="1"/>
  <c r="P790" i="5"/>
  <c r="AE790" i="5" s="1"/>
  <c r="AF790" i="5" s="1"/>
  <c r="O790" i="5"/>
  <c r="N790" i="5"/>
  <c r="AC789" i="5"/>
  <c r="AD789" i="5" s="1"/>
  <c r="AA789" i="5"/>
  <c r="AB789" i="5" s="1"/>
  <c r="Y789" i="5"/>
  <c r="Z789" i="5" s="1"/>
  <c r="W789" i="5"/>
  <c r="X789" i="5" s="1"/>
  <c r="Q789" i="5"/>
  <c r="R789" i="5" s="1"/>
  <c r="S789" i="5" s="1"/>
  <c r="T789" i="5" s="1"/>
  <c r="U789" i="5" s="1"/>
  <c r="V789" i="5" s="1"/>
  <c r="P789" i="5"/>
  <c r="AE789" i="5" s="1"/>
  <c r="AF789" i="5" s="1"/>
  <c r="O789" i="5"/>
  <c r="N789" i="5"/>
  <c r="AC788" i="5"/>
  <c r="AD788" i="5" s="1"/>
  <c r="AA788" i="5"/>
  <c r="AB788" i="5" s="1"/>
  <c r="Y788" i="5"/>
  <c r="Z788" i="5" s="1"/>
  <c r="W788" i="5"/>
  <c r="X788" i="5" s="1"/>
  <c r="Q788" i="5"/>
  <c r="R788" i="5" s="1"/>
  <c r="S788" i="5" s="1"/>
  <c r="T788" i="5" s="1"/>
  <c r="U788" i="5" s="1"/>
  <c r="V788" i="5" s="1"/>
  <c r="P788" i="5"/>
  <c r="AE788" i="5" s="1"/>
  <c r="AF788" i="5" s="1"/>
  <c r="O788" i="5"/>
  <c r="N788" i="5"/>
  <c r="AC787" i="5"/>
  <c r="AD787" i="5" s="1"/>
  <c r="AA787" i="5"/>
  <c r="AB787" i="5" s="1"/>
  <c r="Y787" i="5"/>
  <c r="Z787" i="5" s="1"/>
  <c r="W787" i="5"/>
  <c r="X787" i="5" s="1"/>
  <c r="Q787" i="5"/>
  <c r="R787" i="5" s="1"/>
  <c r="S787" i="5" s="1"/>
  <c r="T787" i="5" s="1"/>
  <c r="U787" i="5" s="1"/>
  <c r="V787" i="5" s="1"/>
  <c r="P787" i="5"/>
  <c r="AE787" i="5" s="1"/>
  <c r="AF787" i="5" s="1"/>
  <c r="O787" i="5"/>
  <c r="N787" i="5"/>
  <c r="AC786" i="5"/>
  <c r="AD786" i="5" s="1"/>
  <c r="AA786" i="5"/>
  <c r="AB786" i="5" s="1"/>
  <c r="Y786" i="5"/>
  <c r="Z786" i="5" s="1"/>
  <c r="W786" i="5"/>
  <c r="X786" i="5" s="1"/>
  <c r="Q786" i="5"/>
  <c r="R786" i="5" s="1"/>
  <c r="S786" i="5" s="1"/>
  <c r="T786" i="5" s="1"/>
  <c r="U786" i="5" s="1"/>
  <c r="V786" i="5" s="1"/>
  <c r="P786" i="5"/>
  <c r="AE786" i="5" s="1"/>
  <c r="AF786" i="5" s="1"/>
  <c r="O786" i="5"/>
  <c r="N786" i="5"/>
  <c r="AC785" i="5"/>
  <c r="AD785" i="5" s="1"/>
  <c r="AA785" i="5"/>
  <c r="AB785" i="5" s="1"/>
  <c r="Y785" i="5"/>
  <c r="Z785" i="5" s="1"/>
  <c r="W785" i="5"/>
  <c r="X785" i="5" s="1"/>
  <c r="Q785" i="5"/>
  <c r="R785" i="5" s="1"/>
  <c r="S785" i="5" s="1"/>
  <c r="T785" i="5" s="1"/>
  <c r="U785" i="5" s="1"/>
  <c r="V785" i="5" s="1"/>
  <c r="P785" i="5"/>
  <c r="AE785" i="5" s="1"/>
  <c r="AF785" i="5" s="1"/>
  <c r="O785" i="5"/>
  <c r="N785" i="5"/>
  <c r="AC784" i="5"/>
  <c r="AD784" i="5" s="1"/>
  <c r="AA784" i="5"/>
  <c r="AB784" i="5" s="1"/>
  <c r="Y784" i="5"/>
  <c r="Z784" i="5" s="1"/>
  <c r="W784" i="5"/>
  <c r="X784" i="5" s="1"/>
  <c r="Q784" i="5"/>
  <c r="R784" i="5" s="1"/>
  <c r="S784" i="5" s="1"/>
  <c r="T784" i="5" s="1"/>
  <c r="U784" i="5" s="1"/>
  <c r="V784" i="5" s="1"/>
  <c r="P784" i="5"/>
  <c r="AE784" i="5" s="1"/>
  <c r="AF784" i="5" s="1"/>
  <c r="O784" i="5"/>
  <c r="N784" i="5"/>
  <c r="AC783" i="5"/>
  <c r="AD783" i="5" s="1"/>
  <c r="AA783" i="5"/>
  <c r="AB783" i="5" s="1"/>
  <c r="Y783" i="5"/>
  <c r="Z783" i="5" s="1"/>
  <c r="W783" i="5"/>
  <c r="X783" i="5" s="1"/>
  <c r="Q783" i="5"/>
  <c r="R783" i="5" s="1"/>
  <c r="S783" i="5" s="1"/>
  <c r="T783" i="5" s="1"/>
  <c r="U783" i="5" s="1"/>
  <c r="V783" i="5" s="1"/>
  <c r="P783" i="5"/>
  <c r="AE783" i="5" s="1"/>
  <c r="AF783" i="5" s="1"/>
  <c r="O783" i="5"/>
  <c r="N783" i="5"/>
  <c r="AC782" i="5"/>
  <c r="AD782" i="5" s="1"/>
  <c r="AA782" i="5"/>
  <c r="AB782" i="5" s="1"/>
  <c r="Y782" i="5"/>
  <c r="Z782" i="5" s="1"/>
  <c r="W782" i="5"/>
  <c r="X782" i="5" s="1"/>
  <c r="Q782" i="5"/>
  <c r="R782" i="5" s="1"/>
  <c r="S782" i="5" s="1"/>
  <c r="T782" i="5" s="1"/>
  <c r="U782" i="5" s="1"/>
  <c r="V782" i="5" s="1"/>
  <c r="P782" i="5"/>
  <c r="AE782" i="5" s="1"/>
  <c r="AF782" i="5" s="1"/>
  <c r="O782" i="5"/>
  <c r="N782" i="5"/>
  <c r="AC781" i="5"/>
  <c r="AD781" i="5" s="1"/>
  <c r="AA781" i="5"/>
  <c r="AB781" i="5" s="1"/>
  <c r="Y781" i="5"/>
  <c r="Z781" i="5" s="1"/>
  <c r="W781" i="5"/>
  <c r="X781" i="5" s="1"/>
  <c r="Q781" i="5"/>
  <c r="R781" i="5" s="1"/>
  <c r="S781" i="5" s="1"/>
  <c r="T781" i="5" s="1"/>
  <c r="U781" i="5" s="1"/>
  <c r="V781" i="5" s="1"/>
  <c r="P781" i="5"/>
  <c r="AE781" i="5" s="1"/>
  <c r="AF781" i="5" s="1"/>
  <c r="O781" i="5"/>
  <c r="N781" i="5"/>
  <c r="AC780" i="5"/>
  <c r="AD780" i="5" s="1"/>
  <c r="AA780" i="5"/>
  <c r="AB780" i="5" s="1"/>
  <c r="Y780" i="5"/>
  <c r="Z780" i="5" s="1"/>
  <c r="W780" i="5"/>
  <c r="X780" i="5" s="1"/>
  <c r="Q780" i="5"/>
  <c r="R780" i="5" s="1"/>
  <c r="S780" i="5" s="1"/>
  <c r="T780" i="5" s="1"/>
  <c r="U780" i="5" s="1"/>
  <c r="V780" i="5" s="1"/>
  <c r="P780" i="5"/>
  <c r="AE780" i="5" s="1"/>
  <c r="AF780" i="5" s="1"/>
  <c r="O780" i="5"/>
  <c r="N780" i="5"/>
  <c r="AC779" i="5"/>
  <c r="AD779" i="5" s="1"/>
  <c r="AA779" i="5"/>
  <c r="AB779" i="5" s="1"/>
  <c r="Y779" i="5"/>
  <c r="Z779" i="5" s="1"/>
  <c r="W779" i="5"/>
  <c r="X779" i="5" s="1"/>
  <c r="Q779" i="5"/>
  <c r="R779" i="5" s="1"/>
  <c r="S779" i="5" s="1"/>
  <c r="T779" i="5" s="1"/>
  <c r="U779" i="5" s="1"/>
  <c r="V779" i="5" s="1"/>
  <c r="P779" i="5"/>
  <c r="AE779" i="5" s="1"/>
  <c r="AF779" i="5" s="1"/>
  <c r="O779" i="5"/>
  <c r="N779" i="5"/>
  <c r="AC778" i="5"/>
  <c r="AD778" i="5" s="1"/>
  <c r="AA778" i="5"/>
  <c r="AB778" i="5" s="1"/>
  <c r="Y778" i="5"/>
  <c r="Z778" i="5" s="1"/>
  <c r="W778" i="5"/>
  <c r="X778" i="5" s="1"/>
  <c r="Q778" i="5"/>
  <c r="R778" i="5" s="1"/>
  <c r="S778" i="5" s="1"/>
  <c r="T778" i="5" s="1"/>
  <c r="U778" i="5" s="1"/>
  <c r="V778" i="5" s="1"/>
  <c r="P778" i="5"/>
  <c r="AE778" i="5" s="1"/>
  <c r="AF778" i="5" s="1"/>
  <c r="O778" i="5"/>
  <c r="N778" i="5"/>
  <c r="AC777" i="5"/>
  <c r="AD777" i="5" s="1"/>
  <c r="AA777" i="5"/>
  <c r="AB777" i="5" s="1"/>
  <c r="Y777" i="5"/>
  <c r="Z777" i="5" s="1"/>
  <c r="W777" i="5"/>
  <c r="X777" i="5" s="1"/>
  <c r="Q777" i="5"/>
  <c r="R777" i="5" s="1"/>
  <c r="S777" i="5" s="1"/>
  <c r="T777" i="5" s="1"/>
  <c r="U777" i="5" s="1"/>
  <c r="V777" i="5" s="1"/>
  <c r="P777" i="5"/>
  <c r="AE777" i="5" s="1"/>
  <c r="AF777" i="5" s="1"/>
  <c r="O777" i="5"/>
  <c r="N777" i="5"/>
  <c r="AC776" i="5"/>
  <c r="AD776" i="5" s="1"/>
  <c r="AA776" i="5"/>
  <c r="AB776" i="5" s="1"/>
  <c r="Y776" i="5"/>
  <c r="Z776" i="5" s="1"/>
  <c r="W776" i="5"/>
  <c r="X776" i="5" s="1"/>
  <c r="Q776" i="5"/>
  <c r="R776" i="5" s="1"/>
  <c r="S776" i="5" s="1"/>
  <c r="T776" i="5" s="1"/>
  <c r="U776" i="5" s="1"/>
  <c r="V776" i="5" s="1"/>
  <c r="P776" i="5"/>
  <c r="AE776" i="5" s="1"/>
  <c r="AF776" i="5" s="1"/>
  <c r="O776" i="5"/>
  <c r="N776" i="5"/>
  <c r="AC775" i="5"/>
  <c r="AD775" i="5" s="1"/>
  <c r="AA775" i="5"/>
  <c r="AB775" i="5" s="1"/>
  <c r="Y775" i="5"/>
  <c r="Z775" i="5" s="1"/>
  <c r="W775" i="5"/>
  <c r="X775" i="5" s="1"/>
  <c r="Q775" i="5"/>
  <c r="R775" i="5" s="1"/>
  <c r="S775" i="5" s="1"/>
  <c r="T775" i="5" s="1"/>
  <c r="U775" i="5" s="1"/>
  <c r="V775" i="5" s="1"/>
  <c r="P775" i="5"/>
  <c r="AE775" i="5" s="1"/>
  <c r="AF775" i="5" s="1"/>
  <c r="O775" i="5"/>
  <c r="N775" i="5"/>
  <c r="AC774" i="5"/>
  <c r="AD774" i="5" s="1"/>
  <c r="AA774" i="5"/>
  <c r="AB774" i="5" s="1"/>
  <c r="Y774" i="5"/>
  <c r="Z774" i="5" s="1"/>
  <c r="W774" i="5"/>
  <c r="X774" i="5" s="1"/>
  <c r="Q774" i="5"/>
  <c r="R774" i="5" s="1"/>
  <c r="S774" i="5" s="1"/>
  <c r="T774" i="5" s="1"/>
  <c r="U774" i="5" s="1"/>
  <c r="V774" i="5" s="1"/>
  <c r="P774" i="5"/>
  <c r="AE774" i="5" s="1"/>
  <c r="AF774" i="5" s="1"/>
  <c r="O774" i="5"/>
  <c r="N774" i="5"/>
  <c r="AC773" i="5"/>
  <c r="AD773" i="5" s="1"/>
  <c r="AA773" i="5"/>
  <c r="AB773" i="5" s="1"/>
  <c r="Y773" i="5"/>
  <c r="Z773" i="5" s="1"/>
  <c r="W773" i="5"/>
  <c r="X773" i="5" s="1"/>
  <c r="Q773" i="5"/>
  <c r="R773" i="5" s="1"/>
  <c r="S773" i="5" s="1"/>
  <c r="T773" i="5" s="1"/>
  <c r="U773" i="5" s="1"/>
  <c r="V773" i="5" s="1"/>
  <c r="P773" i="5"/>
  <c r="AE773" i="5" s="1"/>
  <c r="AF773" i="5" s="1"/>
  <c r="O773" i="5"/>
  <c r="N773" i="5"/>
  <c r="AC772" i="5"/>
  <c r="AD772" i="5" s="1"/>
  <c r="AA772" i="5"/>
  <c r="AB772" i="5" s="1"/>
  <c r="Y772" i="5"/>
  <c r="Z772" i="5" s="1"/>
  <c r="W772" i="5"/>
  <c r="X772" i="5" s="1"/>
  <c r="Q772" i="5"/>
  <c r="R772" i="5" s="1"/>
  <c r="S772" i="5" s="1"/>
  <c r="T772" i="5" s="1"/>
  <c r="U772" i="5" s="1"/>
  <c r="V772" i="5" s="1"/>
  <c r="P772" i="5"/>
  <c r="AE772" i="5" s="1"/>
  <c r="AF772" i="5" s="1"/>
  <c r="O772" i="5"/>
  <c r="N772" i="5"/>
  <c r="AC771" i="5"/>
  <c r="AD771" i="5" s="1"/>
  <c r="AA771" i="5"/>
  <c r="AB771" i="5" s="1"/>
  <c r="Y771" i="5"/>
  <c r="Z771" i="5" s="1"/>
  <c r="W771" i="5"/>
  <c r="X771" i="5" s="1"/>
  <c r="Q771" i="5"/>
  <c r="R771" i="5" s="1"/>
  <c r="S771" i="5" s="1"/>
  <c r="T771" i="5" s="1"/>
  <c r="U771" i="5" s="1"/>
  <c r="V771" i="5" s="1"/>
  <c r="P771" i="5"/>
  <c r="AE771" i="5" s="1"/>
  <c r="AF771" i="5" s="1"/>
  <c r="O771" i="5"/>
  <c r="N771" i="5"/>
  <c r="AC770" i="5"/>
  <c r="AD770" i="5" s="1"/>
  <c r="AA770" i="5"/>
  <c r="AB770" i="5" s="1"/>
  <c r="Y770" i="5"/>
  <c r="Z770" i="5" s="1"/>
  <c r="W770" i="5"/>
  <c r="X770" i="5" s="1"/>
  <c r="Q770" i="5"/>
  <c r="R770" i="5" s="1"/>
  <c r="S770" i="5" s="1"/>
  <c r="T770" i="5" s="1"/>
  <c r="U770" i="5" s="1"/>
  <c r="V770" i="5" s="1"/>
  <c r="P770" i="5"/>
  <c r="AE770" i="5" s="1"/>
  <c r="AF770" i="5" s="1"/>
  <c r="O770" i="5"/>
  <c r="N770" i="5"/>
  <c r="AC769" i="5"/>
  <c r="AD769" i="5" s="1"/>
  <c r="AA769" i="5"/>
  <c r="AB769" i="5" s="1"/>
  <c r="Y769" i="5"/>
  <c r="Z769" i="5" s="1"/>
  <c r="W769" i="5"/>
  <c r="X769" i="5" s="1"/>
  <c r="Q769" i="5"/>
  <c r="R769" i="5" s="1"/>
  <c r="S769" i="5" s="1"/>
  <c r="T769" i="5" s="1"/>
  <c r="U769" i="5" s="1"/>
  <c r="V769" i="5" s="1"/>
  <c r="P769" i="5"/>
  <c r="AE769" i="5" s="1"/>
  <c r="AF769" i="5" s="1"/>
  <c r="O769" i="5"/>
  <c r="N769" i="5"/>
  <c r="AC768" i="5"/>
  <c r="AD768" i="5" s="1"/>
  <c r="AA768" i="5"/>
  <c r="AB768" i="5" s="1"/>
  <c r="Y768" i="5"/>
  <c r="Z768" i="5" s="1"/>
  <c r="W768" i="5"/>
  <c r="X768" i="5" s="1"/>
  <c r="Q768" i="5"/>
  <c r="R768" i="5" s="1"/>
  <c r="S768" i="5" s="1"/>
  <c r="T768" i="5" s="1"/>
  <c r="U768" i="5" s="1"/>
  <c r="V768" i="5" s="1"/>
  <c r="P768" i="5"/>
  <c r="AE768" i="5" s="1"/>
  <c r="AF768" i="5" s="1"/>
  <c r="O768" i="5"/>
  <c r="N768" i="5"/>
  <c r="AC767" i="5"/>
  <c r="AD767" i="5" s="1"/>
  <c r="AA767" i="5"/>
  <c r="AB767" i="5" s="1"/>
  <c r="Y767" i="5"/>
  <c r="Z767" i="5" s="1"/>
  <c r="W767" i="5"/>
  <c r="X767" i="5" s="1"/>
  <c r="Q767" i="5"/>
  <c r="R767" i="5" s="1"/>
  <c r="S767" i="5" s="1"/>
  <c r="T767" i="5" s="1"/>
  <c r="U767" i="5" s="1"/>
  <c r="V767" i="5" s="1"/>
  <c r="P767" i="5"/>
  <c r="AE767" i="5" s="1"/>
  <c r="AF767" i="5" s="1"/>
  <c r="O767" i="5"/>
  <c r="N767" i="5"/>
  <c r="AC766" i="5"/>
  <c r="AD766" i="5" s="1"/>
  <c r="AA766" i="5"/>
  <c r="AB766" i="5" s="1"/>
  <c r="Y766" i="5"/>
  <c r="Z766" i="5" s="1"/>
  <c r="W766" i="5"/>
  <c r="X766" i="5" s="1"/>
  <c r="Q766" i="5"/>
  <c r="R766" i="5" s="1"/>
  <c r="S766" i="5" s="1"/>
  <c r="T766" i="5" s="1"/>
  <c r="U766" i="5" s="1"/>
  <c r="V766" i="5" s="1"/>
  <c r="P766" i="5"/>
  <c r="AE766" i="5" s="1"/>
  <c r="AF766" i="5" s="1"/>
  <c r="O766" i="5"/>
  <c r="N766" i="5"/>
  <c r="AC765" i="5"/>
  <c r="AD765" i="5" s="1"/>
  <c r="AA765" i="5"/>
  <c r="AB765" i="5" s="1"/>
  <c r="Y765" i="5"/>
  <c r="Z765" i="5" s="1"/>
  <c r="W765" i="5"/>
  <c r="X765" i="5" s="1"/>
  <c r="Q765" i="5"/>
  <c r="R765" i="5" s="1"/>
  <c r="S765" i="5" s="1"/>
  <c r="T765" i="5" s="1"/>
  <c r="U765" i="5" s="1"/>
  <c r="V765" i="5" s="1"/>
  <c r="P765" i="5"/>
  <c r="AE765" i="5" s="1"/>
  <c r="AF765" i="5" s="1"/>
  <c r="O765" i="5"/>
  <c r="N765" i="5"/>
  <c r="AC764" i="5"/>
  <c r="AD764" i="5" s="1"/>
  <c r="AA764" i="5"/>
  <c r="AB764" i="5" s="1"/>
  <c r="Y764" i="5"/>
  <c r="Z764" i="5" s="1"/>
  <c r="W764" i="5"/>
  <c r="X764" i="5" s="1"/>
  <c r="Q764" i="5"/>
  <c r="R764" i="5" s="1"/>
  <c r="S764" i="5" s="1"/>
  <c r="T764" i="5" s="1"/>
  <c r="U764" i="5" s="1"/>
  <c r="V764" i="5" s="1"/>
  <c r="P764" i="5"/>
  <c r="AE764" i="5" s="1"/>
  <c r="AF764" i="5" s="1"/>
  <c r="O764" i="5"/>
  <c r="N764" i="5"/>
  <c r="AC763" i="5"/>
  <c r="AD763" i="5" s="1"/>
  <c r="AA763" i="5"/>
  <c r="AB763" i="5" s="1"/>
  <c r="Y763" i="5"/>
  <c r="Z763" i="5" s="1"/>
  <c r="W763" i="5"/>
  <c r="X763" i="5" s="1"/>
  <c r="Q763" i="5"/>
  <c r="R763" i="5" s="1"/>
  <c r="S763" i="5" s="1"/>
  <c r="T763" i="5" s="1"/>
  <c r="U763" i="5" s="1"/>
  <c r="V763" i="5" s="1"/>
  <c r="P763" i="5"/>
  <c r="AE763" i="5" s="1"/>
  <c r="AF763" i="5" s="1"/>
  <c r="O763" i="5"/>
  <c r="N763" i="5"/>
  <c r="AC762" i="5"/>
  <c r="AD762" i="5" s="1"/>
  <c r="AA762" i="5"/>
  <c r="AB762" i="5" s="1"/>
  <c r="Y762" i="5"/>
  <c r="Z762" i="5" s="1"/>
  <c r="W762" i="5"/>
  <c r="X762" i="5" s="1"/>
  <c r="Q762" i="5"/>
  <c r="R762" i="5" s="1"/>
  <c r="S762" i="5" s="1"/>
  <c r="T762" i="5" s="1"/>
  <c r="U762" i="5" s="1"/>
  <c r="V762" i="5" s="1"/>
  <c r="P762" i="5"/>
  <c r="AE762" i="5" s="1"/>
  <c r="AF762" i="5" s="1"/>
  <c r="O762" i="5"/>
  <c r="N762" i="5"/>
  <c r="AC761" i="5"/>
  <c r="AD761" i="5" s="1"/>
  <c r="AA761" i="5"/>
  <c r="AB761" i="5" s="1"/>
  <c r="Y761" i="5"/>
  <c r="Z761" i="5" s="1"/>
  <c r="W761" i="5"/>
  <c r="X761" i="5" s="1"/>
  <c r="Q761" i="5"/>
  <c r="R761" i="5" s="1"/>
  <c r="S761" i="5" s="1"/>
  <c r="T761" i="5" s="1"/>
  <c r="U761" i="5" s="1"/>
  <c r="V761" i="5" s="1"/>
  <c r="P761" i="5"/>
  <c r="AE761" i="5" s="1"/>
  <c r="AF761" i="5" s="1"/>
  <c r="O761" i="5"/>
  <c r="N761" i="5"/>
  <c r="AC760" i="5"/>
  <c r="AD760" i="5" s="1"/>
  <c r="AA760" i="5"/>
  <c r="AB760" i="5" s="1"/>
  <c r="Y760" i="5"/>
  <c r="Z760" i="5" s="1"/>
  <c r="W760" i="5"/>
  <c r="X760" i="5" s="1"/>
  <c r="Q760" i="5"/>
  <c r="R760" i="5" s="1"/>
  <c r="S760" i="5" s="1"/>
  <c r="T760" i="5" s="1"/>
  <c r="U760" i="5" s="1"/>
  <c r="V760" i="5" s="1"/>
  <c r="P760" i="5"/>
  <c r="AE760" i="5" s="1"/>
  <c r="AF760" i="5" s="1"/>
  <c r="O760" i="5"/>
  <c r="N760" i="5"/>
  <c r="AC759" i="5"/>
  <c r="AD759" i="5" s="1"/>
  <c r="AA759" i="5"/>
  <c r="AB759" i="5" s="1"/>
  <c r="Y759" i="5"/>
  <c r="Z759" i="5" s="1"/>
  <c r="W759" i="5"/>
  <c r="X759" i="5" s="1"/>
  <c r="Q759" i="5"/>
  <c r="R759" i="5" s="1"/>
  <c r="S759" i="5" s="1"/>
  <c r="T759" i="5" s="1"/>
  <c r="U759" i="5" s="1"/>
  <c r="V759" i="5" s="1"/>
  <c r="P759" i="5"/>
  <c r="AE759" i="5" s="1"/>
  <c r="AF759" i="5" s="1"/>
  <c r="O759" i="5"/>
  <c r="N759" i="5"/>
  <c r="AC758" i="5"/>
  <c r="AD758" i="5" s="1"/>
  <c r="AA758" i="5"/>
  <c r="AB758" i="5" s="1"/>
  <c r="Y758" i="5"/>
  <c r="Z758" i="5" s="1"/>
  <c r="W758" i="5"/>
  <c r="X758" i="5" s="1"/>
  <c r="Q758" i="5"/>
  <c r="R758" i="5" s="1"/>
  <c r="S758" i="5" s="1"/>
  <c r="T758" i="5" s="1"/>
  <c r="U758" i="5" s="1"/>
  <c r="V758" i="5" s="1"/>
  <c r="P758" i="5"/>
  <c r="AE758" i="5" s="1"/>
  <c r="AF758" i="5" s="1"/>
  <c r="O758" i="5"/>
  <c r="N758" i="5"/>
  <c r="AC757" i="5"/>
  <c r="AD757" i="5" s="1"/>
  <c r="AA757" i="5"/>
  <c r="AB757" i="5" s="1"/>
  <c r="Y757" i="5"/>
  <c r="Z757" i="5" s="1"/>
  <c r="W757" i="5"/>
  <c r="X757" i="5" s="1"/>
  <c r="Q757" i="5"/>
  <c r="R757" i="5" s="1"/>
  <c r="S757" i="5" s="1"/>
  <c r="T757" i="5" s="1"/>
  <c r="U757" i="5" s="1"/>
  <c r="V757" i="5" s="1"/>
  <c r="P757" i="5"/>
  <c r="AE757" i="5" s="1"/>
  <c r="AF757" i="5" s="1"/>
  <c r="O757" i="5"/>
  <c r="N757" i="5"/>
  <c r="AC756" i="5"/>
  <c r="AD756" i="5" s="1"/>
  <c r="AA756" i="5"/>
  <c r="AB756" i="5" s="1"/>
  <c r="Y756" i="5"/>
  <c r="Z756" i="5" s="1"/>
  <c r="W756" i="5"/>
  <c r="X756" i="5" s="1"/>
  <c r="Q756" i="5"/>
  <c r="R756" i="5" s="1"/>
  <c r="S756" i="5" s="1"/>
  <c r="T756" i="5" s="1"/>
  <c r="U756" i="5" s="1"/>
  <c r="V756" i="5" s="1"/>
  <c r="P756" i="5"/>
  <c r="AE756" i="5" s="1"/>
  <c r="AF756" i="5" s="1"/>
  <c r="O756" i="5"/>
  <c r="N756" i="5"/>
  <c r="AC755" i="5"/>
  <c r="AD755" i="5" s="1"/>
  <c r="AA755" i="5"/>
  <c r="AB755" i="5" s="1"/>
  <c r="Y755" i="5"/>
  <c r="Z755" i="5" s="1"/>
  <c r="W755" i="5"/>
  <c r="X755" i="5" s="1"/>
  <c r="Q755" i="5"/>
  <c r="R755" i="5" s="1"/>
  <c r="S755" i="5" s="1"/>
  <c r="T755" i="5" s="1"/>
  <c r="U755" i="5" s="1"/>
  <c r="V755" i="5" s="1"/>
  <c r="P755" i="5"/>
  <c r="AE755" i="5" s="1"/>
  <c r="AF755" i="5" s="1"/>
  <c r="O755" i="5"/>
  <c r="N755" i="5"/>
  <c r="AC754" i="5"/>
  <c r="AD754" i="5" s="1"/>
  <c r="AA754" i="5"/>
  <c r="AB754" i="5" s="1"/>
  <c r="Y754" i="5"/>
  <c r="Z754" i="5" s="1"/>
  <c r="W754" i="5"/>
  <c r="X754" i="5" s="1"/>
  <c r="Q754" i="5"/>
  <c r="R754" i="5" s="1"/>
  <c r="S754" i="5" s="1"/>
  <c r="T754" i="5" s="1"/>
  <c r="U754" i="5" s="1"/>
  <c r="V754" i="5" s="1"/>
  <c r="P754" i="5"/>
  <c r="AE754" i="5" s="1"/>
  <c r="AF754" i="5" s="1"/>
  <c r="O754" i="5"/>
  <c r="N754" i="5"/>
  <c r="AC753" i="5"/>
  <c r="AD753" i="5" s="1"/>
  <c r="AA753" i="5"/>
  <c r="AB753" i="5" s="1"/>
  <c r="Y753" i="5"/>
  <c r="Z753" i="5" s="1"/>
  <c r="W753" i="5"/>
  <c r="X753" i="5" s="1"/>
  <c r="Q753" i="5"/>
  <c r="R753" i="5" s="1"/>
  <c r="S753" i="5" s="1"/>
  <c r="T753" i="5" s="1"/>
  <c r="U753" i="5" s="1"/>
  <c r="V753" i="5" s="1"/>
  <c r="P753" i="5"/>
  <c r="AE753" i="5" s="1"/>
  <c r="AF753" i="5" s="1"/>
  <c r="O753" i="5"/>
  <c r="N753" i="5"/>
  <c r="AC752" i="5"/>
  <c r="AD752" i="5" s="1"/>
  <c r="AA752" i="5"/>
  <c r="AB752" i="5" s="1"/>
  <c r="Y752" i="5"/>
  <c r="Z752" i="5" s="1"/>
  <c r="W752" i="5"/>
  <c r="X752" i="5" s="1"/>
  <c r="Q752" i="5"/>
  <c r="R752" i="5" s="1"/>
  <c r="S752" i="5" s="1"/>
  <c r="T752" i="5" s="1"/>
  <c r="U752" i="5" s="1"/>
  <c r="V752" i="5" s="1"/>
  <c r="P752" i="5"/>
  <c r="AE752" i="5" s="1"/>
  <c r="AF752" i="5" s="1"/>
  <c r="O752" i="5"/>
  <c r="N752" i="5"/>
  <c r="AC751" i="5"/>
  <c r="AD751" i="5" s="1"/>
  <c r="AA751" i="5"/>
  <c r="AB751" i="5" s="1"/>
  <c r="Y751" i="5"/>
  <c r="Z751" i="5" s="1"/>
  <c r="W751" i="5"/>
  <c r="X751" i="5" s="1"/>
  <c r="Q751" i="5"/>
  <c r="R751" i="5" s="1"/>
  <c r="S751" i="5" s="1"/>
  <c r="T751" i="5" s="1"/>
  <c r="U751" i="5" s="1"/>
  <c r="V751" i="5" s="1"/>
  <c r="P751" i="5"/>
  <c r="AE751" i="5" s="1"/>
  <c r="AF751" i="5" s="1"/>
  <c r="O751" i="5"/>
  <c r="N751" i="5"/>
  <c r="AC750" i="5"/>
  <c r="AD750" i="5" s="1"/>
  <c r="AA750" i="5"/>
  <c r="AB750" i="5" s="1"/>
  <c r="Y750" i="5"/>
  <c r="Z750" i="5" s="1"/>
  <c r="W750" i="5"/>
  <c r="X750" i="5" s="1"/>
  <c r="Q750" i="5"/>
  <c r="R750" i="5" s="1"/>
  <c r="S750" i="5" s="1"/>
  <c r="T750" i="5" s="1"/>
  <c r="U750" i="5" s="1"/>
  <c r="V750" i="5" s="1"/>
  <c r="P750" i="5"/>
  <c r="AE750" i="5" s="1"/>
  <c r="AF750" i="5" s="1"/>
  <c r="O750" i="5"/>
  <c r="N750" i="5"/>
  <c r="AC749" i="5"/>
  <c r="AD749" i="5" s="1"/>
  <c r="AA749" i="5"/>
  <c r="AB749" i="5" s="1"/>
  <c r="Y749" i="5"/>
  <c r="Z749" i="5" s="1"/>
  <c r="W749" i="5"/>
  <c r="X749" i="5" s="1"/>
  <c r="Q749" i="5"/>
  <c r="R749" i="5" s="1"/>
  <c r="S749" i="5" s="1"/>
  <c r="T749" i="5" s="1"/>
  <c r="U749" i="5" s="1"/>
  <c r="V749" i="5" s="1"/>
  <c r="P749" i="5"/>
  <c r="AE749" i="5" s="1"/>
  <c r="AF749" i="5" s="1"/>
  <c r="O749" i="5"/>
  <c r="N749" i="5"/>
  <c r="AC748" i="5"/>
  <c r="AD748" i="5" s="1"/>
  <c r="AA748" i="5"/>
  <c r="AB748" i="5" s="1"/>
  <c r="Y748" i="5"/>
  <c r="Z748" i="5" s="1"/>
  <c r="W748" i="5"/>
  <c r="X748" i="5" s="1"/>
  <c r="Q748" i="5"/>
  <c r="R748" i="5" s="1"/>
  <c r="S748" i="5" s="1"/>
  <c r="T748" i="5" s="1"/>
  <c r="U748" i="5" s="1"/>
  <c r="V748" i="5" s="1"/>
  <c r="P748" i="5"/>
  <c r="AE748" i="5" s="1"/>
  <c r="AF748" i="5" s="1"/>
  <c r="O748" i="5"/>
  <c r="N748" i="5"/>
  <c r="AC747" i="5"/>
  <c r="AD747" i="5" s="1"/>
  <c r="AA747" i="5"/>
  <c r="AB747" i="5" s="1"/>
  <c r="Y747" i="5"/>
  <c r="Z747" i="5" s="1"/>
  <c r="W747" i="5"/>
  <c r="X747" i="5" s="1"/>
  <c r="Q747" i="5"/>
  <c r="R747" i="5" s="1"/>
  <c r="S747" i="5" s="1"/>
  <c r="T747" i="5" s="1"/>
  <c r="U747" i="5" s="1"/>
  <c r="V747" i="5" s="1"/>
  <c r="P747" i="5"/>
  <c r="AE747" i="5" s="1"/>
  <c r="AF747" i="5" s="1"/>
  <c r="O747" i="5"/>
  <c r="N747" i="5"/>
  <c r="AC746" i="5"/>
  <c r="AD746" i="5" s="1"/>
  <c r="AA746" i="5"/>
  <c r="AB746" i="5" s="1"/>
  <c r="Y746" i="5"/>
  <c r="Z746" i="5" s="1"/>
  <c r="W746" i="5"/>
  <c r="X746" i="5" s="1"/>
  <c r="Q746" i="5"/>
  <c r="R746" i="5" s="1"/>
  <c r="S746" i="5" s="1"/>
  <c r="T746" i="5" s="1"/>
  <c r="U746" i="5" s="1"/>
  <c r="V746" i="5" s="1"/>
  <c r="P746" i="5"/>
  <c r="AE746" i="5" s="1"/>
  <c r="AF746" i="5" s="1"/>
  <c r="O746" i="5"/>
  <c r="N746" i="5"/>
  <c r="AC745" i="5"/>
  <c r="AD745" i="5" s="1"/>
  <c r="AA745" i="5"/>
  <c r="AB745" i="5" s="1"/>
  <c r="Y745" i="5"/>
  <c r="Z745" i="5" s="1"/>
  <c r="W745" i="5"/>
  <c r="X745" i="5" s="1"/>
  <c r="Q745" i="5"/>
  <c r="R745" i="5" s="1"/>
  <c r="S745" i="5" s="1"/>
  <c r="T745" i="5" s="1"/>
  <c r="U745" i="5" s="1"/>
  <c r="V745" i="5" s="1"/>
  <c r="P745" i="5"/>
  <c r="AE745" i="5" s="1"/>
  <c r="AF745" i="5" s="1"/>
  <c r="O745" i="5"/>
  <c r="N745" i="5"/>
  <c r="AC744" i="5"/>
  <c r="AD744" i="5" s="1"/>
  <c r="AA744" i="5"/>
  <c r="AB744" i="5" s="1"/>
  <c r="Y744" i="5"/>
  <c r="Z744" i="5" s="1"/>
  <c r="W744" i="5"/>
  <c r="X744" i="5" s="1"/>
  <c r="Q744" i="5"/>
  <c r="R744" i="5" s="1"/>
  <c r="S744" i="5" s="1"/>
  <c r="T744" i="5" s="1"/>
  <c r="U744" i="5" s="1"/>
  <c r="V744" i="5" s="1"/>
  <c r="P744" i="5"/>
  <c r="AE744" i="5" s="1"/>
  <c r="AF744" i="5" s="1"/>
  <c r="O744" i="5"/>
  <c r="N744" i="5"/>
  <c r="AC743" i="5"/>
  <c r="AD743" i="5" s="1"/>
  <c r="AA743" i="5"/>
  <c r="AB743" i="5" s="1"/>
  <c r="Y743" i="5"/>
  <c r="Z743" i="5" s="1"/>
  <c r="W743" i="5"/>
  <c r="X743" i="5" s="1"/>
  <c r="Q743" i="5"/>
  <c r="R743" i="5" s="1"/>
  <c r="S743" i="5" s="1"/>
  <c r="T743" i="5" s="1"/>
  <c r="U743" i="5" s="1"/>
  <c r="V743" i="5" s="1"/>
  <c r="P743" i="5"/>
  <c r="AE743" i="5" s="1"/>
  <c r="AF743" i="5" s="1"/>
  <c r="O743" i="5"/>
  <c r="N743" i="5"/>
  <c r="AC742" i="5"/>
  <c r="AD742" i="5" s="1"/>
  <c r="AA742" i="5"/>
  <c r="AB742" i="5" s="1"/>
  <c r="Y742" i="5"/>
  <c r="Z742" i="5" s="1"/>
  <c r="W742" i="5"/>
  <c r="X742" i="5" s="1"/>
  <c r="Q742" i="5"/>
  <c r="R742" i="5" s="1"/>
  <c r="S742" i="5" s="1"/>
  <c r="T742" i="5" s="1"/>
  <c r="U742" i="5" s="1"/>
  <c r="V742" i="5" s="1"/>
  <c r="P742" i="5"/>
  <c r="AE742" i="5" s="1"/>
  <c r="AF742" i="5" s="1"/>
  <c r="O742" i="5"/>
  <c r="N742" i="5"/>
  <c r="AC741" i="5"/>
  <c r="AD741" i="5" s="1"/>
  <c r="AA741" i="5"/>
  <c r="AB741" i="5" s="1"/>
  <c r="Y741" i="5"/>
  <c r="Z741" i="5" s="1"/>
  <c r="W741" i="5"/>
  <c r="X741" i="5" s="1"/>
  <c r="Q741" i="5"/>
  <c r="R741" i="5" s="1"/>
  <c r="S741" i="5" s="1"/>
  <c r="T741" i="5" s="1"/>
  <c r="U741" i="5" s="1"/>
  <c r="V741" i="5" s="1"/>
  <c r="P741" i="5"/>
  <c r="AE741" i="5" s="1"/>
  <c r="AF741" i="5" s="1"/>
  <c r="O741" i="5"/>
  <c r="N741" i="5"/>
  <c r="AC740" i="5"/>
  <c r="AD740" i="5" s="1"/>
  <c r="AA740" i="5"/>
  <c r="AB740" i="5" s="1"/>
  <c r="Y740" i="5"/>
  <c r="Z740" i="5" s="1"/>
  <c r="W740" i="5"/>
  <c r="X740" i="5" s="1"/>
  <c r="Q740" i="5"/>
  <c r="R740" i="5" s="1"/>
  <c r="S740" i="5" s="1"/>
  <c r="T740" i="5" s="1"/>
  <c r="U740" i="5" s="1"/>
  <c r="V740" i="5" s="1"/>
  <c r="P740" i="5"/>
  <c r="AE740" i="5" s="1"/>
  <c r="AF740" i="5" s="1"/>
  <c r="O740" i="5"/>
  <c r="N740" i="5"/>
  <c r="AC739" i="5"/>
  <c r="AD739" i="5" s="1"/>
  <c r="AA739" i="5"/>
  <c r="AB739" i="5" s="1"/>
  <c r="Y739" i="5"/>
  <c r="Z739" i="5" s="1"/>
  <c r="W739" i="5"/>
  <c r="X739" i="5" s="1"/>
  <c r="Q739" i="5"/>
  <c r="R739" i="5" s="1"/>
  <c r="S739" i="5" s="1"/>
  <c r="T739" i="5" s="1"/>
  <c r="U739" i="5" s="1"/>
  <c r="V739" i="5" s="1"/>
  <c r="P739" i="5"/>
  <c r="AE739" i="5" s="1"/>
  <c r="AF739" i="5" s="1"/>
  <c r="O739" i="5"/>
  <c r="N739" i="5"/>
  <c r="AC738" i="5"/>
  <c r="AD738" i="5" s="1"/>
  <c r="AA738" i="5"/>
  <c r="AB738" i="5" s="1"/>
  <c r="Y738" i="5"/>
  <c r="Z738" i="5" s="1"/>
  <c r="W738" i="5"/>
  <c r="X738" i="5" s="1"/>
  <c r="Q738" i="5"/>
  <c r="R738" i="5" s="1"/>
  <c r="S738" i="5" s="1"/>
  <c r="T738" i="5" s="1"/>
  <c r="U738" i="5" s="1"/>
  <c r="V738" i="5" s="1"/>
  <c r="P738" i="5"/>
  <c r="AE738" i="5" s="1"/>
  <c r="AF738" i="5" s="1"/>
  <c r="O738" i="5"/>
  <c r="N738" i="5"/>
  <c r="AC737" i="5"/>
  <c r="AD737" i="5" s="1"/>
  <c r="AA737" i="5"/>
  <c r="AB737" i="5" s="1"/>
  <c r="Y737" i="5"/>
  <c r="Z737" i="5" s="1"/>
  <c r="W737" i="5"/>
  <c r="X737" i="5" s="1"/>
  <c r="Q737" i="5"/>
  <c r="R737" i="5" s="1"/>
  <c r="S737" i="5" s="1"/>
  <c r="T737" i="5" s="1"/>
  <c r="U737" i="5" s="1"/>
  <c r="V737" i="5" s="1"/>
  <c r="P737" i="5"/>
  <c r="AE737" i="5" s="1"/>
  <c r="AF737" i="5" s="1"/>
  <c r="O737" i="5"/>
  <c r="N737" i="5"/>
  <c r="AC736" i="5"/>
  <c r="AD736" i="5" s="1"/>
  <c r="AA736" i="5"/>
  <c r="AB736" i="5" s="1"/>
  <c r="Y736" i="5"/>
  <c r="Z736" i="5" s="1"/>
  <c r="W736" i="5"/>
  <c r="X736" i="5" s="1"/>
  <c r="Q736" i="5"/>
  <c r="R736" i="5" s="1"/>
  <c r="S736" i="5" s="1"/>
  <c r="T736" i="5" s="1"/>
  <c r="U736" i="5" s="1"/>
  <c r="V736" i="5" s="1"/>
  <c r="P736" i="5"/>
  <c r="AE736" i="5" s="1"/>
  <c r="AF736" i="5" s="1"/>
  <c r="O736" i="5"/>
  <c r="N736" i="5"/>
  <c r="AC735" i="5"/>
  <c r="AD735" i="5" s="1"/>
  <c r="AA735" i="5"/>
  <c r="AB735" i="5" s="1"/>
  <c r="Y735" i="5"/>
  <c r="Z735" i="5" s="1"/>
  <c r="W735" i="5"/>
  <c r="X735" i="5" s="1"/>
  <c r="Q735" i="5"/>
  <c r="R735" i="5" s="1"/>
  <c r="S735" i="5" s="1"/>
  <c r="T735" i="5" s="1"/>
  <c r="U735" i="5" s="1"/>
  <c r="V735" i="5" s="1"/>
  <c r="P735" i="5"/>
  <c r="AE735" i="5" s="1"/>
  <c r="AF735" i="5" s="1"/>
  <c r="O735" i="5"/>
  <c r="N735" i="5"/>
  <c r="AC734" i="5"/>
  <c r="AD734" i="5" s="1"/>
  <c r="AA734" i="5"/>
  <c r="AB734" i="5" s="1"/>
  <c r="Y734" i="5"/>
  <c r="Z734" i="5" s="1"/>
  <c r="W734" i="5"/>
  <c r="X734" i="5" s="1"/>
  <c r="Q734" i="5"/>
  <c r="R734" i="5" s="1"/>
  <c r="S734" i="5" s="1"/>
  <c r="T734" i="5" s="1"/>
  <c r="U734" i="5" s="1"/>
  <c r="V734" i="5" s="1"/>
  <c r="P734" i="5"/>
  <c r="AE734" i="5" s="1"/>
  <c r="AF734" i="5" s="1"/>
  <c r="O734" i="5"/>
  <c r="N734" i="5"/>
  <c r="AC733" i="5"/>
  <c r="AD733" i="5" s="1"/>
  <c r="AA733" i="5"/>
  <c r="AB733" i="5" s="1"/>
  <c r="Y733" i="5"/>
  <c r="Z733" i="5" s="1"/>
  <c r="W733" i="5"/>
  <c r="X733" i="5" s="1"/>
  <c r="Q733" i="5"/>
  <c r="R733" i="5" s="1"/>
  <c r="S733" i="5" s="1"/>
  <c r="T733" i="5" s="1"/>
  <c r="U733" i="5" s="1"/>
  <c r="V733" i="5" s="1"/>
  <c r="P733" i="5"/>
  <c r="AE733" i="5" s="1"/>
  <c r="AF733" i="5" s="1"/>
  <c r="O733" i="5"/>
  <c r="N733" i="5"/>
  <c r="AC732" i="5"/>
  <c r="AD732" i="5" s="1"/>
  <c r="AA732" i="5"/>
  <c r="AB732" i="5" s="1"/>
  <c r="Y732" i="5"/>
  <c r="Z732" i="5" s="1"/>
  <c r="W732" i="5"/>
  <c r="X732" i="5" s="1"/>
  <c r="Q732" i="5"/>
  <c r="R732" i="5" s="1"/>
  <c r="S732" i="5" s="1"/>
  <c r="T732" i="5" s="1"/>
  <c r="U732" i="5" s="1"/>
  <c r="V732" i="5" s="1"/>
  <c r="P732" i="5"/>
  <c r="AE732" i="5" s="1"/>
  <c r="AF732" i="5" s="1"/>
  <c r="O732" i="5"/>
  <c r="N732" i="5"/>
  <c r="AC731" i="5"/>
  <c r="AD731" i="5" s="1"/>
  <c r="AA731" i="5"/>
  <c r="AB731" i="5" s="1"/>
  <c r="Y731" i="5"/>
  <c r="Z731" i="5" s="1"/>
  <c r="W731" i="5"/>
  <c r="X731" i="5" s="1"/>
  <c r="Q731" i="5"/>
  <c r="R731" i="5" s="1"/>
  <c r="S731" i="5" s="1"/>
  <c r="T731" i="5" s="1"/>
  <c r="U731" i="5" s="1"/>
  <c r="V731" i="5" s="1"/>
  <c r="P731" i="5"/>
  <c r="AE731" i="5" s="1"/>
  <c r="AF731" i="5" s="1"/>
  <c r="O731" i="5"/>
  <c r="N731" i="5"/>
  <c r="AC730" i="5"/>
  <c r="AD730" i="5" s="1"/>
  <c r="AA730" i="5"/>
  <c r="AB730" i="5" s="1"/>
  <c r="Y730" i="5"/>
  <c r="Z730" i="5" s="1"/>
  <c r="W730" i="5"/>
  <c r="X730" i="5" s="1"/>
  <c r="Q730" i="5"/>
  <c r="R730" i="5" s="1"/>
  <c r="S730" i="5" s="1"/>
  <c r="T730" i="5" s="1"/>
  <c r="U730" i="5" s="1"/>
  <c r="V730" i="5" s="1"/>
  <c r="P730" i="5"/>
  <c r="AE730" i="5" s="1"/>
  <c r="AF730" i="5" s="1"/>
  <c r="O730" i="5"/>
  <c r="N730" i="5"/>
  <c r="AC729" i="5"/>
  <c r="AD729" i="5" s="1"/>
  <c r="AA729" i="5"/>
  <c r="AB729" i="5" s="1"/>
  <c r="Y729" i="5"/>
  <c r="Z729" i="5" s="1"/>
  <c r="W729" i="5"/>
  <c r="X729" i="5" s="1"/>
  <c r="Q729" i="5"/>
  <c r="R729" i="5" s="1"/>
  <c r="S729" i="5" s="1"/>
  <c r="T729" i="5" s="1"/>
  <c r="U729" i="5" s="1"/>
  <c r="V729" i="5" s="1"/>
  <c r="P729" i="5"/>
  <c r="AE729" i="5" s="1"/>
  <c r="AF729" i="5" s="1"/>
  <c r="O729" i="5"/>
  <c r="N729" i="5"/>
  <c r="AC728" i="5"/>
  <c r="AD728" i="5" s="1"/>
  <c r="AA728" i="5"/>
  <c r="AB728" i="5" s="1"/>
  <c r="Y728" i="5"/>
  <c r="Z728" i="5" s="1"/>
  <c r="W728" i="5"/>
  <c r="X728" i="5" s="1"/>
  <c r="Q728" i="5"/>
  <c r="R728" i="5" s="1"/>
  <c r="S728" i="5" s="1"/>
  <c r="T728" i="5" s="1"/>
  <c r="U728" i="5" s="1"/>
  <c r="V728" i="5" s="1"/>
  <c r="P728" i="5"/>
  <c r="AE728" i="5" s="1"/>
  <c r="AF728" i="5" s="1"/>
  <c r="O728" i="5"/>
  <c r="N728" i="5"/>
  <c r="AC727" i="5"/>
  <c r="AD727" i="5" s="1"/>
  <c r="AA727" i="5"/>
  <c r="AB727" i="5" s="1"/>
  <c r="Y727" i="5"/>
  <c r="Z727" i="5" s="1"/>
  <c r="W727" i="5"/>
  <c r="X727" i="5" s="1"/>
  <c r="Q727" i="5"/>
  <c r="R727" i="5" s="1"/>
  <c r="S727" i="5" s="1"/>
  <c r="T727" i="5" s="1"/>
  <c r="U727" i="5" s="1"/>
  <c r="V727" i="5" s="1"/>
  <c r="P727" i="5"/>
  <c r="AE727" i="5" s="1"/>
  <c r="AF727" i="5" s="1"/>
  <c r="O727" i="5"/>
  <c r="N727" i="5"/>
  <c r="AC726" i="5"/>
  <c r="AD726" i="5" s="1"/>
  <c r="AA726" i="5"/>
  <c r="AB726" i="5" s="1"/>
  <c r="Y726" i="5"/>
  <c r="Z726" i="5" s="1"/>
  <c r="W726" i="5"/>
  <c r="X726" i="5" s="1"/>
  <c r="Q726" i="5"/>
  <c r="R726" i="5" s="1"/>
  <c r="S726" i="5" s="1"/>
  <c r="T726" i="5" s="1"/>
  <c r="U726" i="5" s="1"/>
  <c r="V726" i="5" s="1"/>
  <c r="P726" i="5"/>
  <c r="AE726" i="5" s="1"/>
  <c r="AF726" i="5" s="1"/>
  <c r="O726" i="5"/>
  <c r="N726" i="5"/>
  <c r="AC725" i="5"/>
  <c r="AD725" i="5" s="1"/>
  <c r="AA725" i="5"/>
  <c r="AB725" i="5" s="1"/>
  <c r="Y725" i="5"/>
  <c r="Z725" i="5" s="1"/>
  <c r="W725" i="5"/>
  <c r="X725" i="5" s="1"/>
  <c r="Q725" i="5"/>
  <c r="R725" i="5" s="1"/>
  <c r="S725" i="5" s="1"/>
  <c r="T725" i="5" s="1"/>
  <c r="U725" i="5" s="1"/>
  <c r="V725" i="5" s="1"/>
  <c r="P725" i="5"/>
  <c r="AE725" i="5" s="1"/>
  <c r="AF725" i="5" s="1"/>
  <c r="O725" i="5"/>
  <c r="N725" i="5"/>
  <c r="AC724" i="5"/>
  <c r="AD724" i="5" s="1"/>
  <c r="AA724" i="5"/>
  <c r="AB724" i="5" s="1"/>
  <c r="Y724" i="5"/>
  <c r="Z724" i="5" s="1"/>
  <c r="W724" i="5"/>
  <c r="X724" i="5" s="1"/>
  <c r="Q724" i="5"/>
  <c r="R724" i="5" s="1"/>
  <c r="S724" i="5" s="1"/>
  <c r="T724" i="5" s="1"/>
  <c r="U724" i="5" s="1"/>
  <c r="V724" i="5" s="1"/>
  <c r="P724" i="5"/>
  <c r="AE724" i="5" s="1"/>
  <c r="AF724" i="5" s="1"/>
  <c r="O724" i="5"/>
  <c r="N724" i="5"/>
  <c r="AC723" i="5"/>
  <c r="AD723" i="5" s="1"/>
  <c r="AA723" i="5"/>
  <c r="AB723" i="5" s="1"/>
  <c r="Y723" i="5"/>
  <c r="Z723" i="5" s="1"/>
  <c r="W723" i="5"/>
  <c r="X723" i="5" s="1"/>
  <c r="Q723" i="5"/>
  <c r="R723" i="5" s="1"/>
  <c r="S723" i="5" s="1"/>
  <c r="T723" i="5" s="1"/>
  <c r="U723" i="5" s="1"/>
  <c r="V723" i="5" s="1"/>
  <c r="P723" i="5"/>
  <c r="AE723" i="5" s="1"/>
  <c r="AF723" i="5" s="1"/>
  <c r="O723" i="5"/>
  <c r="N723" i="5"/>
  <c r="AC722" i="5"/>
  <c r="AD722" i="5" s="1"/>
  <c r="AA722" i="5"/>
  <c r="AB722" i="5" s="1"/>
  <c r="Y722" i="5"/>
  <c r="Z722" i="5" s="1"/>
  <c r="W722" i="5"/>
  <c r="X722" i="5" s="1"/>
  <c r="Q722" i="5"/>
  <c r="R722" i="5" s="1"/>
  <c r="S722" i="5" s="1"/>
  <c r="T722" i="5" s="1"/>
  <c r="U722" i="5" s="1"/>
  <c r="V722" i="5" s="1"/>
  <c r="P722" i="5"/>
  <c r="AE722" i="5" s="1"/>
  <c r="AF722" i="5" s="1"/>
  <c r="O722" i="5"/>
  <c r="N722" i="5"/>
  <c r="AC721" i="5"/>
  <c r="AD721" i="5" s="1"/>
  <c r="AA721" i="5"/>
  <c r="AB721" i="5" s="1"/>
  <c r="Y721" i="5"/>
  <c r="Z721" i="5" s="1"/>
  <c r="W721" i="5"/>
  <c r="X721" i="5" s="1"/>
  <c r="Q721" i="5"/>
  <c r="R721" i="5" s="1"/>
  <c r="S721" i="5" s="1"/>
  <c r="T721" i="5" s="1"/>
  <c r="U721" i="5" s="1"/>
  <c r="V721" i="5" s="1"/>
  <c r="P721" i="5"/>
  <c r="AE721" i="5" s="1"/>
  <c r="AF721" i="5" s="1"/>
  <c r="O721" i="5"/>
  <c r="N721" i="5"/>
  <c r="AC720" i="5"/>
  <c r="AD720" i="5" s="1"/>
  <c r="AA720" i="5"/>
  <c r="AB720" i="5" s="1"/>
  <c r="Y720" i="5"/>
  <c r="Z720" i="5" s="1"/>
  <c r="W720" i="5"/>
  <c r="X720" i="5" s="1"/>
  <c r="Q720" i="5"/>
  <c r="R720" i="5" s="1"/>
  <c r="S720" i="5" s="1"/>
  <c r="T720" i="5" s="1"/>
  <c r="U720" i="5" s="1"/>
  <c r="V720" i="5" s="1"/>
  <c r="P720" i="5"/>
  <c r="AE720" i="5" s="1"/>
  <c r="AF720" i="5" s="1"/>
  <c r="O720" i="5"/>
  <c r="N720" i="5"/>
  <c r="AC719" i="5"/>
  <c r="AD719" i="5" s="1"/>
  <c r="AA719" i="5"/>
  <c r="AB719" i="5" s="1"/>
  <c r="Y719" i="5"/>
  <c r="Z719" i="5" s="1"/>
  <c r="W719" i="5"/>
  <c r="X719" i="5" s="1"/>
  <c r="Q719" i="5"/>
  <c r="R719" i="5" s="1"/>
  <c r="S719" i="5" s="1"/>
  <c r="T719" i="5" s="1"/>
  <c r="U719" i="5" s="1"/>
  <c r="V719" i="5" s="1"/>
  <c r="P719" i="5"/>
  <c r="AE719" i="5" s="1"/>
  <c r="AF719" i="5" s="1"/>
  <c r="O719" i="5"/>
  <c r="N719" i="5"/>
  <c r="AC718" i="5"/>
  <c r="AD718" i="5" s="1"/>
  <c r="AA718" i="5"/>
  <c r="AB718" i="5" s="1"/>
  <c r="Y718" i="5"/>
  <c r="Z718" i="5" s="1"/>
  <c r="W718" i="5"/>
  <c r="X718" i="5" s="1"/>
  <c r="Q718" i="5"/>
  <c r="R718" i="5" s="1"/>
  <c r="S718" i="5" s="1"/>
  <c r="T718" i="5" s="1"/>
  <c r="U718" i="5" s="1"/>
  <c r="V718" i="5" s="1"/>
  <c r="P718" i="5"/>
  <c r="AE718" i="5" s="1"/>
  <c r="AF718" i="5" s="1"/>
  <c r="O718" i="5"/>
  <c r="N718" i="5"/>
  <c r="AC717" i="5"/>
  <c r="AD717" i="5" s="1"/>
  <c r="AA717" i="5"/>
  <c r="AB717" i="5" s="1"/>
  <c r="Y717" i="5"/>
  <c r="Z717" i="5" s="1"/>
  <c r="W717" i="5"/>
  <c r="X717" i="5" s="1"/>
  <c r="Q717" i="5"/>
  <c r="R717" i="5" s="1"/>
  <c r="S717" i="5" s="1"/>
  <c r="T717" i="5" s="1"/>
  <c r="U717" i="5" s="1"/>
  <c r="V717" i="5" s="1"/>
  <c r="P717" i="5"/>
  <c r="AE717" i="5" s="1"/>
  <c r="AF717" i="5" s="1"/>
  <c r="O717" i="5"/>
  <c r="N717" i="5"/>
  <c r="AC716" i="5"/>
  <c r="AD716" i="5" s="1"/>
  <c r="AA716" i="5"/>
  <c r="AB716" i="5" s="1"/>
  <c r="Y716" i="5"/>
  <c r="Z716" i="5" s="1"/>
  <c r="W716" i="5"/>
  <c r="X716" i="5" s="1"/>
  <c r="Q716" i="5"/>
  <c r="R716" i="5" s="1"/>
  <c r="S716" i="5" s="1"/>
  <c r="T716" i="5" s="1"/>
  <c r="U716" i="5" s="1"/>
  <c r="V716" i="5" s="1"/>
  <c r="P716" i="5"/>
  <c r="AE716" i="5" s="1"/>
  <c r="AF716" i="5" s="1"/>
  <c r="O716" i="5"/>
  <c r="N716" i="5"/>
  <c r="AC715" i="5"/>
  <c r="AD715" i="5" s="1"/>
  <c r="AA715" i="5"/>
  <c r="AB715" i="5" s="1"/>
  <c r="Y715" i="5"/>
  <c r="Z715" i="5" s="1"/>
  <c r="W715" i="5"/>
  <c r="X715" i="5" s="1"/>
  <c r="Q715" i="5"/>
  <c r="R715" i="5" s="1"/>
  <c r="S715" i="5" s="1"/>
  <c r="T715" i="5" s="1"/>
  <c r="U715" i="5" s="1"/>
  <c r="V715" i="5" s="1"/>
  <c r="P715" i="5"/>
  <c r="AE715" i="5" s="1"/>
  <c r="AF715" i="5" s="1"/>
  <c r="O715" i="5"/>
  <c r="N715" i="5"/>
  <c r="AC714" i="5"/>
  <c r="AD714" i="5" s="1"/>
  <c r="AA714" i="5"/>
  <c r="AB714" i="5" s="1"/>
  <c r="Y714" i="5"/>
  <c r="Z714" i="5" s="1"/>
  <c r="W714" i="5"/>
  <c r="X714" i="5" s="1"/>
  <c r="Q714" i="5"/>
  <c r="R714" i="5" s="1"/>
  <c r="S714" i="5" s="1"/>
  <c r="T714" i="5" s="1"/>
  <c r="U714" i="5" s="1"/>
  <c r="V714" i="5" s="1"/>
  <c r="P714" i="5"/>
  <c r="AE714" i="5" s="1"/>
  <c r="AF714" i="5" s="1"/>
  <c r="O714" i="5"/>
  <c r="N714" i="5"/>
  <c r="AC713" i="5"/>
  <c r="AD713" i="5" s="1"/>
  <c r="AA713" i="5"/>
  <c r="AB713" i="5" s="1"/>
  <c r="Y713" i="5"/>
  <c r="Z713" i="5" s="1"/>
  <c r="W713" i="5"/>
  <c r="X713" i="5" s="1"/>
  <c r="Q713" i="5"/>
  <c r="R713" i="5" s="1"/>
  <c r="S713" i="5" s="1"/>
  <c r="T713" i="5" s="1"/>
  <c r="U713" i="5" s="1"/>
  <c r="V713" i="5" s="1"/>
  <c r="P713" i="5"/>
  <c r="AE713" i="5" s="1"/>
  <c r="AF713" i="5" s="1"/>
  <c r="O713" i="5"/>
  <c r="N713" i="5"/>
  <c r="AC712" i="5"/>
  <c r="AD712" i="5" s="1"/>
  <c r="AA712" i="5"/>
  <c r="AB712" i="5" s="1"/>
  <c r="Y712" i="5"/>
  <c r="Z712" i="5" s="1"/>
  <c r="W712" i="5"/>
  <c r="X712" i="5" s="1"/>
  <c r="Q712" i="5"/>
  <c r="R712" i="5" s="1"/>
  <c r="S712" i="5" s="1"/>
  <c r="T712" i="5" s="1"/>
  <c r="U712" i="5" s="1"/>
  <c r="V712" i="5" s="1"/>
  <c r="P712" i="5"/>
  <c r="AE712" i="5" s="1"/>
  <c r="AF712" i="5" s="1"/>
  <c r="O712" i="5"/>
  <c r="N712" i="5"/>
  <c r="AC711" i="5"/>
  <c r="AD711" i="5" s="1"/>
  <c r="AA711" i="5"/>
  <c r="AB711" i="5" s="1"/>
  <c r="Y711" i="5"/>
  <c r="Z711" i="5" s="1"/>
  <c r="W711" i="5"/>
  <c r="X711" i="5" s="1"/>
  <c r="Q711" i="5"/>
  <c r="R711" i="5" s="1"/>
  <c r="S711" i="5" s="1"/>
  <c r="T711" i="5" s="1"/>
  <c r="U711" i="5" s="1"/>
  <c r="V711" i="5" s="1"/>
  <c r="P711" i="5"/>
  <c r="AE711" i="5" s="1"/>
  <c r="AF711" i="5" s="1"/>
  <c r="O711" i="5"/>
  <c r="N711" i="5"/>
  <c r="AC710" i="5"/>
  <c r="AD710" i="5" s="1"/>
  <c r="AA710" i="5"/>
  <c r="AB710" i="5" s="1"/>
  <c r="Y710" i="5"/>
  <c r="Z710" i="5" s="1"/>
  <c r="W710" i="5"/>
  <c r="X710" i="5" s="1"/>
  <c r="Q710" i="5"/>
  <c r="R710" i="5" s="1"/>
  <c r="S710" i="5" s="1"/>
  <c r="T710" i="5" s="1"/>
  <c r="U710" i="5" s="1"/>
  <c r="V710" i="5" s="1"/>
  <c r="P710" i="5"/>
  <c r="AE710" i="5" s="1"/>
  <c r="AF710" i="5" s="1"/>
  <c r="O710" i="5"/>
  <c r="N710" i="5"/>
  <c r="AC709" i="5"/>
  <c r="AD709" i="5" s="1"/>
  <c r="AA709" i="5"/>
  <c r="AB709" i="5" s="1"/>
  <c r="Y709" i="5"/>
  <c r="Z709" i="5" s="1"/>
  <c r="W709" i="5"/>
  <c r="X709" i="5" s="1"/>
  <c r="Q709" i="5"/>
  <c r="R709" i="5" s="1"/>
  <c r="S709" i="5" s="1"/>
  <c r="T709" i="5" s="1"/>
  <c r="U709" i="5" s="1"/>
  <c r="V709" i="5" s="1"/>
  <c r="P709" i="5"/>
  <c r="AE709" i="5" s="1"/>
  <c r="AF709" i="5" s="1"/>
  <c r="O709" i="5"/>
  <c r="N709" i="5"/>
  <c r="AC708" i="5"/>
  <c r="AD708" i="5" s="1"/>
  <c r="AA708" i="5"/>
  <c r="AB708" i="5" s="1"/>
  <c r="Y708" i="5"/>
  <c r="Z708" i="5" s="1"/>
  <c r="W708" i="5"/>
  <c r="X708" i="5" s="1"/>
  <c r="Q708" i="5"/>
  <c r="R708" i="5" s="1"/>
  <c r="S708" i="5" s="1"/>
  <c r="T708" i="5" s="1"/>
  <c r="U708" i="5" s="1"/>
  <c r="V708" i="5" s="1"/>
  <c r="P708" i="5"/>
  <c r="AE708" i="5" s="1"/>
  <c r="AF708" i="5" s="1"/>
  <c r="O708" i="5"/>
  <c r="N708" i="5"/>
  <c r="AC707" i="5"/>
  <c r="AD707" i="5" s="1"/>
  <c r="AA707" i="5"/>
  <c r="AB707" i="5" s="1"/>
  <c r="Y707" i="5"/>
  <c r="Z707" i="5" s="1"/>
  <c r="W707" i="5"/>
  <c r="X707" i="5" s="1"/>
  <c r="Q707" i="5"/>
  <c r="R707" i="5" s="1"/>
  <c r="S707" i="5" s="1"/>
  <c r="T707" i="5" s="1"/>
  <c r="U707" i="5" s="1"/>
  <c r="V707" i="5" s="1"/>
  <c r="P707" i="5"/>
  <c r="AE707" i="5" s="1"/>
  <c r="AF707" i="5" s="1"/>
  <c r="O707" i="5"/>
  <c r="N707" i="5"/>
  <c r="AC706" i="5"/>
  <c r="AD706" i="5" s="1"/>
  <c r="AA706" i="5"/>
  <c r="AB706" i="5" s="1"/>
  <c r="Y706" i="5"/>
  <c r="Z706" i="5" s="1"/>
  <c r="W706" i="5"/>
  <c r="X706" i="5" s="1"/>
  <c r="Q706" i="5"/>
  <c r="R706" i="5" s="1"/>
  <c r="S706" i="5" s="1"/>
  <c r="T706" i="5" s="1"/>
  <c r="U706" i="5" s="1"/>
  <c r="V706" i="5" s="1"/>
  <c r="P706" i="5"/>
  <c r="AE706" i="5" s="1"/>
  <c r="AF706" i="5" s="1"/>
  <c r="O706" i="5"/>
  <c r="N706" i="5"/>
  <c r="AC705" i="5"/>
  <c r="AD705" i="5" s="1"/>
  <c r="AA705" i="5"/>
  <c r="AB705" i="5" s="1"/>
  <c r="Y705" i="5"/>
  <c r="Z705" i="5" s="1"/>
  <c r="W705" i="5"/>
  <c r="X705" i="5" s="1"/>
  <c r="Q705" i="5"/>
  <c r="R705" i="5" s="1"/>
  <c r="S705" i="5" s="1"/>
  <c r="T705" i="5" s="1"/>
  <c r="U705" i="5" s="1"/>
  <c r="V705" i="5" s="1"/>
  <c r="P705" i="5"/>
  <c r="AE705" i="5" s="1"/>
  <c r="AF705" i="5" s="1"/>
  <c r="O705" i="5"/>
  <c r="N705" i="5"/>
  <c r="AC704" i="5"/>
  <c r="AD704" i="5" s="1"/>
  <c r="AA704" i="5"/>
  <c r="AB704" i="5" s="1"/>
  <c r="Y704" i="5"/>
  <c r="Z704" i="5" s="1"/>
  <c r="W704" i="5"/>
  <c r="X704" i="5" s="1"/>
  <c r="Q704" i="5"/>
  <c r="R704" i="5" s="1"/>
  <c r="S704" i="5" s="1"/>
  <c r="T704" i="5" s="1"/>
  <c r="U704" i="5" s="1"/>
  <c r="V704" i="5" s="1"/>
  <c r="P704" i="5"/>
  <c r="AE704" i="5" s="1"/>
  <c r="AF704" i="5" s="1"/>
  <c r="O704" i="5"/>
  <c r="N704" i="5"/>
  <c r="AC703" i="5"/>
  <c r="AD703" i="5" s="1"/>
  <c r="AA703" i="5"/>
  <c r="AB703" i="5" s="1"/>
  <c r="Y703" i="5"/>
  <c r="Z703" i="5" s="1"/>
  <c r="W703" i="5"/>
  <c r="X703" i="5" s="1"/>
  <c r="Q703" i="5"/>
  <c r="R703" i="5" s="1"/>
  <c r="S703" i="5" s="1"/>
  <c r="T703" i="5" s="1"/>
  <c r="U703" i="5" s="1"/>
  <c r="V703" i="5" s="1"/>
  <c r="P703" i="5"/>
  <c r="AE703" i="5" s="1"/>
  <c r="AF703" i="5" s="1"/>
  <c r="O703" i="5"/>
  <c r="N703" i="5"/>
  <c r="AC702" i="5"/>
  <c r="AD702" i="5" s="1"/>
  <c r="AA702" i="5"/>
  <c r="AB702" i="5" s="1"/>
  <c r="Y702" i="5"/>
  <c r="Z702" i="5" s="1"/>
  <c r="W702" i="5"/>
  <c r="X702" i="5" s="1"/>
  <c r="Q702" i="5"/>
  <c r="R702" i="5" s="1"/>
  <c r="S702" i="5" s="1"/>
  <c r="T702" i="5" s="1"/>
  <c r="U702" i="5" s="1"/>
  <c r="V702" i="5" s="1"/>
  <c r="P702" i="5"/>
  <c r="AE702" i="5" s="1"/>
  <c r="AF702" i="5" s="1"/>
  <c r="O702" i="5"/>
  <c r="N702" i="5"/>
  <c r="AC701" i="5"/>
  <c r="AD701" i="5" s="1"/>
  <c r="AA701" i="5"/>
  <c r="AB701" i="5" s="1"/>
  <c r="Y701" i="5"/>
  <c r="Z701" i="5" s="1"/>
  <c r="W701" i="5"/>
  <c r="X701" i="5" s="1"/>
  <c r="Q701" i="5"/>
  <c r="R701" i="5" s="1"/>
  <c r="S701" i="5" s="1"/>
  <c r="T701" i="5" s="1"/>
  <c r="U701" i="5" s="1"/>
  <c r="V701" i="5" s="1"/>
  <c r="P701" i="5"/>
  <c r="AE701" i="5" s="1"/>
  <c r="AF701" i="5" s="1"/>
  <c r="O701" i="5"/>
  <c r="N701" i="5"/>
  <c r="AC700" i="5"/>
  <c r="AD700" i="5" s="1"/>
  <c r="AA700" i="5"/>
  <c r="AB700" i="5" s="1"/>
  <c r="Y700" i="5"/>
  <c r="Z700" i="5" s="1"/>
  <c r="W700" i="5"/>
  <c r="X700" i="5" s="1"/>
  <c r="Q700" i="5"/>
  <c r="R700" i="5" s="1"/>
  <c r="S700" i="5" s="1"/>
  <c r="T700" i="5" s="1"/>
  <c r="U700" i="5" s="1"/>
  <c r="V700" i="5" s="1"/>
  <c r="P700" i="5"/>
  <c r="AE700" i="5" s="1"/>
  <c r="AF700" i="5" s="1"/>
  <c r="O700" i="5"/>
  <c r="N700" i="5"/>
  <c r="AC699" i="5"/>
  <c r="AD699" i="5" s="1"/>
  <c r="AA699" i="5"/>
  <c r="AB699" i="5" s="1"/>
  <c r="Y699" i="5"/>
  <c r="Z699" i="5" s="1"/>
  <c r="W699" i="5"/>
  <c r="X699" i="5" s="1"/>
  <c r="Q699" i="5"/>
  <c r="R699" i="5" s="1"/>
  <c r="S699" i="5" s="1"/>
  <c r="T699" i="5" s="1"/>
  <c r="U699" i="5" s="1"/>
  <c r="V699" i="5" s="1"/>
  <c r="P699" i="5"/>
  <c r="AE699" i="5" s="1"/>
  <c r="AF699" i="5" s="1"/>
  <c r="O699" i="5"/>
  <c r="N699" i="5"/>
  <c r="AC698" i="5"/>
  <c r="AD698" i="5" s="1"/>
  <c r="AA698" i="5"/>
  <c r="AB698" i="5" s="1"/>
  <c r="Y698" i="5"/>
  <c r="Z698" i="5" s="1"/>
  <c r="W698" i="5"/>
  <c r="X698" i="5" s="1"/>
  <c r="Q698" i="5"/>
  <c r="R698" i="5" s="1"/>
  <c r="S698" i="5" s="1"/>
  <c r="T698" i="5" s="1"/>
  <c r="U698" i="5" s="1"/>
  <c r="V698" i="5" s="1"/>
  <c r="P698" i="5"/>
  <c r="AE698" i="5" s="1"/>
  <c r="AF698" i="5" s="1"/>
  <c r="O698" i="5"/>
  <c r="N698" i="5"/>
  <c r="AC697" i="5"/>
  <c r="AD697" i="5" s="1"/>
  <c r="AA697" i="5"/>
  <c r="AB697" i="5" s="1"/>
  <c r="Y697" i="5"/>
  <c r="Z697" i="5" s="1"/>
  <c r="W697" i="5"/>
  <c r="X697" i="5" s="1"/>
  <c r="Q697" i="5"/>
  <c r="R697" i="5" s="1"/>
  <c r="S697" i="5" s="1"/>
  <c r="T697" i="5" s="1"/>
  <c r="U697" i="5" s="1"/>
  <c r="V697" i="5" s="1"/>
  <c r="P697" i="5"/>
  <c r="AE697" i="5" s="1"/>
  <c r="AF697" i="5" s="1"/>
  <c r="O697" i="5"/>
  <c r="N697" i="5"/>
  <c r="AC696" i="5"/>
  <c r="AD696" i="5" s="1"/>
  <c r="AA696" i="5"/>
  <c r="AB696" i="5" s="1"/>
  <c r="Y696" i="5"/>
  <c r="Z696" i="5" s="1"/>
  <c r="W696" i="5"/>
  <c r="X696" i="5" s="1"/>
  <c r="Q696" i="5"/>
  <c r="R696" i="5" s="1"/>
  <c r="S696" i="5" s="1"/>
  <c r="T696" i="5" s="1"/>
  <c r="U696" i="5" s="1"/>
  <c r="V696" i="5" s="1"/>
  <c r="P696" i="5"/>
  <c r="AE696" i="5" s="1"/>
  <c r="AF696" i="5" s="1"/>
  <c r="O696" i="5"/>
  <c r="N696" i="5"/>
  <c r="AC695" i="5"/>
  <c r="AD695" i="5" s="1"/>
  <c r="AA695" i="5"/>
  <c r="AB695" i="5" s="1"/>
  <c r="Y695" i="5"/>
  <c r="Z695" i="5" s="1"/>
  <c r="W695" i="5"/>
  <c r="X695" i="5" s="1"/>
  <c r="Q695" i="5"/>
  <c r="R695" i="5" s="1"/>
  <c r="S695" i="5" s="1"/>
  <c r="T695" i="5" s="1"/>
  <c r="U695" i="5" s="1"/>
  <c r="V695" i="5" s="1"/>
  <c r="P695" i="5"/>
  <c r="AE695" i="5" s="1"/>
  <c r="AF695" i="5" s="1"/>
  <c r="O695" i="5"/>
  <c r="N695" i="5"/>
  <c r="AC694" i="5"/>
  <c r="AD694" i="5" s="1"/>
  <c r="AA694" i="5"/>
  <c r="AB694" i="5" s="1"/>
  <c r="Y694" i="5"/>
  <c r="Z694" i="5" s="1"/>
  <c r="W694" i="5"/>
  <c r="X694" i="5" s="1"/>
  <c r="Q694" i="5"/>
  <c r="R694" i="5" s="1"/>
  <c r="S694" i="5" s="1"/>
  <c r="T694" i="5" s="1"/>
  <c r="U694" i="5" s="1"/>
  <c r="V694" i="5" s="1"/>
  <c r="P694" i="5"/>
  <c r="AE694" i="5" s="1"/>
  <c r="AF694" i="5" s="1"/>
  <c r="O694" i="5"/>
  <c r="N694" i="5"/>
  <c r="AC693" i="5"/>
  <c r="AD693" i="5" s="1"/>
  <c r="AA693" i="5"/>
  <c r="AB693" i="5" s="1"/>
  <c r="Y693" i="5"/>
  <c r="Z693" i="5" s="1"/>
  <c r="W693" i="5"/>
  <c r="X693" i="5" s="1"/>
  <c r="Q693" i="5"/>
  <c r="R693" i="5" s="1"/>
  <c r="S693" i="5" s="1"/>
  <c r="T693" i="5" s="1"/>
  <c r="U693" i="5" s="1"/>
  <c r="V693" i="5" s="1"/>
  <c r="P693" i="5"/>
  <c r="AE693" i="5" s="1"/>
  <c r="AF693" i="5" s="1"/>
  <c r="O693" i="5"/>
  <c r="N693" i="5"/>
  <c r="AC692" i="5"/>
  <c r="AD692" i="5" s="1"/>
  <c r="AA692" i="5"/>
  <c r="AB692" i="5" s="1"/>
  <c r="Y692" i="5"/>
  <c r="Z692" i="5" s="1"/>
  <c r="W692" i="5"/>
  <c r="X692" i="5" s="1"/>
  <c r="Q692" i="5"/>
  <c r="R692" i="5" s="1"/>
  <c r="S692" i="5" s="1"/>
  <c r="T692" i="5" s="1"/>
  <c r="U692" i="5" s="1"/>
  <c r="V692" i="5" s="1"/>
  <c r="P692" i="5"/>
  <c r="AE692" i="5" s="1"/>
  <c r="AF692" i="5" s="1"/>
  <c r="O692" i="5"/>
  <c r="N692" i="5"/>
  <c r="AC691" i="5"/>
  <c r="AD691" i="5" s="1"/>
  <c r="AA691" i="5"/>
  <c r="AB691" i="5" s="1"/>
  <c r="Y691" i="5"/>
  <c r="Z691" i="5" s="1"/>
  <c r="W691" i="5"/>
  <c r="X691" i="5" s="1"/>
  <c r="Q691" i="5"/>
  <c r="R691" i="5" s="1"/>
  <c r="S691" i="5" s="1"/>
  <c r="T691" i="5" s="1"/>
  <c r="U691" i="5" s="1"/>
  <c r="V691" i="5" s="1"/>
  <c r="P691" i="5"/>
  <c r="AE691" i="5" s="1"/>
  <c r="AF691" i="5" s="1"/>
  <c r="O691" i="5"/>
  <c r="N691" i="5"/>
  <c r="AC690" i="5"/>
  <c r="AD690" i="5" s="1"/>
  <c r="AA690" i="5"/>
  <c r="AB690" i="5" s="1"/>
  <c r="Y690" i="5"/>
  <c r="Z690" i="5" s="1"/>
  <c r="W690" i="5"/>
  <c r="X690" i="5" s="1"/>
  <c r="Q690" i="5"/>
  <c r="R690" i="5" s="1"/>
  <c r="S690" i="5" s="1"/>
  <c r="T690" i="5" s="1"/>
  <c r="U690" i="5" s="1"/>
  <c r="V690" i="5" s="1"/>
  <c r="P690" i="5"/>
  <c r="AE690" i="5" s="1"/>
  <c r="AF690" i="5" s="1"/>
  <c r="O690" i="5"/>
  <c r="N690" i="5"/>
  <c r="AC689" i="5"/>
  <c r="AD689" i="5" s="1"/>
  <c r="AA689" i="5"/>
  <c r="AB689" i="5" s="1"/>
  <c r="Y689" i="5"/>
  <c r="Z689" i="5" s="1"/>
  <c r="W689" i="5"/>
  <c r="X689" i="5" s="1"/>
  <c r="Q689" i="5"/>
  <c r="R689" i="5" s="1"/>
  <c r="S689" i="5" s="1"/>
  <c r="T689" i="5" s="1"/>
  <c r="U689" i="5" s="1"/>
  <c r="V689" i="5" s="1"/>
  <c r="P689" i="5"/>
  <c r="AE689" i="5" s="1"/>
  <c r="AF689" i="5" s="1"/>
  <c r="O689" i="5"/>
  <c r="N689" i="5"/>
  <c r="AC688" i="5"/>
  <c r="AD688" i="5" s="1"/>
  <c r="AA688" i="5"/>
  <c r="AB688" i="5" s="1"/>
  <c r="Y688" i="5"/>
  <c r="Z688" i="5" s="1"/>
  <c r="W688" i="5"/>
  <c r="X688" i="5" s="1"/>
  <c r="Q688" i="5"/>
  <c r="R688" i="5" s="1"/>
  <c r="S688" i="5" s="1"/>
  <c r="T688" i="5" s="1"/>
  <c r="U688" i="5" s="1"/>
  <c r="V688" i="5" s="1"/>
  <c r="P688" i="5"/>
  <c r="AE688" i="5" s="1"/>
  <c r="AF688" i="5" s="1"/>
  <c r="O688" i="5"/>
  <c r="N688" i="5"/>
  <c r="AC687" i="5"/>
  <c r="AD687" i="5" s="1"/>
  <c r="AA687" i="5"/>
  <c r="AB687" i="5" s="1"/>
  <c r="Y687" i="5"/>
  <c r="Z687" i="5" s="1"/>
  <c r="W687" i="5"/>
  <c r="X687" i="5" s="1"/>
  <c r="Q687" i="5"/>
  <c r="R687" i="5" s="1"/>
  <c r="S687" i="5" s="1"/>
  <c r="T687" i="5" s="1"/>
  <c r="U687" i="5" s="1"/>
  <c r="V687" i="5" s="1"/>
  <c r="P687" i="5"/>
  <c r="AE687" i="5" s="1"/>
  <c r="AF687" i="5" s="1"/>
  <c r="O687" i="5"/>
  <c r="N687" i="5"/>
  <c r="AC686" i="5"/>
  <c r="AD686" i="5" s="1"/>
  <c r="AA686" i="5"/>
  <c r="AB686" i="5" s="1"/>
  <c r="Y686" i="5"/>
  <c r="Z686" i="5" s="1"/>
  <c r="W686" i="5"/>
  <c r="X686" i="5" s="1"/>
  <c r="Q686" i="5"/>
  <c r="R686" i="5" s="1"/>
  <c r="S686" i="5" s="1"/>
  <c r="T686" i="5" s="1"/>
  <c r="U686" i="5" s="1"/>
  <c r="V686" i="5" s="1"/>
  <c r="P686" i="5"/>
  <c r="AE686" i="5" s="1"/>
  <c r="AF686" i="5" s="1"/>
  <c r="O686" i="5"/>
  <c r="N686" i="5"/>
  <c r="AC685" i="5"/>
  <c r="AD685" i="5" s="1"/>
  <c r="AA685" i="5"/>
  <c r="AB685" i="5" s="1"/>
  <c r="Y685" i="5"/>
  <c r="Z685" i="5" s="1"/>
  <c r="W685" i="5"/>
  <c r="X685" i="5" s="1"/>
  <c r="Q685" i="5"/>
  <c r="R685" i="5" s="1"/>
  <c r="S685" i="5" s="1"/>
  <c r="T685" i="5" s="1"/>
  <c r="U685" i="5" s="1"/>
  <c r="V685" i="5" s="1"/>
  <c r="P685" i="5"/>
  <c r="AE685" i="5" s="1"/>
  <c r="AF685" i="5" s="1"/>
  <c r="O685" i="5"/>
  <c r="N685" i="5"/>
  <c r="AC684" i="5"/>
  <c r="AD684" i="5" s="1"/>
  <c r="AA684" i="5"/>
  <c r="AB684" i="5" s="1"/>
  <c r="Y684" i="5"/>
  <c r="Z684" i="5" s="1"/>
  <c r="W684" i="5"/>
  <c r="X684" i="5" s="1"/>
  <c r="Q684" i="5"/>
  <c r="R684" i="5" s="1"/>
  <c r="S684" i="5" s="1"/>
  <c r="T684" i="5" s="1"/>
  <c r="U684" i="5" s="1"/>
  <c r="V684" i="5" s="1"/>
  <c r="P684" i="5"/>
  <c r="AE684" i="5" s="1"/>
  <c r="AF684" i="5" s="1"/>
  <c r="O684" i="5"/>
  <c r="N684" i="5"/>
  <c r="AC683" i="5"/>
  <c r="AD683" i="5" s="1"/>
  <c r="AA683" i="5"/>
  <c r="AB683" i="5" s="1"/>
  <c r="Y683" i="5"/>
  <c r="Z683" i="5" s="1"/>
  <c r="W683" i="5"/>
  <c r="X683" i="5" s="1"/>
  <c r="Q683" i="5"/>
  <c r="R683" i="5" s="1"/>
  <c r="S683" i="5" s="1"/>
  <c r="T683" i="5" s="1"/>
  <c r="U683" i="5" s="1"/>
  <c r="V683" i="5" s="1"/>
  <c r="P683" i="5"/>
  <c r="AE683" i="5" s="1"/>
  <c r="AF683" i="5" s="1"/>
  <c r="O683" i="5"/>
  <c r="N683" i="5"/>
  <c r="AC682" i="5"/>
  <c r="AD682" i="5" s="1"/>
  <c r="AA682" i="5"/>
  <c r="AB682" i="5" s="1"/>
  <c r="Y682" i="5"/>
  <c r="Z682" i="5" s="1"/>
  <c r="W682" i="5"/>
  <c r="X682" i="5" s="1"/>
  <c r="Q682" i="5"/>
  <c r="R682" i="5" s="1"/>
  <c r="S682" i="5" s="1"/>
  <c r="T682" i="5" s="1"/>
  <c r="U682" i="5" s="1"/>
  <c r="V682" i="5" s="1"/>
  <c r="P682" i="5"/>
  <c r="AE682" i="5" s="1"/>
  <c r="AF682" i="5" s="1"/>
  <c r="O682" i="5"/>
  <c r="N682" i="5"/>
  <c r="AC681" i="5"/>
  <c r="AD681" i="5" s="1"/>
  <c r="AA681" i="5"/>
  <c r="AB681" i="5" s="1"/>
  <c r="Y681" i="5"/>
  <c r="Z681" i="5" s="1"/>
  <c r="W681" i="5"/>
  <c r="X681" i="5" s="1"/>
  <c r="Q681" i="5"/>
  <c r="R681" i="5" s="1"/>
  <c r="S681" i="5" s="1"/>
  <c r="T681" i="5" s="1"/>
  <c r="U681" i="5" s="1"/>
  <c r="V681" i="5" s="1"/>
  <c r="P681" i="5"/>
  <c r="AE681" i="5" s="1"/>
  <c r="AF681" i="5" s="1"/>
  <c r="O681" i="5"/>
  <c r="N681" i="5"/>
  <c r="AC680" i="5"/>
  <c r="AD680" i="5" s="1"/>
  <c r="AA680" i="5"/>
  <c r="AB680" i="5" s="1"/>
  <c r="Y680" i="5"/>
  <c r="Z680" i="5" s="1"/>
  <c r="W680" i="5"/>
  <c r="X680" i="5" s="1"/>
  <c r="Q680" i="5"/>
  <c r="R680" i="5" s="1"/>
  <c r="S680" i="5" s="1"/>
  <c r="T680" i="5" s="1"/>
  <c r="U680" i="5" s="1"/>
  <c r="V680" i="5" s="1"/>
  <c r="P680" i="5"/>
  <c r="AE680" i="5" s="1"/>
  <c r="AF680" i="5" s="1"/>
  <c r="O680" i="5"/>
  <c r="N680" i="5"/>
  <c r="AC679" i="5"/>
  <c r="AD679" i="5" s="1"/>
  <c r="AA679" i="5"/>
  <c r="AB679" i="5" s="1"/>
  <c r="Y679" i="5"/>
  <c r="Z679" i="5" s="1"/>
  <c r="W679" i="5"/>
  <c r="X679" i="5" s="1"/>
  <c r="Q679" i="5"/>
  <c r="R679" i="5" s="1"/>
  <c r="S679" i="5" s="1"/>
  <c r="T679" i="5" s="1"/>
  <c r="U679" i="5" s="1"/>
  <c r="V679" i="5" s="1"/>
  <c r="P679" i="5"/>
  <c r="AE679" i="5" s="1"/>
  <c r="AF679" i="5" s="1"/>
  <c r="O679" i="5"/>
  <c r="N679" i="5"/>
  <c r="AC678" i="5"/>
  <c r="AD678" i="5" s="1"/>
  <c r="AA678" i="5"/>
  <c r="AB678" i="5" s="1"/>
  <c r="Y678" i="5"/>
  <c r="Z678" i="5" s="1"/>
  <c r="W678" i="5"/>
  <c r="X678" i="5" s="1"/>
  <c r="Q678" i="5"/>
  <c r="R678" i="5" s="1"/>
  <c r="S678" i="5" s="1"/>
  <c r="T678" i="5" s="1"/>
  <c r="U678" i="5" s="1"/>
  <c r="V678" i="5" s="1"/>
  <c r="P678" i="5"/>
  <c r="AE678" i="5" s="1"/>
  <c r="AF678" i="5" s="1"/>
  <c r="O678" i="5"/>
  <c r="N678" i="5"/>
  <c r="AC677" i="5"/>
  <c r="AD677" i="5" s="1"/>
  <c r="AA677" i="5"/>
  <c r="AB677" i="5" s="1"/>
  <c r="Y677" i="5"/>
  <c r="Z677" i="5" s="1"/>
  <c r="W677" i="5"/>
  <c r="X677" i="5" s="1"/>
  <c r="Q677" i="5"/>
  <c r="R677" i="5" s="1"/>
  <c r="S677" i="5" s="1"/>
  <c r="T677" i="5" s="1"/>
  <c r="U677" i="5" s="1"/>
  <c r="V677" i="5" s="1"/>
  <c r="P677" i="5"/>
  <c r="AE677" i="5" s="1"/>
  <c r="AF677" i="5" s="1"/>
  <c r="O677" i="5"/>
  <c r="N677" i="5"/>
  <c r="AC676" i="5"/>
  <c r="AD676" i="5" s="1"/>
  <c r="AA676" i="5"/>
  <c r="AB676" i="5" s="1"/>
  <c r="Y676" i="5"/>
  <c r="Z676" i="5" s="1"/>
  <c r="W676" i="5"/>
  <c r="X676" i="5" s="1"/>
  <c r="Q676" i="5"/>
  <c r="R676" i="5" s="1"/>
  <c r="S676" i="5" s="1"/>
  <c r="T676" i="5" s="1"/>
  <c r="U676" i="5" s="1"/>
  <c r="V676" i="5" s="1"/>
  <c r="P676" i="5"/>
  <c r="AE676" i="5" s="1"/>
  <c r="AF676" i="5" s="1"/>
  <c r="O676" i="5"/>
  <c r="N676" i="5"/>
  <c r="AC675" i="5"/>
  <c r="AD675" i="5" s="1"/>
  <c r="AA675" i="5"/>
  <c r="AB675" i="5" s="1"/>
  <c r="Y675" i="5"/>
  <c r="Z675" i="5" s="1"/>
  <c r="W675" i="5"/>
  <c r="X675" i="5" s="1"/>
  <c r="Q675" i="5"/>
  <c r="R675" i="5" s="1"/>
  <c r="S675" i="5" s="1"/>
  <c r="T675" i="5" s="1"/>
  <c r="U675" i="5" s="1"/>
  <c r="V675" i="5" s="1"/>
  <c r="P675" i="5"/>
  <c r="AE675" i="5" s="1"/>
  <c r="AF675" i="5" s="1"/>
  <c r="O675" i="5"/>
  <c r="N675" i="5"/>
  <c r="AC674" i="5"/>
  <c r="AD674" i="5" s="1"/>
  <c r="AA674" i="5"/>
  <c r="AB674" i="5" s="1"/>
  <c r="Y674" i="5"/>
  <c r="Z674" i="5" s="1"/>
  <c r="W674" i="5"/>
  <c r="X674" i="5" s="1"/>
  <c r="Q674" i="5"/>
  <c r="R674" i="5" s="1"/>
  <c r="S674" i="5" s="1"/>
  <c r="T674" i="5" s="1"/>
  <c r="U674" i="5" s="1"/>
  <c r="V674" i="5" s="1"/>
  <c r="P674" i="5"/>
  <c r="AE674" i="5" s="1"/>
  <c r="AF674" i="5" s="1"/>
  <c r="O674" i="5"/>
  <c r="N674" i="5"/>
  <c r="AC673" i="5"/>
  <c r="AD673" i="5" s="1"/>
  <c r="AA673" i="5"/>
  <c r="AB673" i="5" s="1"/>
  <c r="Y673" i="5"/>
  <c r="Z673" i="5" s="1"/>
  <c r="W673" i="5"/>
  <c r="X673" i="5" s="1"/>
  <c r="Q673" i="5"/>
  <c r="R673" i="5" s="1"/>
  <c r="S673" i="5" s="1"/>
  <c r="T673" i="5" s="1"/>
  <c r="U673" i="5" s="1"/>
  <c r="V673" i="5" s="1"/>
  <c r="P673" i="5"/>
  <c r="AE673" i="5" s="1"/>
  <c r="AF673" i="5" s="1"/>
  <c r="O673" i="5"/>
  <c r="N673" i="5"/>
  <c r="AC672" i="5"/>
  <c r="AD672" i="5" s="1"/>
  <c r="AA672" i="5"/>
  <c r="AB672" i="5" s="1"/>
  <c r="Y672" i="5"/>
  <c r="Z672" i="5" s="1"/>
  <c r="W672" i="5"/>
  <c r="X672" i="5" s="1"/>
  <c r="Q672" i="5"/>
  <c r="R672" i="5" s="1"/>
  <c r="S672" i="5" s="1"/>
  <c r="T672" i="5" s="1"/>
  <c r="U672" i="5" s="1"/>
  <c r="V672" i="5" s="1"/>
  <c r="P672" i="5"/>
  <c r="AE672" i="5" s="1"/>
  <c r="AF672" i="5" s="1"/>
  <c r="O672" i="5"/>
  <c r="N672" i="5"/>
  <c r="AC671" i="5"/>
  <c r="AD671" i="5" s="1"/>
  <c r="AA671" i="5"/>
  <c r="AB671" i="5" s="1"/>
  <c r="Y671" i="5"/>
  <c r="Z671" i="5" s="1"/>
  <c r="W671" i="5"/>
  <c r="X671" i="5" s="1"/>
  <c r="Q671" i="5"/>
  <c r="R671" i="5" s="1"/>
  <c r="S671" i="5" s="1"/>
  <c r="T671" i="5" s="1"/>
  <c r="U671" i="5" s="1"/>
  <c r="V671" i="5" s="1"/>
  <c r="P671" i="5"/>
  <c r="AE671" i="5" s="1"/>
  <c r="AF671" i="5" s="1"/>
  <c r="O671" i="5"/>
  <c r="N671" i="5"/>
  <c r="AC670" i="5"/>
  <c r="AD670" i="5" s="1"/>
  <c r="AA670" i="5"/>
  <c r="AB670" i="5" s="1"/>
  <c r="Y670" i="5"/>
  <c r="Z670" i="5" s="1"/>
  <c r="W670" i="5"/>
  <c r="X670" i="5" s="1"/>
  <c r="Q670" i="5"/>
  <c r="R670" i="5" s="1"/>
  <c r="S670" i="5" s="1"/>
  <c r="T670" i="5" s="1"/>
  <c r="U670" i="5" s="1"/>
  <c r="V670" i="5" s="1"/>
  <c r="P670" i="5"/>
  <c r="AE670" i="5" s="1"/>
  <c r="AF670" i="5" s="1"/>
  <c r="O670" i="5"/>
  <c r="N670" i="5"/>
  <c r="AC669" i="5"/>
  <c r="AD669" i="5" s="1"/>
  <c r="AA669" i="5"/>
  <c r="AB669" i="5" s="1"/>
  <c r="Y669" i="5"/>
  <c r="Z669" i="5" s="1"/>
  <c r="W669" i="5"/>
  <c r="X669" i="5" s="1"/>
  <c r="Q669" i="5"/>
  <c r="R669" i="5" s="1"/>
  <c r="S669" i="5" s="1"/>
  <c r="T669" i="5" s="1"/>
  <c r="U669" i="5" s="1"/>
  <c r="V669" i="5" s="1"/>
  <c r="P669" i="5"/>
  <c r="AE669" i="5" s="1"/>
  <c r="AF669" i="5" s="1"/>
  <c r="O669" i="5"/>
  <c r="N669" i="5"/>
  <c r="AC668" i="5"/>
  <c r="AD668" i="5" s="1"/>
  <c r="AA668" i="5"/>
  <c r="AB668" i="5" s="1"/>
  <c r="Y668" i="5"/>
  <c r="Z668" i="5" s="1"/>
  <c r="W668" i="5"/>
  <c r="X668" i="5" s="1"/>
  <c r="Q668" i="5"/>
  <c r="R668" i="5" s="1"/>
  <c r="S668" i="5" s="1"/>
  <c r="T668" i="5" s="1"/>
  <c r="U668" i="5" s="1"/>
  <c r="V668" i="5" s="1"/>
  <c r="P668" i="5"/>
  <c r="AE668" i="5" s="1"/>
  <c r="AF668" i="5" s="1"/>
  <c r="O668" i="5"/>
  <c r="N668" i="5"/>
  <c r="AC667" i="5"/>
  <c r="AD667" i="5" s="1"/>
  <c r="AA667" i="5"/>
  <c r="AB667" i="5" s="1"/>
  <c r="Y667" i="5"/>
  <c r="Z667" i="5" s="1"/>
  <c r="W667" i="5"/>
  <c r="X667" i="5" s="1"/>
  <c r="Q667" i="5"/>
  <c r="R667" i="5" s="1"/>
  <c r="S667" i="5" s="1"/>
  <c r="T667" i="5" s="1"/>
  <c r="U667" i="5" s="1"/>
  <c r="V667" i="5" s="1"/>
  <c r="P667" i="5"/>
  <c r="AE667" i="5" s="1"/>
  <c r="AF667" i="5" s="1"/>
  <c r="O667" i="5"/>
  <c r="N667" i="5"/>
  <c r="AC666" i="5"/>
  <c r="AD666" i="5" s="1"/>
  <c r="AA666" i="5"/>
  <c r="AB666" i="5" s="1"/>
  <c r="Y666" i="5"/>
  <c r="Z666" i="5" s="1"/>
  <c r="W666" i="5"/>
  <c r="X666" i="5" s="1"/>
  <c r="Q666" i="5"/>
  <c r="R666" i="5" s="1"/>
  <c r="S666" i="5" s="1"/>
  <c r="T666" i="5" s="1"/>
  <c r="U666" i="5" s="1"/>
  <c r="V666" i="5" s="1"/>
  <c r="P666" i="5"/>
  <c r="AE666" i="5" s="1"/>
  <c r="AF666" i="5" s="1"/>
  <c r="O666" i="5"/>
  <c r="N666" i="5"/>
  <c r="AC665" i="5"/>
  <c r="AD665" i="5" s="1"/>
  <c r="AA665" i="5"/>
  <c r="AB665" i="5" s="1"/>
  <c r="Y665" i="5"/>
  <c r="Z665" i="5" s="1"/>
  <c r="W665" i="5"/>
  <c r="X665" i="5" s="1"/>
  <c r="Q665" i="5"/>
  <c r="R665" i="5" s="1"/>
  <c r="S665" i="5" s="1"/>
  <c r="T665" i="5" s="1"/>
  <c r="U665" i="5" s="1"/>
  <c r="V665" i="5" s="1"/>
  <c r="P665" i="5"/>
  <c r="AE665" i="5" s="1"/>
  <c r="AF665" i="5" s="1"/>
  <c r="O665" i="5"/>
  <c r="N665" i="5"/>
  <c r="AC664" i="5"/>
  <c r="AD664" i="5" s="1"/>
  <c r="AA664" i="5"/>
  <c r="AB664" i="5" s="1"/>
  <c r="Y664" i="5"/>
  <c r="Z664" i="5" s="1"/>
  <c r="W664" i="5"/>
  <c r="X664" i="5" s="1"/>
  <c r="Q664" i="5"/>
  <c r="R664" i="5" s="1"/>
  <c r="S664" i="5" s="1"/>
  <c r="T664" i="5" s="1"/>
  <c r="U664" i="5" s="1"/>
  <c r="V664" i="5" s="1"/>
  <c r="P664" i="5"/>
  <c r="AE664" i="5" s="1"/>
  <c r="AF664" i="5" s="1"/>
  <c r="O664" i="5"/>
  <c r="N664" i="5"/>
  <c r="AC663" i="5"/>
  <c r="AD663" i="5" s="1"/>
  <c r="AA663" i="5"/>
  <c r="AB663" i="5" s="1"/>
  <c r="Y663" i="5"/>
  <c r="Z663" i="5" s="1"/>
  <c r="W663" i="5"/>
  <c r="X663" i="5" s="1"/>
  <c r="Q663" i="5"/>
  <c r="R663" i="5" s="1"/>
  <c r="S663" i="5" s="1"/>
  <c r="T663" i="5" s="1"/>
  <c r="U663" i="5" s="1"/>
  <c r="V663" i="5" s="1"/>
  <c r="P663" i="5"/>
  <c r="AE663" i="5" s="1"/>
  <c r="AF663" i="5" s="1"/>
  <c r="O663" i="5"/>
  <c r="N663" i="5"/>
  <c r="AC662" i="5"/>
  <c r="AD662" i="5" s="1"/>
  <c r="AA662" i="5"/>
  <c r="AB662" i="5" s="1"/>
  <c r="Y662" i="5"/>
  <c r="Z662" i="5" s="1"/>
  <c r="W662" i="5"/>
  <c r="X662" i="5" s="1"/>
  <c r="Q662" i="5"/>
  <c r="R662" i="5" s="1"/>
  <c r="S662" i="5" s="1"/>
  <c r="T662" i="5" s="1"/>
  <c r="U662" i="5" s="1"/>
  <c r="V662" i="5" s="1"/>
  <c r="P662" i="5"/>
  <c r="AE662" i="5" s="1"/>
  <c r="AF662" i="5" s="1"/>
  <c r="O662" i="5"/>
  <c r="N662" i="5"/>
  <c r="AC661" i="5"/>
  <c r="AD661" i="5" s="1"/>
  <c r="AA661" i="5"/>
  <c r="AB661" i="5" s="1"/>
  <c r="Y661" i="5"/>
  <c r="Z661" i="5" s="1"/>
  <c r="W661" i="5"/>
  <c r="X661" i="5" s="1"/>
  <c r="Q661" i="5"/>
  <c r="R661" i="5" s="1"/>
  <c r="S661" i="5" s="1"/>
  <c r="T661" i="5" s="1"/>
  <c r="U661" i="5" s="1"/>
  <c r="V661" i="5" s="1"/>
  <c r="P661" i="5"/>
  <c r="AE661" i="5" s="1"/>
  <c r="AF661" i="5" s="1"/>
  <c r="O661" i="5"/>
  <c r="N661" i="5"/>
  <c r="AC660" i="5"/>
  <c r="AD660" i="5" s="1"/>
  <c r="AA660" i="5"/>
  <c r="AB660" i="5" s="1"/>
  <c r="Y660" i="5"/>
  <c r="Z660" i="5" s="1"/>
  <c r="W660" i="5"/>
  <c r="X660" i="5" s="1"/>
  <c r="Q660" i="5"/>
  <c r="R660" i="5" s="1"/>
  <c r="S660" i="5" s="1"/>
  <c r="T660" i="5" s="1"/>
  <c r="U660" i="5" s="1"/>
  <c r="V660" i="5" s="1"/>
  <c r="P660" i="5"/>
  <c r="AE660" i="5" s="1"/>
  <c r="AF660" i="5" s="1"/>
  <c r="O660" i="5"/>
  <c r="N660" i="5"/>
  <c r="AC659" i="5"/>
  <c r="AD659" i="5" s="1"/>
  <c r="AA659" i="5"/>
  <c r="AB659" i="5" s="1"/>
  <c r="Y659" i="5"/>
  <c r="Z659" i="5" s="1"/>
  <c r="W659" i="5"/>
  <c r="X659" i="5" s="1"/>
  <c r="Q659" i="5"/>
  <c r="R659" i="5" s="1"/>
  <c r="S659" i="5" s="1"/>
  <c r="T659" i="5" s="1"/>
  <c r="U659" i="5" s="1"/>
  <c r="V659" i="5" s="1"/>
  <c r="P659" i="5"/>
  <c r="AE659" i="5" s="1"/>
  <c r="AF659" i="5" s="1"/>
  <c r="O659" i="5"/>
  <c r="N659" i="5"/>
  <c r="AC658" i="5"/>
  <c r="AD658" i="5" s="1"/>
  <c r="AA658" i="5"/>
  <c r="AB658" i="5" s="1"/>
  <c r="Y658" i="5"/>
  <c r="Z658" i="5" s="1"/>
  <c r="W658" i="5"/>
  <c r="X658" i="5" s="1"/>
  <c r="Q658" i="5"/>
  <c r="R658" i="5" s="1"/>
  <c r="S658" i="5" s="1"/>
  <c r="T658" i="5" s="1"/>
  <c r="U658" i="5" s="1"/>
  <c r="V658" i="5" s="1"/>
  <c r="P658" i="5"/>
  <c r="AE658" i="5" s="1"/>
  <c r="AF658" i="5" s="1"/>
  <c r="O658" i="5"/>
  <c r="N658" i="5"/>
  <c r="AC657" i="5"/>
  <c r="AD657" i="5" s="1"/>
  <c r="AA657" i="5"/>
  <c r="AB657" i="5" s="1"/>
  <c r="Y657" i="5"/>
  <c r="Z657" i="5" s="1"/>
  <c r="W657" i="5"/>
  <c r="X657" i="5" s="1"/>
  <c r="Q657" i="5"/>
  <c r="R657" i="5" s="1"/>
  <c r="S657" i="5" s="1"/>
  <c r="T657" i="5" s="1"/>
  <c r="U657" i="5" s="1"/>
  <c r="V657" i="5" s="1"/>
  <c r="P657" i="5"/>
  <c r="AE657" i="5" s="1"/>
  <c r="AF657" i="5" s="1"/>
  <c r="O657" i="5"/>
  <c r="N657" i="5"/>
  <c r="AC656" i="5"/>
  <c r="AD656" i="5" s="1"/>
  <c r="AA656" i="5"/>
  <c r="AB656" i="5" s="1"/>
  <c r="Y656" i="5"/>
  <c r="Z656" i="5" s="1"/>
  <c r="W656" i="5"/>
  <c r="X656" i="5" s="1"/>
  <c r="Q656" i="5"/>
  <c r="R656" i="5" s="1"/>
  <c r="S656" i="5" s="1"/>
  <c r="T656" i="5" s="1"/>
  <c r="U656" i="5" s="1"/>
  <c r="V656" i="5" s="1"/>
  <c r="P656" i="5"/>
  <c r="AE656" i="5" s="1"/>
  <c r="AF656" i="5" s="1"/>
  <c r="O656" i="5"/>
  <c r="N656" i="5"/>
  <c r="AC655" i="5"/>
  <c r="AD655" i="5" s="1"/>
  <c r="AA655" i="5"/>
  <c r="AB655" i="5" s="1"/>
  <c r="Y655" i="5"/>
  <c r="Z655" i="5" s="1"/>
  <c r="W655" i="5"/>
  <c r="X655" i="5" s="1"/>
  <c r="Q655" i="5"/>
  <c r="R655" i="5" s="1"/>
  <c r="S655" i="5" s="1"/>
  <c r="T655" i="5" s="1"/>
  <c r="U655" i="5" s="1"/>
  <c r="V655" i="5" s="1"/>
  <c r="P655" i="5"/>
  <c r="AE655" i="5" s="1"/>
  <c r="AF655" i="5" s="1"/>
  <c r="O655" i="5"/>
  <c r="N655" i="5"/>
  <c r="AC654" i="5"/>
  <c r="AD654" i="5" s="1"/>
  <c r="AA654" i="5"/>
  <c r="AB654" i="5" s="1"/>
  <c r="Y654" i="5"/>
  <c r="Z654" i="5" s="1"/>
  <c r="W654" i="5"/>
  <c r="X654" i="5" s="1"/>
  <c r="Q654" i="5"/>
  <c r="R654" i="5" s="1"/>
  <c r="S654" i="5" s="1"/>
  <c r="T654" i="5" s="1"/>
  <c r="U654" i="5" s="1"/>
  <c r="V654" i="5" s="1"/>
  <c r="P654" i="5"/>
  <c r="AE654" i="5" s="1"/>
  <c r="AF654" i="5" s="1"/>
  <c r="O654" i="5"/>
  <c r="N654" i="5"/>
  <c r="AC653" i="5"/>
  <c r="AD653" i="5" s="1"/>
  <c r="AA653" i="5"/>
  <c r="AB653" i="5" s="1"/>
  <c r="Y653" i="5"/>
  <c r="Z653" i="5" s="1"/>
  <c r="W653" i="5"/>
  <c r="X653" i="5" s="1"/>
  <c r="Q653" i="5"/>
  <c r="R653" i="5" s="1"/>
  <c r="S653" i="5" s="1"/>
  <c r="T653" i="5" s="1"/>
  <c r="U653" i="5" s="1"/>
  <c r="V653" i="5" s="1"/>
  <c r="P653" i="5"/>
  <c r="AE653" i="5" s="1"/>
  <c r="AF653" i="5" s="1"/>
  <c r="O653" i="5"/>
  <c r="N653" i="5"/>
  <c r="AC652" i="5"/>
  <c r="AD652" i="5" s="1"/>
  <c r="AA652" i="5"/>
  <c r="AB652" i="5" s="1"/>
  <c r="Y652" i="5"/>
  <c r="Z652" i="5" s="1"/>
  <c r="W652" i="5"/>
  <c r="X652" i="5" s="1"/>
  <c r="Q652" i="5"/>
  <c r="R652" i="5" s="1"/>
  <c r="S652" i="5" s="1"/>
  <c r="T652" i="5" s="1"/>
  <c r="U652" i="5" s="1"/>
  <c r="V652" i="5" s="1"/>
  <c r="P652" i="5"/>
  <c r="AE652" i="5" s="1"/>
  <c r="AF652" i="5" s="1"/>
  <c r="O652" i="5"/>
  <c r="N652" i="5"/>
  <c r="AC651" i="5"/>
  <c r="AD651" i="5" s="1"/>
  <c r="AA651" i="5"/>
  <c r="AB651" i="5" s="1"/>
  <c r="Y651" i="5"/>
  <c r="Z651" i="5" s="1"/>
  <c r="W651" i="5"/>
  <c r="X651" i="5" s="1"/>
  <c r="Q651" i="5"/>
  <c r="R651" i="5" s="1"/>
  <c r="S651" i="5" s="1"/>
  <c r="T651" i="5" s="1"/>
  <c r="U651" i="5" s="1"/>
  <c r="V651" i="5" s="1"/>
  <c r="P651" i="5"/>
  <c r="AE651" i="5" s="1"/>
  <c r="AF651" i="5" s="1"/>
  <c r="O651" i="5"/>
  <c r="N651" i="5"/>
  <c r="AC650" i="5"/>
  <c r="AD650" i="5" s="1"/>
  <c r="AA650" i="5"/>
  <c r="AB650" i="5" s="1"/>
  <c r="Y650" i="5"/>
  <c r="Z650" i="5" s="1"/>
  <c r="W650" i="5"/>
  <c r="X650" i="5" s="1"/>
  <c r="Q650" i="5"/>
  <c r="R650" i="5" s="1"/>
  <c r="S650" i="5" s="1"/>
  <c r="T650" i="5" s="1"/>
  <c r="U650" i="5" s="1"/>
  <c r="V650" i="5" s="1"/>
  <c r="P650" i="5"/>
  <c r="AE650" i="5" s="1"/>
  <c r="AF650" i="5" s="1"/>
  <c r="O650" i="5"/>
  <c r="N650" i="5"/>
  <c r="AC649" i="5"/>
  <c r="AD649" i="5" s="1"/>
  <c r="AA649" i="5"/>
  <c r="AB649" i="5" s="1"/>
  <c r="Y649" i="5"/>
  <c r="Z649" i="5" s="1"/>
  <c r="W649" i="5"/>
  <c r="X649" i="5" s="1"/>
  <c r="Q649" i="5"/>
  <c r="R649" i="5" s="1"/>
  <c r="S649" i="5" s="1"/>
  <c r="T649" i="5" s="1"/>
  <c r="U649" i="5" s="1"/>
  <c r="V649" i="5" s="1"/>
  <c r="P649" i="5"/>
  <c r="AE649" i="5" s="1"/>
  <c r="AF649" i="5" s="1"/>
  <c r="O649" i="5"/>
  <c r="N649" i="5"/>
  <c r="AC648" i="5"/>
  <c r="AD648" i="5" s="1"/>
  <c r="AA648" i="5"/>
  <c r="AB648" i="5" s="1"/>
  <c r="Y648" i="5"/>
  <c r="Z648" i="5" s="1"/>
  <c r="W648" i="5"/>
  <c r="X648" i="5" s="1"/>
  <c r="Q648" i="5"/>
  <c r="R648" i="5" s="1"/>
  <c r="S648" i="5" s="1"/>
  <c r="T648" i="5" s="1"/>
  <c r="U648" i="5" s="1"/>
  <c r="V648" i="5" s="1"/>
  <c r="P648" i="5"/>
  <c r="AE648" i="5" s="1"/>
  <c r="AF648" i="5" s="1"/>
  <c r="O648" i="5"/>
  <c r="N648" i="5"/>
  <c r="AC647" i="5"/>
  <c r="AD647" i="5" s="1"/>
  <c r="AA647" i="5"/>
  <c r="AB647" i="5" s="1"/>
  <c r="Y647" i="5"/>
  <c r="Z647" i="5" s="1"/>
  <c r="W647" i="5"/>
  <c r="X647" i="5" s="1"/>
  <c r="Q647" i="5"/>
  <c r="R647" i="5" s="1"/>
  <c r="S647" i="5" s="1"/>
  <c r="T647" i="5" s="1"/>
  <c r="U647" i="5" s="1"/>
  <c r="V647" i="5" s="1"/>
  <c r="P647" i="5"/>
  <c r="AE647" i="5" s="1"/>
  <c r="AF647" i="5" s="1"/>
  <c r="O647" i="5"/>
  <c r="N647" i="5"/>
  <c r="AC646" i="5"/>
  <c r="AD646" i="5" s="1"/>
  <c r="AA646" i="5"/>
  <c r="AB646" i="5" s="1"/>
  <c r="Y646" i="5"/>
  <c r="Z646" i="5" s="1"/>
  <c r="W646" i="5"/>
  <c r="X646" i="5" s="1"/>
  <c r="Q646" i="5"/>
  <c r="R646" i="5" s="1"/>
  <c r="S646" i="5" s="1"/>
  <c r="T646" i="5" s="1"/>
  <c r="U646" i="5" s="1"/>
  <c r="V646" i="5" s="1"/>
  <c r="P646" i="5"/>
  <c r="AE646" i="5" s="1"/>
  <c r="AF646" i="5" s="1"/>
  <c r="O646" i="5"/>
  <c r="N646" i="5"/>
  <c r="AC645" i="5"/>
  <c r="AD645" i="5" s="1"/>
  <c r="AA645" i="5"/>
  <c r="AB645" i="5" s="1"/>
  <c r="Y645" i="5"/>
  <c r="Z645" i="5" s="1"/>
  <c r="W645" i="5"/>
  <c r="X645" i="5" s="1"/>
  <c r="Q645" i="5"/>
  <c r="R645" i="5" s="1"/>
  <c r="S645" i="5" s="1"/>
  <c r="T645" i="5" s="1"/>
  <c r="U645" i="5" s="1"/>
  <c r="V645" i="5" s="1"/>
  <c r="P645" i="5"/>
  <c r="AE645" i="5" s="1"/>
  <c r="AF645" i="5" s="1"/>
  <c r="O645" i="5"/>
  <c r="N645" i="5"/>
  <c r="AC644" i="5"/>
  <c r="AD644" i="5" s="1"/>
  <c r="AA644" i="5"/>
  <c r="AB644" i="5" s="1"/>
  <c r="Y644" i="5"/>
  <c r="Z644" i="5" s="1"/>
  <c r="W644" i="5"/>
  <c r="X644" i="5" s="1"/>
  <c r="Q644" i="5"/>
  <c r="R644" i="5" s="1"/>
  <c r="S644" i="5" s="1"/>
  <c r="T644" i="5" s="1"/>
  <c r="U644" i="5" s="1"/>
  <c r="V644" i="5" s="1"/>
  <c r="P644" i="5"/>
  <c r="AE644" i="5" s="1"/>
  <c r="AF644" i="5" s="1"/>
  <c r="O644" i="5"/>
  <c r="N644" i="5"/>
  <c r="AC643" i="5"/>
  <c r="AD643" i="5" s="1"/>
  <c r="AA643" i="5"/>
  <c r="AB643" i="5" s="1"/>
  <c r="Y643" i="5"/>
  <c r="Z643" i="5" s="1"/>
  <c r="W643" i="5"/>
  <c r="X643" i="5" s="1"/>
  <c r="Q643" i="5"/>
  <c r="R643" i="5" s="1"/>
  <c r="S643" i="5" s="1"/>
  <c r="T643" i="5" s="1"/>
  <c r="U643" i="5" s="1"/>
  <c r="V643" i="5" s="1"/>
  <c r="P643" i="5"/>
  <c r="AE643" i="5" s="1"/>
  <c r="AF643" i="5" s="1"/>
  <c r="O643" i="5"/>
  <c r="N643" i="5"/>
  <c r="AC642" i="5"/>
  <c r="AD642" i="5" s="1"/>
  <c r="AA642" i="5"/>
  <c r="AB642" i="5" s="1"/>
  <c r="Y642" i="5"/>
  <c r="Z642" i="5" s="1"/>
  <c r="W642" i="5"/>
  <c r="X642" i="5" s="1"/>
  <c r="Q642" i="5"/>
  <c r="R642" i="5" s="1"/>
  <c r="S642" i="5" s="1"/>
  <c r="T642" i="5" s="1"/>
  <c r="U642" i="5" s="1"/>
  <c r="V642" i="5" s="1"/>
  <c r="P642" i="5"/>
  <c r="AE642" i="5" s="1"/>
  <c r="AF642" i="5" s="1"/>
  <c r="O642" i="5"/>
  <c r="N642" i="5"/>
  <c r="AC641" i="5"/>
  <c r="AD641" i="5" s="1"/>
  <c r="AA641" i="5"/>
  <c r="AB641" i="5" s="1"/>
  <c r="Y641" i="5"/>
  <c r="Z641" i="5" s="1"/>
  <c r="W641" i="5"/>
  <c r="X641" i="5" s="1"/>
  <c r="Q641" i="5"/>
  <c r="R641" i="5" s="1"/>
  <c r="S641" i="5" s="1"/>
  <c r="T641" i="5" s="1"/>
  <c r="U641" i="5" s="1"/>
  <c r="V641" i="5" s="1"/>
  <c r="P641" i="5"/>
  <c r="AE641" i="5" s="1"/>
  <c r="AF641" i="5" s="1"/>
  <c r="O641" i="5"/>
  <c r="N641" i="5"/>
  <c r="AC640" i="5"/>
  <c r="AD640" i="5" s="1"/>
  <c r="AA640" i="5"/>
  <c r="AB640" i="5" s="1"/>
  <c r="Y640" i="5"/>
  <c r="Z640" i="5" s="1"/>
  <c r="W640" i="5"/>
  <c r="X640" i="5" s="1"/>
  <c r="Q640" i="5"/>
  <c r="R640" i="5" s="1"/>
  <c r="S640" i="5" s="1"/>
  <c r="T640" i="5" s="1"/>
  <c r="U640" i="5" s="1"/>
  <c r="V640" i="5" s="1"/>
  <c r="P640" i="5"/>
  <c r="AE640" i="5" s="1"/>
  <c r="AF640" i="5" s="1"/>
  <c r="O640" i="5"/>
  <c r="N640" i="5"/>
  <c r="AC639" i="5"/>
  <c r="AD639" i="5" s="1"/>
  <c r="AA639" i="5"/>
  <c r="AB639" i="5" s="1"/>
  <c r="Y639" i="5"/>
  <c r="Z639" i="5" s="1"/>
  <c r="W639" i="5"/>
  <c r="X639" i="5" s="1"/>
  <c r="Q639" i="5"/>
  <c r="R639" i="5" s="1"/>
  <c r="S639" i="5" s="1"/>
  <c r="T639" i="5" s="1"/>
  <c r="U639" i="5" s="1"/>
  <c r="V639" i="5" s="1"/>
  <c r="P639" i="5"/>
  <c r="AE639" i="5" s="1"/>
  <c r="AF639" i="5" s="1"/>
  <c r="O639" i="5"/>
  <c r="N639" i="5"/>
  <c r="AC638" i="5"/>
  <c r="AD638" i="5" s="1"/>
  <c r="AA638" i="5"/>
  <c r="AB638" i="5" s="1"/>
  <c r="Y638" i="5"/>
  <c r="Z638" i="5" s="1"/>
  <c r="W638" i="5"/>
  <c r="X638" i="5" s="1"/>
  <c r="Q638" i="5"/>
  <c r="R638" i="5" s="1"/>
  <c r="S638" i="5" s="1"/>
  <c r="T638" i="5" s="1"/>
  <c r="U638" i="5" s="1"/>
  <c r="V638" i="5" s="1"/>
  <c r="P638" i="5"/>
  <c r="AE638" i="5" s="1"/>
  <c r="AF638" i="5" s="1"/>
  <c r="O638" i="5"/>
  <c r="N638" i="5"/>
  <c r="AC637" i="5"/>
  <c r="AD637" i="5" s="1"/>
  <c r="AA637" i="5"/>
  <c r="AB637" i="5" s="1"/>
  <c r="Y637" i="5"/>
  <c r="Z637" i="5" s="1"/>
  <c r="W637" i="5"/>
  <c r="X637" i="5" s="1"/>
  <c r="Q637" i="5"/>
  <c r="R637" i="5" s="1"/>
  <c r="S637" i="5" s="1"/>
  <c r="T637" i="5" s="1"/>
  <c r="U637" i="5" s="1"/>
  <c r="V637" i="5" s="1"/>
  <c r="P637" i="5"/>
  <c r="AE637" i="5" s="1"/>
  <c r="AF637" i="5" s="1"/>
  <c r="O637" i="5"/>
  <c r="N637" i="5"/>
  <c r="AC636" i="5"/>
  <c r="AD636" i="5" s="1"/>
  <c r="AA636" i="5"/>
  <c r="AB636" i="5" s="1"/>
  <c r="Y636" i="5"/>
  <c r="Z636" i="5" s="1"/>
  <c r="W636" i="5"/>
  <c r="X636" i="5" s="1"/>
  <c r="Q636" i="5"/>
  <c r="R636" i="5" s="1"/>
  <c r="S636" i="5" s="1"/>
  <c r="T636" i="5" s="1"/>
  <c r="U636" i="5" s="1"/>
  <c r="V636" i="5" s="1"/>
  <c r="P636" i="5"/>
  <c r="AE636" i="5" s="1"/>
  <c r="AF636" i="5" s="1"/>
  <c r="O636" i="5"/>
  <c r="N636" i="5"/>
  <c r="AC635" i="5"/>
  <c r="AD635" i="5" s="1"/>
  <c r="AA635" i="5"/>
  <c r="AB635" i="5" s="1"/>
  <c r="Y635" i="5"/>
  <c r="Z635" i="5" s="1"/>
  <c r="W635" i="5"/>
  <c r="X635" i="5" s="1"/>
  <c r="Q635" i="5"/>
  <c r="R635" i="5" s="1"/>
  <c r="S635" i="5" s="1"/>
  <c r="T635" i="5" s="1"/>
  <c r="U635" i="5" s="1"/>
  <c r="V635" i="5" s="1"/>
  <c r="P635" i="5"/>
  <c r="AE635" i="5" s="1"/>
  <c r="AF635" i="5" s="1"/>
  <c r="O635" i="5"/>
  <c r="N635" i="5"/>
  <c r="AC634" i="5"/>
  <c r="AD634" i="5" s="1"/>
  <c r="AA634" i="5"/>
  <c r="AB634" i="5" s="1"/>
  <c r="Y634" i="5"/>
  <c r="Z634" i="5" s="1"/>
  <c r="W634" i="5"/>
  <c r="X634" i="5" s="1"/>
  <c r="Q634" i="5"/>
  <c r="R634" i="5" s="1"/>
  <c r="S634" i="5" s="1"/>
  <c r="T634" i="5" s="1"/>
  <c r="U634" i="5" s="1"/>
  <c r="V634" i="5" s="1"/>
  <c r="P634" i="5"/>
  <c r="AE634" i="5" s="1"/>
  <c r="AF634" i="5" s="1"/>
  <c r="O634" i="5"/>
  <c r="N634" i="5"/>
  <c r="AC633" i="5"/>
  <c r="AD633" i="5" s="1"/>
  <c r="AA633" i="5"/>
  <c r="AB633" i="5" s="1"/>
  <c r="Y633" i="5"/>
  <c r="Z633" i="5" s="1"/>
  <c r="W633" i="5"/>
  <c r="X633" i="5" s="1"/>
  <c r="Q633" i="5"/>
  <c r="R633" i="5" s="1"/>
  <c r="S633" i="5" s="1"/>
  <c r="T633" i="5" s="1"/>
  <c r="U633" i="5" s="1"/>
  <c r="V633" i="5" s="1"/>
  <c r="P633" i="5"/>
  <c r="AE633" i="5" s="1"/>
  <c r="AF633" i="5" s="1"/>
  <c r="O633" i="5"/>
  <c r="N633" i="5"/>
  <c r="AC632" i="5"/>
  <c r="AD632" i="5" s="1"/>
  <c r="AA632" i="5"/>
  <c r="AB632" i="5" s="1"/>
  <c r="Y632" i="5"/>
  <c r="Z632" i="5" s="1"/>
  <c r="W632" i="5"/>
  <c r="X632" i="5" s="1"/>
  <c r="Q632" i="5"/>
  <c r="R632" i="5" s="1"/>
  <c r="S632" i="5" s="1"/>
  <c r="T632" i="5" s="1"/>
  <c r="U632" i="5" s="1"/>
  <c r="V632" i="5" s="1"/>
  <c r="P632" i="5"/>
  <c r="AE632" i="5" s="1"/>
  <c r="AF632" i="5" s="1"/>
  <c r="O632" i="5"/>
  <c r="N632" i="5"/>
  <c r="AC631" i="5"/>
  <c r="AD631" i="5" s="1"/>
  <c r="AA631" i="5"/>
  <c r="AB631" i="5" s="1"/>
  <c r="Y631" i="5"/>
  <c r="Z631" i="5" s="1"/>
  <c r="W631" i="5"/>
  <c r="X631" i="5" s="1"/>
  <c r="Q631" i="5"/>
  <c r="R631" i="5" s="1"/>
  <c r="S631" i="5" s="1"/>
  <c r="T631" i="5" s="1"/>
  <c r="U631" i="5" s="1"/>
  <c r="V631" i="5" s="1"/>
  <c r="P631" i="5"/>
  <c r="AE631" i="5" s="1"/>
  <c r="AF631" i="5" s="1"/>
  <c r="O631" i="5"/>
  <c r="N631" i="5"/>
  <c r="AC630" i="5"/>
  <c r="AD630" i="5" s="1"/>
  <c r="AA630" i="5"/>
  <c r="AB630" i="5" s="1"/>
  <c r="Y630" i="5"/>
  <c r="Z630" i="5" s="1"/>
  <c r="W630" i="5"/>
  <c r="X630" i="5" s="1"/>
  <c r="Q630" i="5"/>
  <c r="R630" i="5" s="1"/>
  <c r="S630" i="5" s="1"/>
  <c r="T630" i="5" s="1"/>
  <c r="U630" i="5" s="1"/>
  <c r="V630" i="5" s="1"/>
  <c r="P630" i="5"/>
  <c r="AE630" i="5" s="1"/>
  <c r="AF630" i="5" s="1"/>
  <c r="O630" i="5"/>
  <c r="N630" i="5"/>
  <c r="AC629" i="5"/>
  <c r="AD629" i="5" s="1"/>
  <c r="AA629" i="5"/>
  <c r="AB629" i="5" s="1"/>
  <c r="Y629" i="5"/>
  <c r="Z629" i="5" s="1"/>
  <c r="W629" i="5"/>
  <c r="X629" i="5" s="1"/>
  <c r="Q629" i="5"/>
  <c r="R629" i="5" s="1"/>
  <c r="S629" i="5" s="1"/>
  <c r="T629" i="5" s="1"/>
  <c r="U629" i="5" s="1"/>
  <c r="V629" i="5" s="1"/>
  <c r="P629" i="5"/>
  <c r="AE629" i="5" s="1"/>
  <c r="AF629" i="5" s="1"/>
  <c r="O629" i="5"/>
  <c r="N629" i="5"/>
  <c r="AC628" i="5"/>
  <c r="AD628" i="5" s="1"/>
  <c r="AA628" i="5"/>
  <c r="AB628" i="5" s="1"/>
  <c r="Y628" i="5"/>
  <c r="Z628" i="5" s="1"/>
  <c r="W628" i="5"/>
  <c r="X628" i="5" s="1"/>
  <c r="Q628" i="5"/>
  <c r="R628" i="5" s="1"/>
  <c r="S628" i="5" s="1"/>
  <c r="T628" i="5" s="1"/>
  <c r="U628" i="5" s="1"/>
  <c r="V628" i="5" s="1"/>
  <c r="P628" i="5"/>
  <c r="AE628" i="5" s="1"/>
  <c r="AF628" i="5" s="1"/>
  <c r="O628" i="5"/>
  <c r="N628" i="5"/>
  <c r="AC627" i="5"/>
  <c r="AD627" i="5" s="1"/>
  <c r="AA627" i="5"/>
  <c r="AB627" i="5" s="1"/>
  <c r="Y627" i="5"/>
  <c r="Z627" i="5" s="1"/>
  <c r="W627" i="5"/>
  <c r="X627" i="5" s="1"/>
  <c r="Q627" i="5"/>
  <c r="R627" i="5" s="1"/>
  <c r="S627" i="5" s="1"/>
  <c r="T627" i="5" s="1"/>
  <c r="U627" i="5" s="1"/>
  <c r="V627" i="5" s="1"/>
  <c r="P627" i="5"/>
  <c r="AE627" i="5" s="1"/>
  <c r="AF627" i="5" s="1"/>
  <c r="O627" i="5"/>
  <c r="N627" i="5"/>
  <c r="AC626" i="5"/>
  <c r="AD626" i="5" s="1"/>
  <c r="AA626" i="5"/>
  <c r="AB626" i="5" s="1"/>
  <c r="Y626" i="5"/>
  <c r="Z626" i="5" s="1"/>
  <c r="W626" i="5"/>
  <c r="X626" i="5" s="1"/>
  <c r="Q626" i="5"/>
  <c r="R626" i="5" s="1"/>
  <c r="S626" i="5" s="1"/>
  <c r="T626" i="5" s="1"/>
  <c r="U626" i="5" s="1"/>
  <c r="V626" i="5" s="1"/>
  <c r="P626" i="5"/>
  <c r="AE626" i="5" s="1"/>
  <c r="AF626" i="5" s="1"/>
  <c r="O626" i="5"/>
  <c r="N626" i="5"/>
  <c r="AC625" i="5"/>
  <c r="AD625" i="5" s="1"/>
  <c r="AA625" i="5"/>
  <c r="AB625" i="5" s="1"/>
  <c r="Y625" i="5"/>
  <c r="Z625" i="5" s="1"/>
  <c r="W625" i="5"/>
  <c r="X625" i="5" s="1"/>
  <c r="Q625" i="5"/>
  <c r="R625" i="5" s="1"/>
  <c r="S625" i="5" s="1"/>
  <c r="T625" i="5" s="1"/>
  <c r="U625" i="5" s="1"/>
  <c r="V625" i="5" s="1"/>
  <c r="P625" i="5"/>
  <c r="AE625" i="5" s="1"/>
  <c r="AF625" i="5" s="1"/>
  <c r="O625" i="5"/>
  <c r="N625" i="5"/>
  <c r="AC624" i="5"/>
  <c r="AD624" i="5" s="1"/>
  <c r="AA624" i="5"/>
  <c r="AB624" i="5" s="1"/>
  <c r="Y624" i="5"/>
  <c r="Z624" i="5" s="1"/>
  <c r="W624" i="5"/>
  <c r="X624" i="5" s="1"/>
  <c r="Q624" i="5"/>
  <c r="R624" i="5" s="1"/>
  <c r="S624" i="5" s="1"/>
  <c r="T624" i="5" s="1"/>
  <c r="U624" i="5" s="1"/>
  <c r="V624" i="5" s="1"/>
  <c r="P624" i="5"/>
  <c r="AE624" i="5" s="1"/>
  <c r="AF624" i="5" s="1"/>
  <c r="O624" i="5"/>
  <c r="N624" i="5"/>
  <c r="AC623" i="5"/>
  <c r="AD623" i="5" s="1"/>
  <c r="AA623" i="5"/>
  <c r="AB623" i="5" s="1"/>
  <c r="Y623" i="5"/>
  <c r="Z623" i="5" s="1"/>
  <c r="W623" i="5"/>
  <c r="X623" i="5" s="1"/>
  <c r="Q623" i="5"/>
  <c r="R623" i="5" s="1"/>
  <c r="S623" i="5" s="1"/>
  <c r="T623" i="5" s="1"/>
  <c r="U623" i="5" s="1"/>
  <c r="V623" i="5" s="1"/>
  <c r="P623" i="5"/>
  <c r="AE623" i="5" s="1"/>
  <c r="AF623" i="5" s="1"/>
  <c r="O623" i="5"/>
  <c r="N623" i="5"/>
  <c r="AC622" i="5"/>
  <c r="AD622" i="5" s="1"/>
  <c r="AA622" i="5"/>
  <c r="AB622" i="5" s="1"/>
  <c r="Y622" i="5"/>
  <c r="Z622" i="5" s="1"/>
  <c r="W622" i="5"/>
  <c r="X622" i="5" s="1"/>
  <c r="Q622" i="5"/>
  <c r="R622" i="5" s="1"/>
  <c r="S622" i="5" s="1"/>
  <c r="T622" i="5" s="1"/>
  <c r="U622" i="5" s="1"/>
  <c r="V622" i="5" s="1"/>
  <c r="P622" i="5"/>
  <c r="AE622" i="5" s="1"/>
  <c r="AF622" i="5" s="1"/>
  <c r="O622" i="5"/>
  <c r="N622" i="5"/>
  <c r="AC621" i="5"/>
  <c r="AD621" i="5" s="1"/>
  <c r="AA621" i="5"/>
  <c r="AB621" i="5" s="1"/>
  <c r="Y621" i="5"/>
  <c r="Z621" i="5" s="1"/>
  <c r="W621" i="5"/>
  <c r="X621" i="5" s="1"/>
  <c r="Q621" i="5"/>
  <c r="R621" i="5" s="1"/>
  <c r="S621" i="5" s="1"/>
  <c r="T621" i="5" s="1"/>
  <c r="U621" i="5" s="1"/>
  <c r="V621" i="5" s="1"/>
  <c r="P621" i="5"/>
  <c r="AE621" i="5" s="1"/>
  <c r="AF621" i="5" s="1"/>
  <c r="O621" i="5"/>
  <c r="N621" i="5"/>
  <c r="AC620" i="5"/>
  <c r="AD620" i="5" s="1"/>
  <c r="AA620" i="5"/>
  <c r="AB620" i="5" s="1"/>
  <c r="Y620" i="5"/>
  <c r="Z620" i="5" s="1"/>
  <c r="W620" i="5"/>
  <c r="X620" i="5" s="1"/>
  <c r="Q620" i="5"/>
  <c r="R620" i="5" s="1"/>
  <c r="S620" i="5" s="1"/>
  <c r="T620" i="5" s="1"/>
  <c r="U620" i="5" s="1"/>
  <c r="V620" i="5" s="1"/>
  <c r="P620" i="5"/>
  <c r="AE620" i="5" s="1"/>
  <c r="AF620" i="5" s="1"/>
  <c r="O620" i="5"/>
  <c r="N620" i="5"/>
  <c r="AC619" i="5"/>
  <c r="AD619" i="5" s="1"/>
  <c r="AA619" i="5"/>
  <c r="AB619" i="5" s="1"/>
  <c r="Y619" i="5"/>
  <c r="Z619" i="5" s="1"/>
  <c r="W619" i="5"/>
  <c r="X619" i="5" s="1"/>
  <c r="Q619" i="5"/>
  <c r="R619" i="5" s="1"/>
  <c r="S619" i="5" s="1"/>
  <c r="T619" i="5" s="1"/>
  <c r="U619" i="5" s="1"/>
  <c r="V619" i="5" s="1"/>
  <c r="P619" i="5"/>
  <c r="AE619" i="5" s="1"/>
  <c r="AF619" i="5" s="1"/>
  <c r="O619" i="5"/>
  <c r="N619" i="5"/>
  <c r="AC618" i="5"/>
  <c r="AD618" i="5" s="1"/>
  <c r="AA618" i="5"/>
  <c r="AB618" i="5" s="1"/>
  <c r="Y618" i="5"/>
  <c r="Z618" i="5" s="1"/>
  <c r="W618" i="5"/>
  <c r="X618" i="5" s="1"/>
  <c r="Q618" i="5"/>
  <c r="R618" i="5" s="1"/>
  <c r="S618" i="5" s="1"/>
  <c r="T618" i="5" s="1"/>
  <c r="U618" i="5" s="1"/>
  <c r="V618" i="5" s="1"/>
  <c r="P618" i="5"/>
  <c r="AE618" i="5" s="1"/>
  <c r="AF618" i="5" s="1"/>
  <c r="O618" i="5"/>
  <c r="N618" i="5"/>
  <c r="AC617" i="5"/>
  <c r="AD617" i="5" s="1"/>
  <c r="AA617" i="5"/>
  <c r="AB617" i="5" s="1"/>
  <c r="Y617" i="5"/>
  <c r="Z617" i="5" s="1"/>
  <c r="W617" i="5"/>
  <c r="X617" i="5" s="1"/>
  <c r="Q617" i="5"/>
  <c r="R617" i="5" s="1"/>
  <c r="S617" i="5" s="1"/>
  <c r="T617" i="5" s="1"/>
  <c r="U617" i="5" s="1"/>
  <c r="V617" i="5" s="1"/>
  <c r="P617" i="5"/>
  <c r="AE617" i="5" s="1"/>
  <c r="AF617" i="5" s="1"/>
  <c r="O617" i="5"/>
  <c r="N617" i="5"/>
  <c r="AC616" i="5"/>
  <c r="AD616" i="5" s="1"/>
  <c r="AA616" i="5"/>
  <c r="AB616" i="5" s="1"/>
  <c r="Y616" i="5"/>
  <c r="Z616" i="5" s="1"/>
  <c r="W616" i="5"/>
  <c r="X616" i="5" s="1"/>
  <c r="Q616" i="5"/>
  <c r="R616" i="5" s="1"/>
  <c r="S616" i="5" s="1"/>
  <c r="T616" i="5" s="1"/>
  <c r="U616" i="5" s="1"/>
  <c r="V616" i="5" s="1"/>
  <c r="P616" i="5"/>
  <c r="AE616" i="5" s="1"/>
  <c r="AF616" i="5" s="1"/>
  <c r="O616" i="5"/>
  <c r="N616" i="5"/>
  <c r="AC615" i="5"/>
  <c r="AD615" i="5" s="1"/>
  <c r="AA615" i="5"/>
  <c r="AB615" i="5" s="1"/>
  <c r="Y615" i="5"/>
  <c r="Z615" i="5" s="1"/>
  <c r="W615" i="5"/>
  <c r="X615" i="5" s="1"/>
  <c r="Q615" i="5"/>
  <c r="R615" i="5" s="1"/>
  <c r="S615" i="5" s="1"/>
  <c r="T615" i="5" s="1"/>
  <c r="U615" i="5" s="1"/>
  <c r="V615" i="5" s="1"/>
  <c r="P615" i="5"/>
  <c r="AE615" i="5" s="1"/>
  <c r="AF615" i="5" s="1"/>
  <c r="O615" i="5"/>
  <c r="N615" i="5"/>
  <c r="AC614" i="5"/>
  <c r="AD614" i="5" s="1"/>
  <c r="AA614" i="5"/>
  <c r="AB614" i="5" s="1"/>
  <c r="Y614" i="5"/>
  <c r="Z614" i="5" s="1"/>
  <c r="W614" i="5"/>
  <c r="X614" i="5" s="1"/>
  <c r="Q614" i="5"/>
  <c r="R614" i="5" s="1"/>
  <c r="S614" i="5" s="1"/>
  <c r="T614" i="5" s="1"/>
  <c r="U614" i="5" s="1"/>
  <c r="V614" i="5" s="1"/>
  <c r="P614" i="5"/>
  <c r="AE614" i="5" s="1"/>
  <c r="AF614" i="5" s="1"/>
  <c r="O614" i="5"/>
  <c r="N614" i="5"/>
  <c r="AC613" i="5"/>
  <c r="AD613" i="5" s="1"/>
  <c r="AA613" i="5"/>
  <c r="AB613" i="5" s="1"/>
  <c r="Y613" i="5"/>
  <c r="Z613" i="5" s="1"/>
  <c r="W613" i="5"/>
  <c r="X613" i="5" s="1"/>
  <c r="Q613" i="5"/>
  <c r="R613" i="5" s="1"/>
  <c r="S613" i="5" s="1"/>
  <c r="T613" i="5" s="1"/>
  <c r="U613" i="5" s="1"/>
  <c r="V613" i="5" s="1"/>
  <c r="P613" i="5"/>
  <c r="AE613" i="5" s="1"/>
  <c r="AF613" i="5" s="1"/>
  <c r="O613" i="5"/>
  <c r="N613" i="5"/>
  <c r="AC612" i="5"/>
  <c r="AD612" i="5" s="1"/>
  <c r="AA612" i="5"/>
  <c r="AB612" i="5" s="1"/>
  <c r="Y612" i="5"/>
  <c r="Z612" i="5" s="1"/>
  <c r="W612" i="5"/>
  <c r="X612" i="5" s="1"/>
  <c r="Q612" i="5"/>
  <c r="R612" i="5" s="1"/>
  <c r="S612" i="5" s="1"/>
  <c r="T612" i="5" s="1"/>
  <c r="U612" i="5" s="1"/>
  <c r="V612" i="5" s="1"/>
  <c r="P612" i="5"/>
  <c r="AE612" i="5" s="1"/>
  <c r="AF612" i="5" s="1"/>
  <c r="O612" i="5"/>
  <c r="N612" i="5"/>
  <c r="AC611" i="5"/>
  <c r="AD611" i="5" s="1"/>
  <c r="AA611" i="5"/>
  <c r="AB611" i="5" s="1"/>
  <c r="Y611" i="5"/>
  <c r="Z611" i="5" s="1"/>
  <c r="W611" i="5"/>
  <c r="X611" i="5" s="1"/>
  <c r="Q611" i="5"/>
  <c r="R611" i="5" s="1"/>
  <c r="S611" i="5" s="1"/>
  <c r="T611" i="5" s="1"/>
  <c r="U611" i="5" s="1"/>
  <c r="V611" i="5" s="1"/>
  <c r="P611" i="5"/>
  <c r="AE611" i="5" s="1"/>
  <c r="AF611" i="5" s="1"/>
  <c r="O611" i="5"/>
  <c r="N611" i="5"/>
  <c r="AC610" i="5"/>
  <c r="AD610" i="5" s="1"/>
  <c r="AA610" i="5"/>
  <c r="AB610" i="5" s="1"/>
  <c r="Y610" i="5"/>
  <c r="Z610" i="5" s="1"/>
  <c r="W610" i="5"/>
  <c r="X610" i="5" s="1"/>
  <c r="Q610" i="5"/>
  <c r="R610" i="5" s="1"/>
  <c r="S610" i="5" s="1"/>
  <c r="T610" i="5" s="1"/>
  <c r="U610" i="5" s="1"/>
  <c r="V610" i="5" s="1"/>
  <c r="P610" i="5"/>
  <c r="AE610" i="5" s="1"/>
  <c r="AF610" i="5" s="1"/>
  <c r="O610" i="5"/>
  <c r="N610" i="5"/>
  <c r="AC609" i="5"/>
  <c r="AD609" i="5" s="1"/>
  <c r="AA609" i="5"/>
  <c r="AB609" i="5" s="1"/>
  <c r="Y609" i="5"/>
  <c r="Z609" i="5" s="1"/>
  <c r="W609" i="5"/>
  <c r="X609" i="5" s="1"/>
  <c r="Q609" i="5"/>
  <c r="R609" i="5" s="1"/>
  <c r="S609" i="5" s="1"/>
  <c r="T609" i="5" s="1"/>
  <c r="U609" i="5" s="1"/>
  <c r="V609" i="5" s="1"/>
  <c r="P609" i="5"/>
  <c r="AE609" i="5" s="1"/>
  <c r="AF609" i="5" s="1"/>
  <c r="O609" i="5"/>
  <c r="N609" i="5"/>
  <c r="AC608" i="5"/>
  <c r="AD608" i="5" s="1"/>
  <c r="AA608" i="5"/>
  <c r="AB608" i="5" s="1"/>
  <c r="Y608" i="5"/>
  <c r="Z608" i="5" s="1"/>
  <c r="W608" i="5"/>
  <c r="X608" i="5" s="1"/>
  <c r="Q608" i="5"/>
  <c r="R608" i="5" s="1"/>
  <c r="S608" i="5" s="1"/>
  <c r="T608" i="5" s="1"/>
  <c r="U608" i="5" s="1"/>
  <c r="V608" i="5" s="1"/>
  <c r="P608" i="5"/>
  <c r="AE608" i="5" s="1"/>
  <c r="AF608" i="5" s="1"/>
  <c r="O608" i="5"/>
  <c r="N608" i="5"/>
  <c r="AC607" i="5"/>
  <c r="AD607" i="5" s="1"/>
  <c r="AA607" i="5"/>
  <c r="AB607" i="5" s="1"/>
  <c r="Y607" i="5"/>
  <c r="Z607" i="5" s="1"/>
  <c r="W607" i="5"/>
  <c r="X607" i="5" s="1"/>
  <c r="Q607" i="5"/>
  <c r="R607" i="5" s="1"/>
  <c r="S607" i="5" s="1"/>
  <c r="T607" i="5" s="1"/>
  <c r="U607" i="5" s="1"/>
  <c r="V607" i="5" s="1"/>
  <c r="P607" i="5"/>
  <c r="AE607" i="5" s="1"/>
  <c r="AF607" i="5" s="1"/>
  <c r="O607" i="5"/>
  <c r="N607" i="5"/>
  <c r="AC606" i="5"/>
  <c r="AD606" i="5" s="1"/>
  <c r="AA606" i="5"/>
  <c r="AB606" i="5" s="1"/>
  <c r="Y606" i="5"/>
  <c r="Z606" i="5" s="1"/>
  <c r="W606" i="5"/>
  <c r="X606" i="5" s="1"/>
  <c r="Q606" i="5"/>
  <c r="R606" i="5" s="1"/>
  <c r="S606" i="5" s="1"/>
  <c r="T606" i="5" s="1"/>
  <c r="U606" i="5" s="1"/>
  <c r="V606" i="5" s="1"/>
  <c r="P606" i="5"/>
  <c r="AE606" i="5" s="1"/>
  <c r="AF606" i="5" s="1"/>
  <c r="O606" i="5"/>
  <c r="N606" i="5"/>
  <c r="AC605" i="5"/>
  <c r="AD605" i="5" s="1"/>
  <c r="AA605" i="5"/>
  <c r="AB605" i="5" s="1"/>
  <c r="Y605" i="5"/>
  <c r="Z605" i="5" s="1"/>
  <c r="W605" i="5"/>
  <c r="X605" i="5" s="1"/>
  <c r="Q605" i="5"/>
  <c r="R605" i="5" s="1"/>
  <c r="S605" i="5" s="1"/>
  <c r="T605" i="5" s="1"/>
  <c r="U605" i="5" s="1"/>
  <c r="V605" i="5" s="1"/>
  <c r="P605" i="5"/>
  <c r="AE605" i="5" s="1"/>
  <c r="AF605" i="5" s="1"/>
  <c r="O605" i="5"/>
  <c r="N605" i="5"/>
  <c r="AC604" i="5"/>
  <c r="AD604" i="5" s="1"/>
  <c r="AA604" i="5"/>
  <c r="AB604" i="5" s="1"/>
  <c r="Y604" i="5"/>
  <c r="Z604" i="5" s="1"/>
  <c r="W604" i="5"/>
  <c r="X604" i="5" s="1"/>
  <c r="Q604" i="5"/>
  <c r="R604" i="5" s="1"/>
  <c r="S604" i="5" s="1"/>
  <c r="T604" i="5" s="1"/>
  <c r="U604" i="5" s="1"/>
  <c r="V604" i="5" s="1"/>
  <c r="P604" i="5"/>
  <c r="AE604" i="5" s="1"/>
  <c r="AF604" i="5" s="1"/>
  <c r="O604" i="5"/>
  <c r="N604" i="5"/>
  <c r="AC603" i="5"/>
  <c r="AD603" i="5" s="1"/>
  <c r="AA603" i="5"/>
  <c r="AB603" i="5" s="1"/>
  <c r="Y603" i="5"/>
  <c r="Z603" i="5" s="1"/>
  <c r="W603" i="5"/>
  <c r="X603" i="5" s="1"/>
  <c r="Q603" i="5"/>
  <c r="R603" i="5" s="1"/>
  <c r="S603" i="5" s="1"/>
  <c r="T603" i="5" s="1"/>
  <c r="U603" i="5" s="1"/>
  <c r="V603" i="5" s="1"/>
  <c r="P603" i="5"/>
  <c r="AE603" i="5" s="1"/>
  <c r="AF603" i="5" s="1"/>
  <c r="O603" i="5"/>
  <c r="N603" i="5"/>
  <c r="AC602" i="5"/>
  <c r="AD602" i="5" s="1"/>
  <c r="AA602" i="5"/>
  <c r="AB602" i="5" s="1"/>
  <c r="Y602" i="5"/>
  <c r="Z602" i="5" s="1"/>
  <c r="W602" i="5"/>
  <c r="X602" i="5" s="1"/>
  <c r="Q602" i="5"/>
  <c r="R602" i="5" s="1"/>
  <c r="S602" i="5" s="1"/>
  <c r="T602" i="5" s="1"/>
  <c r="U602" i="5" s="1"/>
  <c r="V602" i="5" s="1"/>
  <c r="P602" i="5"/>
  <c r="AE602" i="5" s="1"/>
  <c r="AF602" i="5" s="1"/>
  <c r="O602" i="5"/>
  <c r="N602" i="5"/>
  <c r="AC601" i="5"/>
  <c r="AD601" i="5" s="1"/>
  <c r="AA601" i="5"/>
  <c r="AB601" i="5" s="1"/>
  <c r="Y601" i="5"/>
  <c r="Z601" i="5" s="1"/>
  <c r="W601" i="5"/>
  <c r="X601" i="5" s="1"/>
  <c r="Q601" i="5"/>
  <c r="R601" i="5" s="1"/>
  <c r="S601" i="5" s="1"/>
  <c r="T601" i="5" s="1"/>
  <c r="U601" i="5" s="1"/>
  <c r="V601" i="5" s="1"/>
  <c r="P601" i="5"/>
  <c r="AE601" i="5" s="1"/>
  <c r="AF601" i="5" s="1"/>
  <c r="O601" i="5"/>
  <c r="N601" i="5"/>
  <c r="AC600" i="5"/>
  <c r="AD600" i="5" s="1"/>
  <c r="AA600" i="5"/>
  <c r="AB600" i="5" s="1"/>
  <c r="Y600" i="5"/>
  <c r="Z600" i="5" s="1"/>
  <c r="W600" i="5"/>
  <c r="X600" i="5" s="1"/>
  <c r="Q600" i="5"/>
  <c r="R600" i="5" s="1"/>
  <c r="S600" i="5" s="1"/>
  <c r="T600" i="5" s="1"/>
  <c r="U600" i="5" s="1"/>
  <c r="V600" i="5" s="1"/>
  <c r="P600" i="5"/>
  <c r="AE600" i="5" s="1"/>
  <c r="AF600" i="5" s="1"/>
  <c r="O600" i="5"/>
  <c r="N600" i="5"/>
  <c r="AC599" i="5"/>
  <c r="AD599" i="5" s="1"/>
  <c r="AA599" i="5"/>
  <c r="AB599" i="5" s="1"/>
  <c r="Y599" i="5"/>
  <c r="Z599" i="5" s="1"/>
  <c r="W599" i="5"/>
  <c r="X599" i="5" s="1"/>
  <c r="Q599" i="5"/>
  <c r="R599" i="5" s="1"/>
  <c r="S599" i="5" s="1"/>
  <c r="T599" i="5" s="1"/>
  <c r="U599" i="5" s="1"/>
  <c r="V599" i="5" s="1"/>
  <c r="P599" i="5"/>
  <c r="AE599" i="5" s="1"/>
  <c r="AF599" i="5" s="1"/>
  <c r="O599" i="5"/>
  <c r="N599" i="5"/>
  <c r="AC598" i="5"/>
  <c r="AD598" i="5" s="1"/>
  <c r="AA598" i="5"/>
  <c r="AB598" i="5" s="1"/>
  <c r="Y598" i="5"/>
  <c r="Z598" i="5" s="1"/>
  <c r="W598" i="5"/>
  <c r="X598" i="5" s="1"/>
  <c r="Q598" i="5"/>
  <c r="R598" i="5" s="1"/>
  <c r="S598" i="5" s="1"/>
  <c r="T598" i="5" s="1"/>
  <c r="U598" i="5" s="1"/>
  <c r="V598" i="5" s="1"/>
  <c r="P598" i="5"/>
  <c r="AE598" i="5" s="1"/>
  <c r="AF598" i="5" s="1"/>
  <c r="O598" i="5"/>
  <c r="N598" i="5"/>
  <c r="AC597" i="5"/>
  <c r="AD597" i="5" s="1"/>
  <c r="AA597" i="5"/>
  <c r="AB597" i="5" s="1"/>
  <c r="Y597" i="5"/>
  <c r="Z597" i="5" s="1"/>
  <c r="W597" i="5"/>
  <c r="X597" i="5" s="1"/>
  <c r="Q597" i="5"/>
  <c r="R597" i="5" s="1"/>
  <c r="S597" i="5" s="1"/>
  <c r="T597" i="5" s="1"/>
  <c r="U597" i="5" s="1"/>
  <c r="V597" i="5" s="1"/>
  <c r="P597" i="5"/>
  <c r="AE597" i="5" s="1"/>
  <c r="AF597" i="5" s="1"/>
  <c r="O597" i="5"/>
  <c r="N597" i="5"/>
  <c r="AC596" i="5"/>
  <c r="AD596" i="5" s="1"/>
  <c r="AA596" i="5"/>
  <c r="AB596" i="5" s="1"/>
  <c r="Y596" i="5"/>
  <c r="Z596" i="5" s="1"/>
  <c r="W596" i="5"/>
  <c r="X596" i="5" s="1"/>
  <c r="Q596" i="5"/>
  <c r="R596" i="5" s="1"/>
  <c r="S596" i="5" s="1"/>
  <c r="T596" i="5" s="1"/>
  <c r="U596" i="5" s="1"/>
  <c r="V596" i="5" s="1"/>
  <c r="P596" i="5"/>
  <c r="AE596" i="5" s="1"/>
  <c r="AF596" i="5" s="1"/>
  <c r="O596" i="5"/>
  <c r="N596" i="5"/>
  <c r="AC595" i="5"/>
  <c r="AD595" i="5" s="1"/>
  <c r="AA595" i="5"/>
  <c r="AB595" i="5" s="1"/>
  <c r="Y595" i="5"/>
  <c r="Z595" i="5" s="1"/>
  <c r="W595" i="5"/>
  <c r="X595" i="5" s="1"/>
  <c r="Q595" i="5"/>
  <c r="R595" i="5" s="1"/>
  <c r="S595" i="5" s="1"/>
  <c r="T595" i="5" s="1"/>
  <c r="U595" i="5" s="1"/>
  <c r="V595" i="5" s="1"/>
  <c r="P595" i="5"/>
  <c r="AE595" i="5" s="1"/>
  <c r="AF595" i="5" s="1"/>
  <c r="O595" i="5"/>
  <c r="N595" i="5"/>
  <c r="AC594" i="5"/>
  <c r="AD594" i="5" s="1"/>
  <c r="AA594" i="5"/>
  <c r="AB594" i="5" s="1"/>
  <c r="Y594" i="5"/>
  <c r="Z594" i="5" s="1"/>
  <c r="W594" i="5"/>
  <c r="X594" i="5" s="1"/>
  <c r="Q594" i="5"/>
  <c r="R594" i="5" s="1"/>
  <c r="S594" i="5" s="1"/>
  <c r="T594" i="5" s="1"/>
  <c r="U594" i="5" s="1"/>
  <c r="V594" i="5" s="1"/>
  <c r="P594" i="5"/>
  <c r="AE594" i="5" s="1"/>
  <c r="AF594" i="5" s="1"/>
  <c r="O594" i="5"/>
  <c r="N594" i="5"/>
  <c r="AC593" i="5"/>
  <c r="AD593" i="5" s="1"/>
  <c r="AA593" i="5"/>
  <c r="AB593" i="5" s="1"/>
  <c r="Y593" i="5"/>
  <c r="Z593" i="5" s="1"/>
  <c r="W593" i="5"/>
  <c r="X593" i="5" s="1"/>
  <c r="Q593" i="5"/>
  <c r="R593" i="5" s="1"/>
  <c r="S593" i="5" s="1"/>
  <c r="T593" i="5" s="1"/>
  <c r="U593" i="5" s="1"/>
  <c r="V593" i="5" s="1"/>
  <c r="P593" i="5"/>
  <c r="AE593" i="5" s="1"/>
  <c r="AF593" i="5" s="1"/>
  <c r="O593" i="5"/>
  <c r="N593" i="5"/>
  <c r="AC592" i="5"/>
  <c r="AD592" i="5" s="1"/>
  <c r="AA592" i="5"/>
  <c r="AB592" i="5" s="1"/>
  <c r="Y592" i="5"/>
  <c r="Z592" i="5" s="1"/>
  <c r="W592" i="5"/>
  <c r="X592" i="5" s="1"/>
  <c r="Q592" i="5"/>
  <c r="R592" i="5" s="1"/>
  <c r="S592" i="5" s="1"/>
  <c r="T592" i="5" s="1"/>
  <c r="U592" i="5" s="1"/>
  <c r="V592" i="5" s="1"/>
  <c r="P592" i="5"/>
  <c r="AE592" i="5" s="1"/>
  <c r="AF592" i="5" s="1"/>
  <c r="O592" i="5"/>
  <c r="N592" i="5"/>
  <c r="AC591" i="5"/>
  <c r="AD591" i="5" s="1"/>
  <c r="AA591" i="5"/>
  <c r="AB591" i="5" s="1"/>
  <c r="Y591" i="5"/>
  <c r="Z591" i="5" s="1"/>
  <c r="W591" i="5"/>
  <c r="X591" i="5" s="1"/>
  <c r="Q591" i="5"/>
  <c r="R591" i="5" s="1"/>
  <c r="S591" i="5" s="1"/>
  <c r="T591" i="5" s="1"/>
  <c r="U591" i="5" s="1"/>
  <c r="V591" i="5" s="1"/>
  <c r="P591" i="5"/>
  <c r="AE591" i="5" s="1"/>
  <c r="AF591" i="5" s="1"/>
  <c r="O591" i="5"/>
  <c r="N591" i="5"/>
  <c r="AC590" i="5"/>
  <c r="AD590" i="5" s="1"/>
  <c r="AA590" i="5"/>
  <c r="AB590" i="5" s="1"/>
  <c r="Y590" i="5"/>
  <c r="Z590" i="5" s="1"/>
  <c r="W590" i="5"/>
  <c r="X590" i="5" s="1"/>
  <c r="Q590" i="5"/>
  <c r="R590" i="5" s="1"/>
  <c r="S590" i="5" s="1"/>
  <c r="T590" i="5" s="1"/>
  <c r="U590" i="5" s="1"/>
  <c r="V590" i="5" s="1"/>
  <c r="P590" i="5"/>
  <c r="AE590" i="5" s="1"/>
  <c r="AF590" i="5" s="1"/>
  <c r="O590" i="5"/>
  <c r="N590" i="5"/>
  <c r="AC589" i="5"/>
  <c r="AD589" i="5" s="1"/>
  <c r="AA589" i="5"/>
  <c r="AB589" i="5" s="1"/>
  <c r="Y589" i="5"/>
  <c r="Z589" i="5" s="1"/>
  <c r="W589" i="5"/>
  <c r="X589" i="5" s="1"/>
  <c r="Q589" i="5"/>
  <c r="R589" i="5" s="1"/>
  <c r="S589" i="5" s="1"/>
  <c r="T589" i="5" s="1"/>
  <c r="U589" i="5" s="1"/>
  <c r="V589" i="5" s="1"/>
  <c r="P589" i="5"/>
  <c r="AE589" i="5" s="1"/>
  <c r="AF589" i="5" s="1"/>
  <c r="O589" i="5"/>
  <c r="N589" i="5"/>
  <c r="AC588" i="5"/>
  <c r="AD588" i="5" s="1"/>
  <c r="AA588" i="5"/>
  <c r="AB588" i="5" s="1"/>
  <c r="Y588" i="5"/>
  <c r="Z588" i="5" s="1"/>
  <c r="W588" i="5"/>
  <c r="X588" i="5" s="1"/>
  <c r="Q588" i="5"/>
  <c r="R588" i="5" s="1"/>
  <c r="S588" i="5" s="1"/>
  <c r="T588" i="5" s="1"/>
  <c r="U588" i="5" s="1"/>
  <c r="V588" i="5" s="1"/>
  <c r="P588" i="5"/>
  <c r="AE588" i="5" s="1"/>
  <c r="AF588" i="5" s="1"/>
  <c r="O588" i="5"/>
  <c r="N588" i="5"/>
  <c r="AC587" i="5"/>
  <c r="AD587" i="5" s="1"/>
  <c r="AA587" i="5"/>
  <c r="AB587" i="5" s="1"/>
  <c r="Y587" i="5"/>
  <c r="Z587" i="5" s="1"/>
  <c r="W587" i="5"/>
  <c r="X587" i="5" s="1"/>
  <c r="Q587" i="5"/>
  <c r="R587" i="5" s="1"/>
  <c r="S587" i="5" s="1"/>
  <c r="T587" i="5" s="1"/>
  <c r="U587" i="5" s="1"/>
  <c r="V587" i="5" s="1"/>
  <c r="P587" i="5"/>
  <c r="AE587" i="5" s="1"/>
  <c r="AF587" i="5" s="1"/>
  <c r="O587" i="5"/>
  <c r="N587" i="5"/>
  <c r="AC586" i="5"/>
  <c r="AD586" i="5" s="1"/>
  <c r="AA586" i="5"/>
  <c r="AB586" i="5" s="1"/>
  <c r="Y586" i="5"/>
  <c r="Z586" i="5" s="1"/>
  <c r="W586" i="5"/>
  <c r="X586" i="5" s="1"/>
  <c r="Q586" i="5"/>
  <c r="R586" i="5" s="1"/>
  <c r="S586" i="5" s="1"/>
  <c r="T586" i="5" s="1"/>
  <c r="U586" i="5" s="1"/>
  <c r="V586" i="5" s="1"/>
  <c r="P586" i="5"/>
  <c r="AE586" i="5" s="1"/>
  <c r="AF586" i="5" s="1"/>
  <c r="O586" i="5"/>
  <c r="N586" i="5"/>
  <c r="AC585" i="5"/>
  <c r="AD585" i="5" s="1"/>
  <c r="AA585" i="5"/>
  <c r="AB585" i="5" s="1"/>
  <c r="Y585" i="5"/>
  <c r="Z585" i="5" s="1"/>
  <c r="W585" i="5"/>
  <c r="X585" i="5" s="1"/>
  <c r="Q585" i="5"/>
  <c r="R585" i="5" s="1"/>
  <c r="S585" i="5" s="1"/>
  <c r="T585" i="5" s="1"/>
  <c r="U585" i="5" s="1"/>
  <c r="V585" i="5" s="1"/>
  <c r="P585" i="5"/>
  <c r="AE585" i="5" s="1"/>
  <c r="AF585" i="5" s="1"/>
  <c r="O585" i="5"/>
  <c r="N585" i="5"/>
  <c r="AC584" i="5"/>
  <c r="AD584" i="5" s="1"/>
  <c r="AA584" i="5"/>
  <c r="AB584" i="5" s="1"/>
  <c r="Y584" i="5"/>
  <c r="Z584" i="5" s="1"/>
  <c r="W584" i="5"/>
  <c r="X584" i="5" s="1"/>
  <c r="Q584" i="5"/>
  <c r="R584" i="5" s="1"/>
  <c r="S584" i="5" s="1"/>
  <c r="T584" i="5" s="1"/>
  <c r="U584" i="5" s="1"/>
  <c r="V584" i="5" s="1"/>
  <c r="P584" i="5"/>
  <c r="AE584" i="5" s="1"/>
  <c r="AF584" i="5" s="1"/>
  <c r="O584" i="5"/>
  <c r="N584" i="5"/>
  <c r="AC583" i="5"/>
  <c r="AD583" i="5" s="1"/>
  <c r="AA583" i="5"/>
  <c r="AB583" i="5" s="1"/>
  <c r="Y583" i="5"/>
  <c r="Z583" i="5" s="1"/>
  <c r="W583" i="5"/>
  <c r="X583" i="5" s="1"/>
  <c r="Q583" i="5"/>
  <c r="R583" i="5" s="1"/>
  <c r="S583" i="5" s="1"/>
  <c r="T583" i="5" s="1"/>
  <c r="U583" i="5" s="1"/>
  <c r="V583" i="5" s="1"/>
  <c r="P583" i="5"/>
  <c r="AE583" i="5" s="1"/>
  <c r="AF583" i="5" s="1"/>
  <c r="O583" i="5"/>
  <c r="N583" i="5"/>
  <c r="AC582" i="5"/>
  <c r="AD582" i="5" s="1"/>
  <c r="AA582" i="5"/>
  <c r="AB582" i="5" s="1"/>
  <c r="Y582" i="5"/>
  <c r="Z582" i="5" s="1"/>
  <c r="W582" i="5"/>
  <c r="X582" i="5" s="1"/>
  <c r="Q582" i="5"/>
  <c r="R582" i="5" s="1"/>
  <c r="S582" i="5" s="1"/>
  <c r="T582" i="5" s="1"/>
  <c r="U582" i="5" s="1"/>
  <c r="V582" i="5" s="1"/>
  <c r="P582" i="5"/>
  <c r="AE582" i="5" s="1"/>
  <c r="AF582" i="5" s="1"/>
  <c r="O582" i="5"/>
  <c r="N582" i="5"/>
  <c r="AC581" i="5"/>
  <c r="AD581" i="5" s="1"/>
  <c r="AA581" i="5"/>
  <c r="AB581" i="5" s="1"/>
  <c r="Y581" i="5"/>
  <c r="Z581" i="5" s="1"/>
  <c r="W581" i="5"/>
  <c r="X581" i="5" s="1"/>
  <c r="Q581" i="5"/>
  <c r="R581" i="5" s="1"/>
  <c r="S581" i="5" s="1"/>
  <c r="T581" i="5" s="1"/>
  <c r="U581" i="5" s="1"/>
  <c r="V581" i="5" s="1"/>
  <c r="P581" i="5"/>
  <c r="AE581" i="5" s="1"/>
  <c r="AF581" i="5" s="1"/>
  <c r="O581" i="5"/>
  <c r="N581" i="5"/>
  <c r="AC580" i="5"/>
  <c r="AD580" i="5" s="1"/>
  <c r="AA580" i="5"/>
  <c r="AB580" i="5" s="1"/>
  <c r="Y580" i="5"/>
  <c r="Z580" i="5" s="1"/>
  <c r="W580" i="5"/>
  <c r="X580" i="5" s="1"/>
  <c r="Q580" i="5"/>
  <c r="R580" i="5" s="1"/>
  <c r="S580" i="5" s="1"/>
  <c r="T580" i="5" s="1"/>
  <c r="U580" i="5" s="1"/>
  <c r="V580" i="5" s="1"/>
  <c r="P580" i="5"/>
  <c r="AE580" i="5" s="1"/>
  <c r="AF580" i="5" s="1"/>
  <c r="O580" i="5"/>
  <c r="N580" i="5"/>
  <c r="AC579" i="5"/>
  <c r="AD579" i="5" s="1"/>
  <c r="AA579" i="5"/>
  <c r="AB579" i="5" s="1"/>
  <c r="Y579" i="5"/>
  <c r="Z579" i="5" s="1"/>
  <c r="W579" i="5"/>
  <c r="X579" i="5" s="1"/>
  <c r="Q579" i="5"/>
  <c r="R579" i="5" s="1"/>
  <c r="S579" i="5" s="1"/>
  <c r="T579" i="5" s="1"/>
  <c r="U579" i="5" s="1"/>
  <c r="V579" i="5" s="1"/>
  <c r="P579" i="5"/>
  <c r="AE579" i="5" s="1"/>
  <c r="AF579" i="5" s="1"/>
  <c r="O579" i="5"/>
  <c r="N579" i="5"/>
  <c r="AC578" i="5"/>
  <c r="AD578" i="5" s="1"/>
  <c r="AA578" i="5"/>
  <c r="AB578" i="5" s="1"/>
  <c r="Y578" i="5"/>
  <c r="Z578" i="5" s="1"/>
  <c r="W578" i="5"/>
  <c r="X578" i="5" s="1"/>
  <c r="Q578" i="5"/>
  <c r="R578" i="5" s="1"/>
  <c r="S578" i="5" s="1"/>
  <c r="T578" i="5" s="1"/>
  <c r="U578" i="5" s="1"/>
  <c r="V578" i="5" s="1"/>
  <c r="P578" i="5"/>
  <c r="AE578" i="5" s="1"/>
  <c r="AF578" i="5" s="1"/>
  <c r="O578" i="5"/>
  <c r="N578" i="5"/>
  <c r="AC577" i="5"/>
  <c r="AD577" i="5" s="1"/>
  <c r="AA577" i="5"/>
  <c r="AB577" i="5" s="1"/>
  <c r="Y577" i="5"/>
  <c r="Z577" i="5" s="1"/>
  <c r="W577" i="5"/>
  <c r="X577" i="5" s="1"/>
  <c r="Q577" i="5"/>
  <c r="R577" i="5" s="1"/>
  <c r="S577" i="5" s="1"/>
  <c r="T577" i="5" s="1"/>
  <c r="U577" i="5" s="1"/>
  <c r="V577" i="5" s="1"/>
  <c r="P577" i="5"/>
  <c r="AE577" i="5" s="1"/>
  <c r="AF577" i="5" s="1"/>
  <c r="O577" i="5"/>
  <c r="N577" i="5"/>
  <c r="AC576" i="5"/>
  <c r="AD576" i="5" s="1"/>
  <c r="AA576" i="5"/>
  <c r="AB576" i="5" s="1"/>
  <c r="Y576" i="5"/>
  <c r="Z576" i="5" s="1"/>
  <c r="W576" i="5"/>
  <c r="X576" i="5" s="1"/>
  <c r="Q576" i="5"/>
  <c r="R576" i="5" s="1"/>
  <c r="S576" i="5" s="1"/>
  <c r="T576" i="5" s="1"/>
  <c r="U576" i="5" s="1"/>
  <c r="V576" i="5" s="1"/>
  <c r="P576" i="5"/>
  <c r="AE576" i="5" s="1"/>
  <c r="AF576" i="5" s="1"/>
  <c r="O576" i="5"/>
  <c r="N576" i="5"/>
  <c r="AC575" i="5"/>
  <c r="AD575" i="5" s="1"/>
  <c r="AA575" i="5"/>
  <c r="AB575" i="5" s="1"/>
  <c r="Y575" i="5"/>
  <c r="Z575" i="5" s="1"/>
  <c r="W575" i="5"/>
  <c r="X575" i="5" s="1"/>
  <c r="Q575" i="5"/>
  <c r="R575" i="5" s="1"/>
  <c r="S575" i="5" s="1"/>
  <c r="T575" i="5" s="1"/>
  <c r="U575" i="5" s="1"/>
  <c r="V575" i="5" s="1"/>
  <c r="P575" i="5"/>
  <c r="AE575" i="5" s="1"/>
  <c r="AF575" i="5" s="1"/>
  <c r="O575" i="5"/>
  <c r="N575" i="5"/>
  <c r="AC574" i="5"/>
  <c r="AD574" i="5" s="1"/>
  <c r="AA574" i="5"/>
  <c r="AB574" i="5" s="1"/>
  <c r="Y574" i="5"/>
  <c r="Z574" i="5" s="1"/>
  <c r="W574" i="5"/>
  <c r="X574" i="5" s="1"/>
  <c r="Q574" i="5"/>
  <c r="R574" i="5" s="1"/>
  <c r="S574" i="5" s="1"/>
  <c r="T574" i="5" s="1"/>
  <c r="U574" i="5" s="1"/>
  <c r="V574" i="5" s="1"/>
  <c r="P574" i="5"/>
  <c r="AE574" i="5" s="1"/>
  <c r="AF574" i="5" s="1"/>
  <c r="O574" i="5"/>
  <c r="N574" i="5"/>
  <c r="AC573" i="5"/>
  <c r="AD573" i="5" s="1"/>
  <c r="AA573" i="5"/>
  <c r="AB573" i="5" s="1"/>
  <c r="Y573" i="5"/>
  <c r="Z573" i="5" s="1"/>
  <c r="W573" i="5"/>
  <c r="X573" i="5" s="1"/>
  <c r="Q573" i="5"/>
  <c r="R573" i="5" s="1"/>
  <c r="S573" i="5" s="1"/>
  <c r="T573" i="5" s="1"/>
  <c r="U573" i="5" s="1"/>
  <c r="V573" i="5" s="1"/>
  <c r="P573" i="5"/>
  <c r="AE573" i="5" s="1"/>
  <c r="AF573" i="5" s="1"/>
  <c r="O573" i="5"/>
  <c r="N573" i="5"/>
  <c r="AC572" i="5"/>
  <c r="AD572" i="5" s="1"/>
  <c r="AA572" i="5"/>
  <c r="AB572" i="5" s="1"/>
  <c r="Y572" i="5"/>
  <c r="Z572" i="5" s="1"/>
  <c r="W572" i="5"/>
  <c r="X572" i="5" s="1"/>
  <c r="Q572" i="5"/>
  <c r="R572" i="5" s="1"/>
  <c r="S572" i="5" s="1"/>
  <c r="T572" i="5" s="1"/>
  <c r="U572" i="5" s="1"/>
  <c r="V572" i="5" s="1"/>
  <c r="P572" i="5"/>
  <c r="AE572" i="5" s="1"/>
  <c r="AF572" i="5" s="1"/>
  <c r="O572" i="5"/>
  <c r="N572" i="5"/>
  <c r="AC571" i="5"/>
  <c r="AD571" i="5" s="1"/>
  <c r="AA571" i="5"/>
  <c r="AB571" i="5" s="1"/>
  <c r="Y571" i="5"/>
  <c r="Z571" i="5" s="1"/>
  <c r="W571" i="5"/>
  <c r="X571" i="5" s="1"/>
  <c r="Q571" i="5"/>
  <c r="R571" i="5" s="1"/>
  <c r="S571" i="5" s="1"/>
  <c r="T571" i="5" s="1"/>
  <c r="U571" i="5" s="1"/>
  <c r="V571" i="5" s="1"/>
  <c r="P571" i="5"/>
  <c r="AE571" i="5" s="1"/>
  <c r="AF571" i="5" s="1"/>
  <c r="O571" i="5"/>
  <c r="N571" i="5"/>
  <c r="AC570" i="5"/>
  <c r="AD570" i="5" s="1"/>
  <c r="AA570" i="5"/>
  <c r="AB570" i="5" s="1"/>
  <c r="Y570" i="5"/>
  <c r="Z570" i="5" s="1"/>
  <c r="W570" i="5"/>
  <c r="X570" i="5" s="1"/>
  <c r="Q570" i="5"/>
  <c r="R570" i="5" s="1"/>
  <c r="S570" i="5" s="1"/>
  <c r="T570" i="5" s="1"/>
  <c r="U570" i="5" s="1"/>
  <c r="V570" i="5" s="1"/>
  <c r="P570" i="5"/>
  <c r="AE570" i="5" s="1"/>
  <c r="AF570" i="5" s="1"/>
  <c r="O570" i="5"/>
  <c r="N570" i="5"/>
  <c r="AC569" i="5"/>
  <c r="AD569" i="5" s="1"/>
  <c r="AA569" i="5"/>
  <c r="AB569" i="5" s="1"/>
  <c r="Y569" i="5"/>
  <c r="Z569" i="5" s="1"/>
  <c r="W569" i="5"/>
  <c r="X569" i="5" s="1"/>
  <c r="Q569" i="5"/>
  <c r="R569" i="5" s="1"/>
  <c r="S569" i="5" s="1"/>
  <c r="T569" i="5" s="1"/>
  <c r="U569" i="5" s="1"/>
  <c r="V569" i="5" s="1"/>
  <c r="P569" i="5"/>
  <c r="AE569" i="5" s="1"/>
  <c r="AF569" i="5" s="1"/>
  <c r="O569" i="5"/>
  <c r="N569" i="5"/>
  <c r="AC568" i="5"/>
  <c r="AD568" i="5" s="1"/>
  <c r="AA568" i="5"/>
  <c r="AB568" i="5" s="1"/>
  <c r="Y568" i="5"/>
  <c r="Z568" i="5" s="1"/>
  <c r="W568" i="5"/>
  <c r="X568" i="5" s="1"/>
  <c r="Q568" i="5"/>
  <c r="R568" i="5" s="1"/>
  <c r="S568" i="5" s="1"/>
  <c r="T568" i="5" s="1"/>
  <c r="U568" i="5" s="1"/>
  <c r="V568" i="5" s="1"/>
  <c r="P568" i="5"/>
  <c r="AE568" i="5" s="1"/>
  <c r="AF568" i="5" s="1"/>
  <c r="O568" i="5"/>
  <c r="N568" i="5"/>
  <c r="AC567" i="5"/>
  <c r="AD567" i="5" s="1"/>
  <c r="AA567" i="5"/>
  <c r="AB567" i="5" s="1"/>
  <c r="Y567" i="5"/>
  <c r="Z567" i="5" s="1"/>
  <c r="W567" i="5"/>
  <c r="X567" i="5" s="1"/>
  <c r="Q567" i="5"/>
  <c r="R567" i="5" s="1"/>
  <c r="S567" i="5" s="1"/>
  <c r="T567" i="5" s="1"/>
  <c r="U567" i="5" s="1"/>
  <c r="V567" i="5" s="1"/>
  <c r="P567" i="5"/>
  <c r="AE567" i="5" s="1"/>
  <c r="AF567" i="5" s="1"/>
  <c r="O567" i="5"/>
  <c r="N567" i="5"/>
  <c r="AC566" i="5"/>
  <c r="AD566" i="5" s="1"/>
  <c r="AA566" i="5"/>
  <c r="AB566" i="5" s="1"/>
  <c r="Y566" i="5"/>
  <c r="Z566" i="5" s="1"/>
  <c r="W566" i="5"/>
  <c r="X566" i="5" s="1"/>
  <c r="Q566" i="5"/>
  <c r="R566" i="5" s="1"/>
  <c r="S566" i="5" s="1"/>
  <c r="T566" i="5" s="1"/>
  <c r="U566" i="5" s="1"/>
  <c r="V566" i="5" s="1"/>
  <c r="P566" i="5"/>
  <c r="AE566" i="5" s="1"/>
  <c r="AF566" i="5" s="1"/>
  <c r="O566" i="5"/>
  <c r="N566" i="5"/>
  <c r="AC565" i="5"/>
  <c r="AD565" i="5" s="1"/>
  <c r="AA565" i="5"/>
  <c r="AB565" i="5" s="1"/>
  <c r="Y565" i="5"/>
  <c r="Z565" i="5" s="1"/>
  <c r="W565" i="5"/>
  <c r="X565" i="5" s="1"/>
  <c r="Q565" i="5"/>
  <c r="R565" i="5" s="1"/>
  <c r="S565" i="5" s="1"/>
  <c r="T565" i="5" s="1"/>
  <c r="U565" i="5" s="1"/>
  <c r="V565" i="5" s="1"/>
  <c r="P565" i="5"/>
  <c r="AE565" i="5" s="1"/>
  <c r="AF565" i="5" s="1"/>
  <c r="O565" i="5"/>
  <c r="N565" i="5"/>
  <c r="AC564" i="5"/>
  <c r="AD564" i="5" s="1"/>
  <c r="AA564" i="5"/>
  <c r="AB564" i="5" s="1"/>
  <c r="Y564" i="5"/>
  <c r="Z564" i="5" s="1"/>
  <c r="W564" i="5"/>
  <c r="X564" i="5" s="1"/>
  <c r="Q564" i="5"/>
  <c r="R564" i="5" s="1"/>
  <c r="S564" i="5" s="1"/>
  <c r="T564" i="5" s="1"/>
  <c r="U564" i="5" s="1"/>
  <c r="V564" i="5" s="1"/>
  <c r="P564" i="5"/>
  <c r="AE564" i="5" s="1"/>
  <c r="AF564" i="5" s="1"/>
  <c r="O564" i="5"/>
  <c r="N564" i="5"/>
  <c r="AC563" i="5"/>
  <c r="AD563" i="5" s="1"/>
  <c r="AA563" i="5"/>
  <c r="AB563" i="5" s="1"/>
  <c r="Y563" i="5"/>
  <c r="Z563" i="5" s="1"/>
  <c r="W563" i="5"/>
  <c r="X563" i="5" s="1"/>
  <c r="Q563" i="5"/>
  <c r="R563" i="5" s="1"/>
  <c r="S563" i="5" s="1"/>
  <c r="T563" i="5" s="1"/>
  <c r="U563" i="5" s="1"/>
  <c r="V563" i="5" s="1"/>
  <c r="P563" i="5"/>
  <c r="AE563" i="5" s="1"/>
  <c r="AF563" i="5" s="1"/>
  <c r="O563" i="5"/>
  <c r="N563" i="5"/>
  <c r="AC562" i="5"/>
  <c r="AD562" i="5" s="1"/>
  <c r="AA562" i="5"/>
  <c r="AB562" i="5" s="1"/>
  <c r="Y562" i="5"/>
  <c r="Z562" i="5" s="1"/>
  <c r="W562" i="5"/>
  <c r="X562" i="5" s="1"/>
  <c r="Q562" i="5"/>
  <c r="R562" i="5" s="1"/>
  <c r="S562" i="5" s="1"/>
  <c r="T562" i="5" s="1"/>
  <c r="U562" i="5" s="1"/>
  <c r="V562" i="5" s="1"/>
  <c r="P562" i="5"/>
  <c r="AE562" i="5" s="1"/>
  <c r="AF562" i="5" s="1"/>
  <c r="O562" i="5"/>
  <c r="N562" i="5"/>
  <c r="AC561" i="5"/>
  <c r="AD561" i="5" s="1"/>
  <c r="AA561" i="5"/>
  <c r="AB561" i="5" s="1"/>
  <c r="Y561" i="5"/>
  <c r="Z561" i="5" s="1"/>
  <c r="W561" i="5"/>
  <c r="X561" i="5" s="1"/>
  <c r="Q561" i="5"/>
  <c r="R561" i="5" s="1"/>
  <c r="S561" i="5" s="1"/>
  <c r="T561" i="5" s="1"/>
  <c r="U561" i="5" s="1"/>
  <c r="V561" i="5" s="1"/>
  <c r="P561" i="5"/>
  <c r="AE561" i="5" s="1"/>
  <c r="AF561" i="5" s="1"/>
  <c r="O561" i="5"/>
  <c r="N561" i="5"/>
  <c r="AC560" i="5"/>
  <c r="AD560" i="5" s="1"/>
  <c r="AA560" i="5"/>
  <c r="AB560" i="5" s="1"/>
  <c r="Y560" i="5"/>
  <c r="Z560" i="5" s="1"/>
  <c r="W560" i="5"/>
  <c r="X560" i="5" s="1"/>
  <c r="Q560" i="5"/>
  <c r="R560" i="5" s="1"/>
  <c r="S560" i="5" s="1"/>
  <c r="T560" i="5" s="1"/>
  <c r="U560" i="5" s="1"/>
  <c r="V560" i="5" s="1"/>
  <c r="P560" i="5"/>
  <c r="AE560" i="5" s="1"/>
  <c r="AF560" i="5" s="1"/>
  <c r="O560" i="5"/>
  <c r="N560" i="5"/>
  <c r="AC559" i="5"/>
  <c r="AD559" i="5" s="1"/>
  <c r="AA559" i="5"/>
  <c r="AB559" i="5" s="1"/>
  <c r="Y559" i="5"/>
  <c r="Z559" i="5" s="1"/>
  <c r="W559" i="5"/>
  <c r="X559" i="5" s="1"/>
  <c r="Q559" i="5"/>
  <c r="R559" i="5" s="1"/>
  <c r="S559" i="5" s="1"/>
  <c r="T559" i="5" s="1"/>
  <c r="U559" i="5" s="1"/>
  <c r="V559" i="5" s="1"/>
  <c r="P559" i="5"/>
  <c r="AE559" i="5" s="1"/>
  <c r="AF559" i="5" s="1"/>
  <c r="O559" i="5"/>
  <c r="N559" i="5"/>
  <c r="AC558" i="5"/>
  <c r="AD558" i="5" s="1"/>
  <c r="AA558" i="5"/>
  <c r="AB558" i="5" s="1"/>
  <c r="Y558" i="5"/>
  <c r="Z558" i="5" s="1"/>
  <c r="W558" i="5"/>
  <c r="X558" i="5" s="1"/>
  <c r="Q558" i="5"/>
  <c r="R558" i="5" s="1"/>
  <c r="S558" i="5" s="1"/>
  <c r="T558" i="5" s="1"/>
  <c r="U558" i="5" s="1"/>
  <c r="V558" i="5" s="1"/>
  <c r="P558" i="5"/>
  <c r="AE558" i="5" s="1"/>
  <c r="AF558" i="5" s="1"/>
  <c r="O558" i="5"/>
  <c r="N558" i="5"/>
  <c r="AC557" i="5"/>
  <c r="AD557" i="5" s="1"/>
  <c r="AA557" i="5"/>
  <c r="AB557" i="5" s="1"/>
  <c r="Y557" i="5"/>
  <c r="Z557" i="5" s="1"/>
  <c r="W557" i="5"/>
  <c r="X557" i="5" s="1"/>
  <c r="Q557" i="5"/>
  <c r="R557" i="5" s="1"/>
  <c r="S557" i="5" s="1"/>
  <c r="T557" i="5" s="1"/>
  <c r="U557" i="5" s="1"/>
  <c r="V557" i="5" s="1"/>
  <c r="P557" i="5"/>
  <c r="AE557" i="5" s="1"/>
  <c r="AF557" i="5" s="1"/>
  <c r="O557" i="5"/>
  <c r="N557" i="5"/>
  <c r="AC556" i="5"/>
  <c r="AD556" i="5" s="1"/>
  <c r="AA556" i="5"/>
  <c r="AB556" i="5" s="1"/>
  <c r="Y556" i="5"/>
  <c r="Z556" i="5" s="1"/>
  <c r="W556" i="5"/>
  <c r="X556" i="5" s="1"/>
  <c r="Q556" i="5"/>
  <c r="R556" i="5" s="1"/>
  <c r="S556" i="5" s="1"/>
  <c r="T556" i="5" s="1"/>
  <c r="U556" i="5" s="1"/>
  <c r="V556" i="5" s="1"/>
  <c r="P556" i="5"/>
  <c r="AE556" i="5" s="1"/>
  <c r="AF556" i="5" s="1"/>
  <c r="O556" i="5"/>
  <c r="N556" i="5"/>
  <c r="AC555" i="5"/>
  <c r="AD555" i="5" s="1"/>
  <c r="AA555" i="5"/>
  <c r="AB555" i="5" s="1"/>
  <c r="Y555" i="5"/>
  <c r="Z555" i="5" s="1"/>
  <c r="W555" i="5"/>
  <c r="X555" i="5" s="1"/>
  <c r="Q555" i="5"/>
  <c r="R555" i="5" s="1"/>
  <c r="S555" i="5" s="1"/>
  <c r="T555" i="5" s="1"/>
  <c r="U555" i="5" s="1"/>
  <c r="V555" i="5" s="1"/>
  <c r="P555" i="5"/>
  <c r="AE555" i="5" s="1"/>
  <c r="AF555" i="5" s="1"/>
  <c r="O555" i="5"/>
  <c r="N555" i="5"/>
  <c r="AC554" i="5"/>
  <c r="AD554" i="5" s="1"/>
  <c r="AA554" i="5"/>
  <c r="AB554" i="5" s="1"/>
  <c r="Y554" i="5"/>
  <c r="Z554" i="5" s="1"/>
  <c r="W554" i="5"/>
  <c r="X554" i="5" s="1"/>
  <c r="Q554" i="5"/>
  <c r="R554" i="5" s="1"/>
  <c r="S554" i="5" s="1"/>
  <c r="T554" i="5" s="1"/>
  <c r="U554" i="5" s="1"/>
  <c r="V554" i="5" s="1"/>
  <c r="P554" i="5"/>
  <c r="AE554" i="5" s="1"/>
  <c r="AF554" i="5" s="1"/>
  <c r="O554" i="5"/>
  <c r="N554" i="5"/>
  <c r="AC553" i="5"/>
  <c r="AD553" i="5" s="1"/>
  <c r="AA553" i="5"/>
  <c r="AB553" i="5" s="1"/>
  <c r="Y553" i="5"/>
  <c r="Z553" i="5" s="1"/>
  <c r="W553" i="5"/>
  <c r="X553" i="5" s="1"/>
  <c r="Q553" i="5"/>
  <c r="R553" i="5" s="1"/>
  <c r="S553" i="5" s="1"/>
  <c r="T553" i="5" s="1"/>
  <c r="U553" i="5" s="1"/>
  <c r="V553" i="5" s="1"/>
  <c r="P553" i="5"/>
  <c r="AE553" i="5" s="1"/>
  <c r="AF553" i="5" s="1"/>
  <c r="O553" i="5"/>
  <c r="N553" i="5"/>
  <c r="AC552" i="5"/>
  <c r="AD552" i="5" s="1"/>
  <c r="AA552" i="5"/>
  <c r="AB552" i="5" s="1"/>
  <c r="Y552" i="5"/>
  <c r="Z552" i="5" s="1"/>
  <c r="W552" i="5"/>
  <c r="X552" i="5" s="1"/>
  <c r="Q552" i="5"/>
  <c r="R552" i="5" s="1"/>
  <c r="S552" i="5" s="1"/>
  <c r="T552" i="5" s="1"/>
  <c r="U552" i="5" s="1"/>
  <c r="V552" i="5" s="1"/>
  <c r="P552" i="5"/>
  <c r="AE552" i="5" s="1"/>
  <c r="AF552" i="5" s="1"/>
  <c r="O552" i="5"/>
  <c r="N552" i="5"/>
  <c r="AC551" i="5"/>
  <c r="AD551" i="5" s="1"/>
  <c r="AA551" i="5"/>
  <c r="AB551" i="5" s="1"/>
  <c r="Y551" i="5"/>
  <c r="Z551" i="5" s="1"/>
  <c r="W551" i="5"/>
  <c r="X551" i="5" s="1"/>
  <c r="Q551" i="5"/>
  <c r="R551" i="5" s="1"/>
  <c r="S551" i="5" s="1"/>
  <c r="T551" i="5" s="1"/>
  <c r="U551" i="5" s="1"/>
  <c r="V551" i="5" s="1"/>
  <c r="P551" i="5"/>
  <c r="AE551" i="5" s="1"/>
  <c r="AF551" i="5" s="1"/>
  <c r="O551" i="5"/>
  <c r="N551" i="5"/>
  <c r="AC550" i="5"/>
  <c r="AD550" i="5" s="1"/>
  <c r="AA550" i="5"/>
  <c r="AB550" i="5" s="1"/>
  <c r="Y550" i="5"/>
  <c r="Z550" i="5" s="1"/>
  <c r="W550" i="5"/>
  <c r="X550" i="5" s="1"/>
  <c r="Q550" i="5"/>
  <c r="R550" i="5" s="1"/>
  <c r="S550" i="5" s="1"/>
  <c r="T550" i="5" s="1"/>
  <c r="U550" i="5" s="1"/>
  <c r="V550" i="5" s="1"/>
  <c r="P550" i="5"/>
  <c r="AE550" i="5" s="1"/>
  <c r="AF550" i="5" s="1"/>
  <c r="O550" i="5"/>
  <c r="N550" i="5"/>
  <c r="AC549" i="5"/>
  <c r="AD549" i="5" s="1"/>
  <c r="AA549" i="5"/>
  <c r="AB549" i="5" s="1"/>
  <c r="Y549" i="5"/>
  <c r="Z549" i="5" s="1"/>
  <c r="W549" i="5"/>
  <c r="X549" i="5" s="1"/>
  <c r="Q549" i="5"/>
  <c r="R549" i="5" s="1"/>
  <c r="S549" i="5" s="1"/>
  <c r="T549" i="5" s="1"/>
  <c r="U549" i="5" s="1"/>
  <c r="V549" i="5" s="1"/>
  <c r="P549" i="5"/>
  <c r="AE549" i="5" s="1"/>
  <c r="AF549" i="5" s="1"/>
  <c r="O549" i="5"/>
  <c r="N549" i="5"/>
  <c r="AC548" i="5"/>
  <c r="AD548" i="5" s="1"/>
  <c r="AA548" i="5"/>
  <c r="AB548" i="5" s="1"/>
  <c r="Y548" i="5"/>
  <c r="Z548" i="5" s="1"/>
  <c r="W548" i="5"/>
  <c r="X548" i="5" s="1"/>
  <c r="Q548" i="5"/>
  <c r="R548" i="5" s="1"/>
  <c r="S548" i="5" s="1"/>
  <c r="T548" i="5" s="1"/>
  <c r="U548" i="5" s="1"/>
  <c r="V548" i="5" s="1"/>
  <c r="P548" i="5"/>
  <c r="AE548" i="5" s="1"/>
  <c r="AF548" i="5" s="1"/>
  <c r="O548" i="5"/>
  <c r="N548" i="5"/>
  <c r="AC547" i="5"/>
  <c r="AD547" i="5" s="1"/>
  <c r="AA547" i="5"/>
  <c r="AB547" i="5" s="1"/>
  <c r="Y547" i="5"/>
  <c r="Z547" i="5" s="1"/>
  <c r="W547" i="5"/>
  <c r="X547" i="5" s="1"/>
  <c r="Q547" i="5"/>
  <c r="R547" i="5" s="1"/>
  <c r="S547" i="5" s="1"/>
  <c r="T547" i="5" s="1"/>
  <c r="U547" i="5" s="1"/>
  <c r="V547" i="5" s="1"/>
  <c r="P547" i="5"/>
  <c r="AE547" i="5" s="1"/>
  <c r="AF547" i="5" s="1"/>
  <c r="O547" i="5"/>
  <c r="N547" i="5"/>
  <c r="AC546" i="5"/>
  <c r="AD546" i="5" s="1"/>
  <c r="AA546" i="5"/>
  <c r="AB546" i="5" s="1"/>
  <c r="Y546" i="5"/>
  <c r="Z546" i="5" s="1"/>
  <c r="W546" i="5"/>
  <c r="X546" i="5" s="1"/>
  <c r="Q546" i="5"/>
  <c r="R546" i="5" s="1"/>
  <c r="S546" i="5" s="1"/>
  <c r="T546" i="5" s="1"/>
  <c r="U546" i="5" s="1"/>
  <c r="V546" i="5" s="1"/>
  <c r="P546" i="5"/>
  <c r="AE546" i="5" s="1"/>
  <c r="AF546" i="5" s="1"/>
  <c r="O546" i="5"/>
  <c r="N546" i="5"/>
  <c r="AC545" i="5"/>
  <c r="AD545" i="5" s="1"/>
  <c r="AA545" i="5"/>
  <c r="AB545" i="5" s="1"/>
  <c r="Y545" i="5"/>
  <c r="Z545" i="5" s="1"/>
  <c r="W545" i="5"/>
  <c r="X545" i="5" s="1"/>
  <c r="Q545" i="5"/>
  <c r="R545" i="5" s="1"/>
  <c r="S545" i="5" s="1"/>
  <c r="T545" i="5" s="1"/>
  <c r="U545" i="5" s="1"/>
  <c r="V545" i="5" s="1"/>
  <c r="P545" i="5"/>
  <c r="AE545" i="5" s="1"/>
  <c r="AF545" i="5" s="1"/>
  <c r="O545" i="5"/>
  <c r="N545" i="5"/>
  <c r="AC544" i="5"/>
  <c r="AD544" i="5" s="1"/>
  <c r="AA544" i="5"/>
  <c r="AB544" i="5" s="1"/>
  <c r="Y544" i="5"/>
  <c r="Z544" i="5" s="1"/>
  <c r="W544" i="5"/>
  <c r="X544" i="5" s="1"/>
  <c r="Q544" i="5"/>
  <c r="R544" i="5" s="1"/>
  <c r="S544" i="5" s="1"/>
  <c r="T544" i="5" s="1"/>
  <c r="U544" i="5" s="1"/>
  <c r="V544" i="5" s="1"/>
  <c r="P544" i="5"/>
  <c r="AE544" i="5" s="1"/>
  <c r="AF544" i="5" s="1"/>
  <c r="O544" i="5"/>
  <c r="N544" i="5"/>
  <c r="AC543" i="5"/>
  <c r="AD543" i="5" s="1"/>
  <c r="AA543" i="5"/>
  <c r="AB543" i="5" s="1"/>
  <c r="Y543" i="5"/>
  <c r="Z543" i="5" s="1"/>
  <c r="W543" i="5"/>
  <c r="X543" i="5" s="1"/>
  <c r="Q543" i="5"/>
  <c r="R543" i="5" s="1"/>
  <c r="S543" i="5" s="1"/>
  <c r="T543" i="5" s="1"/>
  <c r="U543" i="5" s="1"/>
  <c r="V543" i="5" s="1"/>
  <c r="P543" i="5"/>
  <c r="AE543" i="5" s="1"/>
  <c r="AF543" i="5" s="1"/>
  <c r="O543" i="5"/>
  <c r="N543" i="5"/>
  <c r="AC542" i="5"/>
  <c r="AD542" i="5" s="1"/>
  <c r="AA542" i="5"/>
  <c r="AB542" i="5" s="1"/>
  <c r="Y542" i="5"/>
  <c r="Z542" i="5" s="1"/>
  <c r="W542" i="5"/>
  <c r="X542" i="5" s="1"/>
  <c r="Q542" i="5"/>
  <c r="R542" i="5" s="1"/>
  <c r="S542" i="5" s="1"/>
  <c r="T542" i="5" s="1"/>
  <c r="U542" i="5" s="1"/>
  <c r="V542" i="5" s="1"/>
  <c r="P542" i="5"/>
  <c r="AE542" i="5" s="1"/>
  <c r="AF542" i="5" s="1"/>
  <c r="O542" i="5"/>
  <c r="N542" i="5"/>
  <c r="AC541" i="5"/>
  <c r="AD541" i="5" s="1"/>
  <c r="AA541" i="5"/>
  <c r="AB541" i="5" s="1"/>
  <c r="Y541" i="5"/>
  <c r="Z541" i="5" s="1"/>
  <c r="W541" i="5"/>
  <c r="X541" i="5" s="1"/>
  <c r="Q541" i="5"/>
  <c r="R541" i="5" s="1"/>
  <c r="S541" i="5" s="1"/>
  <c r="T541" i="5" s="1"/>
  <c r="U541" i="5" s="1"/>
  <c r="V541" i="5" s="1"/>
  <c r="P541" i="5"/>
  <c r="AE541" i="5" s="1"/>
  <c r="AF541" i="5" s="1"/>
  <c r="O541" i="5"/>
  <c r="N541" i="5"/>
  <c r="AC540" i="5"/>
  <c r="AD540" i="5" s="1"/>
  <c r="AA540" i="5"/>
  <c r="AB540" i="5" s="1"/>
  <c r="Y540" i="5"/>
  <c r="Z540" i="5" s="1"/>
  <c r="W540" i="5"/>
  <c r="X540" i="5" s="1"/>
  <c r="Q540" i="5"/>
  <c r="R540" i="5" s="1"/>
  <c r="S540" i="5" s="1"/>
  <c r="T540" i="5" s="1"/>
  <c r="U540" i="5" s="1"/>
  <c r="V540" i="5" s="1"/>
  <c r="P540" i="5"/>
  <c r="AE540" i="5" s="1"/>
  <c r="AF540" i="5" s="1"/>
  <c r="O540" i="5"/>
  <c r="N540" i="5"/>
  <c r="AC539" i="5"/>
  <c r="AD539" i="5" s="1"/>
  <c r="AA539" i="5"/>
  <c r="AB539" i="5" s="1"/>
  <c r="Y539" i="5"/>
  <c r="Z539" i="5" s="1"/>
  <c r="W539" i="5"/>
  <c r="X539" i="5" s="1"/>
  <c r="Q539" i="5"/>
  <c r="R539" i="5" s="1"/>
  <c r="S539" i="5" s="1"/>
  <c r="T539" i="5" s="1"/>
  <c r="U539" i="5" s="1"/>
  <c r="V539" i="5" s="1"/>
  <c r="P539" i="5"/>
  <c r="AE539" i="5" s="1"/>
  <c r="AF539" i="5" s="1"/>
  <c r="O539" i="5"/>
  <c r="N539" i="5"/>
  <c r="AC538" i="5"/>
  <c r="AD538" i="5" s="1"/>
  <c r="AA538" i="5"/>
  <c r="AB538" i="5" s="1"/>
  <c r="Y538" i="5"/>
  <c r="Z538" i="5" s="1"/>
  <c r="W538" i="5"/>
  <c r="X538" i="5" s="1"/>
  <c r="Q538" i="5"/>
  <c r="R538" i="5" s="1"/>
  <c r="S538" i="5" s="1"/>
  <c r="T538" i="5" s="1"/>
  <c r="U538" i="5" s="1"/>
  <c r="V538" i="5" s="1"/>
  <c r="P538" i="5"/>
  <c r="AE538" i="5" s="1"/>
  <c r="AF538" i="5" s="1"/>
  <c r="O538" i="5"/>
  <c r="N538" i="5"/>
  <c r="AC537" i="5"/>
  <c r="AD537" i="5" s="1"/>
  <c r="AA537" i="5"/>
  <c r="AB537" i="5" s="1"/>
  <c r="Y537" i="5"/>
  <c r="Z537" i="5" s="1"/>
  <c r="W537" i="5"/>
  <c r="X537" i="5" s="1"/>
  <c r="Q537" i="5"/>
  <c r="R537" i="5" s="1"/>
  <c r="S537" i="5" s="1"/>
  <c r="T537" i="5" s="1"/>
  <c r="U537" i="5" s="1"/>
  <c r="V537" i="5" s="1"/>
  <c r="P537" i="5"/>
  <c r="AE537" i="5" s="1"/>
  <c r="AF537" i="5" s="1"/>
  <c r="O537" i="5"/>
  <c r="N537" i="5"/>
  <c r="AC536" i="5"/>
  <c r="AD536" i="5" s="1"/>
  <c r="AA536" i="5"/>
  <c r="AB536" i="5" s="1"/>
  <c r="Y536" i="5"/>
  <c r="Z536" i="5" s="1"/>
  <c r="W536" i="5"/>
  <c r="X536" i="5" s="1"/>
  <c r="Q536" i="5"/>
  <c r="R536" i="5" s="1"/>
  <c r="S536" i="5" s="1"/>
  <c r="T536" i="5" s="1"/>
  <c r="U536" i="5" s="1"/>
  <c r="V536" i="5" s="1"/>
  <c r="P536" i="5"/>
  <c r="AE536" i="5" s="1"/>
  <c r="AF536" i="5" s="1"/>
  <c r="O536" i="5"/>
  <c r="N536" i="5"/>
  <c r="AC535" i="5"/>
  <c r="AD535" i="5" s="1"/>
  <c r="AA535" i="5"/>
  <c r="AB535" i="5" s="1"/>
  <c r="Y535" i="5"/>
  <c r="Z535" i="5" s="1"/>
  <c r="W535" i="5"/>
  <c r="X535" i="5" s="1"/>
  <c r="Q535" i="5"/>
  <c r="R535" i="5" s="1"/>
  <c r="S535" i="5" s="1"/>
  <c r="T535" i="5" s="1"/>
  <c r="U535" i="5" s="1"/>
  <c r="V535" i="5" s="1"/>
  <c r="P535" i="5"/>
  <c r="AE535" i="5" s="1"/>
  <c r="AF535" i="5" s="1"/>
  <c r="O535" i="5"/>
  <c r="N535" i="5"/>
  <c r="AC534" i="5"/>
  <c r="AD534" i="5" s="1"/>
  <c r="AA534" i="5"/>
  <c r="AB534" i="5" s="1"/>
  <c r="Y534" i="5"/>
  <c r="Z534" i="5" s="1"/>
  <c r="W534" i="5"/>
  <c r="X534" i="5" s="1"/>
  <c r="Q534" i="5"/>
  <c r="R534" i="5" s="1"/>
  <c r="S534" i="5" s="1"/>
  <c r="T534" i="5" s="1"/>
  <c r="U534" i="5" s="1"/>
  <c r="V534" i="5" s="1"/>
  <c r="P534" i="5"/>
  <c r="AE534" i="5" s="1"/>
  <c r="AF534" i="5" s="1"/>
  <c r="O534" i="5"/>
  <c r="N534" i="5"/>
  <c r="AC533" i="5"/>
  <c r="AD533" i="5" s="1"/>
  <c r="AA533" i="5"/>
  <c r="AB533" i="5" s="1"/>
  <c r="Y533" i="5"/>
  <c r="Z533" i="5" s="1"/>
  <c r="W533" i="5"/>
  <c r="X533" i="5" s="1"/>
  <c r="Q533" i="5"/>
  <c r="R533" i="5" s="1"/>
  <c r="S533" i="5" s="1"/>
  <c r="T533" i="5" s="1"/>
  <c r="U533" i="5" s="1"/>
  <c r="V533" i="5" s="1"/>
  <c r="P533" i="5"/>
  <c r="AE533" i="5" s="1"/>
  <c r="AF533" i="5" s="1"/>
  <c r="O533" i="5"/>
  <c r="N533" i="5"/>
  <c r="AC532" i="5"/>
  <c r="AD532" i="5" s="1"/>
  <c r="AA532" i="5"/>
  <c r="AB532" i="5" s="1"/>
  <c r="Y532" i="5"/>
  <c r="Z532" i="5" s="1"/>
  <c r="W532" i="5"/>
  <c r="X532" i="5" s="1"/>
  <c r="Q532" i="5"/>
  <c r="R532" i="5" s="1"/>
  <c r="S532" i="5" s="1"/>
  <c r="T532" i="5" s="1"/>
  <c r="U532" i="5" s="1"/>
  <c r="V532" i="5" s="1"/>
  <c r="P532" i="5"/>
  <c r="AE532" i="5" s="1"/>
  <c r="AF532" i="5" s="1"/>
  <c r="O532" i="5"/>
  <c r="N532" i="5"/>
  <c r="AC531" i="5"/>
  <c r="AD531" i="5" s="1"/>
  <c r="AA531" i="5"/>
  <c r="AB531" i="5" s="1"/>
  <c r="Y531" i="5"/>
  <c r="Z531" i="5" s="1"/>
  <c r="W531" i="5"/>
  <c r="X531" i="5" s="1"/>
  <c r="Q531" i="5"/>
  <c r="R531" i="5" s="1"/>
  <c r="S531" i="5" s="1"/>
  <c r="T531" i="5" s="1"/>
  <c r="U531" i="5" s="1"/>
  <c r="V531" i="5" s="1"/>
  <c r="P531" i="5"/>
  <c r="AE531" i="5" s="1"/>
  <c r="AF531" i="5" s="1"/>
  <c r="O531" i="5"/>
  <c r="N531" i="5"/>
  <c r="AC530" i="5"/>
  <c r="AD530" i="5" s="1"/>
  <c r="AA530" i="5"/>
  <c r="AB530" i="5" s="1"/>
  <c r="Y530" i="5"/>
  <c r="Z530" i="5" s="1"/>
  <c r="W530" i="5"/>
  <c r="X530" i="5" s="1"/>
  <c r="Q530" i="5"/>
  <c r="R530" i="5" s="1"/>
  <c r="S530" i="5" s="1"/>
  <c r="T530" i="5" s="1"/>
  <c r="U530" i="5" s="1"/>
  <c r="V530" i="5" s="1"/>
  <c r="P530" i="5"/>
  <c r="AE530" i="5" s="1"/>
  <c r="AF530" i="5" s="1"/>
  <c r="O530" i="5"/>
  <c r="N530" i="5"/>
  <c r="AC529" i="5"/>
  <c r="AD529" i="5" s="1"/>
  <c r="AA529" i="5"/>
  <c r="AB529" i="5" s="1"/>
  <c r="Y529" i="5"/>
  <c r="Z529" i="5" s="1"/>
  <c r="W529" i="5"/>
  <c r="X529" i="5" s="1"/>
  <c r="Q529" i="5"/>
  <c r="R529" i="5" s="1"/>
  <c r="S529" i="5" s="1"/>
  <c r="T529" i="5" s="1"/>
  <c r="U529" i="5" s="1"/>
  <c r="V529" i="5" s="1"/>
  <c r="P529" i="5"/>
  <c r="AE529" i="5" s="1"/>
  <c r="AF529" i="5" s="1"/>
  <c r="O529" i="5"/>
  <c r="N529" i="5"/>
  <c r="AC528" i="5"/>
  <c r="AD528" i="5" s="1"/>
  <c r="AA528" i="5"/>
  <c r="AB528" i="5" s="1"/>
  <c r="Y528" i="5"/>
  <c r="Z528" i="5" s="1"/>
  <c r="W528" i="5"/>
  <c r="X528" i="5" s="1"/>
  <c r="Q528" i="5"/>
  <c r="R528" i="5" s="1"/>
  <c r="S528" i="5" s="1"/>
  <c r="T528" i="5" s="1"/>
  <c r="U528" i="5" s="1"/>
  <c r="V528" i="5" s="1"/>
  <c r="P528" i="5"/>
  <c r="AE528" i="5" s="1"/>
  <c r="AF528" i="5" s="1"/>
  <c r="O528" i="5"/>
  <c r="N528" i="5"/>
  <c r="AC527" i="5"/>
  <c r="AD527" i="5" s="1"/>
  <c r="AA527" i="5"/>
  <c r="AB527" i="5" s="1"/>
  <c r="Y527" i="5"/>
  <c r="Z527" i="5" s="1"/>
  <c r="W527" i="5"/>
  <c r="X527" i="5" s="1"/>
  <c r="Q527" i="5"/>
  <c r="R527" i="5" s="1"/>
  <c r="S527" i="5" s="1"/>
  <c r="T527" i="5" s="1"/>
  <c r="U527" i="5" s="1"/>
  <c r="V527" i="5" s="1"/>
  <c r="P527" i="5"/>
  <c r="AE527" i="5" s="1"/>
  <c r="AF527" i="5" s="1"/>
  <c r="O527" i="5"/>
  <c r="N527" i="5"/>
  <c r="AC526" i="5"/>
  <c r="AD526" i="5" s="1"/>
  <c r="AA526" i="5"/>
  <c r="AB526" i="5" s="1"/>
  <c r="Y526" i="5"/>
  <c r="Z526" i="5" s="1"/>
  <c r="W526" i="5"/>
  <c r="X526" i="5" s="1"/>
  <c r="Q526" i="5"/>
  <c r="R526" i="5" s="1"/>
  <c r="S526" i="5" s="1"/>
  <c r="T526" i="5" s="1"/>
  <c r="U526" i="5" s="1"/>
  <c r="V526" i="5" s="1"/>
  <c r="P526" i="5"/>
  <c r="AE526" i="5" s="1"/>
  <c r="AF526" i="5" s="1"/>
  <c r="O526" i="5"/>
  <c r="N526" i="5"/>
  <c r="AC525" i="5"/>
  <c r="AD525" i="5" s="1"/>
  <c r="AA525" i="5"/>
  <c r="AB525" i="5" s="1"/>
  <c r="Y525" i="5"/>
  <c r="Z525" i="5" s="1"/>
  <c r="W525" i="5"/>
  <c r="X525" i="5" s="1"/>
  <c r="Q525" i="5"/>
  <c r="R525" i="5" s="1"/>
  <c r="S525" i="5" s="1"/>
  <c r="T525" i="5" s="1"/>
  <c r="U525" i="5" s="1"/>
  <c r="V525" i="5" s="1"/>
  <c r="P525" i="5"/>
  <c r="AE525" i="5" s="1"/>
  <c r="AF525" i="5" s="1"/>
  <c r="O525" i="5"/>
  <c r="N525" i="5"/>
  <c r="AC524" i="5"/>
  <c r="AD524" i="5" s="1"/>
  <c r="AA524" i="5"/>
  <c r="AB524" i="5" s="1"/>
  <c r="Y524" i="5"/>
  <c r="Z524" i="5" s="1"/>
  <c r="W524" i="5"/>
  <c r="X524" i="5" s="1"/>
  <c r="Q524" i="5"/>
  <c r="R524" i="5" s="1"/>
  <c r="S524" i="5" s="1"/>
  <c r="T524" i="5" s="1"/>
  <c r="U524" i="5" s="1"/>
  <c r="V524" i="5" s="1"/>
  <c r="P524" i="5"/>
  <c r="AE524" i="5" s="1"/>
  <c r="AF524" i="5" s="1"/>
  <c r="O524" i="5"/>
  <c r="N524" i="5"/>
  <c r="AC523" i="5"/>
  <c r="AD523" i="5" s="1"/>
  <c r="AA523" i="5"/>
  <c r="AB523" i="5" s="1"/>
  <c r="Y523" i="5"/>
  <c r="Z523" i="5" s="1"/>
  <c r="W523" i="5"/>
  <c r="X523" i="5" s="1"/>
  <c r="Q523" i="5"/>
  <c r="R523" i="5" s="1"/>
  <c r="S523" i="5" s="1"/>
  <c r="T523" i="5" s="1"/>
  <c r="U523" i="5" s="1"/>
  <c r="V523" i="5" s="1"/>
  <c r="P523" i="5"/>
  <c r="AE523" i="5" s="1"/>
  <c r="AF523" i="5" s="1"/>
  <c r="O523" i="5"/>
  <c r="N523" i="5"/>
  <c r="AC522" i="5"/>
  <c r="AD522" i="5" s="1"/>
  <c r="AA522" i="5"/>
  <c r="AB522" i="5" s="1"/>
  <c r="Y522" i="5"/>
  <c r="Z522" i="5" s="1"/>
  <c r="W522" i="5"/>
  <c r="X522" i="5" s="1"/>
  <c r="Q522" i="5"/>
  <c r="R522" i="5" s="1"/>
  <c r="S522" i="5" s="1"/>
  <c r="T522" i="5" s="1"/>
  <c r="U522" i="5" s="1"/>
  <c r="V522" i="5" s="1"/>
  <c r="P522" i="5"/>
  <c r="AE522" i="5" s="1"/>
  <c r="AF522" i="5" s="1"/>
  <c r="O522" i="5"/>
  <c r="N522" i="5"/>
  <c r="AC521" i="5"/>
  <c r="AD521" i="5" s="1"/>
  <c r="AA521" i="5"/>
  <c r="AB521" i="5" s="1"/>
  <c r="Y521" i="5"/>
  <c r="Z521" i="5" s="1"/>
  <c r="W521" i="5"/>
  <c r="X521" i="5" s="1"/>
  <c r="Q521" i="5"/>
  <c r="R521" i="5" s="1"/>
  <c r="S521" i="5" s="1"/>
  <c r="T521" i="5" s="1"/>
  <c r="U521" i="5" s="1"/>
  <c r="V521" i="5" s="1"/>
  <c r="P521" i="5"/>
  <c r="AE521" i="5" s="1"/>
  <c r="AF521" i="5" s="1"/>
  <c r="O521" i="5"/>
  <c r="N521" i="5"/>
  <c r="AC520" i="5"/>
  <c r="AD520" i="5" s="1"/>
  <c r="AA520" i="5"/>
  <c r="AB520" i="5" s="1"/>
  <c r="Y520" i="5"/>
  <c r="Z520" i="5" s="1"/>
  <c r="W520" i="5"/>
  <c r="X520" i="5" s="1"/>
  <c r="Q520" i="5"/>
  <c r="R520" i="5" s="1"/>
  <c r="S520" i="5" s="1"/>
  <c r="T520" i="5" s="1"/>
  <c r="U520" i="5" s="1"/>
  <c r="V520" i="5" s="1"/>
  <c r="P520" i="5"/>
  <c r="AE520" i="5" s="1"/>
  <c r="AF520" i="5" s="1"/>
  <c r="O520" i="5"/>
  <c r="N520" i="5"/>
  <c r="AC519" i="5"/>
  <c r="AD519" i="5" s="1"/>
  <c r="AA519" i="5"/>
  <c r="AB519" i="5" s="1"/>
  <c r="Y519" i="5"/>
  <c r="Z519" i="5" s="1"/>
  <c r="W519" i="5"/>
  <c r="X519" i="5" s="1"/>
  <c r="Q519" i="5"/>
  <c r="R519" i="5" s="1"/>
  <c r="S519" i="5" s="1"/>
  <c r="T519" i="5" s="1"/>
  <c r="U519" i="5" s="1"/>
  <c r="V519" i="5" s="1"/>
  <c r="P519" i="5"/>
  <c r="AE519" i="5" s="1"/>
  <c r="AF519" i="5" s="1"/>
  <c r="O519" i="5"/>
  <c r="N519" i="5"/>
  <c r="AC518" i="5"/>
  <c r="AD518" i="5" s="1"/>
  <c r="AA518" i="5"/>
  <c r="AB518" i="5" s="1"/>
  <c r="Y518" i="5"/>
  <c r="Z518" i="5" s="1"/>
  <c r="W518" i="5"/>
  <c r="X518" i="5" s="1"/>
  <c r="Q518" i="5"/>
  <c r="R518" i="5" s="1"/>
  <c r="S518" i="5" s="1"/>
  <c r="T518" i="5" s="1"/>
  <c r="U518" i="5" s="1"/>
  <c r="V518" i="5" s="1"/>
  <c r="P518" i="5"/>
  <c r="AE518" i="5" s="1"/>
  <c r="AF518" i="5" s="1"/>
  <c r="O518" i="5"/>
  <c r="N518" i="5"/>
  <c r="AC517" i="5"/>
  <c r="AD517" i="5" s="1"/>
  <c r="AA517" i="5"/>
  <c r="AB517" i="5" s="1"/>
  <c r="Y517" i="5"/>
  <c r="Z517" i="5" s="1"/>
  <c r="W517" i="5"/>
  <c r="X517" i="5" s="1"/>
  <c r="Q517" i="5"/>
  <c r="R517" i="5" s="1"/>
  <c r="S517" i="5" s="1"/>
  <c r="T517" i="5" s="1"/>
  <c r="U517" i="5" s="1"/>
  <c r="V517" i="5" s="1"/>
  <c r="P517" i="5"/>
  <c r="AE517" i="5" s="1"/>
  <c r="AF517" i="5" s="1"/>
  <c r="O517" i="5"/>
  <c r="N517" i="5"/>
  <c r="AC516" i="5"/>
  <c r="AD516" i="5" s="1"/>
  <c r="AA516" i="5"/>
  <c r="AB516" i="5" s="1"/>
  <c r="Y516" i="5"/>
  <c r="Z516" i="5" s="1"/>
  <c r="W516" i="5"/>
  <c r="X516" i="5" s="1"/>
  <c r="Q516" i="5"/>
  <c r="R516" i="5" s="1"/>
  <c r="S516" i="5" s="1"/>
  <c r="T516" i="5" s="1"/>
  <c r="U516" i="5" s="1"/>
  <c r="V516" i="5" s="1"/>
  <c r="P516" i="5"/>
  <c r="AE516" i="5" s="1"/>
  <c r="AF516" i="5" s="1"/>
  <c r="O516" i="5"/>
  <c r="N516" i="5"/>
  <c r="AC515" i="5"/>
  <c r="AD515" i="5" s="1"/>
  <c r="AA515" i="5"/>
  <c r="AB515" i="5" s="1"/>
  <c r="Y515" i="5"/>
  <c r="Z515" i="5" s="1"/>
  <c r="W515" i="5"/>
  <c r="X515" i="5" s="1"/>
  <c r="Q515" i="5"/>
  <c r="R515" i="5" s="1"/>
  <c r="S515" i="5" s="1"/>
  <c r="T515" i="5" s="1"/>
  <c r="U515" i="5" s="1"/>
  <c r="V515" i="5" s="1"/>
  <c r="P515" i="5"/>
  <c r="AE515" i="5" s="1"/>
  <c r="AF515" i="5" s="1"/>
  <c r="O515" i="5"/>
  <c r="N515" i="5"/>
  <c r="AC514" i="5"/>
  <c r="AD514" i="5" s="1"/>
  <c r="AA514" i="5"/>
  <c r="AB514" i="5" s="1"/>
  <c r="Y514" i="5"/>
  <c r="Z514" i="5" s="1"/>
  <c r="W514" i="5"/>
  <c r="X514" i="5" s="1"/>
  <c r="Q514" i="5"/>
  <c r="R514" i="5" s="1"/>
  <c r="S514" i="5" s="1"/>
  <c r="T514" i="5" s="1"/>
  <c r="U514" i="5" s="1"/>
  <c r="V514" i="5" s="1"/>
  <c r="P514" i="5"/>
  <c r="AE514" i="5" s="1"/>
  <c r="AF514" i="5" s="1"/>
  <c r="O514" i="5"/>
  <c r="N514" i="5"/>
  <c r="AC513" i="5"/>
  <c r="AD513" i="5" s="1"/>
  <c r="AA513" i="5"/>
  <c r="AB513" i="5" s="1"/>
  <c r="Y513" i="5"/>
  <c r="Z513" i="5" s="1"/>
  <c r="W513" i="5"/>
  <c r="X513" i="5" s="1"/>
  <c r="Q513" i="5"/>
  <c r="R513" i="5" s="1"/>
  <c r="S513" i="5" s="1"/>
  <c r="T513" i="5" s="1"/>
  <c r="U513" i="5" s="1"/>
  <c r="V513" i="5" s="1"/>
  <c r="P513" i="5"/>
  <c r="AE513" i="5" s="1"/>
  <c r="AF513" i="5" s="1"/>
  <c r="O513" i="5"/>
  <c r="N513" i="5"/>
  <c r="AC512" i="5"/>
  <c r="AD512" i="5" s="1"/>
  <c r="AA512" i="5"/>
  <c r="AB512" i="5" s="1"/>
  <c r="Y512" i="5"/>
  <c r="Z512" i="5" s="1"/>
  <c r="W512" i="5"/>
  <c r="X512" i="5" s="1"/>
  <c r="Q512" i="5"/>
  <c r="R512" i="5" s="1"/>
  <c r="S512" i="5" s="1"/>
  <c r="T512" i="5" s="1"/>
  <c r="U512" i="5" s="1"/>
  <c r="V512" i="5" s="1"/>
  <c r="P512" i="5"/>
  <c r="AE512" i="5" s="1"/>
  <c r="AF512" i="5" s="1"/>
  <c r="O512" i="5"/>
  <c r="N512" i="5"/>
  <c r="AC511" i="5"/>
  <c r="AD511" i="5" s="1"/>
  <c r="AA511" i="5"/>
  <c r="AB511" i="5" s="1"/>
  <c r="Y511" i="5"/>
  <c r="Z511" i="5" s="1"/>
  <c r="W511" i="5"/>
  <c r="X511" i="5" s="1"/>
  <c r="Q511" i="5"/>
  <c r="R511" i="5" s="1"/>
  <c r="S511" i="5" s="1"/>
  <c r="T511" i="5" s="1"/>
  <c r="U511" i="5" s="1"/>
  <c r="V511" i="5" s="1"/>
  <c r="P511" i="5"/>
  <c r="AE511" i="5" s="1"/>
  <c r="AF511" i="5" s="1"/>
  <c r="O511" i="5"/>
  <c r="N511" i="5"/>
  <c r="AC510" i="5"/>
  <c r="AD510" i="5" s="1"/>
  <c r="AA510" i="5"/>
  <c r="AB510" i="5" s="1"/>
  <c r="Y510" i="5"/>
  <c r="Z510" i="5" s="1"/>
  <c r="W510" i="5"/>
  <c r="X510" i="5" s="1"/>
  <c r="Q510" i="5"/>
  <c r="R510" i="5" s="1"/>
  <c r="S510" i="5" s="1"/>
  <c r="T510" i="5" s="1"/>
  <c r="U510" i="5" s="1"/>
  <c r="V510" i="5" s="1"/>
  <c r="P510" i="5"/>
  <c r="AE510" i="5" s="1"/>
  <c r="AF510" i="5" s="1"/>
  <c r="O510" i="5"/>
  <c r="N510" i="5"/>
  <c r="AC509" i="5"/>
  <c r="AD509" i="5" s="1"/>
  <c r="AA509" i="5"/>
  <c r="AB509" i="5" s="1"/>
  <c r="Y509" i="5"/>
  <c r="Z509" i="5" s="1"/>
  <c r="W509" i="5"/>
  <c r="X509" i="5" s="1"/>
  <c r="Q509" i="5"/>
  <c r="R509" i="5" s="1"/>
  <c r="S509" i="5" s="1"/>
  <c r="T509" i="5" s="1"/>
  <c r="U509" i="5" s="1"/>
  <c r="V509" i="5" s="1"/>
  <c r="P509" i="5"/>
  <c r="AE509" i="5" s="1"/>
  <c r="AF509" i="5" s="1"/>
  <c r="O509" i="5"/>
  <c r="N509" i="5"/>
  <c r="AC508" i="5"/>
  <c r="AD508" i="5" s="1"/>
  <c r="AA508" i="5"/>
  <c r="AB508" i="5" s="1"/>
  <c r="Y508" i="5"/>
  <c r="Z508" i="5" s="1"/>
  <c r="W508" i="5"/>
  <c r="X508" i="5" s="1"/>
  <c r="Q508" i="5"/>
  <c r="R508" i="5" s="1"/>
  <c r="S508" i="5" s="1"/>
  <c r="T508" i="5" s="1"/>
  <c r="U508" i="5" s="1"/>
  <c r="V508" i="5" s="1"/>
  <c r="P508" i="5"/>
  <c r="AE508" i="5" s="1"/>
  <c r="AF508" i="5" s="1"/>
  <c r="O508" i="5"/>
  <c r="N508" i="5"/>
  <c r="AC507" i="5"/>
  <c r="AD507" i="5" s="1"/>
  <c r="AA507" i="5"/>
  <c r="AB507" i="5" s="1"/>
  <c r="Y507" i="5"/>
  <c r="Z507" i="5" s="1"/>
  <c r="W507" i="5"/>
  <c r="X507" i="5" s="1"/>
  <c r="Q507" i="5"/>
  <c r="R507" i="5" s="1"/>
  <c r="S507" i="5" s="1"/>
  <c r="T507" i="5" s="1"/>
  <c r="U507" i="5" s="1"/>
  <c r="V507" i="5" s="1"/>
  <c r="P507" i="5"/>
  <c r="AE507" i="5" s="1"/>
  <c r="AF507" i="5" s="1"/>
  <c r="O507" i="5"/>
  <c r="N507" i="5"/>
  <c r="AC506" i="5"/>
  <c r="AD506" i="5" s="1"/>
  <c r="AA506" i="5"/>
  <c r="AB506" i="5" s="1"/>
  <c r="Y506" i="5"/>
  <c r="Z506" i="5" s="1"/>
  <c r="W506" i="5"/>
  <c r="X506" i="5" s="1"/>
  <c r="Q506" i="5"/>
  <c r="R506" i="5" s="1"/>
  <c r="S506" i="5" s="1"/>
  <c r="T506" i="5" s="1"/>
  <c r="U506" i="5" s="1"/>
  <c r="V506" i="5" s="1"/>
  <c r="P506" i="5"/>
  <c r="AE506" i="5" s="1"/>
  <c r="AF506" i="5" s="1"/>
  <c r="O506" i="5"/>
  <c r="N506" i="5"/>
  <c r="AC505" i="5"/>
  <c r="AD505" i="5" s="1"/>
  <c r="AA505" i="5"/>
  <c r="AB505" i="5" s="1"/>
  <c r="Y505" i="5"/>
  <c r="Z505" i="5" s="1"/>
  <c r="W505" i="5"/>
  <c r="X505" i="5" s="1"/>
  <c r="Q505" i="5"/>
  <c r="R505" i="5" s="1"/>
  <c r="S505" i="5" s="1"/>
  <c r="T505" i="5" s="1"/>
  <c r="U505" i="5" s="1"/>
  <c r="V505" i="5" s="1"/>
  <c r="P505" i="5"/>
  <c r="AE505" i="5" s="1"/>
  <c r="AF505" i="5" s="1"/>
  <c r="O505" i="5"/>
  <c r="N505" i="5"/>
  <c r="AC504" i="5"/>
  <c r="AD504" i="5" s="1"/>
  <c r="AA504" i="5"/>
  <c r="AB504" i="5" s="1"/>
  <c r="Y504" i="5"/>
  <c r="Z504" i="5" s="1"/>
  <c r="W504" i="5"/>
  <c r="X504" i="5" s="1"/>
  <c r="Q504" i="5"/>
  <c r="R504" i="5" s="1"/>
  <c r="S504" i="5" s="1"/>
  <c r="T504" i="5" s="1"/>
  <c r="U504" i="5" s="1"/>
  <c r="V504" i="5" s="1"/>
  <c r="P504" i="5"/>
  <c r="AE504" i="5" s="1"/>
  <c r="AF504" i="5" s="1"/>
  <c r="O504" i="5"/>
  <c r="N504" i="5"/>
  <c r="AC503" i="5"/>
  <c r="AD503" i="5" s="1"/>
  <c r="AA503" i="5"/>
  <c r="AB503" i="5" s="1"/>
  <c r="Y503" i="5"/>
  <c r="Z503" i="5" s="1"/>
  <c r="W503" i="5"/>
  <c r="X503" i="5" s="1"/>
  <c r="Q503" i="5"/>
  <c r="R503" i="5" s="1"/>
  <c r="S503" i="5" s="1"/>
  <c r="T503" i="5" s="1"/>
  <c r="U503" i="5" s="1"/>
  <c r="V503" i="5" s="1"/>
  <c r="P503" i="5"/>
  <c r="AE503" i="5" s="1"/>
  <c r="AF503" i="5" s="1"/>
  <c r="O503" i="5"/>
  <c r="N503" i="5"/>
  <c r="AC502" i="5"/>
  <c r="AD502" i="5" s="1"/>
  <c r="AA502" i="5"/>
  <c r="AB502" i="5" s="1"/>
  <c r="Y502" i="5"/>
  <c r="Z502" i="5" s="1"/>
  <c r="W502" i="5"/>
  <c r="X502" i="5" s="1"/>
  <c r="Q502" i="5"/>
  <c r="R502" i="5" s="1"/>
  <c r="S502" i="5" s="1"/>
  <c r="T502" i="5" s="1"/>
  <c r="U502" i="5" s="1"/>
  <c r="V502" i="5" s="1"/>
  <c r="P502" i="5"/>
  <c r="AE502" i="5" s="1"/>
  <c r="AF502" i="5" s="1"/>
  <c r="O502" i="5"/>
  <c r="N502" i="5"/>
  <c r="AC501" i="5"/>
  <c r="AD501" i="5" s="1"/>
  <c r="AA501" i="5"/>
  <c r="AB501" i="5" s="1"/>
  <c r="Y501" i="5"/>
  <c r="Z501" i="5" s="1"/>
  <c r="W501" i="5"/>
  <c r="X501" i="5" s="1"/>
  <c r="Q501" i="5"/>
  <c r="R501" i="5" s="1"/>
  <c r="S501" i="5" s="1"/>
  <c r="T501" i="5" s="1"/>
  <c r="U501" i="5" s="1"/>
  <c r="V501" i="5" s="1"/>
  <c r="P501" i="5"/>
  <c r="AE501" i="5" s="1"/>
  <c r="AF501" i="5" s="1"/>
  <c r="O501" i="5"/>
  <c r="N501" i="5"/>
  <c r="AC500" i="5"/>
  <c r="AD500" i="5" s="1"/>
  <c r="AA500" i="5"/>
  <c r="AB500" i="5" s="1"/>
  <c r="Y500" i="5"/>
  <c r="Z500" i="5" s="1"/>
  <c r="W500" i="5"/>
  <c r="X500" i="5" s="1"/>
  <c r="Q500" i="5"/>
  <c r="R500" i="5" s="1"/>
  <c r="S500" i="5" s="1"/>
  <c r="T500" i="5" s="1"/>
  <c r="U500" i="5" s="1"/>
  <c r="V500" i="5" s="1"/>
  <c r="P500" i="5"/>
  <c r="AE500" i="5" s="1"/>
  <c r="AF500" i="5" s="1"/>
  <c r="O500" i="5"/>
  <c r="N500" i="5"/>
  <c r="AC499" i="5"/>
  <c r="AD499" i="5" s="1"/>
  <c r="AA499" i="5"/>
  <c r="AB499" i="5" s="1"/>
  <c r="Y499" i="5"/>
  <c r="Z499" i="5" s="1"/>
  <c r="W499" i="5"/>
  <c r="X499" i="5" s="1"/>
  <c r="Q499" i="5"/>
  <c r="R499" i="5" s="1"/>
  <c r="S499" i="5" s="1"/>
  <c r="T499" i="5" s="1"/>
  <c r="U499" i="5" s="1"/>
  <c r="V499" i="5" s="1"/>
  <c r="P499" i="5"/>
  <c r="AE499" i="5" s="1"/>
  <c r="AF499" i="5" s="1"/>
  <c r="O499" i="5"/>
  <c r="N499" i="5"/>
  <c r="AC498" i="5"/>
  <c r="AD498" i="5" s="1"/>
  <c r="AA498" i="5"/>
  <c r="AB498" i="5" s="1"/>
  <c r="Y498" i="5"/>
  <c r="Z498" i="5" s="1"/>
  <c r="W498" i="5"/>
  <c r="X498" i="5" s="1"/>
  <c r="Q498" i="5"/>
  <c r="R498" i="5" s="1"/>
  <c r="S498" i="5" s="1"/>
  <c r="T498" i="5" s="1"/>
  <c r="U498" i="5" s="1"/>
  <c r="V498" i="5" s="1"/>
  <c r="P498" i="5"/>
  <c r="AE498" i="5" s="1"/>
  <c r="AF498" i="5" s="1"/>
  <c r="O498" i="5"/>
  <c r="N498" i="5"/>
  <c r="AC497" i="5"/>
  <c r="AD497" i="5" s="1"/>
  <c r="AA497" i="5"/>
  <c r="AB497" i="5" s="1"/>
  <c r="Y497" i="5"/>
  <c r="Z497" i="5" s="1"/>
  <c r="W497" i="5"/>
  <c r="X497" i="5" s="1"/>
  <c r="Q497" i="5"/>
  <c r="R497" i="5" s="1"/>
  <c r="S497" i="5" s="1"/>
  <c r="T497" i="5" s="1"/>
  <c r="U497" i="5" s="1"/>
  <c r="V497" i="5" s="1"/>
  <c r="P497" i="5"/>
  <c r="AE497" i="5" s="1"/>
  <c r="AF497" i="5" s="1"/>
  <c r="O497" i="5"/>
  <c r="N497" i="5"/>
  <c r="AC496" i="5"/>
  <c r="AD496" i="5" s="1"/>
  <c r="AA496" i="5"/>
  <c r="AB496" i="5" s="1"/>
  <c r="Y496" i="5"/>
  <c r="Z496" i="5" s="1"/>
  <c r="W496" i="5"/>
  <c r="X496" i="5" s="1"/>
  <c r="Q496" i="5"/>
  <c r="R496" i="5" s="1"/>
  <c r="S496" i="5" s="1"/>
  <c r="T496" i="5" s="1"/>
  <c r="U496" i="5" s="1"/>
  <c r="V496" i="5" s="1"/>
  <c r="P496" i="5"/>
  <c r="AE496" i="5" s="1"/>
  <c r="AF496" i="5" s="1"/>
  <c r="O496" i="5"/>
  <c r="N496" i="5"/>
  <c r="AC495" i="5"/>
  <c r="AD495" i="5" s="1"/>
  <c r="AA495" i="5"/>
  <c r="AB495" i="5" s="1"/>
  <c r="Y495" i="5"/>
  <c r="Z495" i="5" s="1"/>
  <c r="W495" i="5"/>
  <c r="X495" i="5" s="1"/>
  <c r="Q495" i="5"/>
  <c r="R495" i="5" s="1"/>
  <c r="S495" i="5" s="1"/>
  <c r="T495" i="5" s="1"/>
  <c r="U495" i="5" s="1"/>
  <c r="V495" i="5" s="1"/>
  <c r="P495" i="5"/>
  <c r="AE495" i="5" s="1"/>
  <c r="AF495" i="5" s="1"/>
  <c r="O495" i="5"/>
  <c r="N495" i="5"/>
  <c r="AC494" i="5"/>
  <c r="AD494" i="5" s="1"/>
  <c r="AA494" i="5"/>
  <c r="AB494" i="5" s="1"/>
  <c r="Y494" i="5"/>
  <c r="Z494" i="5" s="1"/>
  <c r="W494" i="5"/>
  <c r="X494" i="5" s="1"/>
  <c r="Q494" i="5"/>
  <c r="R494" i="5" s="1"/>
  <c r="S494" i="5" s="1"/>
  <c r="T494" i="5" s="1"/>
  <c r="U494" i="5" s="1"/>
  <c r="V494" i="5" s="1"/>
  <c r="P494" i="5"/>
  <c r="AE494" i="5" s="1"/>
  <c r="AF494" i="5" s="1"/>
  <c r="O494" i="5"/>
  <c r="N494" i="5"/>
  <c r="AC493" i="5"/>
  <c r="AD493" i="5" s="1"/>
  <c r="AA493" i="5"/>
  <c r="AB493" i="5" s="1"/>
  <c r="Y493" i="5"/>
  <c r="Z493" i="5" s="1"/>
  <c r="W493" i="5"/>
  <c r="X493" i="5" s="1"/>
  <c r="Q493" i="5"/>
  <c r="R493" i="5" s="1"/>
  <c r="S493" i="5" s="1"/>
  <c r="T493" i="5" s="1"/>
  <c r="U493" i="5" s="1"/>
  <c r="V493" i="5" s="1"/>
  <c r="P493" i="5"/>
  <c r="AE493" i="5" s="1"/>
  <c r="AF493" i="5" s="1"/>
  <c r="O493" i="5"/>
  <c r="N493" i="5"/>
  <c r="AC492" i="5"/>
  <c r="AD492" i="5" s="1"/>
  <c r="AA492" i="5"/>
  <c r="AB492" i="5" s="1"/>
  <c r="Y492" i="5"/>
  <c r="Z492" i="5" s="1"/>
  <c r="W492" i="5"/>
  <c r="X492" i="5" s="1"/>
  <c r="Q492" i="5"/>
  <c r="R492" i="5" s="1"/>
  <c r="S492" i="5" s="1"/>
  <c r="T492" i="5" s="1"/>
  <c r="U492" i="5" s="1"/>
  <c r="V492" i="5" s="1"/>
  <c r="P492" i="5"/>
  <c r="AE492" i="5" s="1"/>
  <c r="AF492" i="5" s="1"/>
  <c r="O492" i="5"/>
  <c r="N492" i="5"/>
  <c r="AC491" i="5"/>
  <c r="AD491" i="5" s="1"/>
  <c r="AA491" i="5"/>
  <c r="AB491" i="5" s="1"/>
  <c r="Y491" i="5"/>
  <c r="Z491" i="5" s="1"/>
  <c r="W491" i="5"/>
  <c r="X491" i="5" s="1"/>
  <c r="Q491" i="5"/>
  <c r="R491" i="5" s="1"/>
  <c r="S491" i="5" s="1"/>
  <c r="T491" i="5" s="1"/>
  <c r="U491" i="5" s="1"/>
  <c r="V491" i="5" s="1"/>
  <c r="P491" i="5"/>
  <c r="AE491" i="5" s="1"/>
  <c r="AF491" i="5" s="1"/>
  <c r="O491" i="5"/>
  <c r="N491" i="5"/>
  <c r="AC490" i="5"/>
  <c r="AD490" i="5" s="1"/>
  <c r="AA490" i="5"/>
  <c r="AB490" i="5" s="1"/>
  <c r="Y490" i="5"/>
  <c r="Z490" i="5" s="1"/>
  <c r="W490" i="5"/>
  <c r="X490" i="5" s="1"/>
  <c r="Q490" i="5"/>
  <c r="R490" i="5" s="1"/>
  <c r="S490" i="5" s="1"/>
  <c r="T490" i="5" s="1"/>
  <c r="U490" i="5" s="1"/>
  <c r="V490" i="5" s="1"/>
  <c r="P490" i="5"/>
  <c r="AE490" i="5" s="1"/>
  <c r="AF490" i="5" s="1"/>
  <c r="O490" i="5"/>
  <c r="N490" i="5"/>
  <c r="AC489" i="5"/>
  <c r="AD489" i="5" s="1"/>
  <c r="AA489" i="5"/>
  <c r="AB489" i="5" s="1"/>
  <c r="Y489" i="5"/>
  <c r="Z489" i="5" s="1"/>
  <c r="W489" i="5"/>
  <c r="X489" i="5" s="1"/>
  <c r="Q489" i="5"/>
  <c r="R489" i="5" s="1"/>
  <c r="S489" i="5" s="1"/>
  <c r="T489" i="5" s="1"/>
  <c r="U489" i="5" s="1"/>
  <c r="V489" i="5" s="1"/>
  <c r="P489" i="5"/>
  <c r="AE489" i="5" s="1"/>
  <c r="AF489" i="5" s="1"/>
  <c r="O489" i="5"/>
  <c r="N489" i="5"/>
  <c r="AC488" i="5"/>
  <c r="AD488" i="5" s="1"/>
  <c r="AA488" i="5"/>
  <c r="AB488" i="5" s="1"/>
  <c r="Y488" i="5"/>
  <c r="Z488" i="5" s="1"/>
  <c r="W488" i="5"/>
  <c r="X488" i="5" s="1"/>
  <c r="Q488" i="5"/>
  <c r="R488" i="5" s="1"/>
  <c r="S488" i="5" s="1"/>
  <c r="T488" i="5" s="1"/>
  <c r="U488" i="5" s="1"/>
  <c r="V488" i="5" s="1"/>
  <c r="P488" i="5"/>
  <c r="AE488" i="5" s="1"/>
  <c r="AF488" i="5" s="1"/>
  <c r="O488" i="5"/>
  <c r="N488" i="5"/>
  <c r="AC487" i="5"/>
  <c r="AD487" i="5" s="1"/>
  <c r="AA487" i="5"/>
  <c r="AB487" i="5" s="1"/>
  <c r="Y487" i="5"/>
  <c r="Z487" i="5" s="1"/>
  <c r="W487" i="5"/>
  <c r="X487" i="5" s="1"/>
  <c r="Q487" i="5"/>
  <c r="R487" i="5" s="1"/>
  <c r="S487" i="5" s="1"/>
  <c r="T487" i="5" s="1"/>
  <c r="U487" i="5" s="1"/>
  <c r="V487" i="5" s="1"/>
  <c r="P487" i="5"/>
  <c r="AE487" i="5" s="1"/>
  <c r="AF487" i="5" s="1"/>
  <c r="O487" i="5"/>
  <c r="N487" i="5"/>
  <c r="AC486" i="5"/>
  <c r="AD486" i="5" s="1"/>
  <c r="AA486" i="5"/>
  <c r="AB486" i="5" s="1"/>
  <c r="Y486" i="5"/>
  <c r="Z486" i="5" s="1"/>
  <c r="W486" i="5"/>
  <c r="X486" i="5" s="1"/>
  <c r="Q486" i="5"/>
  <c r="R486" i="5" s="1"/>
  <c r="S486" i="5" s="1"/>
  <c r="T486" i="5" s="1"/>
  <c r="U486" i="5" s="1"/>
  <c r="V486" i="5" s="1"/>
  <c r="P486" i="5"/>
  <c r="AE486" i="5" s="1"/>
  <c r="AF486" i="5" s="1"/>
  <c r="O486" i="5"/>
  <c r="N486" i="5"/>
  <c r="AC485" i="5"/>
  <c r="AD485" i="5" s="1"/>
  <c r="AA485" i="5"/>
  <c r="AB485" i="5" s="1"/>
  <c r="Y485" i="5"/>
  <c r="Z485" i="5" s="1"/>
  <c r="W485" i="5"/>
  <c r="X485" i="5" s="1"/>
  <c r="Q485" i="5"/>
  <c r="R485" i="5" s="1"/>
  <c r="S485" i="5" s="1"/>
  <c r="T485" i="5" s="1"/>
  <c r="U485" i="5" s="1"/>
  <c r="V485" i="5" s="1"/>
  <c r="P485" i="5"/>
  <c r="AE485" i="5" s="1"/>
  <c r="AF485" i="5" s="1"/>
  <c r="O485" i="5"/>
  <c r="N485" i="5"/>
  <c r="AC484" i="5"/>
  <c r="AD484" i="5" s="1"/>
  <c r="AA484" i="5"/>
  <c r="AB484" i="5" s="1"/>
  <c r="Y484" i="5"/>
  <c r="Z484" i="5" s="1"/>
  <c r="W484" i="5"/>
  <c r="X484" i="5" s="1"/>
  <c r="Q484" i="5"/>
  <c r="R484" i="5" s="1"/>
  <c r="S484" i="5" s="1"/>
  <c r="T484" i="5" s="1"/>
  <c r="U484" i="5" s="1"/>
  <c r="V484" i="5" s="1"/>
  <c r="P484" i="5"/>
  <c r="AE484" i="5" s="1"/>
  <c r="AF484" i="5" s="1"/>
  <c r="O484" i="5"/>
  <c r="N484" i="5"/>
  <c r="AC483" i="5"/>
  <c r="AD483" i="5" s="1"/>
  <c r="AA483" i="5"/>
  <c r="AB483" i="5" s="1"/>
  <c r="Y483" i="5"/>
  <c r="Z483" i="5" s="1"/>
  <c r="W483" i="5"/>
  <c r="X483" i="5" s="1"/>
  <c r="Q483" i="5"/>
  <c r="R483" i="5" s="1"/>
  <c r="S483" i="5" s="1"/>
  <c r="T483" i="5" s="1"/>
  <c r="U483" i="5" s="1"/>
  <c r="V483" i="5" s="1"/>
  <c r="P483" i="5"/>
  <c r="AE483" i="5" s="1"/>
  <c r="AF483" i="5" s="1"/>
  <c r="O483" i="5"/>
  <c r="N483" i="5"/>
  <c r="AC482" i="5"/>
  <c r="AD482" i="5" s="1"/>
  <c r="AA482" i="5"/>
  <c r="AB482" i="5" s="1"/>
  <c r="Y482" i="5"/>
  <c r="Z482" i="5" s="1"/>
  <c r="W482" i="5"/>
  <c r="X482" i="5" s="1"/>
  <c r="Q482" i="5"/>
  <c r="R482" i="5" s="1"/>
  <c r="S482" i="5" s="1"/>
  <c r="T482" i="5" s="1"/>
  <c r="U482" i="5" s="1"/>
  <c r="V482" i="5" s="1"/>
  <c r="P482" i="5"/>
  <c r="AE482" i="5" s="1"/>
  <c r="AF482" i="5" s="1"/>
  <c r="O482" i="5"/>
  <c r="N482" i="5"/>
  <c r="AC481" i="5"/>
  <c r="AD481" i="5" s="1"/>
  <c r="AA481" i="5"/>
  <c r="AB481" i="5" s="1"/>
  <c r="Y481" i="5"/>
  <c r="Z481" i="5" s="1"/>
  <c r="W481" i="5"/>
  <c r="X481" i="5" s="1"/>
  <c r="Q481" i="5"/>
  <c r="R481" i="5" s="1"/>
  <c r="S481" i="5" s="1"/>
  <c r="T481" i="5" s="1"/>
  <c r="U481" i="5" s="1"/>
  <c r="V481" i="5" s="1"/>
  <c r="P481" i="5"/>
  <c r="AE481" i="5" s="1"/>
  <c r="AF481" i="5" s="1"/>
  <c r="O481" i="5"/>
  <c r="N481" i="5"/>
  <c r="AC480" i="5"/>
  <c r="AD480" i="5" s="1"/>
  <c r="AA480" i="5"/>
  <c r="AB480" i="5" s="1"/>
  <c r="Y480" i="5"/>
  <c r="Z480" i="5" s="1"/>
  <c r="W480" i="5"/>
  <c r="X480" i="5" s="1"/>
  <c r="Q480" i="5"/>
  <c r="R480" i="5" s="1"/>
  <c r="S480" i="5" s="1"/>
  <c r="T480" i="5" s="1"/>
  <c r="U480" i="5" s="1"/>
  <c r="V480" i="5" s="1"/>
  <c r="P480" i="5"/>
  <c r="AE480" i="5" s="1"/>
  <c r="AF480" i="5" s="1"/>
  <c r="O480" i="5"/>
  <c r="N480" i="5"/>
  <c r="AC479" i="5"/>
  <c r="AD479" i="5" s="1"/>
  <c r="AA479" i="5"/>
  <c r="AB479" i="5" s="1"/>
  <c r="Y479" i="5"/>
  <c r="Z479" i="5" s="1"/>
  <c r="W479" i="5"/>
  <c r="X479" i="5" s="1"/>
  <c r="Q479" i="5"/>
  <c r="R479" i="5" s="1"/>
  <c r="S479" i="5" s="1"/>
  <c r="T479" i="5" s="1"/>
  <c r="U479" i="5" s="1"/>
  <c r="V479" i="5" s="1"/>
  <c r="P479" i="5"/>
  <c r="AE479" i="5" s="1"/>
  <c r="AF479" i="5" s="1"/>
  <c r="O479" i="5"/>
  <c r="N479" i="5"/>
  <c r="AC478" i="5"/>
  <c r="AD478" i="5" s="1"/>
  <c r="AA478" i="5"/>
  <c r="AB478" i="5" s="1"/>
  <c r="Y478" i="5"/>
  <c r="Z478" i="5" s="1"/>
  <c r="W478" i="5"/>
  <c r="X478" i="5" s="1"/>
  <c r="Q478" i="5"/>
  <c r="R478" i="5" s="1"/>
  <c r="S478" i="5" s="1"/>
  <c r="T478" i="5" s="1"/>
  <c r="U478" i="5" s="1"/>
  <c r="V478" i="5" s="1"/>
  <c r="P478" i="5"/>
  <c r="AE478" i="5" s="1"/>
  <c r="AF478" i="5" s="1"/>
  <c r="O478" i="5"/>
  <c r="N478" i="5"/>
  <c r="AC477" i="5"/>
  <c r="AD477" i="5" s="1"/>
  <c r="AA477" i="5"/>
  <c r="AB477" i="5" s="1"/>
  <c r="Y477" i="5"/>
  <c r="Z477" i="5" s="1"/>
  <c r="W477" i="5"/>
  <c r="X477" i="5" s="1"/>
  <c r="Q477" i="5"/>
  <c r="R477" i="5" s="1"/>
  <c r="S477" i="5" s="1"/>
  <c r="T477" i="5" s="1"/>
  <c r="U477" i="5" s="1"/>
  <c r="V477" i="5" s="1"/>
  <c r="P477" i="5"/>
  <c r="AE477" i="5" s="1"/>
  <c r="AF477" i="5" s="1"/>
  <c r="O477" i="5"/>
  <c r="N477" i="5"/>
  <c r="AC476" i="5"/>
  <c r="AD476" i="5" s="1"/>
  <c r="AA476" i="5"/>
  <c r="AB476" i="5" s="1"/>
  <c r="Y476" i="5"/>
  <c r="Z476" i="5" s="1"/>
  <c r="W476" i="5"/>
  <c r="X476" i="5" s="1"/>
  <c r="Q476" i="5"/>
  <c r="R476" i="5" s="1"/>
  <c r="S476" i="5" s="1"/>
  <c r="T476" i="5" s="1"/>
  <c r="U476" i="5" s="1"/>
  <c r="V476" i="5" s="1"/>
  <c r="P476" i="5"/>
  <c r="AE476" i="5" s="1"/>
  <c r="AF476" i="5" s="1"/>
  <c r="O476" i="5"/>
  <c r="N476" i="5"/>
  <c r="AC475" i="5"/>
  <c r="AD475" i="5" s="1"/>
  <c r="AA475" i="5"/>
  <c r="AB475" i="5" s="1"/>
  <c r="Y475" i="5"/>
  <c r="Z475" i="5" s="1"/>
  <c r="W475" i="5"/>
  <c r="X475" i="5" s="1"/>
  <c r="Q475" i="5"/>
  <c r="R475" i="5" s="1"/>
  <c r="S475" i="5" s="1"/>
  <c r="T475" i="5" s="1"/>
  <c r="U475" i="5" s="1"/>
  <c r="V475" i="5" s="1"/>
  <c r="P475" i="5"/>
  <c r="AE475" i="5" s="1"/>
  <c r="AF475" i="5" s="1"/>
  <c r="O475" i="5"/>
  <c r="N475" i="5"/>
  <c r="AC474" i="5"/>
  <c r="AD474" i="5" s="1"/>
  <c r="AA474" i="5"/>
  <c r="AB474" i="5" s="1"/>
  <c r="Y474" i="5"/>
  <c r="Z474" i="5" s="1"/>
  <c r="W474" i="5"/>
  <c r="X474" i="5" s="1"/>
  <c r="Q474" i="5"/>
  <c r="R474" i="5" s="1"/>
  <c r="S474" i="5" s="1"/>
  <c r="T474" i="5" s="1"/>
  <c r="U474" i="5" s="1"/>
  <c r="V474" i="5" s="1"/>
  <c r="P474" i="5"/>
  <c r="AE474" i="5" s="1"/>
  <c r="AF474" i="5" s="1"/>
  <c r="O474" i="5"/>
  <c r="N474" i="5"/>
  <c r="AC473" i="5"/>
  <c r="AD473" i="5" s="1"/>
  <c r="AA473" i="5"/>
  <c r="AB473" i="5" s="1"/>
  <c r="Y473" i="5"/>
  <c r="Z473" i="5" s="1"/>
  <c r="W473" i="5"/>
  <c r="X473" i="5" s="1"/>
  <c r="Q473" i="5"/>
  <c r="R473" i="5" s="1"/>
  <c r="S473" i="5" s="1"/>
  <c r="T473" i="5" s="1"/>
  <c r="U473" i="5" s="1"/>
  <c r="V473" i="5" s="1"/>
  <c r="P473" i="5"/>
  <c r="AE473" i="5" s="1"/>
  <c r="AF473" i="5" s="1"/>
  <c r="O473" i="5"/>
  <c r="N473" i="5"/>
  <c r="AC472" i="5"/>
  <c r="AD472" i="5" s="1"/>
  <c r="AA472" i="5"/>
  <c r="AB472" i="5" s="1"/>
  <c r="Y472" i="5"/>
  <c r="Z472" i="5" s="1"/>
  <c r="W472" i="5"/>
  <c r="X472" i="5" s="1"/>
  <c r="Q472" i="5"/>
  <c r="R472" i="5" s="1"/>
  <c r="S472" i="5" s="1"/>
  <c r="T472" i="5" s="1"/>
  <c r="U472" i="5" s="1"/>
  <c r="V472" i="5" s="1"/>
  <c r="P472" i="5"/>
  <c r="AE472" i="5" s="1"/>
  <c r="AF472" i="5" s="1"/>
  <c r="O472" i="5"/>
  <c r="N472" i="5"/>
  <c r="AC471" i="5"/>
  <c r="AD471" i="5" s="1"/>
  <c r="AA471" i="5"/>
  <c r="AB471" i="5" s="1"/>
  <c r="Y471" i="5"/>
  <c r="Z471" i="5" s="1"/>
  <c r="W471" i="5"/>
  <c r="X471" i="5" s="1"/>
  <c r="Q471" i="5"/>
  <c r="R471" i="5" s="1"/>
  <c r="S471" i="5" s="1"/>
  <c r="T471" i="5" s="1"/>
  <c r="U471" i="5" s="1"/>
  <c r="V471" i="5" s="1"/>
  <c r="P471" i="5"/>
  <c r="AE471" i="5" s="1"/>
  <c r="AF471" i="5" s="1"/>
  <c r="O471" i="5"/>
  <c r="N471" i="5"/>
  <c r="AC470" i="5"/>
  <c r="AD470" i="5" s="1"/>
  <c r="AA470" i="5"/>
  <c r="AB470" i="5" s="1"/>
  <c r="Y470" i="5"/>
  <c r="Z470" i="5" s="1"/>
  <c r="W470" i="5"/>
  <c r="X470" i="5" s="1"/>
  <c r="Q470" i="5"/>
  <c r="R470" i="5" s="1"/>
  <c r="S470" i="5" s="1"/>
  <c r="T470" i="5" s="1"/>
  <c r="U470" i="5" s="1"/>
  <c r="V470" i="5" s="1"/>
  <c r="P470" i="5"/>
  <c r="AE470" i="5" s="1"/>
  <c r="AF470" i="5" s="1"/>
  <c r="O470" i="5"/>
  <c r="N470" i="5"/>
  <c r="AC469" i="5"/>
  <c r="AD469" i="5" s="1"/>
  <c r="AA469" i="5"/>
  <c r="AB469" i="5" s="1"/>
  <c r="Y469" i="5"/>
  <c r="Z469" i="5" s="1"/>
  <c r="W469" i="5"/>
  <c r="X469" i="5" s="1"/>
  <c r="Q469" i="5"/>
  <c r="R469" i="5" s="1"/>
  <c r="S469" i="5" s="1"/>
  <c r="T469" i="5" s="1"/>
  <c r="U469" i="5" s="1"/>
  <c r="V469" i="5" s="1"/>
  <c r="P469" i="5"/>
  <c r="AE469" i="5" s="1"/>
  <c r="AF469" i="5" s="1"/>
  <c r="O469" i="5"/>
  <c r="N469" i="5"/>
  <c r="AC468" i="5"/>
  <c r="AD468" i="5" s="1"/>
  <c r="AA468" i="5"/>
  <c r="AB468" i="5" s="1"/>
  <c r="Y468" i="5"/>
  <c r="Z468" i="5" s="1"/>
  <c r="W468" i="5"/>
  <c r="X468" i="5" s="1"/>
  <c r="Q468" i="5"/>
  <c r="R468" i="5" s="1"/>
  <c r="S468" i="5" s="1"/>
  <c r="T468" i="5" s="1"/>
  <c r="U468" i="5" s="1"/>
  <c r="V468" i="5" s="1"/>
  <c r="P468" i="5"/>
  <c r="AE468" i="5" s="1"/>
  <c r="AF468" i="5" s="1"/>
  <c r="O468" i="5"/>
  <c r="N468" i="5"/>
  <c r="AC467" i="5"/>
  <c r="AD467" i="5" s="1"/>
  <c r="AA467" i="5"/>
  <c r="AB467" i="5" s="1"/>
  <c r="Y467" i="5"/>
  <c r="Z467" i="5" s="1"/>
  <c r="W467" i="5"/>
  <c r="X467" i="5" s="1"/>
  <c r="Q467" i="5"/>
  <c r="R467" i="5" s="1"/>
  <c r="S467" i="5" s="1"/>
  <c r="T467" i="5" s="1"/>
  <c r="U467" i="5" s="1"/>
  <c r="V467" i="5" s="1"/>
  <c r="P467" i="5"/>
  <c r="AE467" i="5" s="1"/>
  <c r="AF467" i="5" s="1"/>
  <c r="O467" i="5"/>
  <c r="N467" i="5"/>
  <c r="AC466" i="5"/>
  <c r="AD466" i="5" s="1"/>
  <c r="AA466" i="5"/>
  <c r="AB466" i="5" s="1"/>
  <c r="Y466" i="5"/>
  <c r="Z466" i="5" s="1"/>
  <c r="W466" i="5"/>
  <c r="X466" i="5" s="1"/>
  <c r="Q466" i="5"/>
  <c r="R466" i="5" s="1"/>
  <c r="S466" i="5" s="1"/>
  <c r="T466" i="5" s="1"/>
  <c r="U466" i="5" s="1"/>
  <c r="V466" i="5" s="1"/>
  <c r="P466" i="5"/>
  <c r="AE466" i="5" s="1"/>
  <c r="AF466" i="5" s="1"/>
  <c r="O466" i="5"/>
  <c r="N466" i="5"/>
  <c r="AC465" i="5"/>
  <c r="AD465" i="5" s="1"/>
  <c r="AA465" i="5"/>
  <c r="AB465" i="5" s="1"/>
  <c r="Y465" i="5"/>
  <c r="Z465" i="5" s="1"/>
  <c r="W465" i="5"/>
  <c r="X465" i="5" s="1"/>
  <c r="Q465" i="5"/>
  <c r="R465" i="5" s="1"/>
  <c r="S465" i="5" s="1"/>
  <c r="T465" i="5" s="1"/>
  <c r="U465" i="5" s="1"/>
  <c r="V465" i="5" s="1"/>
  <c r="P465" i="5"/>
  <c r="AE465" i="5" s="1"/>
  <c r="AF465" i="5" s="1"/>
  <c r="O465" i="5"/>
  <c r="N465" i="5"/>
  <c r="AC464" i="5"/>
  <c r="AD464" i="5" s="1"/>
  <c r="AA464" i="5"/>
  <c r="AB464" i="5" s="1"/>
  <c r="Y464" i="5"/>
  <c r="Z464" i="5" s="1"/>
  <c r="W464" i="5"/>
  <c r="X464" i="5" s="1"/>
  <c r="Q464" i="5"/>
  <c r="R464" i="5" s="1"/>
  <c r="S464" i="5" s="1"/>
  <c r="T464" i="5" s="1"/>
  <c r="U464" i="5" s="1"/>
  <c r="V464" i="5" s="1"/>
  <c r="P464" i="5"/>
  <c r="AE464" i="5" s="1"/>
  <c r="AF464" i="5" s="1"/>
  <c r="O464" i="5"/>
  <c r="N464" i="5"/>
  <c r="AC463" i="5"/>
  <c r="AD463" i="5" s="1"/>
  <c r="AA463" i="5"/>
  <c r="AB463" i="5" s="1"/>
  <c r="Y463" i="5"/>
  <c r="Z463" i="5" s="1"/>
  <c r="W463" i="5"/>
  <c r="X463" i="5" s="1"/>
  <c r="Q463" i="5"/>
  <c r="R463" i="5" s="1"/>
  <c r="S463" i="5" s="1"/>
  <c r="T463" i="5" s="1"/>
  <c r="U463" i="5" s="1"/>
  <c r="V463" i="5" s="1"/>
  <c r="P463" i="5"/>
  <c r="AE463" i="5" s="1"/>
  <c r="AF463" i="5" s="1"/>
  <c r="O463" i="5"/>
  <c r="N463" i="5"/>
  <c r="AC462" i="5"/>
  <c r="AD462" i="5" s="1"/>
  <c r="AA462" i="5"/>
  <c r="AB462" i="5" s="1"/>
  <c r="Y462" i="5"/>
  <c r="Z462" i="5" s="1"/>
  <c r="W462" i="5"/>
  <c r="X462" i="5" s="1"/>
  <c r="Q462" i="5"/>
  <c r="R462" i="5" s="1"/>
  <c r="S462" i="5" s="1"/>
  <c r="T462" i="5" s="1"/>
  <c r="U462" i="5" s="1"/>
  <c r="V462" i="5" s="1"/>
  <c r="P462" i="5"/>
  <c r="AE462" i="5" s="1"/>
  <c r="AF462" i="5" s="1"/>
  <c r="O462" i="5"/>
  <c r="N462" i="5"/>
  <c r="AC461" i="5"/>
  <c r="AD461" i="5" s="1"/>
  <c r="AA461" i="5"/>
  <c r="AB461" i="5" s="1"/>
  <c r="Y461" i="5"/>
  <c r="Z461" i="5" s="1"/>
  <c r="W461" i="5"/>
  <c r="X461" i="5" s="1"/>
  <c r="Q461" i="5"/>
  <c r="R461" i="5" s="1"/>
  <c r="S461" i="5" s="1"/>
  <c r="T461" i="5" s="1"/>
  <c r="U461" i="5" s="1"/>
  <c r="V461" i="5" s="1"/>
  <c r="P461" i="5"/>
  <c r="AE461" i="5" s="1"/>
  <c r="AF461" i="5" s="1"/>
  <c r="O461" i="5"/>
  <c r="N461" i="5"/>
  <c r="AC460" i="5"/>
  <c r="AD460" i="5" s="1"/>
  <c r="AA460" i="5"/>
  <c r="AB460" i="5" s="1"/>
  <c r="Y460" i="5"/>
  <c r="Z460" i="5" s="1"/>
  <c r="W460" i="5"/>
  <c r="X460" i="5" s="1"/>
  <c r="Q460" i="5"/>
  <c r="R460" i="5" s="1"/>
  <c r="S460" i="5" s="1"/>
  <c r="T460" i="5" s="1"/>
  <c r="U460" i="5" s="1"/>
  <c r="V460" i="5" s="1"/>
  <c r="P460" i="5"/>
  <c r="AE460" i="5" s="1"/>
  <c r="AF460" i="5" s="1"/>
  <c r="O460" i="5"/>
  <c r="N460" i="5"/>
  <c r="AC459" i="5"/>
  <c r="AD459" i="5" s="1"/>
  <c r="AA459" i="5"/>
  <c r="AB459" i="5" s="1"/>
  <c r="Y459" i="5"/>
  <c r="Z459" i="5" s="1"/>
  <c r="W459" i="5"/>
  <c r="X459" i="5" s="1"/>
  <c r="Q459" i="5"/>
  <c r="R459" i="5" s="1"/>
  <c r="S459" i="5" s="1"/>
  <c r="T459" i="5" s="1"/>
  <c r="U459" i="5" s="1"/>
  <c r="V459" i="5" s="1"/>
  <c r="P459" i="5"/>
  <c r="AE459" i="5" s="1"/>
  <c r="AF459" i="5" s="1"/>
  <c r="O459" i="5"/>
  <c r="N459" i="5"/>
  <c r="AC458" i="5"/>
  <c r="AD458" i="5" s="1"/>
  <c r="AA458" i="5"/>
  <c r="AB458" i="5" s="1"/>
  <c r="Y458" i="5"/>
  <c r="Z458" i="5" s="1"/>
  <c r="W458" i="5"/>
  <c r="X458" i="5" s="1"/>
  <c r="Q458" i="5"/>
  <c r="R458" i="5" s="1"/>
  <c r="S458" i="5" s="1"/>
  <c r="T458" i="5" s="1"/>
  <c r="U458" i="5" s="1"/>
  <c r="V458" i="5" s="1"/>
  <c r="P458" i="5"/>
  <c r="AE458" i="5" s="1"/>
  <c r="AF458" i="5" s="1"/>
  <c r="O458" i="5"/>
  <c r="N458" i="5"/>
  <c r="AC457" i="5"/>
  <c r="AD457" i="5" s="1"/>
  <c r="AA457" i="5"/>
  <c r="AB457" i="5" s="1"/>
  <c r="Y457" i="5"/>
  <c r="Z457" i="5" s="1"/>
  <c r="W457" i="5"/>
  <c r="X457" i="5" s="1"/>
  <c r="Q457" i="5"/>
  <c r="R457" i="5" s="1"/>
  <c r="S457" i="5" s="1"/>
  <c r="T457" i="5" s="1"/>
  <c r="U457" i="5" s="1"/>
  <c r="V457" i="5" s="1"/>
  <c r="P457" i="5"/>
  <c r="AE457" i="5" s="1"/>
  <c r="AF457" i="5" s="1"/>
  <c r="O457" i="5"/>
  <c r="N457" i="5"/>
  <c r="AC456" i="5"/>
  <c r="AD456" i="5" s="1"/>
  <c r="AA456" i="5"/>
  <c r="AB456" i="5" s="1"/>
  <c r="Y456" i="5"/>
  <c r="Z456" i="5" s="1"/>
  <c r="W456" i="5"/>
  <c r="X456" i="5" s="1"/>
  <c r="Q456" i="5"/>
  <c r="R456" i="5" s="1"/>
  <c r="S456" i="5" s="1"/>
  <c r="T456" i="5" s="1"/>
  <c r="U456" i="5" s="1"/>
  <c r="V456" i="5" s="1"/>
  <c r="P456" i="5"/>
  <c r="AE456" i="5" s="1"/>
  <c r="AF456" i="5" s="1"/>
  <c r="O456" i="5"/>
  <c r="N456" i="5"/>
  <c r="AC455" i="5"/>
  <c r="AD455" i="5" s="1"/>
  <c r="AA455" i="5"/>
  <c r="AB455" i="5" s="1"/>
  <c r="Y455" i="5"/>
  <c r="Z455" i="5" s="1"/>
  <c r="W455" i="5"/>
  <c r="X455" i="5" s="1"/>
  <c r="Q455" i="5"/>
  <c r="R455" i="5" s="1"/>
  <c r="S455" i="5" s="1"/>
  <c r="T455" i="5" s="1"/>
  <c r="U455" i="5" s="1"/>
  <c r="V455" i="5" s="1"/>
  <c r="P455" i="5"/>
  <c r="AE455" i="5" s="1"/>
  <c r="AF455" i="5" s="1"/>
  <c r="O455" i="5"/>
  <c r="N455" i="5"/>
  <c r="AC454" i="5"/>
  <c r="AD454" i="5" s="1"/>
  <c r="AA454" i="5"/>
  <c r="AB454" i="5" s="1"/>
  <c r="Y454" i="5"/>
  <c r="Z454" i="5" s="1"/>
  <c r="W454" i="5"/>
  <c r="X454" i="5" s="1"/>
  <c r="Q454" i="5"/>
  <c r="R454" i="5" s="1"/>
  <c r="S454" i="5" s="1"/>
  <c r="T454" i="5" s="1"/>
  <c r="U454" i="5" s="1"/>
  <c r="V454" i="5" s="1"/>
  <c r="P454" i="5"/>
  <c r="AE454" i="5" s="1"/>
  <c r="AF454" i="5" s="1"/>
  <c r="O454" i="5"/>
  <c r="N454" i="5"/>
  <c r="AC453" i="5"/>
  <c r="AD453" i="5" s="1"/>
  <c r="AA453" i="5"/>
  <c r="AB453" i="5" s="1"/>
  <c r="Y453" i="5"/>
  <c r="Z453" i="5" s="1"/>
  <c r="W453" i="5"/>
  <c r="X453" i="5" s="1"/>
  <c r="Q453" i="5"/>
  <c r="R453" i="5" s="1"/>
  <c r="S453" i="5" s="1"/>
  <c r="T453" i="5" s="1"/>
  <c r="U453" i="5" s="1"/>
  <c r="V453" i="5" s="1"/>
  <c r="P453" i="5"/>
  <c r="AE453" i="5" s="1"/>
  <c r="AF453" i="5" s="1"/>
  <c r="O453" i="5"/>
  <c r="N453" i="5"/>
  <c r="AC452" i="5"/>
  <c r="AD452" i="5" s="1"/>
  <c r="AA452" i="5"/>
  <c r="AB452" i="5" s="1"/>
  <c r="Y452" i="5"/>
  <c r="Z452" i="5" s="1"/>
  <c r="W452" i="5"/>
  <c r="X452" i="5" s="1"/>
  <c r="Q452" i="5"/>
  <c r="R452" i="5" s="1"/>
  <c r="S452" i="5" s="1"/>
  <c r="T452" i="5" s="1"/>
  <c r="U452" i="5" s="1"/>
  <c r="V452" i="5" s="1"/>
  <c r="P452" i="5"/>
  <c r="AE452" i="5" s="1"/>
  <c r="AF452" i="5" s="1"/>
  <c r="O452" i="5"/>
  <c r="N452" i="5"/>
  <c r="AC451" i="5"/>
  <c r="AD451" i="5" s="1"/>
  <c r="AA451" i="5"/>
  <c r="AB451" i="5" s="1"/>
  <c r="Y451" i="5"/>
  <c r="Z451" i="5" s="1"/>
  <c r="W451" i="5"/>
  <c r="X451" i="5" s="1"/>
  <c r="Q451" i="5"/>
  <c r="R451" i="5" s="1"/>
  <c r="S451" i="5" s="1"/>
  <c r="T451" i="5" s="1"/>
  <c r="U451" i="5" s="1"/>
  <c r="V451" i="5" s="1"/>
  <c r="P451" i="5"/>
  <c r="AE451" i="5" s="1"/>
  <c r="AF451" i="5" s="1"/>
  <c r="O451" i="5"/>
  <c r="N451" i="5"/>
  <c r="AC450" i="5"/>
  <c r="AD450" i="5" s="1"/>
  <c r="AA450" i="5"/>
  <c r="AB450" i="5" s="1"/>
  <c r="Y450" i="5"/>
  <c r="Z450" i="5" s="1"/>
  <c r="W450" i="5"/>
  <c r="X450" i="5" s="1"/>
  <c r="Q450" i="5"/>
  <c r="R450" i="5" s="1"/>
  <c r="S450" i="5" s="1"/>
  <c r="T450" i="5" s="1"/>
  <c r="U450" i="5" s="1"/>
  <c r="V450" i="5" s="1"/>
  <c r="P450" i="5"/>
  <c r="AE450" i="5" s="1"/>
  <c r="AF450" i="5" s="1"/>
  <c r="O450" i="5"/>
  <c r="N450" i="5"/>
  <c r="AC449" i="5"/>
  <c r="AD449" i="5" s="1"/>
  <c r="AA449" i="5"/>
  <c r="AB449" i="5" s="1"/>
  <c r="Y449" i="5"/>
  <c r="Z449" i="5" s="1"/>
  <c r="W449" i="5"/>
  <c r="X449" i="5" s="1"/>
  <c r="Q449" i="5"/>
  <c r="R449" i="5" s="1"/>
  <c r="S449" i="5" s="1"/>
  <c r="T449" i="5" s="1"/>
  <c r="U449" i="5" s="1"/>
  <c r="V449" i="5" s="1"/>
  <c r="P449" i="5"/>
  <c r="AE449" i="5" s="1"/>
  <c r="AF449" i="5" s="1"/>
  <c r="O449" i="5"/>
  <c r="N449" i="5"/>
  <c r="AC448" i="5"/>
  <c r="AD448" i="5" s="1"/>
  <c r="AA448" i="5"/>
  <c r="AB448" i="5" s="1"/>
  <c r="Y448" i="5"/>
  <c r="Z448" i="5" s="1"/>
  <c r="W448" i="5"/>
  <c r="X448" i="5" s="1"/>
  <c r="Q448" i="5"/>
  <c r="R448" i="5" s="1"/>
  <c r="S448" i="5" s="1"/>
  <c r="T448" i="5" s="1"/>
  <c r="U448" i="5" s="1"/>
  <c r="V448" i="5" s="1"/>
  <c r="P448" i="5"/>
  <c r="AE448" i="5" s="1"/>
  <c r="AF448" i="5" s="1"/>
  <c r="O448" i="5"/>
  <c r="N448" i="5"/>
  <c r="AC447" i="5"/>
  <c r="AD447" i="5" s="1"/>
  <c r="AA447" i="5"/>
  <c r="AB447" i="5" s="1"/>
  <c r="Y447" i="5"/>
  <c r="Z447" i="5" s="1"/>
  <c r="W447" i="5"/>
  <c r="X447" i="5" s="1"/>
  <c r="Q447" i="5"/>
  <c r="R447" i="5" s="1"/>
  <c r="S447" i="5" s="1"/>
  <c r="T447" i="5" s="1"/>
  <c r="U447" i="5" s="1"/>
  <c r="V447" i="5" s="1"/>
  <c r="P447" i="5"/>
  <c r="AE447" i="5" s="1"/>
  <c r="AF447" i="5" s="1"/>
  <c r="O447" i="5"/>
  <c r="N447" i="5"/>
  <c r="AC446" i="5"/>
  <c r="AD446" i="5" s="1"/>
  <c r="AA446" i="5"/>
  <c r="AB446" i="5" s="1"/>
  <c r="Y446" i="5"/>
  <c r="Z446" i="5" s="1"/>
  <c r="W446" i="5"/>
  <c r="X446" i="5" s="1"/>
  <c r="Q446" i="5"/>
  <c r="R446" i="5" s="1"/>
  <c r="S446" i="5" s="1"/>
  <c r="T446" i="5" s="1"/>
  <c r="U446" i="5" s="1"/>
  <c r="V446" i="5" s="1"/>
  <c r="P446" i="5"/>
  <c r="AE446" i="5" s="1"/>
  <c r="AF446" i="5" s="1"/>
  <c r="O446" i="5"/>
  <c r="N446" i="5"/>
  <c r="AC445" i="5"/>
  <c r="AD445" i="5" s="1"/>
  <c r="AA445" i="5"/>
  <c r="AB445" i="5" s="1"/>
  <c r="Y445" i="5"/>
  <c r="Z445" i="5" s="1"/>
  <c r="W445" i="5"/>
  <c r="X445" i="5" s="1"/>
  <c r="Q445" i="5"/>
  <c r="R445" i="5" s="1"/>
  <c r="S445" i="5" s="1"/>
  <c r="T445" i="5" s="1"/>
  <c r="U445" i="5" s="1"/>
  <c r="V445" i="5" s="1"/>
  <c r="P445" i="5"/>
  <c r="AE445" i="5" s="1"/>
  <c r="AF445" i="5" s="1"/>
  <c r="O445" i="5"/>
  <c r="N445" i="5"/>
  <c r="AC444" i="5"/>
  <c r="AD444" i="5" s="1"/>
  <c r="AA444" i="5"/>
  <c r="AB444" i="5" s="1"/>
  <c r="Y444" i="5"/>
  <c r="Z444" i="5" s="1"/>
  <c r="W444" i="5"/>
  <c r="X444" i="5" s="1"/>
  <c r="Q444" i="5"/>
  <c r="R444" i="5" s="1"/>
  <c r="S444" i="5" s="1"/>
  <c r="T444" i="5" s="1"/>
  <c r="U444" i="5" s="1"/>
  <c r="V444" i="5" s="1"/>
  <c r="P444" i="5"/>
  <c r="AE444" i="5" s="1"/>
  <c r="AF444" i="5" s="1"/>
  <c r="O444" i="5"/>
  <c r="N444" i="5"/>
  <c r="AC443" i="5"/>
  <c r="AD443" i="5" s="1"/>
  <c r="AA443" i="5"/>
  <c r="AB443" i="5" s="1"/>
  <c r="Y443" i="5"/>
  <c r="Z443" i="5" s="1"/>
  <c r="W443" i="5"/>
  <c r="X443" i="5" s="1"/>
  <c r="Q443" i="5"/>
  <c r="R443" i="5" s="1"/>
  <c r="S443" i="5" s="1"/>
  <c r="T443" i="5" s="1"/>
  <c r="U443" i="5" s="1"/>
  <c r="V443" i="5" s="1"/>
  <c r="P443" i="5"/>
  <c r="AE443" i="5" s="1"/>
  <c r="AF443" i="5" s="1"/>
  <c r="O443" i="5"/>
  <c r="N443" i="5"/>
  <c r="AC442" i="5"/>
  <c r="AD442" i="5" s="1"/>
  <c r="AA442" i="5"/>
  <c r="AB442" i="5" s="1"/>
  <c r="Y442" i="5"/>
  <c r="Z442" i="5" s="1"/>
  <c r="W442" i="5"/>
  <c r="X442" i="5" s="1"/>
  <c r="Q442" i="5"/>
  <c r="R442" i="5" s="1"/>
  <c r="S442" i="5" s="1"/>
  <c r="T442" i="5" s="1"/>
  <c r="U442" i="5" s="1"/>
  <c r="V442" i="5" s="1"/>
  <c r="P442" i="5"/>
  <c r="AE442" i="5" s="1"/>
  <c r="AF442" i="5" s="1"/>
  <c r="O442" i="5"/>
  <c r="N442" i="5"/>
  <c r="AC441" i="5"/>
  <c r="AD441" i="5" s="1"/>
  <c r="AA441" i="5"/>
  <c r="AB441" i="5" s="1"/>
  <c r="Y441" i="5"/>
  <c r="Z441" i="5" s="1"/>
  <c r="W441" i="5"/>
  <c r="X441" i="5" s="1"/>
  <c r="Q441" i="5"/>
  <c r="R441" i="5" s="1"/>
  <c r="S441" i="5" s="1"/>
  <c r="T441" i="5" s="1"/>
  <c r="U441" i="5" s="1"/>
  <c r="V441" i="5" s="1"/>
  <c r="P441" i="5"/>
  <c r="AE441" i="5" s="1"/>
  <c r="AF441" i="5" s="1"/>
  <c r="O441" i="5"/>
  <c r="N441" i="5"/>
  <c r="AC440" i="5"/>
  <c r="AD440" i="5" s="1"/>
  <c r="AA440" i="5"/>
  <c r="AB440" i="5" s="1"/>
  <c r="Y440" i="5"/>
  <c r="Z440" i="5" s="1"/>
  <c r="W440" i="5"/>
  <c r="X440" i="5" s="1"/>
  <c r="Q440" i="5"/>
  <c r="R440" i="5" s="1"/>
  <c r="S440" i="5" s="1"/>
  <c r="T440" i="5" s="1"/>
  <c r="U440" i="5" s="1"/>
  <c r="V440" i="5" s="1"/>
  <c r="P440" i="5"/>
  <c r="AE440" i="5" s="1"/>
  <c r="AF440" i="5" s="1"/>
  <c r="O440" i="5"/>
  <c r="N440" i="5"/>
  <c r="AC439" i="5"/>
  <c r="AD439" i="5" s="1"/>
  <c r="AA439" i="5"/>
  <c r="AB439" i="5" s="1"/>
  <c r="Y439" i="5"/>
  <c r="Z439" i="5" s="1"/>
  <c r="W439" i="5"/>
  <c r="X439" i="5" s="1"/>
  <c r="Q439" i="5"/>
  <c r="R439" i="5" s="1"/>
  <c r="S439" i="5" s="1"/>
  <c r="T439" i="5" s="1"/>
  <c r="U439" i="5" s="1"/>
  <c r="V439" i="5" s="1"/>
  <c r="P439" i="5"/>
  <c r="AE439" i="5" s="1"/>
  <c r="AF439" i="5" s="1"/>
  <c r="O439" i="5"/>
  <c r="N439" i="5"/>
  <c r="AC438" i="5"/>
  <c r="AD438" i="5" s="1"/>
  <c r="AA438" i="5"/>
  <c r="AB438" i="5" s="1"/>
  <c r="Y438" i="5"/>
  <c r="Z438" i="5" s="1"/>
  <c r="W438" i="5"/>
  <c r="X438" i="5" s="1"/>
  <c r="Q438" i="5"/>
  <c r="R438" i="5" s="1"/>
  <c r="S438" i="5" s="1"/>
  <c r="T438" i="5" s="1"/>
  <c r="U438" i="5" s="1"/>
  <c r="V438" i="5" s="1"/>
  <c r="P438" i="5"/>
  <c r="AE438" i="5" s="1"/>
  <c r="AF438" i="5" s="1"/>
  <c r="O438" i="5"/>
  <c r="N438" i="5"/>
  <c r="AC437" i="5"/>
  <c r="AD437" i="5" s="1"/>
  <c r="AA437" i="5"/>
  <c r="AB437" i="5" s="1"/>
  <c r="Y437" i="5"/>
  <c r="Z437" i="5" s="1"/>
  <c r="W437" i="5"/>
  <c r="X437" i="5" s="1"/>
  <c r="Q437" i="5"/>
  <c r="R437" i="5" s="1"/>
  <c r="S437" i="5" s="1"/>
  <c r="T437" i="5" s="1"/>
  <c r="U437" i="5" s="1"/>
  <c r="V437" i="5" s="1"/>
  <c r="P437" i="5"/>
  <c r="AE437" i="5" s="1"/>
  <c r="AF437" i="5" s="1"/>
  <c r="O437" i="5"/>
  <c r="N437" i="5"/>
  <c r="AC436" i="5"/>
  <c r="AD436" i="5" s="1"/>
  <c r="AA436" i="5"/>
  <c r="AB436" i="5" s="1"/>
  <c r="Y436" i="5"/>
  <c r="Z436" i="5" s="1"/>
  <c r="W436" i="5"/>
  <c r="X436" i="5" s="1"/>
  <c r="Q436" i="5"/>
  <c r="R436" i="5" s="1"/>
  <c r="S436" i="5" s="1"/>
  <c r="T436" i="5" s="1"/>
  <c r="U436" i="5" s="1"/>
  <c r="V436" i="5" s="1"/>
  <c r="P436" i="5"/>
  <c r="AE436" i="5" s="1"/>
  <c r="AF436" i="5" s="1"/>
  <c r="O436" i="5"/>
  <c r="N436" i="5"/>
  <c r="AC435" i="5"/>
  <c r="AD435" i="5" s="1"/>
  <c r="AA435" i="5"/>
  <c r="AB435" i="5" s="1"/>
  <c r="Y435" i="5"/>
  <c r="Z435" i="5" s="1"/>
  <c r="W435" i="5"/>
  <c r="X435" i="5" s="1"/>
  <c r="Q435" i="5"/>
  <c r="R435" i="5" s="1"/>
  <c r="S435" i="5" s="1"/>
  <c r="T435" i="5" s="1"/>
  <c r="U435" i="5" s="1"/>
  <c r="V435" i="5" s="1"/>
  <c r="P435" i="5"/>
  <c r="AE435" i="5" s="1"/>
  <c r="AF435" i="5" s="1"/>
  <c r="O435" i="5"/>
  <c r="N435" i="5"/>
  <c r="AC434" i="5"/>
  <c r="AD434" i="5" s="1"/>
  <c r="AA434" i="5"/>
  <c r="AB434" i="5" s="1"/>
  <c r="Y434" i="5"/>
  <c r="Z434" i="5" s="1"/>
  <c r="W434" i="5"/>
  <c r="X434" i="5" s="1"/>
  <c r="Q434" i="5"/>
  <c r="R434" i="5" s="1"/>
  <c r="S434" i="5" s="1"/>
  <c r="T434" i="5" s="1"/>
  <c r="U434" i="5" s="1"/>
  <c r="V434" i="5" s="1"/>
  <c r="P434" i="5"/>
  <c r="AE434" i="5" s="1"/>
  <c r="AF434" i="5" s="1"/>
  <c r="O434" i="5"/>
  <c r="N434" i="5"/>
  <c r="AC433" i="5"/>
  <c r="AD433" i="5" s="1"/>
  <c r="AA433" i="5"/>
  <c r="AB433" i="5" s="1"/>
  <c r="Y433" i="5"/>
  <c r="Z433" i="5" s="1"/>
  <c r="W433" i="5"/>
  <c r="X433" i="5" s="1"/>
  <c r="Q433" i="5"/>
  <c r="R433" i="5" s="1"/>
  <c r="S433" i="5" s="1"/>
  <c r="T433" i="5" s="1"/>
  <c r="U433" i="5" s="1"/>
  <c r="V433" i="5" s="1"/>
  <c r="P433" i="5"/>
  <c r="AE433" i="5" s="1"/>
  <c r="AF433" i="5" s="1"/>
  <c r="O433" i="5"/>
  <c r="N433" i="5"/>
  <c r="AC432" i="5"/>
  <c r="AD432" i="5" s="1"/>
  <c r="AA432" i="5"/>
  <c r="AB432" i="5" s="1"/>
  <c r="Y432" i="5"/>
  <c r="Z432" i="5" s="1"/>
  <c r="W432" i="5"/>
  <c r="X432" i="5" s="1"/>
  <c r="Q432" i="5"/>
  <c r="R432" i="5" s="1"/>
  <c r="S432" i="5" s="1"/>
  <c r="T432" i="5" s="1"/>
  <c r="U432" i="5" s="1"/>
  <c r="V432" i="5" s="1"/>
  <c r="P432" i="5"/>
  <c r="AE432" i="5" s="1"/>
  <c r="AF432" i="5" s="1"/>
  <c r="O432" i="5"/>
  <c r="N432" i="5"/>
  <c r="AC431" i="5"/>
  <c r="AD431" i="5" s="1"/>
  <c r="AA431" i="5"/>
  <c r="AB431" i="5" s="1"/>
  <c r="Y431" i="5"/>
  <c r="Z431" i="5" s="1"/>
  <c r="W431" i="5"/>
  <c r="X431" i="5" s="1"/>
  <c r="Q431" i="5"/>
  <c r="R431" i="5" s="1"/>
  <c r="S431" i="5" s="1"/>
  <c r="T431" i="5" s="1"/>
  <c r="U431" i="5" s="1"/>
  <c r="V431" i="5" s="1"/>
  <c r="P431" i="5"/>
  <c r="AE431" i="5" s="1"/>
  <c r="AF431" i="5" s="1"/>
  <c r="O431" i="5"/>
  <c r="N431" i="5"/>
  <c r="AC430" i="5"/>
  <c r="AD430" i="5" s="1"/>
  <c r="AA430" i="5"/>
  <c r="AB430" i="5" s="1"/>
  <c r="Y430" i="5"/>
  <c r="Z430" i="5" s="1"/>
  <c r="W430" i="5"/>
  <c r="X430" i="5" s="1"/>
  <c r="Q430" i="5"/>
  <c r="R430" i="5" s="1"/>
  <c r="S430" i="5" s="1"/>
  <c r="T430" i="5" s="1"/>
  <c r="U430" i="5" s="1"/>
  <c r="V430" i="5" s="1"/>
  <c r="P430" i="5"/>
  <c r="AE430" i="5" s="1"/>
  <c r="AF430" i="5" s="1"/>
  <c r="O430" i="5"/>
  <c r="N430" i="5"/>
  <c r="AC429" i="5"/>
  <c r="AD429" i="5" s="1"/>
  <c r="AA429" i="5"/>
  <c r="AB429" i="5" s="1"/>
  <c r="Y429" i="5"/>
  <c r="Z429" i="5" s="1"/>
  <c r="W429" i="5"/>
  <c r="X429" i="5" s="1"/>
  <c r="Q429" i="5"/>
  <c r="R429" i="5" s="1"/>
  <c r="S429" i="5" s="1"/>
  <c r="T429" i="5" s="1"/>
  <c r="U429" i="5" s="1"/>
  <c r="V429" i="5" s="1"/>
  <c r="P429" i="5"/>
  <c r="AE429" i="5" s="1"/>
  <c r="AF429" i="5" s="1"/>
  <c r="O429" i="5"/>
  <c r="N429" i="5"/>
  <c r="AC428" i="5"/>
  <c r="AD428" i="5" s="1"/>
  <c r="AA428" i="5"/>
  <c r="AB428" i="5" s="1"/>
  <c r="Y428" i="5"/>
  <c r="Z428" i="5" s="1"/>
  <c r="W428" i="5"/>
  <c r="X428" i="5" s="1"/>
  <c r="Q428" i="5"/>
  <c r="R428" i="5" s="1"/>
  <c r="S428" i="5" s="1"/>
  <c r="T428" i="5" s="1"/>
  <c r="U428" i="5" s="1"/>
  <c r="V428" i="5" s="1"/>
  <c r="P428" i="5"/>
  <c r="AE428" i="5" s="1"/>
  <c r="AF428" i="5" s="1"/>
  <c r="O428" i="5"/>
  <c r="N428" i="5"/>
  <c r="AC427" i="5"/>
  <c r="AD427" i="5" s="1"/>
  <c r="AA427" i="5"/>
  <c r="AB427" i="5" s="1"/>
  <c r="Y427" i="5"/>
  <c r="Z427" i="5" s="1"/>
  <c r="W427" i="5"/>
  <c r="X427" i="5" s="1"/>
  <c r="Q427" i="5"/>
  <c r="R427" i="5" s="1"/>
  <c r="S427" i="5" s="1"/>
  <c r="T427" i="5" s="1"/>
  <c r="U427" i="5" s="1"/>
  <c r="V427" i="5" s="1"/>
  <c r="P427" i="5"/>
  <c r="AE427" i="5" s="1"/>
  <c r="AF427" i="5" s="1"/>
  <c r="O427" i="5"/>
  <c r="N427" i="5"/>
  <c r="AC426" i="5"/>
  <c r="AD426" i="5" s="1"/>
  <c r="AA426" i="5"/>
  <c r="AB426" i="5" s="1"/>
  <c r="Y426" i="5"/>
  <c r="Z426" i="5" s="1"/>
  <c r="W426" i="5"/>
  <c r="X426" i="5" s="1"/>
  <c r="Q426" i="5"/>
  <c r="R426" i="5" s="1"/>
  <c r="S426" i="5" s="1"/>
  <c r="T426" i="5" s="1"/>
  <c r="U426" i="5" s="1"/>
  <c r="V426" i="5" s="1"/>
  <c r="P426" i="5"/>
  <c r="AE426" i="5" s="1"/>
  <c r="AF426" i="5" s="1"/>
  <c r="O426" i="5"/>
  <c r="N426" i="5"/>
  <c r="AC425" i="5"/>
  <c r="AD425" i="5" s="1"/>
  <c r="AA425" i="5"/>
  <c r="AB425" i="5" s="1"/>
  <c r="Y425" i="5"/>
  <c r="Z425" i="5" s="1"/>
  <c r="W425" i="5"/>
  <c r="X425" i="5" s="1"/>
  <c r="Q425" i="5"/>
  <c r="R425" i="5" s="1"/>
  <c r="S425" i="5" s="1"/>
  <c r="T425" i="5" s="1"/>
  <c r="U425" i="5" s="1"/>
  <c r="V425" i="5" s="1"/>
  <c r="P425" i="5"/>
  <c r="AE425" i="5" s="1"/>
  <c r="AF425" i="5" s="1"/>
  <c r="O425" i="5"/>
  <c r="N425" i="5"/>
  <c r="AC424" i="5"/>
  <c r="AD424" i="5" s="1"/>
  <c r="AA424" i="5"/>
  <c r="AB424" i="5" s="1"/>
  <c r="Y424" i="5"/>
  <c r="Z424" i="5" s="1"/>
  <c r="W424" i="5"/>
  <c r="X424" i="5" s="1"/>
  <c r="Q424" i="5"/>
  <c r="R424" i="5" s="1"/>
  <c r="S424" i="5" s="1"/>
  <c r="T424" i="5" s="1"/>
  <c r="U424" i="5" s="1"/>
  <c r="V424" i="5" s="1"/>
  <c r="P424" i="5"/>
  <c r="AE424" i="5" s="1"/>
  <c r="AF424" i="5" s="1"/>
  <c r="O424" i="5"/>
  <c r="N424" i="5"/>
  <c r="AC423" i="5"/>
  <c r="AD423" i="5" s="1"/>
  <c r="AA423" i="5"/>
  <c r="AB423" i="5" s="1"/>
  <c r="Y423" i="5"/>
  <c r="Z423" i="5" s="1"/>
  <c r="W423" i="5"/>
  <c r="X423" i="5" s="1"/>
  <c r="Q423" i="5"/>
  <c r="R423" i="5" s="1"/>
  <c r="S423" i="5" s="1"/>
  <c r="T423" i="5" s="1"/>
  <c r="U423" i="5" s="1"/>
  <c r="V423" i="5" s="1"/>
  <c r="P423" i="5"/>
  <c r="AE423" i="5" s="1"/>
  <c r="AF423" i="5" s="1"/>
  <c r="O423" i="5"/>
  <c r="N423" i="5"/>
  <c r="AC422" i="5"/>
  <c r="AD422" i="5" s="1"/>
  <c r="AA422" i="5"/>
  <c r="AB422" i="5" s="1"/>
  <c r="Y422" i="5"/>
  <c r="Z422" i="5" s="1"/>
  <c r="W422" i="5"/>
  <c r="X422" i="5" s="1"/>
  <c r="Q422" i="5"/>
  <c r="R422" i="5" s="1"/>
  <c r="S422" i="5" s="1"/>
  <c r="T422" i="5" s="1"/>
  <c r="U422" i="5" s="1"/>
  <c r="V422" i="5" s="1"/>
  <c r="P422" i="5"/>
  <c r="AE422" i="5" s="1"/>
  <c r="AF422" i="5" s="1"/>
  <c r="O422" i="5"/>
  <c r="N422" i="5"/>
  <c r="AC421" i="5"/>
  <c r="AD421" i="5" s="1"/>
  <c r="AA421" i="5"/>
  <c r="AB421" i="5" s="1"/>
  <c r="Y421" i="5"/>
  <c r="Z421" i="5" s="1"/>
  <c r="W421" i="5"/>
  <c r="X421" i="5" s="1"/>
  <c r="Q421" i="5"/>
  <c r="R421" i="5" s="1"/>
  <c r="S421" i="5" s="1"/>
  <c r="T421" i="5" s="1"/>
  <c r="U421" i="5" s="1"/>
  <c r="V421" i="5" s="1"/>
  <c r="P421" i="5"/>
  <c r="AE421" i="5" s="1"/>
  <c r="AF421" i="5" s="1"/>
  <c r="O421" i="5"/>
  <c r="N421" i="5"/>
  <c r="AC420" i="5"/>
  <c r="AD420" i="5" s="1"/>
  <c r="AA420" i="5"/>
  <c r="AB420" i="5" s="1"/>
  <c r="Y420" i="5"/>
  <c r="Z420" i="5" s="1"/>
  <c r="W420" i="5"/>
  <c r="X420" i="5" s="1"/>
  <c r="Q420" i="5"/>
  <c r="R420" i="5" s="1"/>
  <c r="S420" i="5" s="1"/>
  <c r="T420" i="5" s="1"/>
  <c r="U420" i="5" s="1"/>
  <c r="V420" i="5" s="1"/>
  <c r="P420" i="5"/>
  <c r="AE420" i="5" s="1"/>
  <c r="AF420" i="5" s="1"/>
  <c r="O420" i="5"/>
  <c r="N420" i="5"/>
  <c r="AC419" i="5"/>
  <c r="AD419" i="5" s="1"/>
  <c r="AA419" i="5"/>
  <c r="AB419" i="5" s="1"/>
  <c r="Y419" i="5"/>
  <c r="Z419" i="5" s="1"/>
  <c r="W419" i="5"/>
  <c r="X419" i="5" s="1"/>
  <c r="Q419" i="5"/>
  <c r="R419" i="5" s="1"/>
  <c r="S419" i="5" s="1"/>
  <c r="T419" i="5" s="1"/>
  <c r="U419" i="5" s="1"/>
  <c r="V419" i="5" s="1"/>
  <c r="P419" i="5"/>
  <c r="AE419" i="5" s="1"/>
  <c r="AF419" i="5" s="1"/>
  <c r="O419" i="5"/>
  <c r="N419" i="5"/>
  <c r="AC418" i="5"/>
  <c r="AD418" i="5" s="1"/>
  <c r="AA418" i="5"/>
  <c r="AB418" i="5" s="1"/>
  <c r="Y418" i="5"/>
  <c r="Z418" i="5" s="1"/>
  <c r="W418" i="5"/>
  <c r="X418" i="5" s="1"/>
  <c r="Q418" i="5"/>
  <c r="R418" i="5" s="1"/>
  <c r="S418" i="5" s="1"/>
  <c r="T418" i="5" s="1"/>
  <c r="U418" i="5" s="1"/>
  <c r="V418" i="5" s="1"/>
  <c r="P418" i="5"/>
  <c r="AE418" i="5" s="1"/>
  <c r="AF418" i="5" s="1"/>
  <c r="O418" i="5"/>
  <c r="N418" i="5"/>
  <c r="AC417" i="5"/>
  <c r="AD417" i="5" s="1"/>
  <c r="AA417" i="5"/>
  <c r="AB417" i="5" s="1"/>
  <c r="Y417" i="5"/>
  <c r="Z417" i="5" s="1"/>
  <c r="W417" i="5"/>
  <c r="X417" i="5" s="1"/>
  <c r="Q417" i="5"/>
  <c r="R417" i="5" s="1"/>
  <c r="S417" i="5" s="1"/>
  <c r="T417" i="5" s="1"/>
  <c r="U417" i="5" s="1"/>
  <c r="V417" i="5" s="1"/>
  <c r="P417" i="5"/>
  <c r="AE417" i="5" s="1"/>
  <c r="AF417" i="5" s="1"/>
  <c r="O417" i="5"/>
  <c r="N417" i="5"/>
  <c r="AC416" i="5"/>
  <c r="AD416" i="5" s="1"/>
  <c r="AA416" i="5"/>
  <c r="AB416" i="5" s="1"/>
  <c r="Y416" i="5"/>
  <c r="Z416" i="5" s="1"/>
  <c r="W416" i="5"/>
  <c r="X416" i="5" s="1"/>
  <c r="Q416" i="5"/>
  <c r="R416" i="5" s="1"/>
  <c r="S416" i="5" s="1"/>
  <c r="T416" i="5" s="1"/>
  <c r="U416" i="5" s="1"/>
  <c r="V416" i="5" s="1"/>
  <c r="P416" i="5"/>
  <c r="AE416" i="5" s="1"/>
  <c r="AF416" i="5" s="1"/>
  <c r="O416" i="5"/>
  <c r="N416" i="5"/>
  <c r="AC415" i="5"/>
  <c r="AD415" i="5" s="1"/>
  <c r="AA415" i="5"/>
  <c r="AB415" i="5" s="1"/>
  <c r="Y415" i="5"/>
  <c r="Z415" i="5" s="1"/>
  <c r="W415" i="5"/>
  <c r="X415" i="5" s="1"/>
  <c r="Q415" i="5"/>
  <c r="R415" i="5" s="1"/>
  <c r="S415" i="5" s="1"/>
  <c r="T415" i="5" s="1"/>
  <c r="U415" i="5" s="1"/>
  <c r="V415" i="5" s="1"/>
  <c r="P415" i="5"/>
  <c r="AE415" i="5" s="1"/>
  <c r="AF415" i="5" s="1"/>
  <c r="O415" i="5"/>
  <c r="N415" i="5"/>
  <c r="AC414" i="5"/>
  <c r="AD414" i="5" s="1"/>
  <c r="AA414" i="5"/>
  <c r="AB414" i="5" s="1"/>
  <c r="Y414" i="5"/>
  <c r="Z414" i="5" s="1"/>
  <c r="W414" i="5"/>
  <c r="X414" i="5" s="1"/>
  <c r="Q414" i="5"/>
  <c r="R414" i="5" s="1"/>
  <c r="S414" i="5" s="1"/>
  <c r="T414" i="5" s="1"/>
  <c r="U414" i="5" s="1"/>
  <c r="V414" i="5" s="1"/>
  <c r="P414" i="5"/>
  <c r="AE414" i="5" s="1"/>
  <c r="AF414" i="5" s="1"/>
  <c r="O414" i="5"/>
  <c r="N414" i="5"/>
  <c r="AC413" i="5"/>
  <c r="AD413" i="5" s="1"/>
  <c r="AA413" i="5"/>
  <c r="AB413" i="5" s="1"/>
  <c r="Y413" i="5"/>
  <c r="Z413" i="5" s="1"/>
  <c r="W413" i="5"/>
  <c r="X413" i="5" s="1"/>
  <c r="Q413" i="5"/>
  <c r="R413" i="5" s="1"/>
  <c r="S413" i="5" s="1"/>
  <c r="T413" i="5" s="1"/>
  <c r="U413" i="5" s="1"/>
  <c r="V413" i="5" s="1"/>
  <c r="P413" i="5"/>
  <c r="AE413" i="5" s="1"/>
  <c r="AF413" i="5" s="1"/>
  <c r="O413" i="5"/>
  <c r="N413" i="5"/>
  <c r="AC412" i="5"/>
  <c r="AD412" i="5" s="1"/>
  <c r="AA412" i="5"/>
  <c r="AB412" i="5" s="1"/>
  <c r="Y412" i="5"/>
  <c r="Z412" i="5" s="1"/>
  <c r="W412" i="5"/>
  <c r="X412" i="5" s="1"/>
  <c r="Q412" i="5"/>
  <c r="R412" i="5" s="1"/>
  <c r="S412" i="5" s="1"/>
  <c r="T412" i="5" s="1"/>
  <c r="U412" i="5" s="1"/>
  <c r="V412" i="5" s="1"/>
  <c r="P412" i="5"/>
  <c r="AE412" i="5" s="1"/>
  <c r="AF412" i="5" s="1"/>
  <c r="O412" i="5"/>
  <c r="N412" i="5"/>
  <c r="AC411" i="5"/>
  <c r="AD411" i="5" s="1"/>
  <c r="AA411" i="5"/>
  <c r="AB411" i="5" s="1"/>
  <c r="Y411" i="5"/>
  <c r="Z411" i="5" s="1"/>
  <c r="W411" i="5"/>
  <c r="X411" i="5" s="1"/>
  <c r="Q411" i="5"/>
  <c r="R411" i="5" s="1"/>
  <c r="S411" i="5" s="1"/>
  <c r="T411" i="5" s="1"/>
  <c r="U411" i="5" s="1"/>
  <c r="V411" i="5" s="1"/>
  <c r="P411" i="5"/>
  <c r="AE411" i="5" s="1"/>
  <c r="AF411" i="5" s="1"/>
  <c r="O411" i="5"/>
  <c r="N411" i="5"/>
  <c r="AC410" i="5"/>
  <c r="AD410" i="5" s="1"/>
  <c r="AA410" i="5"/>
  <c r="AB410" i="5" s="1"/>
  <c r="Y410" i="5"/>
  <c r="Z410" i="5" s="1"/>
  <c r="W410" i="5"/>
  <c r="X410" i="5" s="1"/>
  <c r="Q410" i="5"/>
  <c r="R410" i="5" s="1"/>
  <c r="S410" i="5" s="1"/>
  <c r="T410" i="5" s="1"/>
  <c r="U410" i="5" s="1"/>
  <c r="V410" i="5" s="1"/>
  <c r="P410" i="5"/>
  <c r="AE410" i="5" s="1"/>
  <c r="AF410" i="5" s="1"/>
  <c r="O410" i="5"/>
  <c r="N410" i="5"/>
  <c r="AC409" i="5"/>
  <c r="AD409" i="5" s="1"/>
  <c r="AA409" i="5"/>
  <c r="AB409" i="5" s="1"/>
  <c r="Y409" i="5"/>
  <c r="Z409" i="5" s="1"/>
  <c r="W409" i="5"/>
  <c r="X409" i="5" s="1"/>
  <c r="Q409" i="5"/>
  <c r="R409" i="5" s="1"/>
  <c r="S409" i="5" s="1"/>
  <c r="T409" i="5" s="1"/>
  <c r="U409" i="5" s="1"/>
  <c r="V409" i="5" s="1"/>
  <c r="P409" i="5"/>
  <c r="AE409" i="5" s="1"/>
  <c r="AF409" i="5" s="1"/>
  <c r="O409" i="5"/>
  <c r="N409" i="5"/>
  <c r="AC408" i="5"/>
  <c r="AD408" i="5" s="1"/>
  <c r="AA408" i="5"/>
  <c r="AB408" i="5" s="1"/>
  <c r="Y408" i="5"/>
  <c r="Z408" i="5" s="1"/>
  <c r="W408" i="5"/>
  <c r="X408" i="5" s="1"/>
  <c r="Q408" i="5"/>
  <c r="R408" i="5" s="1"/>
  <c r="S408" i="5" s="1"/>
  <c r="T408" i="5" s="1"/>
  <c r="U408" i="5" s="1"/>
  <c r="V408" i="5" s="1"/>
  <c r="P408" i="5"/>
  <c r="AE408" i="5" s="1"/>
  <c r="AF408" i="5" s="1"/>
  <c r="O408" i="5"/>
  <c r="N408" i="5"/>
  <c r="AC407" i="5"/>
  <c r="AD407" i="5" s="1"/>
  <c r="AA407" i="5"/>
  <c r="AB407" i="5" s="1"/>
  <c r="Y407" i="5"/>
  <c r="Z407" i="5" s="1"/>
  <c r="W407" i="5"/>
  <c r="X407" i="5" s="1"/>
  <c r="Q407" i="5"/>
  <c r="R407" i="5" s="1"/>
  <c r="S407" i="5" s="1"/>
  <c r="T407" i="5" s="1"/>
  <c r="U407" i="5" s="1"/>
  <c r="V407" i="5" s="1"/>
  <c r="P407" i="5"/>
  <c r="AE407" i="5" s="1"/>
  <c r="AF407" i="5" s="1"/>
  <c r="O407" i="5"/>
  <c r="N407" i="5"/>
  <c r="AC406" i="5"/>
  <c r="AD406" i="5" s="1"/>
  <c r="AA406" i="5"/>
  <c r="AB406" i="5" s="1"/>
  <c r="Y406" i="5"/>
  <c r="Z406" i="5" s="1"/>
  <c r="W406" i="5"/>
  <c r="X406" i="5" s="1"/>
  <c r="Q406" i="5"/>
  <c r="R406" i="5" s="1"/>
  <c r="S406" i="5" s="1"/>
  <c r="T406" i="5" s="1"/>
  <c r="U406" i="5" s="1"/>
  <c r="V406" i="5" s="1"/>
  <c r="P406" i="5"/>
  <c r="AE406" i="5" s="1"/>
  <c r="AF406" i="5" s="1"/>
  <c r="O406" i="5"/>
  <c r="N406" i="5"/>
  <c r="AC405" i="5"/>
  <c r="AD405" i="5" s="1"/>
  <c r="AA405" i="5"/>
  <c r="AB405" i="5" s="1"/>
  <c r="Y405" i="5"/>
  <c r="Z405" i="5" s="1"/>
  <c r="W405" i="5"/>
  <c r="X405" i="5" s="1"/>
  <c r="Q405" i="5"/>
  <c r="R405" i="5" s="1"/>
  <c r="S405" i="5" s="1"/>
  <c r="T405" i="5" s="1"/>
  <c r="U405" i="5" s="1"/>
  <c r="V405" i="5" s="1"/>
  <c r="P405" i="5"/>
  <c r="AE405" i="5" s="1"/>
  <c r="AF405" i="5" s="1"/>
  <c r="O405" i="5"/>
  <c r="N405" i="5"/>
  <c r="AC404" i="5"/>
  <c r="AD404" i="5" s="1"/>
  <c r="AA404" i="5"/>
  <c r="AB404" i="5" s="1"/>
  <c r="Y404" i="5"/>
  <c r="Z404" i="5" s="1"/>
  <c r="W404" i="5"/>
  <c r="X404" i="5" s="1"/>
  <c r="Q404" i="5"/>
  <c r="R404" i="5" s="1"/>
  <c r="S404" i="5" s="1"/>
  <c r="T404" i="5" s="1"/>
  <c r="U404" i="5" s="1"/>
  <c r="V404" i="5" s="1"/>
  <c r="P404" i="5"/>
  <c r="AE404" i="5" s="1"/>
  <c r="AF404" i="5" s="1"/>
  <c r="O404" i="5"/>
  <c r="N404" i="5"/>
  <c r="AC403" i="5"/>
  <c r="AD403" i="5" s="1"/>
  <c r="AA403" i="5"/>
  <c r="AB403" i="5" s="1"/>
  <c r="Y403" i="5"/>
  <c r="Z403" i="5" s="1"/>
  <c r="W403" i="5"/>
  <c r="X403" i="5" s="1"/>
  <c r="Q403" i="5"/>
  <c r="R403" i="5" s="1"/>
  <c r="S403" i="5" s="1"/>
  <c r="T403" i="5" s="1"/>
  <c r="U403" i="5" s="1"/>
  <c r="V403" i="5" s="1"/>
  <c r="P403" i="5"/>
  <c r="AE403" i="5" s="1"/>
  <c r="AF403" i="5" s="1"/>
  <c r="O403" i="5"/>
  <c r="N403" i="5"/>
  <c r="AC402" i="5"/>
  <c r="AD402" i="5" s="1"/>
  <c r="AA402" i="5"/>
  <c r="AB402" i="5" s="1"/>
  <c r="Y402" i="5"/>
  <c r="Z402" i="5" s="1"/>
  <c r="W402" i="5"/>
  <c r="X402" i="5" s="1"/>
  <c r="Q402" i="5"/>
  <c r="R402" i="5" s="1"/>
  <c r="S402" i="5" s="1"/>
  <c r="T402" i="5" s="1"/>
  <c r="U402" i="5" s="1"/>
  <c r="V402" i="5" s="1"/>
  <c r="P402" i="5"/>
  <c r="AE402" i="5" s="1"/>
  <c r="AF402" i="5" s="1"/>
  <c r="O402" i="5"/>
  <c r="N402" i="5"/>
  <c r="AC401" i="5"/>
  <c r="AD401" i="5" s="1"/>
  <c r="AA401" i="5"/>
  <c r="AB401" i="5" s="1"/>
  <c r="Y401" i="5"/>
  <c r="Z401" i="5" s="1"/>
  <c r="W401" i="5"/>
  <c r="X401" i="5" s="1"/>
  <c r="Q401" i="5"/>
  <c r="R401" i="5" s="1"/>
  <c r="S401" i="5" s="1"/>
  <c r="T401" i="5" s="1"/>
  <c r="U401" i="5" s="1"/>
  <c r="V401" i="5" s="1"/>
  <c r="P401" i="5"/>
  <c r="AE401" i="5" s="1"/>
  <c r="AF401" i="5" s="1"/>
  <c r="O401" i="5"/>
  <c r="N401" i="5"/>
  <c r="AC400" i="5"/>
  <c r="AD400" i="5" s="1"/>
  <c r="AA400" i="5"/>
  <c r="AB400" i="5" s="1"/>
  <c r="Y400" i="5"/>
  <c r="Z400" i="5" s="1"/>
  <c r="W400" i="5"/>
  <c r="X400" i="5" s="1"/>
  <c r="Q400" i="5"/>
  <c r="R400" i="5" s="1"/>
  <c r="S400" i="5" s="1"/>
  <c r="T400" i="5" s="1"/>
  <c r="U400" i="5" s="1"/>
  <c r="V400" i="5" s="1"/>
  <c r="P400" i="5"/>
  <c r="AE400" i="5" s="1"/>
  <c r="AF400" i="5" s="1"/>
  <c r="O400" i="5"/>
  <c r="N400" i="5"/>
  <c r="AC399" i="5"/>
  <c r="AD399" i="5" s="1"/>
  <c r="AA399" i="5"/>
  <c r="AB399" i="5" s="1"/>
  <c r="Y399" i="5"/>
  <c r="Z399" i="5" s="1"/>
  <c r="W399" i="5"/>
  <c r="X399" i="5" s="1"/>
  <c r="Q399" i="5"/>
  <c r="R399" i="5" s="1"/>
  <c r="S399" i="5" s="1"/>
  <c r="T399" i="5" s="1"/>
  <c r="U399" i="5" s="1"/>
  <c r="V399" i="5" s="1"/>
  <c r="P399" i="5"/>
  <c r="AE399" i="5" s="1"/>
  <c r="AF399" i="5" s="1"/>
  <c r="O399" i="5"/>
  <c r="N399" i="5"/>
  <c r="AC398" i="5"/>
  <c r="AD398" i="5" s="1"/>
  <c r="AA398" i="5"/>
  <c r="AB398" i="5" s="1"/>
  <c r="Y398" i="5"/>
  <c r="Z398" i="5" s="1"/>
  <c r="W398" i="5"/>
  <c r="X398" i="5" s="1"/>
  <c r="Q398" i="5"/>
  <c r="R398" i="5" s="1"/>
  <c r="S398" i="5" s="1"/>
  <c r="T398" i="5" s="1"/>
  <c r="U398" i="5" s="1"/>
  <c r="V398" i="5" s="1"/>
  <c r="P398" i="5"/>
  <c r="AE398" i="5" s="1"/>
  <c r="AF398" i="5" s="1"/>
  <c r="O398" i="5"/>
  <c r="N398" i="5"/>
  <c r="AC397" i="5"/>
  <c r="AD397" i="5" s="1"/>
  <c r="AA397" i="5"/>
  <c r="AB397" i="5" s="1"/>
  <c r="Y397" i="5"/>
  <c r="Z397" i="5" s="1"/>
  <c r="W397" i="5"/>
  <c r="X397" i="5" s="1"/>
  <c r="Q397" i="5"/>
  <c r="R397" i="5" s="1"/>
  <c r="S397" i="5" s="1"/>
  <c r="T397" i="5" s="1"/>
  <c r="U397" i="5" s="1"/>
  <c r="V397" i="5" s="1"/>
  <c r="P397" i="5"/>
  <c r="AE397" i="5" s="1"/>
  <c r="AF397" i="5" s="1"/>
  <c r="O397" i="5"/>
  <c r="N397" i="5"/>
  <c r="AC396" i="5"/>
  <c r="AD396" i="5" s="1"/>
  <c r="AA396" i="5"/>
  <c r="AB396" i="5" s="1"/>
  <c r="Y396" i="5"/>
  <c r="Z396" i="5" s="1"/>
  <c r="W396" i="5"/>
  <c r="X396" i="5" s="1"/>
  <c r="Q396" i="5"/>
  <c r="R396" i="5" s="1"/>
  <c r="S396" i="5" s="1"/>
  <c r="T396" i="5" s="1"/>
  <c r="U396" i="5" s="1"/>
  <c r="V396" i="5" s="1"/>
  <c r="P396" i="5"/>
  <c r="AE396" i="5" s="1"/>
  <c r="AF396" i="5" s="1"/>
  <c r="O396" i="5"/>
  <c r="N396" i="5"/>
  <c r="AC395" i="5"/>
  <c r="AD395" i="5" s="1"/>
  <c r="AA395" i="5"/>
  <c r="AB395" i="5" s="1"/>
  <c r="Y395" i="5"/>
  <c r="Z395" i="5" s="1"/>
  <c r="W395" i="5"/>
  <c r="X395" i="5" s="1"/>
  <c r="Q395" i="5"/>
  <c r="R395" i="5" s="1"/>
  <c r="S395" i="5" s="1"/>
  <c r="T395" i="5" s="1"/>
  <c r="U395" i="5" s="1"/>
  <c r="V395" i="5" s="1"/>
  <c r="P395" i="5"/>
  <c r="AE395" i="5" s="1"/>
  <c r="AF395" i="5" s="1"/>
  <c r="O395" i="5"/>
  <c r="N395" i="5"/>
  <c r="AC394" i="5"/>
  <c r="AD394" i="5" s="1"/>
  <c r="AA394" i="5"/>
  <c r="AB394" i="5" s="1"/>
  <c r="Y394" i="5"/>
  <c r="Z394" i="5" s="1"/>
  <c r="W394" i="5"/>
  <c r="X394" i="5" s="1"/>
  <c r="Q394" i="5"/>
  <c r="R394" i="5" s="1"/>
  <c r="S394" i="5" s="1"/>
  <c r="T394" i="5" s="1"/>
  <c r="U394" i="5" s="1"/>
  <c r="V394" i="5" s="1"/>
  <c r="P394" i="5"/>
  <c r="AE394" i="5" s="1"/>
  <c r="AF394" i="5" s="1"/>
  <c r="O394" i="5"/>
  <c r="N394" i="5"/>
  <c r="AC393" i="5"/>
  <c r="AD393" i="5" s="1"/>
  <c r="AA393" i="5"/>
  <c r="AB393" i="5" s="1"/>
  <c r="Y393" i="5"/>
  <c r="Z393" i="5" s="1"/>
  <c r="W393" i="5"/>
  <c r="X393" i="5" s="1"/>
  <c r="Q393" i="5"/>
  <c r="R393" i="5" s="1"/>
  <c r="S393" i="5" s="1"/>
  <c r="T393" i="5" s="1"/>
  <c r="U393" i="5" s="1"/>
  <c r="V393" i="5" s="1"/>
  <c r="P393" i="5"/>
  <c r="AE393" i="5" s="1"/>
  <c r="AF393" i="5" s="1"/>
  <c r="O393" i="5"/>
  <c r="N393" i="5"/>
  <c r="AC392" i="5"/>
  <c r="AD392" i="5" s="1"/>
  <c r="AA392" i="5"/>
  <c r="AB392" i="5" s="1"/>
  <c r="Y392" i="5"/>
  <c r="Z392" i="5" s="1"/>
  <c r="W392" i="5"/>
  <c r="X392" i="5" s="1"/>
  <c r="Q392" i="5"/>
  <c r="R392" i="5" s="1"/>
  <c r="S392" i="5" s="1"/>
  <c r="T392" i="5" s="1"/>
  <c r="U392" i="5" s="1"/>
  <c r="V392" i="5" s="1"/>
  <c r="P392" i="5"/>
  <c r="AE392" i="5" s="1"/>
  <c r="AF392" i="5" s="1"/>
  <c r="O392" i="5"/>
  <c r="N392" i="5"/>
  <c r="AC391" i="5"/>
  <c r="AD391" i="5" s="1"/>
  <c r="AA391" i="5"/>
  <c r="AB391" i="5" s="1"/>
  <c r="Y391" i="5"/>
  <c r="Z391" i="5" s="1"/>
  <c r="W391" i="5"/>
  <c r="X391" i="5" s="1"/>
  <c r="Q391" i="5"/>
  <c r="R391" i="5" s="1"/>
  <c r="S391" i="5" s="1"/>
  <c r="T391" i="5" s="1"/>
  <c r="U391" i="5" s="1"/>
  <c r="V391" i="5" s="1"/>
  <c r="P391" i="5"/>
  <c r="AE391" i="5" s="1"/>
  <c r="AF391" i="5" s="1"/>
  <c r="O391" i="5"/>
  <c r="N391" i="5"/>
  <c r="AC390" i="5"/>
  <c r="AD390" i="5" s="1"/>
  <c r="AA390" i="5"/>
  <c r="AB390" i="5" s="1"/>
  <c r="Y390" i="5"/>
  <c r="Z390" i="5" s="1"/>
  <c r="W390" i="5"/>
  <c r="X390" i="5" s="1"/>
  <c r="Q390" i="5"/>
  <c r="R390" i="5" s="1"/>
  <c r="S390" i="5" s="1"/>
  <c r="T390" i="5" s="1"/>
  <c r="U390" i="5" s="1"/>
  <c r="V390" i="5" s="1"/>
  <c r="P390" i="5"/>
  <c r="AE390" i="5" s="1"/>
  <c r="AF390" i="5" s="1"/>
  <c r="O390" i="5"/>
  <c r="N390" i="5"/>
  <c r="AC389" i="5"/>
  <c r="AD389" i="5" s="1"/>
  <c r="AA389" i="5"/>
  <c r="AB389" i="5" s="1"/>
  <c r="Y389" i="5"/>
  <c r="Z389" i="5" s="1"/>
  <c r="W389" i="5"/>
  <c r="X389" i="5" s="1"/>
  <c r="Q389" i="5"/>
  <c r="R389" i="5" s="1"/>
  <c r="S389" i="5" s="1"/>
  <c r="T389" i="5" s="1"/>
  <c r="U389" i="5" s="1"/>
  <c r="V389" i="5" s="1"/>
  <c r="P389" i="5"/>
  <c r="AE389" i="5" s="1"/>
  <c r="AF389" i="5" s="1"/>
  <c r="O389" i="5"/>
  <c r="N389" i="5"/>
  <c r="AC388" i="5"/>
  <c r="AD388" i="5" s="1"/>
  <c r="AA388" i="5"/>
  <c r="AB388" i="5" s="1"/>
  <c r="Y388" i="5"/>
  <c r="Z388" i="5" s="1"/>
  <c r="W388" i="5"/>
  <c r="X388" i="5" s="1"/>
  <c r="Q388" i="5"/>
  <c r="R388" i="5" s="1"/>
  <c r="S388" i="5" s="1"/>
  <c r="T388" i="5" s="1"/>
  <c r="U388" i="5" s="1"/>
  <c r="V388" i="5" s="1"/>
  <c r="P388" i="5"/>
  <c r="AE388" i="5" s="1"/>
  <c r="AF388" i="5" s="1"/>
  <c r="O388" i="5"/>
  <c r="N388" i="5"/>
  <c r="AC387" i="5"/>
  <c r="AD387" i="5" s="1"/>
  <c r="AA387" i="5"/>
  <c r="AB387" i="5" s="1"/>
  <c r="Y387" i="5"/>
  <c r="Z387" i="5" s="1"/>
  <c r="W387" i="5"/>
  <c r="X387" i="5" s="1"/>
  <c r="Q387" i="5"/>
  <c r="R387" i="5" s="1"/>
  <c r="S387" i="5" s="1"/>
  <c r="T387" i="5" s="1"/>
  <c r="U387" i="5" s="1"/>
  <c r="V387" i="5" s="1"/>
  <c r="P387" i="5"/>
  <c r="AE387" i="5" s="1"/>
  <c r="AF387" i="5" s="1"/>
  <c r="O387" i="5"/>
  <c r="N387" i="5"/>
  <c r="AC386" i="5"/>
  <c r="AD386" i="5" s="1"/>
  <c r="AA386" i="5"/>
  <c r="AB386" i="5" s="1"/>
  <c r="Y386" i="5"/>
  <c r="Z386" i="5" s="1"/>
  <c r="W386" i="5"/>
  <c r="X386" i="5" s="1"/>
  <c r="Q386" i="5"/>
  <c r="R386" i="5" s="1"/>
  <c r="S386" i="5" s="1"/>
  <c r="T386" i="5" s="1"/>
  <c r="U386" i="5" s="1"/>
  <c r="V386" i="5" s="1"/>
  <c r="P386" i="5"/>
  <c r="AE386" i="5" s="1"/>
  <c r="AF386" i="5" s="1"/>
  <c r="O386" i="5"/>
  <c r="N386" i="5"/>
  <c r="AC385" i="5"/>
  <c r="AD385" i="5" s="1"/>
  <c r="AA385" i="5"/>
  <c r="AB385" i="5" s="1"/>
  <c r="Y385" i="5"/>
  <c r="Z385" i="5" s="1"/>
  <c r="W385" i="5"/>
  <c r="X385" i="5" s="1"/>
  <c r="Q385" i="5"/>
  <c r="R385" i="5" s="1"/>
  <c r="S385" i="5" s="1"/>
  <c r="T385" i="5" s="1"/>
  <c r="U385" i="5" s="1"/>
  <c r="V385" i="5" s="1"/>
  <c r="P385" i="5"/>
  <c r="AE385" i="5" s="1"/>
  <c r="AF385" i="5" s="1"/>
  <c r="O385" i="5"/>
  <c r="N385" i="5"/>
  <c r="AC384" i="5"/>
  <c r="AD384" i="5" s="1"/>
  <c r="AA384" i="5"/>
  <c r="AB384" i="5" s="1"/>
  <c r="Y384" i="5"/>
  <c r="Z384" i="5" s="1"/>
  <c r="W384" i="5"/>
  <c r="X384" i="5" s="1"/>
  <c r="Q384" i="5"/>
  <c r="R384" i="5" s="1"/>
  <c r="S384" i="5" s="1"/>
  <c r="T384" i="5" s="1"/>
  <c r="U384" i="5" s="1"/>
  <c r="V384" i="5" s="1"/>
  <c r="P384" i="5"/>
  <c r="AE384" i="5" s="1"/>
  <c r="AF384" i="5" s="1"/>
  <c r="O384" i="5"/>
  <c r="N384" i="5"/>
  <c r="AC383" i="5"/>
  <c r="AD383" i="5" s="1"/>
  <c r="AA383" i="5"/>
  <c r="AB383" i="5" s="1"/>
  <c r="Y383" i="5"/>
  <c r="Z383" i="5" s="1"/>
  <c r="W383" i="5"/>
  <c r="X383" i="5" s="1"/>
  <c r="Q383" i="5"/>
  <c r="R383" i="5" s="1"/>
  <c r="S383" i="5" s="1"/>
  <c r="T383" i="5" s="1"/>
  <c r="U383" i="5" s="1"/>
  <c r="V383" i="5" s="1"/>
  <c r="P383" i="5"/>
  <c r="AE383" i="5" s="1"/>
  <c r="AF383" i="5" s="1"/>
  <c r="O383" i="5"/>
  <c r="N383" i="5"/>
  <c r="AC382" i="5"/>
  <c r="AD382" i="5" s="1"/>
  <c r="AA382" i="5"/>
  <c r="AB382" i="5" s="1"/>
  <c r="Y382" i="5"/>
  <c r="Z382" i="5" s="1"/>
  <c r="W382" i="5"/>
  <c r="X382" i="5" s="1"/>
  <c r="Q382" i="5"/>
  <c r="R382" i="5" s="1"/>
  <c r="S382" i="5" s="1"/>
  <c r="T382" i="5" s="1"/>
  <c r="U382" i="5" s="1"/>
  <c r="V382" i="5" s="1"/>
  <c r="P382" i="5"/>
  <c r="AE382" i="5" s="1"/>
  <c r="AF382" i="5" s="1"/>
  <c r="O382" i="5"/>
  <c r="N382" i="5"/>
  <c r="AC381" i="5"/>
  <c r="AD381" i="5" s="1"/>
  <c r="AA381" i="5"/>
  <c r="AB381" i="5" s="1"/>
  <c r="Y381" i="5"/>
  <c r="Z381" i="5" s="1"/>
  <c r="W381" i="5"/>
  <c r="X381" i="5" s="1"/>
  <c r="Q381" i="5"/>
  <c r="R381" i="5" s="1"/>
  <c r="S381" i="5" s="1"/>
  <c r="T381" i="5" s="1"/>
  <c r="U381" i="5" s="1"/>
  <c r="V381" i="5" s="1"/>
  <c r="P381" i="5"/>
  <c r="AE381" i="5" s="1"/>
  <c r="AF381" i="5" s="1"/>
  <c r="O381" i="5"/>
  <c r="N381" i="5"/>
  <c r="AC380" i="5"/>
  <c r="AD380" i="5" s="1"/>
  <c r="AA380" i="5"/>
  <c r="AB380" i="5" s="1"/>
  <c r="Y380" i="5"/>
  <c r="Z380" i="5" s="1"/>
  <c r="W380" i="5"/>
  <c r="X380" i="5" s="1"/>
  <c r="Q380" i="5"/>
  <c r="R380" i="5" s="1"/>
  <c r="S380" i="5" s="1"/>
  <c r="T380" i="5" s="1"/>
  <c r="U380" i="5" s="1"/>
  <c r="V380" i="5" s="1"/>
  <c r="P380" i="5"/>
  <c r="AE380" i="5" s="1"/>
  <c r="AF380" i="5" s="1"/>
  <c r="O380" i="5"/>
  <c r="N380" i="5"/>
  <c r="AC379" i="5"/>
  <c r="AD379" i="5" s="1"/>
  <c r="AA379" i="5"/>
  <c r="AB379" i="5" s="1"/>
  <c r="Y379" i="5"/>
  <c r="Z379" i="5" s="1"/>
  <c r="W379" i="5"/>
  <c r="X379" i="5" s="1"/>
  <c r="Q379" i="5"/>
  <c r="R379" i="5" s="1"/>
  <c r="S379" i="5" s="1"/>
  <c r="T379" i="5" s="1"/>
  <c r="U379" i="5" s="1"/>
  <c r="V379" i="5" s="1"/>
  <c r="P379" i="5"/>
  <c r="AE379" i="5" s="1"/>
  <c r="AF379" i="5" s="1"/>
  <c r="O379" i="5"/>
  <c r="N379" i="5"/>
  <c r="AC378" i="5"/>
  <c r="AD378" i="5" s="1"/>
  <c r="AA378" i="5"/>
  <c r="AB378" i="5" s="1"/>
  <c r="Y378" i="5"/>
  <c r="Z378" i="5" s="1"/>
  <c r="W378" i="5"/>
  <c r="X378" i="5" s="1"/>
  <c r="Q378" i="5"/>
  <c r="R378" i="5" s="1"/>
  <c r="S378" i="5" s="1"/>
  <c r="T378" i="5" s="1"/>
  <c r="U378" i="5" s="1"/>
  <c r="V378" i="5" s="1"/>
  <c r="P378" i="5"/>
  <c r="AE378" i="5" s="1"/>
  <c r="AF378" i="5" s="1"/>
  <c r="O378" i="5"/>
  <c r="N378" i="5"/>
  <c r="AC377" i="5"/>
  <c r="AD377" i="5" s="1"/>
  <c r="AA377" i="5"/>
  <c r="AB377" i="5" s="1"/>
  <c r="Y377" i="5"/>
  <c r="Z377" i="5" s="1"/>
  <c r="W377" i="5"/>
  <c r="X377" i="5" s="1"/>
  <c r="Q377" i="5"/>
  <c r="R377" i="5" s="1"/>
  <c r="S377" i="5" s="1"/>
  <c r="T377" i="5" s="1"/>
  <c r="U377" i="5" s="1"/>
  <c r="V377" i="5" s="1"/>
  <c r="P377" i="5"/>
  <c r="AE377" i="5" s="1"/>
  <c r="AF377" i="5" s="1"/>
  <c r="O377" i="5"/>
  <c r="N377" i="5"/>
  <c r="AC376" i="5"/>
  <c r="AD376" i="5" s="1"/>
  <c r="AA376" i="5"/>
  <c r="AB376" i="5" s="1"/>
  <c r="Y376" i="5"/>
  <c r="Z376" i="5" s="1"/>
  <c r="W376" i="5"/>
  <c r="X376" i="5" s="1"/>
  <c r="Q376" i="5"/>
  <c r="R376" i="5" s="1"/>
  <c r="S376" i="5" s="1"/>
  <c r="T376" i="5" s="1"/>
  <c r="U376" i="5" s="1"/>
  <c r="V376" i="5" s="1"/>
  <c r="P376" i="5"/>
  <c r="AE376" i="5" s="1"/>
  <c r="AF376" i="5" s="1"/>
  <c r="O376" i="5"/>
  <c r="N376" i="5"/>
  <c r="AC375" i="5"/>
  <c r="AD375" i="5" s="1"/>
  <c r="AA375" i="5"/>
  <c r="AB375" i="5" s="1"/>
  <c r="Y375" i="5"/>
  <c r="Z375" i="5" s="1"/>
  <c r="W375" i="5"/>
  <c r="X375" i="5" s="1"/>
  <c r="Q375" i="5"/>
  <c r="R375" i="5" s="1"/>
  <c r="S375" i="5" s="1"/>
  <c r="T375" i="5" s="1"/>
  <c r="U375" i="5" s="1"/>
  <c r="V375" i="5" s="1"/>
  <c r="P375" i="5"/>
  <c r="AE375" i="5" s="1"/>
  <c r="AF375" i="5" s="1"/>
  <c r="O375" i="5"/>
  <c r="N375" i="5"/>
  <c r="AC374" i="5"/>
  <c r="AD374" i="5" s="1"/>
  <c r="AA374" i="5"/>
  <c r="AB374" i="5" s="1"/>
  <c r="Y374" i="5"/>
  <c r="Z374" i="5" s="1"/>
  <c r="W374" i="5"/>
  <c r="X374" i="5" s="1"/>
  <c r="Q374" i="5"/>
  <c r="R374" i="5" s="1"/>
  <c r="S374" i="5" s="1"/>
  <c r="T374" i="5" s="1"/>
  <c r="U374" i="5" s="1"/>
  <c r="V374" i="5" s="1"/>
  <c r="P374" i="5"/>
  <c r="AE374" i="5" s="1"/>
  <c r="AF374" i="5" s="1"/>
  <c r="O374" i="5"/>
  <c r="N374" i="5"/>
  <c r="AC373" i="5"/>
  <c r="AD373" i="5" s="1"/>
  <c r="AA373" i="5"/>
  <c r="AB373" i="5" s="1"/>
  <c r="Y373" i="5"/>
  <c r="Z373" i="5" s="1"/>
  <c r="W373" i="5"/>
  <c r="X373" i="5" s="1"/>
  <c r="Q373" i="5"/>
  <c r="R373" i="5" s="1"/>
  <c r="S373" i="5" s="1"/>
  <c r="T373" i="5" s="1"/>
  <c r="U373" i="5" s="1"/>
  <c r="V373" i="5" s="1"/>
  <c r="P373" i="5"/>
  <c r="AE373" i="5" s="1"/>
  <c r="AF373" i="5" s="1"/>
  <c r="O373" i="5"/>
  <c r="N373" i="5"/>
  <c r="AC372" i="5"/>
  <c r="AD372" i="5" s="1"/>
  <c r="AA372" i="5"/>
  <c r="AB372" i="5" s="1"/>
  <c r="Y372" i="5"/>
  <c r="Z372" i="5" s="1"/>
  <c r="W372" i="5"/>
  <c r="X372" i="5" s="1"/>
  <c r="Q372" i="5"/>
  <c r="R372" i="5" s="1"/>
  <c r="S372" i="5" s="1"/>
  <c r="T372" i="5" s="1"/>
  <c r="U372" i="5" s="1"/>
  <c r="V372" i="5" s="1"/>
  <c r="P372" i="5"/>
  <c r="AE372" i="5" s="1"/>
  <c r="AF372" i="5" s="1"/>
  <c r="O372" i="5"/>
  <c r="N372" i="5"/>
  <c r="AC371" i="5"/>
  <c r="AD371" i="5" s="1"/>
  <c r="AA371" i="5"/>
  <c r="AB371" i="5" s="1"/>
  <c r="Y371" i="5"/>
  <c r="Z371" i="5" s="1"/>
  <c r="W371" i="5"/>
  <c r="X371" i="5" s="1"/>
  <c r="Q371" i="5"/>
  <c r="R371" i="5" s="1"/>
  <c r="S371" i="5" s="1"/>
  <c r="T371" i="5" s="1"/>
  <c r="U371" i="5" s="1"/>
  <c r="V371" i="5" s="1"/>
  <c r="P371" i="5"/>
  <c r="AE371" i="5" s="1"/>
  <c r="AF371" i="5" s="1"/>
  <c r="O371" i="5"/>
  <c r="N371" i="5"/>
  <c r="AC370" i="5"/>
  <c r="AD370" i="5" s="1"/>
  <c r="AA370" i="5"/>
  <c r="AB370" i="5" s="1"/>
  <c r="Y370" i="5"/>
  <c r="Z370" i="5" s="1"/>
  <c r="W370" i="5"/>
  <c r="X370" i="5" s="1"/>
  <c r="Q370" i="5"/>
  <c r="R370" i="5" s="1"/>
  <c r="S370" i="5" s="1"/>
  <c r="T370" i="5" s="1"/>
  <c r="U370" i="5" s="1"/>
  <c r="V370" i="5" s="1"/>
  <c r="P370" i="5"/>
  <c r="AE370" i="5" s="1"/>
  <c r="AF370" i="5" s="1"/>
  <c r="O370" i="5"/>
  <c r="N370" i="5"/>
  <c r="AC369" i="5"/>
  <c r="AD369" i="5" s="1"/>
  <c r="AA369" i="5"/>
  <c r="AB369" i="5" s="1"/>
  <c r="Y369" i="5"/>
  <c r="Z369" i="5" s="1"/>
  <c r="W369" i="5"/>
  <c r="X369" i="5" s="1"/>
  <c r="Q369" i="5"/>
  <c r="R369" i="5" s="1"/>
  <c r="S369" i="5" s="1"/>
  <c r="T369" i="5" s="1"/>
  <c r="U369" i="5" s="1"/>
  <c r="V369" i="5" s="1"/>
  <c r="P369" i="5"/>
  <c r="AE369" i="5" s="1"/>
  <c r="AF369" i="5" s="1"/>
  <c r="O369" i="5"/>
  <c r="N369" i="5"/>
  <c r="AC368" i="5"/>
  <c r="AD368" i="5" s="1"/>
  <c r="AA368" i="5"/>
  <c r="AB368" i="5" s="1"/>
  <c r="Y368" i="5"/>
  <c r="Z368" i="5" s="1"/>
  <c r="W368" i="5"/>
  <c r="X368" i="5" s="1"/>
  <c r="Q368" i="5"/>
  <c r="R368" i="5" s="1"/>
  <c r="S368" i="5" s="1"/>
  <c r="T368" i="5" s="1"/>
  <c r="U368" i="5" s="1"/>
  <c r="V368" i="5" s="1"/>
  <c r="P368" i="5"/>
  <c r="AE368" i="5" s="1"/>
  <c r="AF368" i="5" s="1"/>
  <c r="O368" i="5"/>
  <c r="N368" i="5"/>
  <c r="AC367" i="5"/>
  <c r="AD367" i="5" s="1"/>
  <c r="AA367" i="5"/>
  <c r="AB367" i="5" s="1"/>
  <c r="Y367" i="5"/>
  <c r="Z367" i="5" s="1"/>
  <c r="W367" i="5"/>
  <c r="X367" i="5" s="1"/>
  <c r="Q367" i="5"/>
  <c r="R367" i="5" s="1"/>
  <c r="S367" i="5" s="1"/>
  <c r="T367" i="5" s="1"/>
  <c r="U367" i="5" s="1"/>
  <c r="V367" i="5" s="1"/>
  <c r="P367" i="5"/>
  <c r="AE367" i="5" s="1"/>
  <c r="AF367" i="5" s="1"/>
  <c r="O367" i="5"/>
  <c r="N367" i="5"/>
  <c r="AC366" i="5"/>
  <c r="AD366" i="5" s="1"/>
  <c r="AA366" i="5"/>
  <c r="AB366" i="5" s="1"/>
  <c r="Y366" i="5"/>
  <c r="Z366" i="5" s="1"/>
  <c r="W366" i="5"/>
  <c r="X366" i="5" s="1"/>
  <c r="Q366" i="5"/>
  <c r="R366" i="5" s="1"/>
  <c r="S366" i="5" s="1"/>
  <c r="T366" i="5" s="1"/>
  <c r="U366" i="5" s="1"/>
  <c r="V366" i="5" s="1"/>
  <c r="P366" i="5"/>
  <c r="AE366" i="5" s="1"/>
  <c r="AF366" i="5" s="1"/>
  <c r="O366" i="5"/>
  <c r="N366" i="5"/>
  <c r="AC365" i="5"/>
  <c r="AD365" i="5" s="1"/>
  <c r="AA365" i="5"/>
  <c r="AB365" i="5" s="1"/>
  <c r="Y365" i="5"/>
  <c r="Z365" i="5" s="1"/>
  <c r="W365" i="5"/>
  <c r="X365" i="5" s="1"/>
  <c r="Q365" i="5"/>
  <c r="R365" i="5" s="1"/>
  <c r="S365" i="5" s="1"/>
  <c r="T365" i="5" s="1"/>
  <c r="U365" i="5" s="1"/>
  <c r="V365" i="5" s="1"/>
  <c r="P365" i="5"/>
  <c r="AE365" i="5" s="1"/>
  <c r="AF365" i="5" s="1"/>
  <c r="O365" i="5"/>
  <c r="N365" i="5"/>
  <c r="AC364" i="5"/>
  <c r="AD364" i="5" s="1"/>
  <c r="AA364" i="5"/>
  <c r="AB364" i="5" s="1"/>
  <c r="Y364" i="5"/>
  <c r="Z364" i="5" s="1"/>
  <c r="W364" i="5"/>
  <c r="X364" i="5" s="1"/>
  <c r="Q364" i="5"/>
  <c r="R364" i="5" s="1"/>
  <c r="S364" i="5" s="1"/>
  <c r="T364" i="5" s="1"/>
  <c r="U364" i="5" s="1"/>
  <c r="V364" i="5" s="1"/>
  <c r="P364" i="5"/>
  <c r="AE364" i="5" s="1"/>
  <c r="AF364" i="5" s="1"/>
  <c r="O364" i="5"/>
  <c r="N364" i="5"/>
  <c r="AC363" i="5"/>
  <c r="AD363" i="5" s="1"/>
  <c r="AA363" i="5"/>
  <c r="AB363" i="5" s="1"/>
  <c r="Y363" i="5"/>
  <c r="Z363" i="5" s="1"/>
  <c r="W363" i="5"/>
  <c r="X363" i="5" s="1"/>
  <c r="Q363" i="5"/>
  <c r="R363" i="5" s="1"/>
  <c r="S363" i="5" s="1"/>
  <c r="T363" i="5" s="1"/>
  <c r="U363" i="5" s="1"/>
  <c r="V363" i="5" s="1"/>
  <c r="P363" i="5"/>
  <c r="AE363" i="5" s="1"/>
  <c r="AF363" i="5" s="1"/>
  <c r="O363" i="5"/>
  <c r="N363" i="5"/>
  <c r="AC362" i="5"/>
  <c r="AD362" i="5" s="1"/>
  <c r="AA362" i="5"/>
  <c r="AB362" i="5" s="1"/>
  <c r="Y362" i="5"/>
  <c r="Z362" i="5" s="1"/>
  <c r="W362" i="5"/>
  <c r="X362" i="5" s="1"/>
  <c r="Q362" i="5"/>
  <c r="R362" i="5" s="1"/>
  <c r="S362" i="5" s="1"/>
  <c r="T362" i="5" s="1"/>
  <c r="U362" i="5" s="1"/>
  <c r="V362" i="5" s="1"/>
  <c r="P362" i="5"/>
  <c r="AE362" i="5" s="1"/>
  <c r="AF362" i="5" s="1"/>
  <c r="O362" i="5"/>
  <c r="N362" i="5"/>
  <c r="AC361" i="5"/>
  <c r="AD361" i="5" s="1"/>
  <c r="AA361" i="5"/>
  <c r="AB361" i="5" s="1"/>
  <c r="Y361" i="5"/>
  <c r="Z361" i="5" s="1"/>
  <c r="W361" i="5"/>
  <c r="X361" i="5" s="1"/>
  <c r="Q361" i="5"/>
  <c r="R361" i="5" s="1"/>
  <c r="S361" i="5" s="1"/>
  <c r="T361" i="5" s="1"/>
  <c r="U361" i="5" s="1"/>
  <c r="V361" i="5" s="1"/>
  <c r="P361" i="5"/>
  <c r="AE361" i="5" s="1"/>
  <c r="AF361" i="5" s="1"/>
  <c r="O361" i="5"/>
  <c r="N361" i="5"/>
  <c r="AC360" i="5"/>
  <c r="AD360" i="5" s="1"/>
  <c r="AA360" i="5"/>
  <c r="AB360" i="5" s="1"/>
  <c r="Y360" i="5"/>
  <c r="Z360" i="5" s="1"/>
  <c r="W360" i="5"/>
  <c r="X360" i="5" s="1"/>
  <c r="Q360" i="5"/>
  <c r="R360" i="5" s="1"/>
  <c r="S360" i="5" s="1"/>
  <c r="T360" i="5" s="1"/>
  <c r="U360" i="5" s="1"/>
  <c r="V360" i="5" s="1"/>
  <c r="P360" i="5"/>
  <c r="AE360" i="5" s="1"/>
  <c r="AF360" i="5" s="1"/>
  <c r="O360" i="5"/>
  <c r="N360" i="5"/>
  <c r="AC359" i="5"/>
  <c r="AD359" i="5" s="1"/>
  <c r="AA359" i="5"/>
  <c r="AB359" i="5" s="1"/>
  <c r="Y359" i="5"/>
  <c r="Z359" i="5" s="1"/>
  <c r="W359" i="5"/>
  <c r="X359" i="5" s="1"/>
  <c r="Q359" i="5"/>
  <c r="R359" i="5" s="1"/>
  <c r="S359" i="5" s="1"/>
  <c r="T359" i="5" s="1"/>
  <c r="U359" i="5" s="1"/>
  <c r="V359" i="5" s="1"/>
  <c r="P359" i="5"/>
  <c r="AE359" i="5" s="1"/>
  <c r="AF359" i="5" s="1"/>
  <c r="O359" i="5"/>
  <c r="N359" i="5"/>
  <c r="AC358" i="5"/>
  <c r="AD358" i="5" s="1"/>
  <c r="AA358" i="5"/>
  <c r="AB358" i="5" s="1"/>
  <c r="Y358" i="5"/>
  <c r="Z358" i="5" s="1"/>
  <c r="W358" i="5"/>
  <c r="X358" i="5" s="1"/>
  <c r="Q358" i="5"/>
  <c r="R358" i="5" s="1"/>
  <c r="S358" i="5" s="1"/>
  <c r="T358" i="5" s="1"/>
  <c r="U358" i="5" s="1"/>
  <c r="V358" i="5" s="1"/>
  <c r="P358" i="5"/>
  <c r="AE358" i="5" s="1"/>
  <c r="AF358" i="5" s="1"/>
  <c r="O358" i="5"/>
  <c r="N358" i="5"/>
  <c r="AC357" i="5"/>
  <c r="AD357" i="5" s="1"/>
  <c r="AA357" i="5"/>
  <c r="AB357" i="5" s="1"/>
  <c r="Y357" i="5"/>
  <c r="Z357" i="5" s="1"/>
  <c r="W357" i="5"/>
  <c r="X357" i="5" s="1"/>
  <c r="Q357" i="5"/>
  <c r="R357" i="5" s="1"/>
  <c r="S357" i="5" s="1"/>
  <c r="T357" i="5" s="1"/>
  <c r="U357" i="5" s="1"/>
  <c r="V357" i="5" s="1"/>
  <c r="P357" i="5"/>
  <c r="AE357" i="5" s="1"/>
  <c r="AF357" i="5" s="1"/>
  <c r="O357" i="5"/>
  <c r="N357" i="5"/>
  <c r="AC356" i="5"/>
  <c r="AD356" i="5" s="1"/>
  <c r="AA356" i="5"/>
  <c r="AB356" i="5" s="1"/>
  <c r="Y356" i="5"/>
  <c r="Z356" i="5" s="1"/>
  <c r="W356" i="5"/>
  <c r="X356" i="5" s="1"/>
  <c r="Q356" i="5"/>
  <c r="R356" i="5" s="1"/>
  <c r="S356" i="5" s="1"/>
  <c r="T356" i="5" s="1"/>
  <c r="U356" i="5" s="1"/>
  <c r="V356" i="5" s="1"/>
  <c r="P356" i="5"/>
  <c r="AE356" i="5" s="1"/>
  <c r="AF356" i="5" s="1"/>
  <c r="O356" i="5"/>
  <c r="N356" i="5"/>
  <c r="AC355" i="5"/>
  <c r="AD355" i="5" s="1"/>
  <c r="AA355" i="5"/>
  <c r="AB355" i="5" s="1"/>
  <c r="Y355" i="5"/>
  <c r="Z355" i="5" s="1"/>
  <c r="W355" i="5"/>
  <c r="X355" i="5" s="1"/>
  <c r="Q355" i="5"/>
  <c r="R355" i="5" s="1"/>
  <c r="S355" i="5" s="1"/>
  <c r="T355" i="5" s="1"/>
  <c r="U355" i="5" s="1"/>
  <c r="V355" i="5" s="1"/>
  <c r="P355" i="5"/>
  <c r="AE355" i="5" s="1"/>
  <c r="AF355" i="5" s="1"/>
  <c r="O355" i="5"/>
  <c r="N355" i="5"/>
  <c r="AC354" i="5"/>
  <c r="AD354" i="5" s="1"/>
  <c r="AA354" i="5"/>
  <c r="AB354" i="5" s="1"/>
  <c r="Y354" i="5"/>
  <c r="Z354" i="5" s="1"/>
  <c r="W354" i="5"/>
  <c r="X354" i="5" s="1"/>
  <c r="Q354" i="5"/>
  <c r="R354" i="5" s="1"/>
  <c r="S354" i="5" s="1"/>
  <c r="T354" i="5" s="1"/>
  <c r="U354" i="5" s="1"/>
  <c r="V354" i="5" s="1"/>
  <c r="P354" i="5"/>
  <c r="AE354" i="5" s="1"/>
  <c r="AF354" i="5" s="1"/>
  <c r="O354" i="5"/>
  <c r="N354" i="5"/>
  <c r="AC353" i="5"/>
  <c r="AD353" i="5" s="1"/>
  <c r="AA353" i="5"/>
  <c r="AB353" i="5" s="1"/>
  <c r="Y353" i="5"/>
  <c r="Z353" i="5" s="1"/>
  <c r="W353" i="5"/>
  <c r="X353" i="5" s="1"/>
  <c r="Q353" i="5"/>
  <c r="R353" i="5" s="1"/>
  <c r="S353" i="5" s="1"/>
  <c r="T353" i="5" s="1"/>
  <c r="U353" i="5" s="1"/>
  <c r="V353" i="5" s="1"/>
  <c r="P353" i="5"/>
  <c r="AE353" i="5" s="1"/>
  <c r="AF353" i="5" s="1"/>
  <c r="O353" i="5"/>
  <c r="N353" i="5"/>
  <c r="AC352" i="5"/>
  <c r="AD352" i="5" s="1"/>
  <c r="AA352" i="5"/>
  <c r="AB352" i="5" s="1"/>
  <c r="Y352" i="5"/>
  <c r="Z352" i="5" s="1"/>
  <c r="W352" i="5"/>
  <c r="X352" i="5" s="1"/>
  <c r="Q352" i="5"/>
  <c r="R352" i="5" s="1"/>
  <c r="S352" i="5" s="1"/>
  <c r="T352" i="5" s="1"/>
  <c r="U352" i="5" s="1"/>
  <c r="V352" i="5" s="1"/>
  <c r="P352" i="5"/>
  <c r="AE352" i="5" s="1"/>
  <c r="AF352" i="5" s="1"/>
  <c r="O352" i="5"/>
  <c r="N352" i="5"/>
  <c r="AC351" i="5"/>
  <c r="AD351" i="5" s="1"/>
  <c r="AA351" i="5"/>
  <c r="AB351" i="5" s="1"/>
  <c r="Y351" i="5"/>
  <c r="Z351" i="5" s="1"/>
  <c r="W351" i="5"/>
  <c r="X351" i="5" s="1"/>
  <c r="Q351" i="5"/>
  <c r="R351" i="5" s="1"/>
  <c r="S351" i="5" s="1"/>
  <c r="T351" i="5" s="1"/>
  <c r="U351" i="5" s="1"/>
  <c r="V351" i="5" s="1"/>
  <c r="P351" i="5"/>
  <c r="AE351" i="5" s="1"/>
  <c r="AF351" i="5" s="1"/>
  <c r="O351" i="5"/>
  <c r="N351" i="5"/>
  <c r="AC350" i="5"/>
  <c r="AD350" i="5" s="1"/>
  <c r="AA350" i="5"/>
  <c r="AB350" i="5" s="1"/>
  <c r="Y350" i="5"/>
  <c r="Z350" i="5" s="1"/>
  <c r="W350" i="5"/>
  <c r="X350" i="5" s="1"/>
  <c r="Q350" i="5"/>
  <c r="R350" i="5" s="1"/>
  <c r="S350" i="5" s="1"/>
  <c r="T350" i="5" s="1"/>
  <c r="U350" i="5" s="1"/>
  <c r="V350" i="5" s="1"/>
  <c r="P350" i="5"/>
  <c r="AE350" i="5" s="1"/>
  <c r="AF350" i="5" s="1"/>
  <c r="O350" i="5"/>
  <c r="N350" i="5"/>
  <c r="AC349" i="5"/>
  <c r="AD349" i="5" s="1"/>
  <c r="AA349" i="5"/>
  <c r="AB349" i="5" s="1"/>
  <c r="Y349" i="5"/>
  <c r="Z349" i="5" s="1"/>
  <c r="W349" i="5"/>
  <c r="X349" i="5" s="1"/>
  <c r="Q349" i="5"/>
  <c r="R349" i="5" s="1"/>
  <c r="S349" i="5" s="1"/>
  <c r="T349" i="5" s="1"/>
  <c r="U349" i="5" s="1"/>
  <c r="V349" i="5" s="1"/>
  <c r="P349" i="5"/>
  <c r="AE349" i="5" s="1"/>
  <c r="AF349" i="5" s="1"/>
  <c r="O349" i="5"/>
  <c r="N349" i="5"/>
  <c r="AC348" i="5"/>
  <c r="AD348" i="5" s="1"/>
  <c r="AA348" i="5"/>
  <c r="AB348" i="5" s="1"/>
  <c r="Y348" i="5"/>
  <c r="Z348" i="5" s="1"/>
  <c r="W348" i="5"/>
  <c r="X348" i="5" s="1"/>
  <c r="Q348" i="5"/>
  <c r="R348" i="5" s="1"/>
  <c r="S348" i="5" s="1"/>
  <c r="T348" i="5" s="1"/>
  <c r="U348" i="5" s="1"/>
  <c r="V348" i="5" s="1"/>
  <c r="P348" i="5"/>
  <c r="AE348" i="5" s="1"/>
  <c r="AF348" i="5" s="1"/>
  <c r="O348" i="5"/>
  <c r="N348" i="5"/>
  <c r="AC347" i="5"/>
  <c r="AD347" i="5" s="1"/>
  <c r="AA347" i="5"/>
  <c r="AB347" i="5" s="1"/>
  <c r="Y347" i="5"/>
  <c r="Z347" i="5" s="1"/>
  <c r="W347" i="5"/>
  <c r="X347" i="5" s="1"/>
  <c r="Q347" i="5"/>
  <c r="R347" i="5" s="1"/>
  <c r="S347" i="5" s="1"/>
  <c r="T347" i="5" s="1"/>
  <c r="U347" i="5" s="1"/>
  <c r="V347" i="5" s="1"/>
  <c r="P347" i="5"/>
  <c r="AE347" i="5" s="1"/>
  <c r="AF347" i="5" s="1"/>
  <c r="O347" i="5"/>
  <c r="N347" i="5"/>
  <c r="AC346" i="5"/>
  <c r="AD346" i="5" s="1"/>
  <c r="AA346" i="5"/>
  <c r="AB346" i="5" s="1"/>
  <c r="Y346" i="5"/>
  <c r="Z346" i="5" s="1"/>
  <c r="W346" i="5"/>
  <c r="X346" i="5" s="1"/>
  <c r="Q346" i="5"/>
  <c r="R346" i="5" s="1"/>
  <c r="S346" i="5" s="1"/>
  <c r="T346" i="5" s="1"/>
  <c r="U346" i="5" s="1"/>
  <c r="V346" i="5" s="1"/>
  <c r="P346" i="5"/>
  <c r="AE346" i="5" s="1"/>
  <c r="AF346" i="5" s="1"/>
  <c r="O346" i="5"/>
  <c r="N346" i="5"/>
  <c r="AC345" i="5"/>
  <c r="AD345" i="5" s="1"/>
  <c r="AA345" i="5"/>
  <c r="AB345" i="5" s="1"/>
  <c r="Y345" i="5"/>
  <c r="Z345" i="5" s="1"/>
  <c r="W345" i="5"/>
  <c r="X345" i="5" s="1"/>
  <c r="Q345" i="5"/>
  <c r="R345" i="5" s="1"/>
  <c r="S345" i="5" s="1"/>
  <c r="T345" i="5" s="1"/>
  <c r="U345" i="5" s="1"/>
  <c r="V345" i="5" s="1"/>
  <c r="P345" i="5"/>
  <c r="AE345" i="5" s="1"/>
  <c r="AF345" i="5" s="1"/>
  <c r="O345" i="5"/>
  <c r="N345" i="5"/>
  <c r="AC344" i="5"/>
  <c r="AD344" i="5" s="1"/>
  <c r="AA344" i="5"/>
  <c r="AB344" i="5" s="1"/>
  <c r="Y344" i="5"/>
  <c r="Z344" i="5" s="1"/>
  <c r="W344" i="5"/>
  <c r="X344" i="5" s="1"/>
  <c r="Q344" i="5"/>
  <c r="R344" i="5" s="1"/>
  <c r="S344" i="5" s="1"/>
  <c r="T344" i="5" s="1"/>
  <c r="U344" i="5" s="1"/>
  <c r="V344" i="5" s="1"/>
  <c r="P344" i="5"/>
  <c r="AE344" i="5" s="1"/>
  <c r="AF344" i="5" s="1"/>
  <c r="O344" i="5"/>
  <c r="N344" i="5"/>
  <c r="AC343" i="5"/>
  <c r="AD343" i="5" s="1"/>
  <c r="AA343" i="5"/>
  <c r="AB343" i="5" s="1"/>
  <c r="Y343" i="5"/>
  <c r="Z343" i="5" s="1"/>
  <c r="W343" i="5"/>
  <c r="X343" i="5" s="1"/>
  <c r="Q343" i="5"/>
  <c r="R343" i="5" s="1"/>
  <c r="S343" i="5" s="1"/>
  <c r="T343" i="5" s="1"/>
  <c r="U343" i="5" s="1"/>
  <c r="V343" i="5" s="1"/>
  <c r="P343" i="5"/>
  <c r="AE343" i="5" s="1"/>
  <c r="AF343" i="5" s="1"/>
  <c r="O343" i="5"/>
  <c r="N343" i="5"/>
  <c r="AC342" i="5"/>
  <c r="AD342" i="5" s="1"/>
  <c r="AA342" i="5"/>
  <c r="AB342" i="5" s="1"/>
  <c r="Y342" i="5"/>
  <c r="Z342" i="5" s="1"/>
  <c r="W342" i="5"/>
  <c r="X342" i="5" s="1"/>
  <c r="Q342" i="5"/>
  <c r="R342" i="5" s="1"/>
  <c r="S342" i="5" s="1"/>
  <c r="T342" i="5" s="1"/>
  <c r="U342" i="5" s="1"/>
  <c r="V342" i="5" s="1"/>
  <c r="P342" i="5"/>
  <c r="AE342" i="5" s="1"/>
  <c r="AF342" i="5" s="1"/>
  <c r="O342" i="5"/>
  <c r="N342" i="5"/>
  <c r="AC341" i="5"/>
  <c r="AD341" i="5" s="1"/>
  <c r="AA341" i="5"/>
  <c r="AB341" i="5" s="1"/>
  <c r="Y341" i="5"/>
  <c r="Z341" i="5" s="1"/>
  <c r="W341" i="5"/>
  <c r="X341" i="5" s="1"/>
  <c r="Q341" i="5"/>
  <c r="R341" i="5" s="1"/>
  <c r="S341" i="5" s="1"/>
  <c r="T341" i="5" s="1"/>
  <c r="U341" i="5" s="1"/>
  <c r="V341" i="5" s="1"/>
  <c r="P341" i="5"/>
  <c r="AE341" i="5" s="1"/>
  <c r="AF341" i="5" s="1"/>
  <c r="O341" i="5"/>
  <c r="N341" i="5"/>
  <c r="AC340" i="5"/>
  <c r="AD340" i="5" s="1"/>
  <c r="AA340" i="5"/>
  <c r="AB340" i="5" s="1"/>
  <c r="Y340" i="5"/>
  <c r="Z340" i="5" s="1"/>
  <c r="W340" i="5"/>
  <c r="X340" i="5" s="1"/>
  <c r="Q340" i="5"/>
  <c r="R340" i="5" s="1"/>
  <c r="S340" i="5" s="1"/>
  <c r="T340" i="5" s="1"/>
  <c r="U340" i="5" s="1"/>
  <c r="V340" i="5" s="1"/>
  <c r="P340" i="5"/>
  <c r="AE340" i="5" s="1"/>
  <c r="AF340" i="5" s="1"/>
  <c r="O340" i="5"/>
  <c r="N340" i="5"/>
  <c r="AC339" i="5"/>
  <c r="AD339" i="5" s="1"/>
  <c r="AA339" i="5"/>
  <c r="AB339" i="5" s="1"/>
  <c r="Y339" i="5"/>
  <c r="Z339" i="5" s="1"/>
  <c r="W339" i="5"/>
  <c r="X339" i="5" s="1"/>
  <c r="Q339" i="5"/>
  <c r="R339" i="5" s="1"/>
  <c r="S339" i="5" s="1"/>
  <c r="T339" i="5" s="1"/>
  <c r="U339" i="5" s="1"/>
  <c r="V339" i="5" s="1"/>
  <c r="P339" i="5"/>
  <c r="AE339" i="5" s="1"/>
  <c r="AF339" i="5" s="1"/>
  <c r="O339" i="5"/>
  <c r="N339" i="5"/>
  <c r="AC338" i="5"/>
  <c r="AD338" i="5" s="1"/>
  <c r="AA338" i="5"/>
  <c r="AB338" i="5" s="1"/>
  <c r="Y338" i="5"/>
  <c r="Z338" i="5" s="1"/>
  <c r="W338" i="5"/>
  <c r="X338" i="5" s="1"/>
  <c r="Q338" i="5"/>
  <c r="R338" i="5" s="1"/>
  <c r="S338" i="5" s="1"/>
  <c r="T338" i="5" s="1"/>
  <c r="U338" i="5" s="1"/>
  <c r="V338" i="5" s="1"/>
  <c r="P338" i="5"/>
  <c r="AE338" i="5" s="1"/>
  <c r="AF338" i="5" s="1"/>
  <c r="O338" i="5"/>
  <c r="N338" i="5"/>
  <c r="AC337" i="5"/>
  <c r="AD337" i="5" s="1"/>
  <c r="AA337" i="5"/>
  <c r="AB337" i="5" s="1"/>
  <c r="Y337" i="5"/>
  <c r="Z337" i="5" s="1"/>
  <c r="W337" i="5"/>
  <c r="X337" i="5" s="1"/>
  <c r="Q337" i="5"/>
  <c r="R337" i="5" s="1"/>
  <c r="S337" i="5" s="1"/>
  <c r="T337" i="5" s="1"/>
  <c r="U337" i="5" s="1"/>
  <c r="V337" i="5" s="1"/>
  <c r="P337" i="5"/>
  <c r="AE337" i="5" s="1"/>
  <c r="AF337" i="5" s="1"/>
  <c r="O337" i="5"/>
  <c r="N337" i="5"/>
  <c r="AC336" i="5"/>
  <c r="AD336" i="5" s="1"/>
  <c r="AA336" i="5"/>
  <c r="AB336" i="5" s="1"/>
  <c r="Y336" i="5"/>
  <c r="Z336" i="5" s="1"/>
  <c r="W336" i="5"/>
  <c r="X336" i="5" s="1"/>
  <c r="Q336" i="5"/>
  <c r="R336" i="5" s="1"/>
  <c r="S336" i="5" s="1"/>
  <c r="T336" i="5" s="1"/>
  <c r="U336" i="5" s="1"/>
  <c r="V336" i="5" s="1"/>
  <c r="P336" i="5"/>
  <c r="AE336" i="5" s="1"/>
  <c r="AF336" i="5" s="1"/>
  <c r="O336" i="5"/>
  <c r="N336" i="5"/>
  <c r="AC335" i="5"/>
  <c r="AD335" i="5" s="1"/>
  <c r="AA335" i="5"/>
  <c r="AB335" i="5" s="1"/>
  <c r="Y335" i="5"/>
  <c r="Z335" i="5" s="1"/>
  <c r="W335" i="5"/>
  <c r="X335" i="5" s="1"/>
  <c r="Q335" i="5"/>
  <c r="R335" i="5" s="1"/>
  <c r="S335" i="5" s="1"/>
  <c r="T335" i="5" s="1"/>
  <c r="U335" i="5" s="1"/>
  <c r="V335" i="5" s="1"/>
  <c r="P335" i="5"/>
  <c r="AE335" i="5" s="1"/>
  <c r="AF335" i="5" s="1"/>
  <c r="O335" i="5"/>
  <c r="N335" i="5"/>
  <c r="AC334" i="5"/>
  <c r="AD334" i="5" s="1"/>
  <c r="AA334" i="5"/>
  <c r="AB334" i="5" s="1"/>
  <c r="Y334" i="5"/>
  <c r="Z334" i="5" s="1"/>
  <c r="W334" i="5"/>
  <c r="X334" i="5" s="1"/>
  <c r="Q334" i="5"/>
  <c r="R334" i="5" s="1"/>
  <c r="S334" i="5" s="1"/>
  <c r="T334" i="5" s="1"/>
  <c r="U334" i="5" s="1"/>
  <c r="V334" i="5" s="1"/>
  <c r="P334" i="5"/>
  <c r="AE334" i="5" s="1"/>
  <c r="AF334" i="5" s="1"/>
  <c r="O334" i="5"/>
  <c r="N334" i="5"/>
  <c r="AC333" i="5"/>
  <c r="AD333" i="5" s="1"/>
  <c r="AA333" i="5"/>
  <c r="AB333" i="5" s="1"/>
  <c r="Y333" i="5"/>
  <c r="Z333" i="5" s="1"/>
  <c r="W333" i="5"/>
  <c r="X333" i="5" s="1"/>
  <c r="Q333" i="5"/>
  <c r="R333" i="5" s="1"/>
  <c r="S333" i="5" s="1"/>
  <c r="T333" i="5" s="1"/>
  <c r="U333" i="5" s="1"/>
  <c r="V333" i="5" s="1"/>
  <c r="P333" i="5"/>
  <c r="AE333" i="5" s="1"/>
  <c r="AF333" i="5" s="1"/>
  <c r="O333" i="5"/>
  <c r="N333" i="5"/>
  <c r="AC332" i="5"/>
  <c r="AD332" i="5" s="1"/>
  <c r="AA332" i="5"/>
  <c r="AB332" i="5" s="1"/>
  <c r="Y332" i="5"/>
  <c r="Z332" i="5" s="1"/>
  <c r="W332" i="5"/>
  <c r="X332" i="5" s="1"/>
  <c r="Q332" i="5"/>
  <c r="R332" i="5" s="1"/>
  <c r="S332" i="5" s="1"/>
  <c r="T332" i="5" s="1"/>
  <c r="U332" i="5" s="1"/>
  <c r="V332" i="5" s="1"/>
  <c r="P332" i="5"/>
  <c r="AE332" i="5" s="1"/>
  <c r="AF332" i="5" s="1"/>
  <c r="O332" i="5"/>
  <c r="N332" i="5"/>
  <c r="AC331" i="5"/>
  <c r="AD331" i="5" s="1"/>
  <c r="AA331" i="5"/>
  <c r="AB331" i="5" s="1"/>
  <c r="Y331" i="5"/>
  <c r="Z331" i="5" s="1"/>
  <c r="W331" i="5"/>
  <c r="X331" i="5" s="1"/>
  <c r="Q331" i="5"/>
  <c r="R331" i="5" s="1"/>
  <c r="S331" i="5" s="1"/>
  <c r="T331" i="5" s="1"/>
  <c r="U331" i="5" s="1"/>
  <c r="V331" i="5" s="1"/>
  <c r="P331" i="5"/>
  <c r="AE331" i="5" s="1"/>
  <c r="AF331" i="5" s="1"/>
  <c r="O331" i="5"/>
  <c r="N331" i="5"/>
  <c r="AC330" i="5"/>
  <c r="AD330" i="5" s="1"/>
  <c r="AA330" i="5"/>
  <c r="AB330" i="5" s="1"/>
  <c r="Y330" i="5"/>
  <c r="Z330" i="5" s="1"/>
  <c r="W330" i="5"/>
  <c r="X330" i="5" s="1"/>
  <c r="Q330" i="5"/>
  <c r="R330" i="5" s="1"/>
  <c r="S330" i="5" s="1"/>
  <c r="T330" i="5" s="1"/>
  <c r="U330" i="5" s="1"/>
  <c r="V330" i="5" s="1"/>
  <c r="P330" i="5"/>
  <c r="AE330" i="5" s="1"/>
  <c r="AF330" i="5" s="1"/>
  <c r="O330" i="5"/>
  <c r="N330" i="5"/>
  <c r="AC329" i="5"/>
  <c r="AD329" i="5" s="1"/>
  <c r="AA329" i="5"/>
  <c r="AB329" i="5" s="1"/>
  <c r="Y329" i="5"/>
  <c r="Z329" i="5" s="1"/>
  <c r="W329" i="5"/>
  <c r="X329" i="5" s="1"/>
  <c r="Q329" i="5"/>
  <c r="R329" i="5" s="1"/>
  <c r="S329" i="5" s="1"/>
  <c r="T329" i="5" s="1"/>
  <c r="U329" i="5" s="1"/>
  <c r="V329" i="5" s="1"/>
  <c r="P329" i="5"/>
  <c r="AE329" i="5" s="1"/>
  <c r="AF329" i="5" s="1"/>
  <c r="O329" i="5"/>
  <c r="N329" i="5"/>
  <c r="AC328" i="5"/>
  <c r="AD328" i="5" s="1"/>
  <c r="AA328" i="5"/>
  <c r="AB328" i="5" s="1"/>
  <c r="Y328" i="5"/>
  <c r="Z328" i="5" s="1"/>
  <c r="W328" i="5"/>
  <c r="X328" i="5" s="1"/>
  <c r="Q328" i="5"/>
  <c r="R328" i="5" s="1"/>
  <c r="S328" i="5" s="1"/>
  <c r="T328" i="5" s="1"/>
  <c r="U328" i="5" s="1"/>
  <c r="V328" i="5" s="1"/>
  <c r="P328" i="5"/>
  <c r="AE328" i="5" s="1"/>
  <c r="AF328" i="5" s="1"/>
  <c r="O328" i="5"/>
  <c r="N328" i="5"/>
  <c r="AC327" i="5"/>
  <c r="AD327" i="5" s="1"/>
  <c r="AA327" i="5"/>
  <c r="AB327" i="5" s="1"/>
  <c r="Y327" i="5"/>
  <c r="Z327" i="5" s="1"/>
  <c r="W327" i="5"/>
  <c r="X327" i="5" s="1"/>
  <c r="Q327" i="5"/>
  <c r="R327" i="5" s="1"/>
  <c r="S327" i="5" s="1"/>
  <c r="T327" i="5" s="1"/>
  <c r="U327" i="5" s="1"/>
  <c r="V327" i="5" s="1"/>
  <c r="P327" i="5"/>
  <c r="AE327" i="5" s="1"/>
  <c r="AF327" i="5" s="1"/>
  <c r="O327" i="5"/>
  <c r="N327" i="5"/>
  <c r="AC326" i="5"/>
  <c r="AD326" i="5" s="1"/>
  <c r="AA326" i="5"/>
  <c r="AB326" i="5" s="1"/>
  <c r="Y326" i="5"/>
  <c r="Z326" i="5" s="1"/>
  <c r="W326" i="5"/>
  <c r="X326" i="5" s="1"/>
  <c r="Q326" i="5"/>
  <c r="R326" i="5" s="1"/>
  <c r="S326" i="5" s="1"/>
  <c r="T326" i="5" s="1"/>
  <c r="U326" i="5" s="1"/>
  <c r="V326" i="5" s="1"/>
  <c r="P326" i="5"/>
  <c r="AE326" i="5" s="1"/>
  <c r="AF326" i="5" s="1"/>
  <c r="O326" i="5"/>
  <c r="N326" i="5"/>
  <c r="AC325" i="5"/>
  <c r="AD325" i="5" s="1"/>
  <c r="AA325" i="5"/>
  <c r="AB325" i="5" s="1"/>
  <c r="Y325" i="5"/>
  <c r="Z325" i="5" s="1"/>
  <c r="W325" i="5"/>
  <c r="X325" i="5" s="1"/>
  <c r="Q325" i="5"/>
  <c r="R325" i="5" s="1"/>
  <c r="S325" i="5" s="1"/>
  <c r="T325" i="5" s="1"/>
  <c r="U325" i="5" s="1"/>
  <c r="V325" i="5" s="1"/>
  <c r="P325" i="5"/>
  <c r="AE325" i="5" s="1"/>
  <c r="AF325" i="5" s="1"/>
  <c r="O325" i="5"/>
  <c r="N325" i="5"/>
  <c r="AC324" i="5"/>
  <c r="AD324" i="5" s="1"/>
  <c r="AA324" i="5"/>
  <c r="AB324" i="5" s="1"/>
  <c r="Y324" i="5"/>
  <c r="Z324" i="5" s="1"/>
  <c r="W324" i="5"/>
  <c r="X324" i="5" s="1"/>
  <c r="Q324" i="5"/>
  <c r="R324" i="5" s="1"/>
  <c r="S324" i="5" s="1"/>
  <c r="T324" i="5" s="1"/>
  <c r="U324" i="5" s="1"/>
  <c r="V324" i="5" s="1"/>
  <c r="P324" i="5"/>
  <c r="AE324" i="5" s="1"/>
  <c r="AF324" i="5" s="1"/>
  <c r="O324" i="5"/>
  <c r="N324" i="5"/>
  <c r="AC323" i="5"/>
  <c r="AD323" i="5" s="1"/>
  <c r="AA323" i="5"/>
  <c r="AB323" i="5" s="1"/>
  <c r="Y323" i="5"/>
  <c r="Z323" i="5" s="1"/>
  <c r="W323" i="5"/>
  <c r="X323" i="5" s="1"/>
  <c r="Q323" i="5"/>
  <c r="R323" i="5" s="1"/>
  <c r="S323" i="5" s="1"/>
  <c r="T323" i="5" s="1"/>
  <c r="U323" i="5" s="1"/>
  <c r="V323" i="5" s="1"/>
  <c r="P323" i="5"/>
  <c r="AE323" i="5" s="1"/>
  <c r="AF323" i="5" s="1"/>
  <c r="O323" i="5"/>
  <c r="N323" i="5"/>
  <c r="AC322" i="5"/>
  <c r="AD322" i="5" s="1"/>
  <c r="AA322" i="5"/>
  <c r="AB322" i="5" s="1"/>
  <c r="Y322" i="5"/>
  <c r="Z322" i="5" s="1"/>
  <c r="W322" i="5"/>
  <c r="X322" i="5" s="1"/>
  <c r="Q322" i="5"/>
  <c r="R322" i="5" s="1"/>
  <c r="S322" i="5" s="1"/>
  <c r="T322" i="5" s="1"/>
  <c r="U322" i="5" s="1"/>
  <c r="V322" i="5" s="1"/>
  <c r="P322" i="5"/>
  <c r="AE322" i="5" s="1"/>
  <c r="AF322" i="5" s="1"/>
  <c r="O322" i="5"/>
  <c r="N322" i="5"/>
  <c r="AC321" i="5"/>
  <c r="AD321" i="5" s="1"/>
  <c r="AA321" i="5"/>
  <c r="AB321" i="5" s="1"/>
  <c r="Y321" i="5"/>
  <c r="Z321" i="5" s="1"/>
  <c r="W321" i="5"/>
  <c r="X321" i="5" s="1"/>
  <c r="Q321" i="5"/>
  <c r="R321" i="5" s="1"/>
  <c r="S321" i="5" s="1"/>
  <c r="T321" i="5" s="1"/>
  <c r="U321" i="5" s="1"/>
  <c r="V321" i="5" s="1"/>
  <c r="P321" i="5"/>
  <c r="AE321" i="5" s="1"/>
  <c r="AF321" i="5" s="1"/>
  <c r="O321" i="5"/>
  <c r="N321" i="5"/>
  <c r="AC320" i="5"/>
  <c r="AD320" i="5" s="1"/>
  <c r="AA320" i="5"/>
  <c r="AB320" i="5" s="1"/>
  <c r="Y320" i="5"/>
  <c r="Z320" i="5" s="1"/>
  <c r="W320" i="5"/>
  <c r="X320" i="5" s="1"/>
  <c r="Q320" i="5"/>
  <c r="R320" i="5" s="1"/>
  <c r="S320" i="5" s="1"/>
  <c r="T320" i="5" s="1"/>
  <c r="U320" i="5" s="1"/>
  <c r="V320" i="5" s="1"/>
  <c r="P320" i="5"/>
  <c r="AE320" i="5" s="1"/>
  <c r="AF320" i="5" s="1"/>
  <c r="O320" i="5"/>
  <c r="N320" i="5"/>
  <c r="AC319" i="5"/>
  <c r="AD319" i="5" s="1"/>
  <c r="AA319" i="5"/>
  <c r="AB319" i="5" s="1"/>
  <c r="Y319" i="5"/>
  <c r="Z319" i="5" s="1"/>
  <c r="W319" i="5"/>
  <c r="X319" i="5" s="1"/>
  <c r="Q319" i="5"/>
  <c r="R319" i="5" s="1"/>
  <c r="S319" i="5" s="1"/>
  <c r="T319" i="5" s="1"/>
  <c r="U319" i="5" s="1"/>
  <c r="V319" i="5" s="1"/>
  <c r="P319" i="5"/>
  <c r="AE319" i="5" s="1"/>
  <c r="AF319" i="5" s="1"/>
  <c r="O319" i="5"/>
  <c r="N319" i="5"/>
  <c r="AC318" i="5"/>
  <c r="AD318" i="5" s="1"/>
  <c r="AA318" i="5"/>
  <c r="AB318" i="5" s="1"/>
  <c r="Y318" i="5"/>
  <c r="Z318" i="5" s="1"/>
  <c r="W318" i="5"/>
  <c r="X318" i="5" s="1"/>
  <c r="Q318" i="5"/>
  <c r="R318" i="5" s="1"/>
  <c r="S318" i="5" s="1"/>
  <c r="T318" i="5" s="1"/>
  <c r="U318" i="5" s="1"/>
  <c r="V318" i="5" s="1"/>
  <c r="P318" i="5"/>
  <c r="AE318" i="5" s="1"/>
  <c r="AF318" i="5" s="1"/>
  <c r="O318" i="5"/>
  <c r="N318" i="5"/>
  <c r="AC317" i="5"/>
  <c r="AD317" i="5" s="1"/>
  <c r="AA317" i="5"/>
  <c r="AB317" i="5" s="1"/>
  <c r="Y317" i="5"/>
  <c r="Z317" i="5" s="1"/>
  <c r="W317" i="5"/>
  <c r="X317" i="5" s="1"/>
  <c r="Q317" i="5"/>
  <c r="R317" i="5" s="1"/>
  <c r="S317" i="5" s="1"/>
  <c r="T317" i="5" s="1"/>
  <c r="U317" i="5" s="1"/>
  <c r="V317" i="5" s="1"/>
  <c r="P317" i="5"/>
  <c r="AE317" i="5" s="1"/>
  <c r="AF317" i="5" s="1"/>
  <c r="O317" i="5"/>
  <c r="N317" i="5"/>
  <c r="AC316" i="5"/>
  <c r="AD316" i="5" s="1"/>
  <c r="AA316" i="5"/>
  <c r="AB316" i="5" s="1"/>
  <c r="Y316" i="5"/>
  <c r="Z316" i="5" s="1"/>
  <c r="W316" i="5"/>
  <c r="X316" i="5" s="1"/>
  <c r="Q316" i="5"/>
  <c r="R316" i="5" s="1"/>
  <c r="S316" i="5" s="1"/>
  <c r="T316" i="5" s="1"/>
  <c r="U316" i="5" s="1"/>
  <c r="V316" i="5" s="1"/>
  <c r="P316" i="5"/>
  <c r="AE316" i="5" s="1"/>
  <c r="AF316" i="5" s="1"/>
  <c r="O316" i="5"/>
  <c r="N316" i="5"/>
  <c r="AC315" i="5"/>
  <c r="AD315" i="5" s="1"/>
  <c r="AA315" i="5"/>
  <c r="AB315" i="5" s="1"/>
  <c r="Y315" i="5"/>
  <c r="Z315" i="5" s="1"/>
  <c r="W315" i="5"/>
  <c r="X315" i="5" s="1"/>
  <c r="Q315" i="5"/>
  <c r="R315" i="5" s="1"/>
  <c r="S315" i="5" s="1"/>
  <c r="T315" i="5" s="1"/>
  <c r="U315" i="5" s="1"/>
  <c r="V315" i="5" s="1"/>
  <c r="P315" i="5"/>
  <c r="AE315" i="5" s="1"/>
  <c r="AF315" i="5" s="1"/>
  <c r="O315" i="5"/>
  <c r="N315" i="5"/>
  <c r="AC314" i="5"/>
  <c r="AD314" i="5" s="1"/>
  <c r="AA314" i="5"/>
  <c r="AB314" i="5" s="1"/>
  <c r="Y314" i="5"/>
  <c r="Z314" i="5" s="1"/>
  <c r="W314" i="5"/>
  <c r="X314" i="5" s="1"/>
  <c r="Q314" i="5"/>
  <c r="R314" i="5" s="1"/>
  <c r="S314" i="5" s="1"/>
  <c r="T314" i="5" s="1"/>
  <c r="U314" i="5" s="1"/>
  <c r="V314" i="5" s="1"/>
  <c r="P314" i="5"/>
  <c r="AE314" i="5" s="1"/>
  <c r="AF314" i="5" s="1"/>
  <c r="O314" i="5"/>
  <c r="N314" i="5"/>
  <c r="AC313" i="5"/>
  <c r="AD313" i="5" s="1"/>
  <c r="AA313" i="5"/>
  <c r="AB313" i="5" s="1"/>
  <c r="Y313" i="5"/>
  <c r="Z313" i="5" s="1"/>
  <c r="W313" i="5"/>
  <c r="X313" i="5" s="1"/>
  <c r="Q313" i="5"/>
  <c r="R313" i="5" s="1"/>
  <c r="S313" i="5" s="1"/>
  <c r="T313" i="5" s="1"/>
  <c r="U313" i="5" s="1"/>
  <c r="V313" i="5" s="1"/>
  <c r="P313" i="5"/>
  <c r="AE313" i="5" s="1"/>
  <c r="AF313" i="5" s="1"/>
  <c r="O313" i="5"/>
  <c r="N313" i="5"/>
  <c r="AC312" i="5"/>
  <c r="AD312" i="5" s="1"/>
  <c r="AA312" i="5"/>
  <c r="AB312" i="5" s="1"/>
  <c r="Y312" i="5"/>
  <c r="Z312" i="5" s="1"/>
  <c r="W312" i="5"/>
  <c r="X312" i="5" s="1"/>
  <c r="Q312" i="5"/>
  <c r="R312" i="5" s="1"/>
  <c r="S312" i="5" s="1"/>
  <c r="T312" i="5" s="1"/>
  <c r="U312" i="5" s="1"/>
  <c r="V312" i="5" s="1"/>
  <c r="P312" i="5"/>
  <c r="AE312" i="5" s="1"/>
  <c r="AF312" i="5" s="1"/>
  <c r="O312" i="5"/>
  <c r="N312" i="5"/>
  <c r="AC311" i="5"/>
  <c r="AD311" i="5" s="1"/>
  <c r="AA311" i="5"/>
  <c r="AB311" i="5" s="1"/>
  <c r="Y311" i="5"/>
  <c r="Z311" i="5" s="1"/>
  <c r="W311" i="5"/>
  <c r="X311" i="5" s="1"/>
  <c r="Q311" i="5"/>
  <c r="R311" i="5" s="1"/>
  <c r="S311" i="5" s="1"/>
  <c r="T311" i="5" s="1"/>
  <c r="U311" i="5" s="1"/>
  <c r="V311" i="5" s="1"/>
  <c r="P311" i="5"/>
  <c r="AE311" i="5" s="1"/>
  <c r="AF311" i="5" s="1"/>
  <c r="O311" i="5"/>
  <c r="N311" i="5"/>
  <c r="AC310" i="5"/>
  <c r="AD310" i="5" s="1"/>
  <c r="AA310" i="5"/>
  <c r="AB310" i="5" s="1"/>
  <c r="Y310" i="5"/>
  <c r="Z310" i="5" s="1"/>
  <c r="W310" i="5"/>
  <c r="X310" i="5" s="1"/>
  <c r="Q310" i="5"/>
  <c r="R310" i="5" s="1"/>
  <c r="S310" i="5" s="1"/>
  <c r="T310" i="5" s="1"/>
  <c r="U310" i="5" s="1"/>
  <c r="V310" i="5" s="1"/>
  <c r="P310" i="5"/>
  <c r="AE310" i="5" s="1"/>
  <c r="AF310" i="5" s="1"/>
  <c r="O310" i="5"/>
  <c r="N310" i="5"/>
  <c r="AC309" i="5"/>
  <c r="AD309" i="5" s="1"/>
  <c r="AA309" i="5"/>
  <c r="AB309" i="5" s="1"/>
  <c r="Y309" i="5"/>
  <c r="Z309" i="5" s="1"/>
  <c r="W309" i="5"/>
  <c r="X309" i="5" s="1"/>
  <c r="Q309" i="5"/>
  <c r="R309" i="5" s="1"/>
  <c r="S309" i="5" s="1"/>
  <c r="T309" i="5" s="1"/>
  <c r="U309" i="5" s="1"/>
  <c r="V309" i="5" s="1"/>
  <c r="P309" i="5"/>
  <c r="AE309" i="5" s="1"/>
  <c r="AF309" i="5" s="1"/>
  <c r="O309" i="5"/>
  <c r="N309" i="5"/>
  <c r="AC308" i="5"/>
  <c r="AD308" i="5" s="1"/>
  <c r="AA308" i="5"/>
  <c r="AB308" i="5" s="1"/>
  <c r="Y308" i="5"/>
  <c r="Z308" i="5" s="1"/>
  <c r="W308" i="5"/>
  <c r="X308" i="5" s="1"/>
  <c r="Q308" i="5"/>
  <c r="R308" i="5" s="1"/>
  <c r="S308" i="5" s="1"/>
  <c r="T308" i="5" s="1"/>
  <c r="U308" i="5" s="1"/>
  <c r="V308" i="5" s="1"/>
  <c r="P308" i="5"/>
  <c r="AE308" i="5" s="1"/>
  <c r="AF308" i="5" s="1"/>
  <c r="O308" i="5"/>
  <c r="N308" i="5"/>
  <c r="AC307" i="5"/>
  <c r="AD307" i="5" s="1"/>
  <c r="AA307" i="5"/>
  <c r="AB307" i="5" s="1"/>
  <c r="Y307" i="5"/>
  <c r="Z307" i="5" s="1"/>
  <c r="W307" i="5"/>
  <c r="X307" i="5" s="1"/>
  <c r="Q307" i="5"/>
  <c r="R307" i="5" s="1"/>
  <c r="S307" i="5" s="1"/>
  <c r="T307" i="5" s="1"/>
  <c r="U307" i="5" s="1"/>
  <c r="V307" i="5" s="1"/>
  <c r="P307" i="5"/>
  <c r="AE307" i="5" s="1"/>
  <c r="AF307" i="5" s="1"/>
  <c r="O307" i="5"/>
  <c r="N307" i="5"/>
  <c r="AC306" i="5"/>
  <c r="AD306" i="5" s="1"/>
  <c r="AA306" i="5"/>
  <c r="AB306" i="5" s="1"/>
  <c r="Y306" i="5"/>
  <c r="Z306" i="5" s="1"/>
  <c r="W306" i="5"/>
  <c r="X306" i="5" s="1"/>
  <c r="Q306" i="5"/>
  <c r="R306" i="5" s="1"/>
  <c r="S306" i="5" s="1"/>
  <c r="T306" i="5" s="1"/>
  <c r="U306" i="5" s="1"/>
  <c r="V306" i="5" s="1"/>
  <c r="P306" i="5"/>
  <c r="AE306" i="5" s="1"/>
  <c r="AF306" i="5" s="1"/>
  <c r="O306" i="5"/>
  <c r="N306" i="5"/>
  <c r="AC305" i="5"/>
  <c r="AD305" i="5" s="1"/>
  <c r="AA305" i="5"/>
  <c r="AB305" i="5" s="1"/>
  <c r="Y305" i="5"/>
  <c r="Z305" i="5" s="1"/>
  <c r="W305" i="5"/>
  <c r="X305" i="5" s="1"/>
  <c r="Q305" i="5"/>
  <c r="R305" i="5" s="1"/>
  <c r="S305" i="5" s="1"/>
  <c r="T305" i="5" s="1"/>
  <c r="U305" i="5" s="1"/>
  <c r="V305" i="5" s="1"/>
  <c r="P305" i="5"/>
  <c r="AE305" i="5" s="1"/>
  <c r="AF305" i="5" s="1"/>
  <c r="O305" i="5"/>
  <c r="N305" i="5"/>
  <c r="AC304" i="5"/>
  <c r="AD304" i="5" s="1"/>
  <c r="AA304" i="5"/>
  <c r="AB304" i="5" s="1"/>
  <c r="Y304" i="5"/>
  <c r="Z304" i="5" s="1"/>
  <c r="W304" i="5"/>
  <c r="X304" i="5" s="1"/>
  <c r="Q304" i="5"/>
  <c r="R304" i="5" s="1"/>
  <c r="S304" i="5" s="1"/>
  <c r="T304" i="5" s="1"/>
  <c r="U304" i="5" s="1"/>
  <c r="V304" i="5" s="1"/>
  <c r="P304" i="5"/>
  <c r="AE304" i="5" s="1"/>
  <c r="AF304" i="5" s="1"/>
  <c r="O304" i="5"/>
  <c r="N304" i="5"/>
  <c r="AC303" i="5"/>
  <c r="AD303" i="5" s="1"/>
  <c r="AA303" i="5"/>
  <c r="AB303" i="5" s="1"/>
  <c r="Y303" i="5"/>
  <c r="Z303" i="5" s="1"/>
  <c r="W303" i="5"/>
  <c r="X303" i="5" s="1"/>
  <c r="Q303" i="5"/>
  <c r="R303" i="5" s="1"/>
  <c r="S303" i="5" s="1"/>
  <c r="T303" i="5" s="1"/>
  <c r="U303" i="5" s="1"/>
  <c r="V303" i="5" s="1"/>
  <c r="P303" i="5"/>
  <c r="AE303" i="5" s="1"/>
  <c r="AF303" i="5" s="1"/>
  <c r="O303" i="5"/>
  <c r="N303" i="5"/>
  <c r="AC302" i="5"/>
  <c r="AD302" i="5" s="1"/>
  <c r="AA302" i="5"/>
  <c r="AB302" i="5" s="1"/>
  <c r="Y302" i="5"/>
  <c r="Z302" i="5" s="1"/>
  <c r="W302" i="5"/>
  <c r="X302" i="5" s="1"/>
  <c r="Q302" i="5"/>
  <c r="R302" i="5" s="1"/>
  <c r="S302" i="5" s="1"/>
  <c r="T302" i="5" s="1"/>
  <c r="U302" i="5" s="1"/>
  <c r="V302" i="5" s="1"/>
  <c r="P302" i="5"/>
  <c r="AE302" i="5" s="1"/>
  <c r="AF302" i="5" s="1"/>
  <c r="O302" i="5"/>
  <c r="N302" i="5"/>
  <c r="AC301" i="5"/>
  <c r="AD301" i="5" s="1"/>
  <c r="AA301" i="5"/>
  <c r="AB301" i="5" s="1"/>
  <c r="Y301" i="5"/>
  <c r="Z301" i="5" s="1"/>
  <c r="W301" i="5"/>
  <c r="X301" i="5" s="1"/>
  <c r="Q301" i="5"/>
  <c r="R301" i="5" s="1"/>
  <c r="S301" i="5" s="1"/>
  <c r="T301" i="5" s="1"/>
  <c r="U301" i="5" s="1"/>
  <c r="V301" i="5" s="1"/>
  <c r="P301" i="5"/>
  <c r="AE301" i="5" s="1"/>
  <c r="AF301" i="5" s="1"/>
  <c r="O301" i="5"/>
  <c r="N301" i="5"/>
  <c r="AC300" i="5"/>
  <c r="AD300" i="5" s="1"/>
  <c r="AA300" i="5"/>
  <c r="AB300" i="5" s="1"/>
  <c r="Y300" i="5"/>
  <c r="Z300" i="5" s="1"/>
  <c r="W300" i="5"/>
  <c r="X300" i="5" s="1"/>
  <c r="Q300" i="5"/>
  <c r="R300" i="5" s="1"/>
  <c r="S300" i="5" s="1"/>
  <c r="T300" i="5" s="1"/>
  <c r="U300" i="5" s="1"/>
  <c r="V300" i="5" s="1"/>
  <c r="P300" i="5"/>
  <c r="AE300" i="5" s="1"/>
  <c r="AF300" i="5" s="1"/>
  <c r="O300" i="5"/>
  <c r="N300" i="5"/>
  <c r="AC299" i="5"/>
  <c r="AD299" i="5" s="1"/>
  <c r="AA299" i="5"/>
  <c r="AB299" i="5" s="1"/>
  <c r="Y299" i="5"/>
  <c r="Z299" i="5" s="1"/>
  <c r="W299" i="5"/>
  <c r="X299" i="5" s="1"/>
  <c r="Q299" i="5"/>
  <c r="R299" i="5" s="1"/>
  <c r="S299" i="5" s="1"/>
  <c r="T299" i="5" s="1"/>
  <c r="U299" i="5" s="1"/>
  <c r="V299" i="5" s="1"/>
  <c r="P299" i="5"/>
  <c r="AE299" i="5" s="1"/>
  <c r="AF299" i="5" s="1"/>
  <c r="O299" i="5"/>
  <c r="N299" i="5"/>
  <c r="AC298" i="5"/>
  <c r="AD298" i="5" s="1"/>
  <c r="AA298" i="5"/>
  <c r="AB298" i="5" s="1"/>
  <c r="Y298" i="5"/>
  <c r="Z298" i="5" s="1"/>
  <c r="W298" i="5"/>
  <c r="X298" i="5" s="1"/>
  <c r="Q298" i="5"/>
  <c r="R298" i="5" s="1"/>
  <c r="S298" i="5" s="1"/>
  <c r="T298" i="5" s="1"/>
  <c r="U298" i="5" s="1"/>
  <c r="V298" i="5" s="1"/>
  <c r="P298" i="5"/>
  <c r="AE298" i="5" s="1"/>
  <c r="AF298" i="5" s="1"/>
  <c r="O298" i="5"/>
  <c r="N298" i="5"/>
  <c r="AC297" i="5"/>
  <c r="AD297" i="5" s="1"/>
  <c r="AA297" i="5"/>
  <c r="AB297" i="5" s="1"/>
  <c r="Y297" i="5"/>
  <c r="Z297" i="5" s="1"/>
  <c r="W297" i="5"/>
  <c r="X297" i="5" s="1"/>
  <c r="Q297" i="5"/>
  <c r="R297" i="5" s="1"/>
  <c r="S297" i="5" s="1"/>
  <c r="T297" i="5" s="1"/>
  <c r="U297" i="5" s="1"/>
  <c r="V297" i="5" s="1"/>
  <c r="P297" i="5"/>
  <c r="AE297" i="5" s="1"/>
  <c r="AF297" i="5" s="1"/>
  <c r="O297" i="5"/>
  <c r="N297" i="5"/>
  <c r="AC296" i="5"/>
  <c r="AD296" i="5" s="1"/>
  <c r="AA296" i="5"/>
  <c r="AB296" i="5" s="1"/>
  <c r="Y296" i="5"/>
  <c r="Z296" i="5" s="1"/>
  <c r="W296" i="5"/>
  <c r="X296" i="5" s="1"/>
  <c r="Q296" i="5"/>
  <c r="R296" i="5" s="1"/>
  <c r="S296" i="5" s="1"/>
  <c r="T296" i="5" s="1"/>
  <c r="U296" i="5" s="1"/>
  <c r="V296" i="5" s="1"/>
  <c r="P296" i="5"/>
  <c r="AE296" i="5" s="1"/>
  <c r="AF296" i="5" s="1"/>
  <c r="O296" i="5"/>
  <c r="N296" i="5"/>
  <c r="AC295" i="5"/>
  <c r="AD295" i="5" s="1"/>
  <c r="AA295" i="5"/>
  <c r="AB295" i="5" s="1"/>
  <c r="Y295" i="5"/>
  <c r="Z295" i="5" s="1"/>
  <c r="W295" i="5"/>
  <c r="X295" i="5" s="1"/>
  <c r="Q295" i="5"/>
  <c r="R295" i="5" s="1"/>
  <c r="S295" i="5" s="1"/>
  <c r="T295" i="5" s="1"/>
  <c r="U295" i="5" s="1"/>
  <c r="V295" i="5" s="1"/>
  <c r="P295" i="5"/>
  <c r="AE295" i="5" s="1"/>
  <c r="AF295" i="5" s="1"/>
  <c r="O295" i="5"/>
  <c r="N295" i="5"/>
  <c r="AC294" i="5"/>
  <c r="AD294" i="5" s="1"/>
  <c r="AA294" i="5"/>
  <c r="AB294" i="5" s="1"/>
  <c r="Y294" i="5"/>
  <c r="Z294" i="5" s="1"/>
  <c r="W294" i="5"/>
  <c r="X294" i="5" s="1"/>
  <c r="Q294" i="5"/>
  <c r="R294" i="5" s="1"/>
  <c r="S294" i="5" s="1"/>
  <c r="T294" i="5" s="1"/>
  <c r="U294" i="5" s="1"/>
  <c r="V294" i="5" s="1"/>
  <c r="P294" i="5"/>
  <c r="AE294" i="5" s="1"/>
  <c r="AF294" i="5" s="1"/>
  <c r="O294" i="5"/>
  <c r="N294" i="5"/>
  <c r="AC293" i="5"/>
  <c r="AD293" i="5" s="1"/>
  <c r="AA293" i="5"/>
  <c r="AB293" i="5" s="1"/>
  <c r="Y293" i="5"/>
  <c r="Z293" i="5" s="1"/>
  <c r="W293" i="5"/>
  <c r="X293" i="5" s="1"/>
  <c r="Q293" i="5"/>
  <c r="R293" i="5" s="1"/>
  <c r="S293" i="5" s="1"/>
  <c r="T293" i="5" s="1"/>
  <c r="U293" i="5" s="1"/>
  <c r="V293" i="5" s="1"/>
  <c r="P293" i="5"/>
  <c r="AE293" i="5" s="1"/>
  <c r="AF293" i="5" s="1"/>
  <c r="O293" i="5"/>
  <c r="N293" i="5"/>
  <c r="AC292" i="5"/>
  <c r="AD292" i="5" s="1"/>
  <c r="AA292" i="5"/>
  <c r="AB292" i="5" s="1"/>
  <c r="Y292" i="5"/>
  <c r="Z292" i="5" s="1"/>
  <c r="W292" i="5"/>
  <c r="X292" i="5" s="1"/>
  <c r="Q292" i="5"/>
  <c r="R292" i="5" s="1"/>
  <c r="S292" i="5" s="1"/>
  <c r="T292" i="5" s="1"/>
  <c r="U292" i="5" s="1"/>
  <c r="V292" i="5" s="1"/>
  <c r="P292" i="5"/>
  <c r="AE292" i="5" s="1"/>
  <c r="AF292" i="5" s="1"/>
  <c r="O292" i="5"/>
  <c r="N292" i="5"/>
  <c r="AC291" i="5"/>
  <c r="AD291" i="5" s="1"/>
  <c r="AA291" i="5"/>
  <c r="AB291" i="5" s="1"/>
  <c r="Y291" i="5"/>
  <c r="Z291" i="5" s="1"/>
  <c r="W291" i="5"/>
  <c r="X291" i="5" s="1"/>
  <c r="Q291" i="5"/>
  <c r="R291" i="5" s="1"/>
  <c r="S291" i="5" s="1"/>
  <c r="T291" i="5" s="1"/>
  <c r="U291" i="5" s="1"/>
  <c r="V291" i="5" s="1"/>
  <c r="P291" i="5"/>
  <c r="AE291" i="5" s="1"/>
  <c r="AF291" i="5" s="1"/>
  <c r="O291" i="5"/>
  <c r="N291" i="5"/>
  <c r="AC290" i="5"/>
  <c r="AD290" i="5" s="1"/>
  <c r="AA290" i="5"/>
  <c r="AB290" i="5" s="1"/>
  <c r="Y290" i="5"/>
  <c r="Z290" i="5" s="1"/>
  <c r="W290" i="5"/>
  <c r="X290" i="5" s="1"/>
  <c r="Q290" i="5"/>
  <c r="R290" i="5" s="1"/>
  <c r="S290" i="5" s="1"/>
  <c r="T290" i="5" s="1"/>
  <c r="U290" i="5" s="1"/>
  <c r="V290" i="5" s="1"/>
  <c r="P290" i="5"/>
  <c r="AE290" i="5" s="1"/>
  <c r="AF290" i="5" s="1"/>
  <c r="O290" i="5"/>
  <c r="N290" i="5"/>
  <c r="AC289" i="5"/>
  <c r="AD289" i="5" s="1"/>
  <c r="AA289" i="5"/>
  <c r="AB289" i="5" s="1"/>
  <c r="Y289" i="5"/>
  <c r="Z289" i="5" s="1"/>
  <c r="W289" i="5"/>
  <c r="X289" i="5" s="1"/>
  <c r="Q289" i="5"/>
  <c r="R289" i="5" s="1"/>
  <c r="S289" i="5" s="1"/>
  <c r="T289" i="5" s="1"/>
  <c r="U289" i="5" s="1"/>
  <c r="V289" i="5" s="1"/>
  <c r="P289" i="5"/>
  <c r="AE289" i="5" s="1"/>
  <c r="AF289" i="5" s="1"/>
  <c r="O289" i="5"/>
  <c r="N289" i="5"/>
  <c r="AC288" i="5"/>
  <c r="AD288" i="5" s="1"/>
  <c r="AA288" i="5"/>
  <c r="AB288" i="5" s="1"/>
  <c r="Y288" i="5"/>
  <c r="Z288" i="5" s="1"/>
  <c r="W288" i="5"/>
  <c r="X288" i="5" s="1"/>
  <c r="Q288" i="5"/>
  <c r="R288" i="5" s="1"/>
  <c r="S288" i="5" s="1"/>
  <c r="T288" i="5" s="1"/>
  <c r="U288" i="5" s="1"/>
  <c r="V288" i="5" s="1"/>
  <c r="P288" i="5"/>
  <c r="AE288" i="5" s="1"/>
  <c r="AF288" i="5" s="1"/>
  <c r="O288" i="5"/>
  <c r="N288" i="5"/>
  <c r="AC287" i="5"/>
  <c r="AD287" i="5" s="1"/>
  <c r="AA287" i="5"/>
  <c r="AB287" i="5" s="1"/>
  <c r="Y287" i="5"/>
  <c r="Z287" i="5" s="1"/>
  <c r="W287" i="5"/>
  <c r="X287" i="5" s="1"/>
  <c r="Q287" i="5"/>
  <c r="R287" i="5" s="1"/>
  <c r="S287" i="5" s="1"/>
  <c r="T287" i="5" s="1"/>
  <c r="U287" i="5" s="1"/>
  <c r="V287" i="5" s="1"/>
  <c r="P287" i="5"/>
  <c r="AE287" i="5" s="1"/>
  <c r="AF287" i="5" s="1"/>
  <c r="O287" i="5"/>
  <c r="N287" i="5"/>
  <c r="AC286" i="5"/>
  <c r="AD286" i="5" s="1"/>
  <c r="AA286" i="5"/>
  <c r="AB286" i="5" s="1"/>
  <c r="Y286" i="5"/>
  <c r="Z286" i="5" s="1"/>
  <c r="W286" i="5"/>
  <c r="X286" i="5" s="1"/>
  <c r="Q286" i="5"/>
  <c r="R286" i="5" s="1"/>
  <c r="S286" i="5" s="1"/>
  <c r="T286" i="5" s="1"/>
  <c r="U286" i="5" s="1"/>
  <c r="V286" i="5" s="1"/>
  <c r="P286" i="5"/>
  <c r="AE286" i="5" s="1"/>
  <c r="AF286" i="5" s="1"/>
  <c r="O286" i="5"/>
  <c r="N286" i="5"/>
  <c r="AC285" i="5"/>
  <c r="AD285" i="5" s="1"/>
  <c r="AA285" i="5"/>
  <c r="AB285" i="5" s="1"/>
  <c r="Y285" i="5"/>
  <c r="Z285" i="5" s="1"/>
  <c r="W285" i="5"/>
  <c r="X285" i="5" s="1"/>
  <c r="Q285" i="5"/>
  <c r="R285" i="5" s="1"/>
  <c r="S285" i="5" s="1"/>
  <c r="T285" i="5" s="1"/>
  <c r="U285" i="5" s="1"/>
  <c r="V285" i="5" s="1"/>
  <c r="P285" i="5"/>
  <c r="AE285" i="5" s="1"/>
  <c r="AF285" i="5" s="1"/>
  <c r="O285" i="5"/>
  <c r="N285" i="5"/>
  <c r="AC284" i="5"/>
  <c r="AD284" i="5" s="1"/>
  <c r="AA284" i="5"/>
  <c r="AB284" i="5" s="1"/>
  <c r="Y284" i="5"/>
  <c r="Z284" i="5" s="1"/>
  <c r="W284" i="5"/>
  <c r="X284" i="5" s="1"/>
  <c r="Q284" i="5"/>
  <c r="R284" i="5" s="1"/>
  <c r="S284" i="5" s="1"/>
  <c r="T284" i="5" s="1"/>
  <c r="U284" i="5" s="1"/>
  <c r="V284" i="5" s="1"/>
  <c r="P284" i="5"/>
  <c r="AE284" i="5" s="1"/>
  <c r="AF284" i="5" s="1"/>
  <c r="O284" i="5"/>
  <c r="N284" i="5"/>
  <c r="AC283" i="5"/>
  <c r="AD283" i="5" s="1"/>
  <c r="AA283" i="5"/>
  <c r="AB283" i="5" s="1"/>
  <c r="Y283" i="5"/>
  <c r="Z283" i="5" s="1"/>
  <c r="W283" i="5"/>
  <c r="X283" i="5" s="1"/>
  <c r="Q283" i="5"/>
  <c r="R283" i="5" s="1"/>
  <c r="S283" i="5" s="1"/>
  <c r="T283" i="5" s="1"/>
  <c r="U283" i="5" s="1"/>
  <c r="V283" i="5" s="1"/>
  <c r="P283" i="5"/>
  <c r="AE283" i="5" s="1"/>
  <c r="AF283" i="5" s="1"/>
  <c r="O283" i="5"/>
  <c r="N283" i="5"/>
  <c r="AC282" i="5"/>
  <c r="AD282" i="5" s="1"/>
  <c r="AA282" i="5"/>
  <c r="AB282" i="5" s="1"/>
  <c r="Y282" i="5"/>
  <c r="Z282" i="5" s="1"/>
  <c r="W282" i="5"/>
  <c r="X282" i="5" s="1"/>
  <c r="Q282" i="5"/>
  <c r="R282" i="5" s="1"/>
  <c r="S282" i="5" s="1"/>
  <c r="T282" i="5" s="1"/>
  <c r="U282" i="5" s="1"/>
  <c r="V282" i="5" s="1"/>
  <c r="P282" i="5"/>
  <c r="AE282" i="5" s="1"/>
  <c r="AF282" i="5" s="1"/>
  <c r="O282" i="5"/>
  <c r="N282" i="5"/>
  <c r="AC281" i="5"/>
  <c r="AD281" i="5" s="1"/>
  <c r="AA281" i="5"/>
  <c r="AB281" i="5" s="1"/>
  <c r="Y281" i="5"/>
  <c r="Z281" i="5" s="1"/>
  <c r="W281" i="5"/>
  <c r="X281" i="5" s="1"/>
  <c r="Q281" i="5"/>
  <c r="R281" i="5" s="1"/>
  <c r="S281" i="5" s="1"/>
  <c r="T281" i="5" s="1"/>
  <c r="U281" i="5" s="1"/>
  <c r="V281" i="5" s="1"/>
  <c r="P281" i="5"/>
  <c r="AE281" i="5" s="1"/>
  <c r="AF281" i="5" s="1"/>
  <c r="O281" i="5"/>
  <c r="N281" i="5"/>
  <c r="AC280" i="5"/>
  <c r="AD280" i="5" s="1"/>
  <c r="AA280" i="5"/>
  <c r="AB280" i="5" s="1"/>
  <c r="Y280" i="5"/>
  <c r="Z280" i="5" s="1"/>
  <c r="W280" i="5"/>
  <c r="X280" i="5" s="1"/>
  <c r="Q280" i="5"/>
  <c r="R280" i="5" s="1"/>
  <c r="S280" i="5" s="1"/>
  <c r="T280" i="5" s="1"/>
  <c r="U280" i="5" s="1"/>
  <c r="V280" i="5" s="1"/>
  <c r="P280" i="5"/>
  <c r="AE280" i="5" s="1"/>
  <c r="AF280" i="5" s="1"/>
  <c r="O280" i="5"/>
  <c r="N280" i="5"/>
  <c r="AC279" i="5"/>
  <c r="AD279" i="5" s="1"/>
  <c r="AA279" i="5"/>
  <c r="AB279" i="5" s="1"/>
  <c r="Y279" i="5"/>
  <c r="Z279" i="5" s="1"/>
  <c r="W279" i="5"/>
  <c r="X279" i="5" s="1"/>
  <c r="Q279" i="5"/>
  <c r="R279" i="5" s="1"/>
  <c r="S279" i="5" s="1"/>
  <c r="T279" i="5" s="1"/>
  <c r="U279" i="5" s="1"/>
  <c r="V279" i="5" s="1"/>
  <c r="P279" i="5"/>
  <c r="AE279" i="5" s="1"/>
  <c r="AF279" i="5" s="1"/>
  <c r="O279" i="5"/>
  <c r="N279" i="5"/>
  <c r="AC278" i="5"/>
  <c r="AD278" i="5" s="1"/>
  <c r="AA278" i="5"/>
  <c r="AB278" i="5" s="1"/>
  <c r="Y278" i="5"/>
  <c r="Z278" i="5" s="1"/>
  <c r="W278" i="5"/>
  <c r="X278" i="5" s="1"/>
  <c r="Q278" i="5"/>
  <c r="R278" i="5" s="1"/>
  <c r="S278" i="5" s="1"/>
  <c r="T278" i="5" s="1"/>
  <c r="U278" i="5" s="1"/>
  <c r="V278" i="5" s="1"/>
  <c r="P278" i="5"/>
  <c r="AE278" i="5" s="1"/>
  <c r="AF278" i="5" s="1"/>
  <c r="O278" i="5"/>
  <c r="N278" i="5"/>
  <c r="AC277" i="5"/>
  <c r="AD277" i="5" s="1"/>
  <c r="AA277" i="5"/>
  <c r="AB277" i="5" s="1"/>
  <c r="Y277" i="5"/>
  <c r="Z277" i="5" s="1"/>
  <c r="W277" i="5"/>
  <c r="X277" i="5" s="1"/>
  <c r="Q277" i="5"/>
  <c r="R277" i="5" s="1"/>
  <c r="S277" i="5" s="1"/>
  <c r="T277" i="5" s="1"/>
  <c r="U277" i="5" s="1"/>
  <c r="V277" i="5" s="1"/>
  <c r="P277" i="5"/>
  <c r="AE277" i="5" s="1"/>
  <c r="AF277" i="5" s="1"/>
  <c r="O277" i="5"/>
  <c r="N277" i="5"/>
  <c r="AC276" i="5"/>
  <c r="AD276" i="5" s="1"/>
  <c r="AA276" i="5"/>
  <c r="AB276" i="5" s="1"/>
  <c r="Y276" i="5"/>
  <c r="Z276" i="5" s="1"/>
  <c r="W276" i="5"/>
  <c r="X276" i="5" s="1"/>
  <c r="Q276" i="5"/>
  <c r="R276" i="5" s="1"/>
  <c r="S276" i="5" s="1"/>
  <c r="T276" i="5" s="1"/>
  <c r="U276" i="5" s="1"/>
  <c r="V276" i="5" s="1"/>
  <c r="P276" i="5"/>
  <c r="AE276" i="5" s="1"/>
  <c r="AF276" i="5" s="1"/>
  <c r="O276" i="5"/>
  <c r="N276" i="5"/>
  <c r="AC275" i="5"/>
  <c r="AD275" i="5" s="1"/>
  <c r="AA275" i="5"/>
  <c r="AB275" i="5" s="1"/>
  <c r="Y275" i="5"/>
  <c r="Z275" i="5" s="1"/>
  <c r="W275" i="5"/>
  <c r="X275" i="5" s="1"/>
  <c r="Q275" i="5"/>
  <c r="R275" i="5" s="1"/>
  <c r="S275" i="5" s="1"/>
  <c r="T275" i="5" s="1"/>
  <c r="U275" i="5" s="1"/>
  <c r="V275" i="5" s="1"/>
  <c r="P275" i="5"/>
  <c r="AE275" i="5" s="1"/>
  <c r="AF275" i="5" s="1"/>
  <c r="O275" i="5"/>
  <c r="N275" i="5"/>
  <c r="AC274" i="5"/>
  <c r="AD274" i="5" s="1"/>
  <c r="AA274" i="5"/>
  <c r="AB274" i="5" s="1"/>
  <c r="Y274" i="5"/>
  <c r="Z274" i="5" s="1"/>
  <c r="W274" i="5"/>
  <c r="X274" i="5" s="1"/>
  <c r="Q274" i="5"/>
  <c r="R274" i="5" s="1"/>
  <c r="S274" i="5" s="1"/>
  <c r="T274" i="5" s="1"/>
  <c r="U274" i="5" s="1"/>
  <c r="V274" i="5" s="1"/>
  <c r="P274" i="5"/>
  <c r="AE274" i="5" s="1"/>
  <c r="AF274" i="5" s="1"/>
  <c r="O274" i="5"/>
  <c r="N274" i="5"/>
  <c r="AC273" i="5"/>
  <c r="AD273" i="5" s="1"/>
  <c r="AA273" i="5"/>
  <c r="AB273" i="5" s="1"/>
  <c r="Y273" i="5"/>
  <c r="Z273" i="5" s="1"/>
  <c r="W273" i="5"/>
  <c r="X273" i="5" s="1"/>
  <c r="Q273" i="5"/>
  <c r="R273" i="5" s="1"/>
  <c r="S273" i="5" s="1"/>
  <c r="T273" i="5" s="1"/>
  <c r="U273" i="5" s="1"/>
  <c r="V273" i="5" s="1"/>
  <c r="P273" i="5"/>
  <c r="AE273" i="5" s="1"/>
  <c r="AF273" i="5" s="1"/>
  <c r="O273" i="5"/>
  <c r="N273" i="5"/>
  <c r="AC272" i="5"/>
  <c r="AD272" i="5" s="1"/>
  <c r="AA272" i="5"/>
  <c r="AB272" i="5" s="1"/>
  <c r="Y272" i="5"/>
  <c r="Z272" i="5" s="1"/>
  <c r="W272" i="5"/>
  <c r="X272" i="5" s="1"/>
  <c r="Q272" i="5"/>
  <c r="R272" i="5" s="1"/>
  <c r="S272" i="5" s="1"/>
  <c r="T272" i="5" s="1"/>
  <c r="U272" i="5" s="1"/>
  <c r="V272" i="5" s="1"/>
  <c r="P272" i="5"/>
  <c r="AE272" i="5" s="1"/>
  <c r="AF272" i="5" s="1"/>
  <c r="O272" i="5"/>
  <c r="N272" i="5"/>
  <c r="AC271" i="5"/>
  <c r="AD271" i="5" s="1"/>
  <c r="AA271" i="5"/>
  <c r="AB271" i="5" s="1"/>
  <c r="Y271" i="5"/>
  <c r="Z271" i="5" s="1"/>
  <c r="W271" i="5"/>
  <c r="X271" i="5" s="1"/>
  <c r="Q271" i="5"/>
  <c r="R271" i="5" s="1"/>
  <c r="S271" i="5" s="1"/>
  <c r="T271" i="5" s="1"/>
  <c r="U271" i="5" s="1"/>
  <c r="V271" i="5" s="1"/>
  <c r="P271" i="5"/>
  <c r="AE271" i="5" s="1"/>
  <c r="AF271" i="5" s="1"/>
  <c r="O271" i="5"/>
  <c r="N271" i="5"/>
  <c r="AC270" i="5"/>
  <c r="AD270" i="5" s="1"/>
  <c r="AA270" i="5"/>
  <c r="AB270" i="5" s="1"/>
  <c r="Y270" i="5"/>
  <c r="Z270" i="5" s="1"/>
  <c r="W270" i="5"/>
  <c r="X270" i="5" s="1"/>
  <c r="Q270" i="5"/>
  <c r="R270" i="5" s="1"/>
  <c r="S270" i="5" s="1"/>
  <c r="T270" i="5" s="1"/>
  <c r="U270" i="5" s="1"/>
  <c r="V270" i="5" s="1"/>
  <c r="P270" i="5"/>
  <c r="AE270" i="5" s="1"/>
  <c r="AF270" i="5" s="1"/>
  <c r="O270" i="5"/>
  <c r="N270" i="5"/>
  <c r="AC269" i="5"/>
  <c r="AD269" i="5" s="1"/>
  <c r="AA269" i="5"/>
  <c r="AB269" i="5" s="1"/>
  <c r="Y269" i="5"/>
  <c r="Z269" i="5" s="1"/>
  <c r="W269" i="5"/>
  <c r="X269" i="5" s="1"/>
  <c r="Q269" i="5"/>
  <c r="R269" i="5" s="1"/>
  <c r="S269" i="5" s="1"/>
  <c r="T269" i="5" s="1"/>
  <c r="U269" i="5" s="1"/>
  <c r="V269" i="5" s="1"/>
  <c r="P269" i="5"/>
  <c r="AE269" i="5" s="1"/>
  <c r="AF269" i="5" s="1"/>
  <c r="O269" i="5"/>
  <c r="N269" i="5"/>
  <c r="AC268" i="5"/>
  <c r="AD268" i="5" s="1"/>
  <c r="AA268" i="5"/>
  <c r="AB268" i="5" s="1"/>
  <c r="Y268" i="5"/>
  <c r="Z268" i="5" s="1"/>
  <c r="W268" i="5"/>
  <c r="X268" i="5" s="1"/>
  <c r="Q268" i="5"/>
  <c r="R268" i="5" s="1"/>
  <c r="S268" i="5" s="1"/>
  <c r="T268" i="5" s="1"/>
  <c r="U268" i="5" s="1"/>
  <c r="V268" i="5" s="1"/>
  <c r="P268" i="5"/>
  <c r="AE268" i="5" s="1"/>
  <c r="AF268" i="5" s="1"/>
  <c r="O268" i="5"/>
  <c r="N268" i="5"/>
  <c r="AC267" i="5"/>
  <c r="AD267" i="5" s="1"/>
  <c r="AA267" i="5"/>
  <c r="AB267" i="5" s="1"/>
  <c r="Y267" i="5"/>
  <c r="Z267" i="5" s="1"/>
  <c r="W267" i="5"/>
  <c r="X267" i="5" s="1"/>
  <c r="Q267" i="5"/>
  <c r="R267" i="5" s="1"/>
  <c r="S267" i="5" s="1"/>
  <c r="T267" i="5" s="1"/>
  <c r="U267" i="5" s="1"/>
  <c r="V267" i="5" s="1"/>
  <c r="P267" i="5"/>
  <c r="AE267" i="5" s="1"/>
  <c r="AF267" i="5" s="1"/>
  <c r="O267" i="5"/>
  <c r="N267" i="5"/>
  <c r="AC266" i="5"/>
  <c r="AD266" i="5" s="1"/>
  <c r="AA266" i="5"/>
  <c r="AB266" i="5" s="1"/>
  <c r="Y266" i="5"/>
  <c r="Z266" i="5" s="1"/>
  <c r="W266" i="5"/>
  <c r="X266" i="5" s="1"/>
  <c r="Q266" i="5"/>
  <c r="R266" i="5" s="1"/>
  <c r="S266" i="5" s="1"/>
  <c r="T266" i="5" s="1"/>
  <c r="U266" i="5" s="1"/>
  <c r="V266" i="5" s="1"/>
  <c r="P266" i="5"/>
  <c r="AE266" i="5" s="1"/>
  <c r="AF266" i="5" s="1"/>
  <c r="O266" i="5"/>
  <c r="N266" i="5"/>
  <c r="AC265" i="5"/>
  <c r="AD265" i="5" s="1"/>
  <c r="AA265" i="5"/>
  <c r="AB265" i="5" s="1"/>
  <c r="Y265" i="5"/>
  <c r="Z265" i="5" s="1"/>
  <c r="W265" i="5"/>
  <c r="X265" i="5" s="1"/>
  <c r="Q265" i="5"/>
  <c r="R265" i="5" s="1"/>
  <c r="S265" i="5" s="1"/>
  <c r="T265" i="5" s="1"/>
  <c r="U265" i="5" s="1"/>
  <c r="V265" i="5" s="1"/>
  <c r="P265" i="5"/>
  <c r="AE265" i="5" s="1"/>
  <c r="AF265" i="5" s="1"/>
  <c r="O265" i="5"/>
  <c r="N265" i="5"/>
  <c r="AC264" i="5"/>
  <c r="AD264" i="5" s="1"/>
  <c r="AA264" i="5"/>
  <c r="AB264" i="5" s="1"/>
  <c r="Y264" i="5"/>
  <c r="Z264" i="5" s="1"/>
  <c r="W264" i="5"/>
  <c r="X264" i="5" s="1"/>
  <c r="Q264" i="5"/>
  <c r="R264" i="5" s="1"/>
  <c r="S264" i="5" s="1"/>
  <c r="T264" i="5" s="1"/>
  <c r="U264" i="5" s="1"/>
  <c r="V264" i="5" s="1"/>
  <c r="P264" i="5"/>
  <c r="AE264" i="5" s="1"/>
  <c r="AF264" i="5" s="1"/>
  <c r="O264" i="5"/>
  <c r="N264" i="5"/>
  <c r="AC263" i="5"/>
  <c r="AD263" i="5" s="1"/>
  <c r="AA263" i="5"/>
  <c r="AB263" i="5" s="1"/>
  <c r="Y263" i="5"/>
  <c r="Z263" i="5" s="1"/>
  <c r="W263" i="5"/>
  <c r="X263" i="5" s="1"/>
  <c r="Q263" i="5"/>
  <c r="R263" i="5" s="1"/>
  <c r="S263" i="5" s="1"/>
  <c r="T263" i="5" s="1"/>
  <c r="U263" i="5" s="1"/>
  <c r="V263" i="5" s="1"/>
  <c r="P263" i="5"/>
  <c r="AE263" i="5" s="1"/>
  <c r="AF263" i="5" s="1"/>
  <c r="O263" i="5"/>
  <c r="N263" i="5"/>
  <c r="AC262" i="5"/>
  <c r="AD262" i="5" s="1"/>
  <c r="AA262" i="5"/>
  <c r="AB262" i="5" s="1"/>
  <c r="Y262" i="5"/>
  <c r="Z262" i="5" s="1"/>
  <c r="W262" i="5"/>
  <c r="X262" i="5" s="1"/>
  <c r="Q262" i="5"/>
  <c r="R262" i="5" s="1"/>
  <c r="S262" i="5" s="1"/>
  <c r="T262" i="5" s="1"/>
  <c r="U262" i="5" s="1"/>
  <c r="V262" i="5" s="1"/>
  <c r="P262" i="5"/>
  <c r="AE262" i="5" s="1"/>
  <c r="AF262" i="5" s="1"/>
  <c r="O262" i="5"/>
  <c r="N262" i="5"/>
  <c r="AC261" i="5"/>
  <c r="AD261" i="5" s="1"/>
  <c r="AA261" i="5"/>
  <c r="AB261" i="5" s="1"/>
  <c r="Y261" i="5"/>
  <c r="Z261" i="5" s="1"/>
  <c r="W261" i="5"/>
  <c r="X261" i="5" s="1"/>
  <c r="Q261" i="5"/>
  <c r="R261" i="5" s="1"/>
  <c r="S261" i="5" s="1"/>
  <c r="T261" i="5" s="1"/>
  <c r="U261" i="5" s="1"/>
  <c r="V261" i="5" s="1"/>
  <c r="P261" i="5"/>
  <c r="AE261" i="5" s="1"/>
  <c r="AF261" i="5" s="1"/>
  <c r="O261" i="5"/>
  <c r="N261" i="5"/>
  <c r="AC260" i="5"/>
  <c r="AD260" i="5" s="1"/>
  <c r="AA260" i="5"/>
  <c r="AB260" i="5" s="1"/>
  <c r="Y260" i="5"/>
  <c r="Z260" i="5" s="1"/>
  <c r="W260" i="5"/>
  <c r="X260" i="5" s="1"/>
  <c r="Q260" i="5"/>
  <c r="R260" i="5" s="1"/>
  <c r="S260" i="5" s="1"/>
  <c r="T260" i="5" s="1"/>
  <c r="U260" i="5" s="1"/>
  <c r="V260" i="5" s="1"/>
  <c r="P260" i="5"/>
  <c r="AE260" i="5" s="1"/>
  <c r="AF260" i="5" s="1"/>
  <c r="O260" i="5"/>
  <c r="N260" i="5"/>
  <c r="AC259" i="5"/>
  <c r="AD259" i="5" s="1"/>
  <c r="AA259" i="5"/>
  <c r="AB259" i="5" s="1"/>
  <c r="Y259" i="5"/>
  <c r="Z259" i="5" s="1"/>
  <c r="W259" i="5"/>
  <c r="X259" i="5" s="1"/>
  <c r="Q259" i="5"/>
  <c r="R259" i="5" s="1"/>
  <c r="S259" i="5" s="1"/>
  <c r="T259" i="5" s="1"/>
  <c r="U259" i="5" s="1"/>
  <c r="V259" i="5" s="1"/>
  <c r="P259" i="5"/>
  <c r="AE259" i="5" s="1"/>
  <c r="AF259" i="5" s="1"/>
  <c r="O259" i="5"/>
  <c r="N259" i="5"/>
  <c r="AC258" i="5"/>
  <c r="AD258" i="5" s="1"/>
  <c r="AA258" i="5"/>
  <c r="AB258" i="5" s="1"/>
  <c r="Y258" i="5"/>
  <c r="Z258" i="5" s="1"/>
  <c r="W258" i="5"/>
  <c r="X258" i="5" s="1"/>
  <c r="Q258" i="5"/>
  <c r="R258" i="5" s="1"/>
  <c r="S258" i="5" s="1"/>
  <c r="T258" i="5" s="1"/>
  <c r="U258" i="5" s="1"/>
  <c r="V258" i="5" s="1"/>
  <c r="P258" i="5"/>
  <c r="AE258" i="5" s="1"/>
  <c r="AF258" i="5" s="1"/>
  <c r="O258" i="5"/>
  <c r="N258" i="5"/>
  <c r="AC257" i="5"/>
  <c r="AD257" i="5" s="1"/>
  <c r="AA257" i="5"/>
  <c r="AB257" i="5" s="1"/>
  <c r="Y257" i="5"/>
  <c r="Z257" i="5" s="1"/>
  <c r="W257" i="5"/>
  <c r="X257" i="5" s="1"/>
  <c r="Q257" i="5"/>
  <c r="R257" i="5" s="1"/>
  <c r="S257" i="5" s="1"/>
  <c r="T257" i="5" s="1"/>
  <c r="U257" i="5" s="1"/>
  <c r="V257" i="5" s="1"/>
  <c r="P257" i="5"/>
  <c r="AE257" i="5" s="1"/>
  <c r="AF257" i="5" s="1"/>
  <c r="O257" i="5"/>
  <c r="N257" i="5"/>
  <c r="AC256" i="5"/>
  <c r="AD256" i="5" s="1"/>
  <c r="AA256" i="5"/>
  <c r="AB256" i="5" s="1"/>
  <c r="Y256" i="5"/>
  <c r="Z256" i="5" s="1"/>
  <c r="W256" i="5"/>
  <c r="X256" i="5" s="1"/>
  <c r="Q256" i="5"/>
  <c r="R256" i="5" s="1"/>
  <c r="S256" i="5" s="1"/>
  <c r="T256" i="5" s="1"/>
  <c r="U256" i="5" s="1"/>
  <c r="V256" i="5" s="1"/>
  <c r="P256" i="5"/>
  <c r="AE256" i="5" s="1"/>
  <c r="AF256" i="5" s="1"/>
  <c r="O256" i="5"/>
  <c r="N256" i="5"/>
  <c r="AC255" i="5"/>
  <c r="AD255" i="5" s="1"/>
  <c r="AA255" i="5"/>
  <c r="AB255" i="5" s="1"/>
  <c r="Y255" i="5"/>
  <c r="Z255" i="5" s="1"/>
  <c r="W255" i="5"/>
  <c r="X255" i="5" s="1"/>
  <c r="Q255" i="5"/>
  <c r="R255" i="5" s="1"/>
  <c r="S255" i="5" s="1"/>
  <c r="T255" i="5" s="1"/>
  <c r="U255" i="5" s="1"/>
  <c r="V255" i="5" s="1"/>
  <c r="P255" i="5"/>
  <c r="AE255" i="5" s="1"/>
  <c r="AF255" i="5" s="1"/>
  <c r="O255" i="5"/>
  <c r="N255" i="5"/>
  <c r="AC254" i="5"/>
  <c r="AD254" i="5" s="1"/>
  <c r="AA254" i="5"/>
  <c r="AB254" i="5" s="1"/>
  <c r="Y254" i="5"/>
  <c r="Z254" i="5" s="1"/>
  <c r="W254" i="5"/>
  <c r="X254" i="5" s="1"/>
  <c r="Q254" i="5"/>
  <c r="R254" i="5" s="1"/>
  <c r="S254" i="5" s="1"/>
  <c r="T254" i="5" s="1"/>
  <c r="U254" i="5" s="1"/>
  <c r="V254" i="5" s="1"/>
  <c r="P254" i="5"/>
  <c r="AE254" i="5" s="1"/>
  <c r="AF254" i="5" s="1"/>
  <c r="O254" i="5"/>
  <c r="N254" i="5"/>
  <c r="AC253" i="5"/>
  <c r="AD253" i="5" s="1"/>
  <c r="AA253" i="5"/>
  <c r="AB253" i="5" s="1"/>
  <c r="Y253" i="5"/>
  <c r="Z253" i="5" s="1"/>
  <c r="W253" i="5"/>
  <c r="X253" i="5" s="1"/>
  <c r="Q253" i="5"/>
  <c r="R253" i="5" s="1"/>
  <c r="S253" i="5" s="1"/>
  <c r="T253" i="5" s="1"/>
  <c r="U253" i="5" s="1"/>
  <c r="V253" i="5" s="1"/>
  <c r="P253" i="5"/>
  <c r="AE253" i="5" s="1"/>
  <c r="AF253" i="5" s="1"/>
  <c r="O253" i="5"/>
  <c r="N253" i="5"/>
  <c r="AC252" i="5"/>
  <c r="AD252" i="5" s="1"/>
  <c r="AA252" i="5"/>
  <c r="AB252" i="5" s="1"/>
  <c r="Y252" i="5"/>
  <c r="Z252" i="5" s="1"/>
  <c r="W252" i="5"/>
  <c r="X252" i="5" s="1"/>
  <c r="Q252" i="5"/>
  <c r="R252" i="5" s="1"/>
  <c r="S252" i="5" s="1"/>
  <c r="T252" i="5" s="1"/>
  <c r="U252" i="5" s="1"/>
  <c r="V252" i="5" s="1"/>
  <c r="P252" i="5"/>
  <c r="AE252" i="5" s="1"/>
  <c r="AF252" i="5" s="1"/>
  <c r="O252" i="5"/>
  <c r="N252" i="5"/>
  <c r="AC251" i="5"/>
  <c r="AD251" i="5" s="1"/>
  <c r="AA251" i="5"/>
  <c r="AB251" i="5" s="1"/>
  <c r="Y251" i="5"/>
  <c r="Z251" i="5" s="1"/>
  <c r="W251" i="5"/>
  <c r="X251" i="5" s="1"/>
  <c r="Q251" i="5"/>
  <c r="R251" i="5" s="1"/>
  <c r="S251" i="5" s="1"/>
  <c r="T251" i="5" s="1"/>
  <c r="U251" i="5" s="1"/>
  <c r="V251" i="5" s="1"/>
  <c r="P251" i="5"/>
  <c r="AE251" i="5" s="1"/>
  <c r="AF251" i="5" s="1"/>
  <c r="O251" i="5"/>
  <c r="N251" i="5"/>
  <c r="AC250" i="5"/>
  <c r="AD250" i="5" s="1"/>
  <c r="AA250" i="5"/>
  <c r="AB250" i="5" s="1"/>
  <c r="Y250" i="5"/>
  <c r="Z250" i="5" s="1"/>
  <c r="W250" i="5"/>
  <c r="X250" i="5" s="1"/>
  <c r="Q250" i="5"/>
  <c r="R250" i="5" s="1"/>
  <c r="S250" i="5" s="1"/>
  <c r="T250" i="5" s="1"/>
  <c r="U250" i="5" s="1"/>
  <c r="V250" i="5" s="1"/>
  <c r="P250" i="5"/>
  <c r="AE250" i="5" s="1"/>
  <c r="AF250" i="5" s="1"/>
  <c r="O250" i="5"/>
  <c r="N250" i="5"/>
  <c r="AC249" i="5"/>
  <c r="AD249" i="5" s="1"/>
  <c r="AA249" i="5"/>
  <c r="AB249" i="5" s="1"/>
  <c r="Y249" i="5"/>
  <c r="Z249" i="5" s="1"/>
  <c r="W249" i="5"/>
  <c r="X249" i="5" s="1"/>
  <c r="Q249" i="5"/>
  <c r="R249" i="5" s="1"/>
  <c r="S249" i="5" s="1"/>
  <c r="T249" i="5" s="1"/>
  <c r="U249" i="5" s="1"/>
  <c r="V249" i="5" s="1"/>
  <c r="P249" i="5"/>
  <c r="AE249" i="5" s="1"/>
  <c r="AF249" i="5" s="1"/>
  <c r="O249" i="5"/>
  <c r="N249" i="5"/>
  <c r="AC248" i="5"/>
  <c r="AD248" i="5" s="1"/>
  <c r="AA248" i="5"/>
  <c r="AB248" i="5" s="1"/>
  <c r="Y248" i="5"/>
  <c r="Z248" i="5" s="1"/>
  <c r="W248" i="5"/>
  <c r="X248" i="5" s="1"/>
  <c r="Q248" i="5"/>
  <c r="R248" i="5" s="1"/>
  <c r="S248" i="5" s="1"/>
  <c r="T248" i="5" s="1"/>
  <c r="U248" i="5" s="1"/>
  <c r="V248" i="5" s="1"/>
  <c r="P248" i="5"/>
  <c r="AE248" i="5" s="1"/>
  <c r="AF248" i="5" s="1"/>
  <c r="O248" i="5"/>
  <c r="N248" i="5"/>
  <c r="AC247" i="5"/>
  <c r="AD247" i="5" s="1"/>
  <c r="AA247" i="5"/>
  <c r="AB247" i="5" s="1"/>
  <c r="Y247" i="5"/>
  <c r="Z247" i="5" s="1"/>
  <c r="W247" i="5"/>
  <c r="X247" i="5" s="1"/>
  <c r="Q247" i="5"/>
  <c r="R247" i="5" s="1"/>
  <c r="S247" i="5" s="1"/>
  <c r="T247" i="5" s="1"/>
  <c r="U247" i="5" s="1"/>
  <c r="V247" i="5" s="1"/>
  <c r="P247" i="5"/>
  <c r="AE247" i="5" s="1"/>
  <c r="AF247" i="5" s="1"/>
  <c r="O247" i="5"/>
  <c r="N247" i="5"/>
  <c r="AC246" i="5"/>
  <c r="AD246" i="5" s="1"/>
  <c r="AA246" i="5"/>
  <c r="AB246" i="5" s="1"/>
  <c r="Y246" i="5"/>
  <c r="Z246" i="5" s="1"/>
  <c r="W246" i="5"/>
  <c r="X246" i="5" s="1"/>
  <c r="Q246" i="5"/>
  <c r="R246" i="5" s="1"/>
  <c r="S246" i="5" s="1"/>
  <c r="T246" i="5" s="1"/>
  <c r="U246" i="5" s="1"/>
  <c r="V246" i="5" s="1"/>
  <c r="P246" i="5"/>
  <c r="AE246" i="5" s="1"/>
  <c r="AF246" i="5" s="1"/>
  <c r="O246" i="5"/>
  <c r="N246" i="5"/>
  <c r="AC245" i="5"/>
  <c r="AD245" i="5" s="1"/>
  <c r="AA245" i="5"/>
  <c r="AB245" i="5" s="1"/>
  <c r="Y245" i="5"/>
  <c r="Z245" i="5" s="1"/>
  <c r="W245" i="5"/>
  <c r="X245" i="5" s="1"/>
  <c r="Q245" i="5"/>
  <c r="R245" i="5" s="1"/>
  <c r="S245" i="5" s="1"/>
  <c r="T245" i="5" s="1"/>
  <c r="U245" i="5" s="1"/>
  <c r="V245" i="5" s="1"/>
  <c r="P245" i="5"/>
  <c r="AE245" i="5" s="1"/>
  <c r="AF245" i="5" s="1"/>
  <c r="O245" i="5"/>
  <c r="N245" i="5"/>
  <c r="AC244" i="5"/>
  <c r="AD244" i="5" s="1"/>
  <c r="AA244" i="5"/>
  <c r="AB244" i="5" s="1"/>
  <c r="Y244" i="5"/>
  <c r="Z244" i="5" s="1"/>
  <c r="W244" i="5"/>
  <c r="X244" i="5" s="1"/>
  <c r="Q244" i="5"/>
  <c r="R244" i="5" s="1"/>
  <c r="S244" i="5" s="1"/>
  <c r="T244" i="5" s="1"/>
  <c r="U244" i="5" s="1"/>
  <c r="V244" i="5" s="1"/>
  <c r="P244" i="5"/>
  <c r="AE244" i="5" s="1"/>
  <c r="AF244" i="5" s="1"/>
  <c r="O244" i="5"/>
  <c r="N244" i="5"/>
  <c r="AC243" i="5"/>
  <c r="AD243" i="5" s="1"/>
  <c r="AA243" i="5"/>
  <c r="AB243" i="5" s="1"/>
  <c r="Y243" i="5"/>
  <c r="Z243" i="5" s="1"/>
  <c r="W243" i="5"/>
  <c r="X243" i="5" s="1"/>
  <c r="Q243" i="5"/>
  <c r="R243" i="5" s="1"/>
  <c r="S243" i="5" s="1"/>
  <c r="T243" i="5" s="1"/>
  <c r="U243" i="5" s="1"/>
  <c r="V243" i="5" s="1"/>
  <c r="P243" i="5"/>
  <c r="AE243" i="5" s="1"/>
  <c r="AF243" i="5" s="1"/>
  <c r="O243" i="5"/>
  <c r="N243" i="5"/>
  <c r="AC242" i="5"/>
  <c r="AD242" i="5" s="1"/>
  <c r="AA242" i="5"/>
  <c r="AB242" i="5" s="1"/>
  <c r="Y242" i="5"/>
  <c r="Z242" i="5" s="1"/>
  <c r="W242" i="5"/>
  <c r="X242" i="5" s="1"/>
  <c r="Q242" i="5"/>
  <c r="R242" i="5" s="1"/>
  <c r="S242" i="5" s="1"/>
  <c r="T242" i="5" s="1"/>
  <c r="U242" i="5" s="1"/>
  <c r="V242" i="5" s="1"/>
  <c r="P242" i="5"/>
  <c r="AE242" i="5" s="1"/>
  <c r="AF242" i="5" s="1"/>
  <c r="O242" i="5"/>
  <c r="N242" i="5"/>
  <c r="AC241" i="5"/>
  <c r="AD241" i="5" s="1"/>
  <c r="AA241" i="5"/>
  <c r="AB241" i="5" s="1"/>
  <c r="Y241" i="5"/>
  <c r="Z241" i="5" s="1"/>
  <c r="W241" i="5"/>
  <c r="X241" i="5" s="1"/>
  <c r="Q241" i="5"/>
  <c r="R241" i="5" s="1"/>
  <c r="S241" i="5" s="1"/>
  <c r="T241" i="5" s="1"/>
  <c r="U241" i="5" s="1"/>
  <c r="V241" i="5" s="1"/>
  <c r="P241" i="5"/>
  <c r="AE241" i="5" s="1"/>
  <c r="AF241" i="5" s="1"/>
  <c r="O241" i="5"/>
  <c r="N241" i="5"/>
  <c r="AC240" i="5"/>
  <c r="AD240" i="5" s="1"/>
  <c r="AA240" i="5"/>
  <c r="AB240" i="5" s="1"/>
  <c r="Y240" i="5"/>
  <c r="Z240" i="5" s="1"/>
  <c r="W240" i="5"/>
  <c r="X240" i="5" s="1"/>
  <c r="Q240" i="5"/>
  <c r="R240" i="5" s="1"/>
  <c r="S240" i="5" s="1"/>
  <c r="T240" i="5" s="1"/>
  <c r="U240" i="5" s="1"/>
  <c r="V240" i="5" s="1"/>
  <c r="P240" i="5"/>
  <c r="AE240" i="5" s="1"/>
  <c r="AF240" i="5" s="1"/>
  <c r="O240" i="5"/>
  <c r="N240" i="5"/>
  <c r="AC239" i="5"/>
  <c r="AD239" i="5" s="1"/>
  <c r="AA239" i="5"/>
  <c r="AB239" i="5" s="1"/>
  <c r="Y239" i="5"/>
  <c r="Z239" i="5" s="1"/>
  <c r="W239" i="5"/>
  <c r="X239" i="5" s="1"/>
  <c r="Q239" i="5"/>
  <c r="R239" i="5" s="1"/>
  <c r="S239" i="5" s="1"/>
  <c r="T239" i="5" s="1"/>
  <c r="U239" i="5" s="1"/>
  <c r="V239" i="5" s="1"/>
  <c r="P239" i="5"/>
  <c r="AE239" i="5" s="1"/>
  <c r="AF239" i="5" s="1"/>
  <c r="O239" i="5"/>
  <c r="N239" i="5"/>
  <c r="AC238" i="5"/>
  <c r="AD238" i="5" s="1"/>
  <c r="AA238" i="5"/>
  <c r="AB238" i="5" s="1"/>
  <c r="Y238" i="5"/>
  <c r="Z238" i="5" s="1"/>
  <c r="W238" i="5"/>
  <c r="X238" i="5" s="1"/>
  <c r="Q238" i="5"/>
  <c r="R238" i="5" s="1"/>
  <c r="S238" i="5" s="1"/>
  <c r="T238" i="5" s="1"/>
  <c r="U238" i="5" s="1"/>
  <c r="V238" i="5" s="1"/>
  <c r="P238" i="5"/>
  <c r="AE238" i="5" s="1"/>
  <c r="AF238" i="5" s="1"/>
  <c r="O238" i="5"/>
  <c r="N238" i="5"/>
  <c r="AC237" i="5"/>
  <c r="AD237" i="5" s="1"/>
  <c r="AA237" i="5"/>
  <c r="AB237" i="5" s="1"/>
  <c r="Y237" i="5"/>
  <c r="Z237" i="5" s="1"/>
  <c r="W237" i="5"/>
  <c r="X237" i="5" s="1"/>
  <c r="Q237" i="5"/>
  <c r="R237" i="5" s="1"/>
  <c r="S237" i="5" s="1"/>
  <c r="T237" i="5" s="1"/>
  <c r="U237" i="5" s="1"/>
  <c r="V237" i="5" s="1"/>
  <c r="P237" i="5"/>
  <c r="AE237" i="5" s="1"/>
  <c r="AF237" i="5" s="1"/>
  <c r="O237" i="5"/>
  <c r="N237" i="5"/>
  <c r="AC236" i="5"/>
  <c r="AD236" i="5" s="1"/>
  <c r="AA236" i="5"/>
  <c r="AB236" i="5" s="1"/>
  <c r="Y236" i="5"/>
  <c r="Z236" i="5" s="1"/>
  <c r="W236" i="5"/>
  <c r="X236" i="5" s="1"/>
  <c r="Q236" i="5"/>
  <c r="R236" i="5" s="1"/>
  <c r="S236" i="5" s="1"/>
  <c r="T236" i="5" s="1"/>
  <c r="U236" i="5" s="1"/>
  <c r="V236" i="5" s="1"/>
  <c r="P236" i="5"/>
  <c r="AE236" i="5" s="1"/>
  <c r="AF236" i="5" s="1"/>
  <c r="O236" i="5"/>
  <c r="N236" i="5"/>
  <c r="AC235" i="5"/>
  <c r="AD235" i="5" s="1"/>
  <c r="AA235" i="5"/>
  <c r="AB235" i="5" s="1"/>
  <c r="Y235" i="5"/>
  <c r="Z235" i="5" s="1"/>
  <c r="W235" i="5"/>
  <c r="X235" i="5" s="1"/>
  <c r="Q235" i="5"/>
  <c r="R235" i="5" s="1"/>
  <c r="S235" i="5" s="1"/>
  <c r="T235" i="5" s="1"/>
  <c r="U235" i="5" s="1"/>
  <c r="V235" i="5" s="1"/>
  <c r="P235" i="5"/>
  <c r="AE235" i="5" s="1"/>
  <c r="AF235" i="5" s="1"/>
  <c r="O235" i="5"/>
  <c r="N235" i="5"/>
  <c r="AC234" i="5"/>
  <c r="AD234" i="5" s="1"/>
  <c r="AA234" i="5"/>
  <c r="AB234" i="5" s="1"/>
  <c r="Y234" i="5"/>
  <c r="Z234" i="5" s="1"/>
  <c r="W234" i="5"/>
  <c r="X234" i="5" s="1"/>
  <c r="Q234" i="5"/>
  <c r="R234" i="5" s="1"/>
  <c r="S234" i="5" s="1"/>
  <c r="T234" i="5" s="1"/>
  <c r="U234" i="5" s="1"/>
  <c r="V234" i="5" s="1"/>
  <c r="P234" i="5"/>
  <c r="AE234" i="5" s="1"/>
  <c r="AF234" i="5" s="1"/>
  <c r="O234" i="5"/>
  <c r="N234" i="5"/>
  <c r="AC233" i="5"/>
  <c r="AD233" i="5" s="1"/>
  <c r="AA233" i="5"/>
  <c r="AB233" i="5" s="1"/>
  <c r="Y233" i="5"/>
  <c r="Z233" i="5" s="1"/>
  <c r="W233" i="5"/>
  <c r="X233" i="5" s="1"/>
  <c r="Q233" i="5"/>
  <c r="R233" i="5" s="1"/>
  <c r="S233" i="5" s="1"/>
  <c r="T233" i="5" s="1"/>
  <c r="U233" i="5" s="1"/>
  <c r="V233" i="5" s="1"/>
  <c r="P233" i="5"/>
  <c r="AE233" i="5" s="1"/>
  <c r="AF233" i="5" s="1"/>
  <c r="O233" i="5"/>
  <c r="N233" i="5"/>
  <c r="AC232" i="5"/>
  <c r="AD232" i="5" s="1"/>
  <c r="AA232" i="5"/>
  <c r="AB232" i="5" s="1"/>
  <c r="Y232" i="5"/>
  <c r="Z232" i="5" s="1"/>
  <c r="W232" i="5"/>
  <c r="X232" i="5" s="1"/>
  <c r="Q232" i="5"/>
  <c r="R232" i="5" s="1"/>
  <c r="S232" i="5" s="1"/>
  <c r="T232" i="5" s="1"/>
  <c r="U232" i="5" s="1"/>
  <c r="V232" i="5" s="1"/>
  <c r="P232" i="5"/>
  <c r="AE232" i="5" s="1"/>
  <c r="AF232" i="5" s="1"/>
  <c r="O232" i="5"/>
  <c r="N232" i="5"/>
  <c r="AC231" i="5"/>
  <c r="AD231" i="5" s="1"/>
  <c r="AA231" i="5"/>
  <c r="AB231" i="5" s="1"/>
  <c r="Y231" i="5"/>
  <c r="Z231" i="5" s="1"/>
  <c r="W231" i="5"/>
  <c r="X231" i="5" s="1"/>
  <c r="Q231" i="5"/>
  <c r="R231" i="5" s="1"/>
  <c r="S231" i="5" s="1"/>
  <c r="T231" i="5" s="1"/>
  <c r="U231" i="5" s="1"/>
  <c r="V231" i="5" s="1"/>
  <c r="P231" i="5"/>
  <c r="AE231" i="5" s="1"/>
  <c r="AF231" i="5" s="1"/>
  <c r="O231" i="5"/>
  <c r="N231" i="5"/>
  <c r="AC230" i="5"/>
  <c r="AD230" i="5" s="1"/>
  <c r="AA230" i="5"/>
  <c r="AB230" i="5" s="1"/>
  <c r="Y230" i="5"/>
  <c r="Z230" i="5" s="1"/>
  <c r="W230" i="5"/>
  <c r="X230" i="5" s="1"/>
  <c r="Q230" i="5"/>
  <c r="R230" i="5" s="1"/>
  <c r="S230" i="5" s="1"/>
  <c r="T230" i="5" s="1"/>
  <c r="U230" i="5" s="1"/>
  <c r="V230" i="5" s="1"/>
  <c r="P230" i="5"/>
  <c r="AE230" i="5" s="1"/>
  <c r="AF230" i="5" s="1"/>
  <c r="O230" i="5"/>
  <c r="N230" i="5"/>
  <c r="AC229" i="5"/>
  <c r="AD229" i="5" s="1"/>
  <c r="AA229" i="5"/>
  <c r="AB229" i="5" s="1"/>
  <c r="Y229" i="5"/>
  <c r="Z229" i="5" s="1"/>
  <c r="W229" i="5"/>
  <c r="X229" i="5" s="1"/>
  <c r="Q229" i="5"/>
  <c r="R229" i="5" s="1"/>
  <c r="S229" i="5" s="1"/>
  <c r="T229" i="5" s="1"/>
  <c r="U229" i="5" s="1"/>
  <c r="V229" i="5" s="1"/>
  <c r="P229" i="5"/>
  <c r="AE229" i="5" s="1"/>
  <c r="AF229" i="5" s="1"/>
  <c r="O229" i="5"/>
  <c r="N229" i="5"/>
  <c r="AC228" i="5"/>
  <c r="AD228" i="5" s="1"/>
  <c r="AA228" i="5"/>
  <c r="AB228" i="5" s="1"/>
  <c r="Y228" i="5"/>
  <c r="Z228" i="5" s="1"/>
  <c r="W228" i="5"/>
  <c r="X228" i="5" s="1"/>
  <c r="Q228" i="5"/>
  <c r="R228" i="5" s="1"/>
  <c r="S228" i="5" s="1"/>
  <c r="T228" i="5" s="1"/>
  <c r="U228" i="5" s="1"/>
  <c r="V228" i="5" s="1"/>
  <c r="P228" i="5"/>
  <c r="AE228" i="5" s="1"/>
  <c r="AF228" i="5" s="1"/>
  <c r="O228" i="5"/>
  <c r="N228" i="5"/>
  <c r="AC227" i="5"/>
  <c r="AD227" i="5" s="1"/>
  <c r="AA227" i="5"/>
  <c r="AB227" i="5" s="1"/>
  <c r="Y227" i="5"/>
  <c r="Z227" i="5" s="1"/>
  <c r="W227" i="5"/>
  <c r="X227" i="5" s="1"/>
  <c r="Q227" i="5"/>
  <c r="R227" i="5" s="1"/>
  <c r="S227" i="5" s="1"/>
  <c r="T227" i="5" s="1"/>
  <c r="U227" i="5" s="1"/>
  <c r="V227" i="5" s="1"/>
  <c r="P227" i="5"/>
  <c r="AE227" i="5" s="1"/>
  <c r="AF227" i="5" s="1"/>
  <c r="O227" i="5"/>
  <c r="N227" i="5"/>
  <c r="AC226" i="5"/>
  <c r="AD226" i="5" s="1"/>
  <c r="AA226" i="5"/>
  <c r="AB226" i="5" s="1"/>
  <c r="Y226" i="5"/>
  <c r="Z226" i="5" s="1"/>
  <c r="W226" i="5"/>
  <c r="X226" i="5" s="1"/>
  <c r="Q226" i="5"/>
  <c r="R226" i="5" s="1"/>
  <c r="S226" i="5" s="1"/>
  <c r="T226" i="5" s="1"/>
  <c r="U226" i="5" s="1"/>
  <c r="V226" i="5" s="1"/>
  <c r="P226" i="5"/>
  <c r="AE226" i="5" s="1"/>
  <c r="AF226" i="5" s="1"/>
  <c r="O226" i="5"/>
  <c r="N226" i="5"/>
  <c r="AC225" i="5"/>
  <c r="AD225" i="5" s="1"/>
  <c r="AA225" i="5"/>
  <c r="AB225" i="5" s="1"/>
  <c r="Y225" i="5"/>
  <c r="Z225" i="5" s="1"/>
  <c r="W225" i="5"/>
  <c r="X225" i="5" s="1"/>
  <c r="Q225" i="5"/>
  <c r="R225" i="5" s="1"/>
  <c r="S225" i="5" s="1"/>
  <c r="T225" i="5" s="1"/>
  <c r="U225" i="5" s="1"/>
  <c r="V225" i="5" s="1"/>
  <c r="P225" i="5"/>
  <c r="AE225" i="5" s="1"/>
  <c r="AF225" i="5" s="1"/>
  <c r="O225" i="5"/>
  <c r="N225" i="5"/>
  <c r="AC224" i="5"/>
  <c r="AD224" i="5" s="1"/>
  <c r="AA224" i="5"/>
  <c r="AB224" i="5" s="1"/>
  <c r="Y224" i="5"/>
  <c r="Z224" i="5" s="1"/>
  <c r="W224" i="5"/>
  <c r="X224" i="5" s="1"/>
  <c r="Q224" i="5"/>
  <c r="R224" i="5" s="1"/>
  <c r="S224" i="5" s="1"/>
  <c r="T224" i="5" s="1"/>
  <c r="U224" i="5" s="1"/>
  <c r="V224" i="5" s="1"/>
  <c r="P224" i="5"/>
  <c r="AE224" i="5" s="1"/>
  <c r="AF224" i="5" s="1"/>
  <c r="O224" i="5"/>
  <c r="N224" i="5"/>
  <c r="AC223" i="5"/>
  <c r="AD223" i="5" s="1"/>
  <c r="AA223" i="5"/>
  <c r="AB223" i="5" s="1"/>
  <c r="Y223" i="5"/>
  <c r="Z223" i="5" s="1"/>
  <c r="W223" i="5"/>
  <c r="X223" i="5" s="1"/>
  <c r="Q223" i="5"/>
  <c r="R223" i="5" s="1"/>
  <c r="S223" i="5" s="1"/>
  <c r="T223" i="5" s="1"/>
  <c r="U223" i="5" s="1"/>
  <c r="V223" i="5" s="1"/>
  <c r="P223" i="5"/>
  <c r="AE223" i="5" s="1"/>
  <c r="AF223" i="5" s="1"/>
  <c r="O223" i="5"/>
  <c r="N223" i="5"/>
  <c r="AC222" i="5"/>
  <c r="AD222" i="5" s="1"/>
  <c r="AA222" i="5"/>
  <c r="AB222" i="5" s="1"/>
  <c r="Y222" i="5"/>
  <c r="Z222" i="5" s="1"/>
  <c r="W222" i="5"/>
  <c r="X222" i="5" s="1"/>
  <c r="Q222" i="5"/>
  <c r="R222" i="5" s="1"/>
  <c r="S222" i="5" s="1"/>
  <c r="T222" i="5" s="1"/>
  <c r="U222" i="5" s="1"/>
  <c r="V222" i="5" s="1"/>
  <c r="P222" i="5"/>
  <c r="AE222" i="5" s="1"/>
  <c r="AF222" i="5" s="1"/>
  <c r="O222" i="5"/>
  <c r="N222" i="5"/>
  <c r="AC221" i="5"/>
  <c r="AD221" i="5" s="1"/>
  <c r="AA221" i="5"/>
  <c r="AB221" i="5" s="1"/>
  <c r="Y221" i="5"/>
  <c r="Z221" i="5" s="1"/>
  <c r="W221" i="5"/>
  <c r="X221" i="5" s="1"/>
  <c r="Q221" i="5"/>
  <c r="R221" i="5" s="1"/>
  <c r="S221" i="5" s="1"/>
  <c r="T221" i="5" s="1"/>
  <c r="U221" i="5" s="1"/>
  <c r="V221" i="5" s="1"/>
  <c r="P221" i="5"/>
  <c r="AE221" i="5" s="1"/>
  <c r="AF221" i="5" s="1"/>
  <c r="O221" i="5"/>
  <c r="N221" i="5"/>
  <c r="AC220" i="5"/>
  <c r="AD220" i="5" s="1"/>
  <c r="AA220" i="5"/>
  <c r="AB220" i="5" s="1"/>
  <c r="Y220" i="5"/>
  <c r="Z220" i="5" s="1"/>
  <c r="W220" i="5"/>
  <c r="X220" i="5" s="1"/>
  <c r="Q220" i="5"/>
  <c r="R220" i="5" s="1"/>
  <c r="S220" i="5" s="1"/>
  <c r="T220" i="5" s="1"/>
  <c r="U220" i="5" s="1"/>
  <c r="V220" i="5" s="1"/>
  <c r="P220" i="5"/>
  <c r="AE220" i="5" s="1"/>
  <c r="AF220" i="5" s="1"/>
  <c r="O220" i="5"/>
  <c r="N220" i="5"/>
  <c r="AC219" i="5"/>
  <c r="AD219" i="5" s="1"/>
  <c r="AA219" i="5"/>
  <c r="AB219" i="5" s="1"/>
  <c r="Y219" i="5"/>
  <c r="Z219" i="5" s="1"/>
  <c r="W219" i="5"/>
  <c r="X219" i="5" s="1"/>
  <c r="Q219" i="5"/>
  <c r="R219" i="5" s="1"/>
  <c r="S219" i="5" s="1"/>
  <c r="T219" i="5" s="1"/>
  <c r="U219" i="5" s="1"/>
  <c r="V219" i="5" s="1"/>
  <c r="P219" i="5"/>
  <c r="AE219" i="5" s="1"/>
  <c r="AF219" i="5" s="1"/>
  <c r="O219" i="5"/>
  <c r="N219" i="5"/>
  <c r="AC218" i="5"/>
  <c r="AD218" i="5" s="1"/>
  <c r="AA218" i="5"/>
  <c r="AB218" i="5" s="1"/>
  <c r="Y218" i="5"/>
  <c r="Z218" i="5" s="1"/>
  <c r="W218" i="5"/>
  <c r="X218" i="5" s="1"/>
  <c r="Q218" i="5"/>
  <c r="R218" i="5" s="1"/>
  <c r="S218" i="5" s="1"/>
  <c r="T218" i="5" s="1"/>
  <c r="U218" i="5" s="1"/>
  <c r="V218" i="5" s="1"/>
  <c r="P218" i="5"/>
  <c r="AE218" i="5" s="1"/>
  <c r="AF218" i="5" s="1"/>
  <c r="O218" i="5"/>
  <c r="N218" i="5"/>
  <c r="AC217" i="5"/>
  <c r="AD217" i="5" s="1"/>
  <c r="AA217" i="5"/>
  <c r="AB217" i="5" s="1"/>
  <c r="Y217" i="5"/>
  <c r="Z217" i="5" s="1"/>
  <c r="W217" i="5"/>
  <c r="X217" i="5" s="1"/>
  <c r="Q217" i="5"/>
  <c r="R217" i="5" s="1"/>
  <c r="S217" i="5" s="1"/>
  <c r="T217" i="5" s="1"/>
  <c r="U217" i="5" s="1"/>
  <c r="V217" i="5" s="1"/>
  <c r="P217" i="5"/>
  <c r="AE217" i="5" s="1"/>
  <c r="AF217" i="5" s="1"/>
  <c r="O217" i="5"/>
  <c r="N217" i="5"/>
  <c r="AC216" i="5"/>
  <c r="AD216" i="5" s="1"/>
  <c r="AA216" i="5"/>
  <c r="AB216" i="5" s="1"/>
  <c r="Y216" i="5"/>
  <c r="Z216" i="5" s="1"/>
  <c r="W216" i="5"/>
  <c r="X216" i="5" s="1"/>
  <c r="Q216" i="5"/>
  <c r="R216" i="5" s="1"/>
  <c r="S216" i="5" s="1"/>
  <c r="T216" i="5" s="1"/>
  <c r="U216" i="5" s="1"/>
  <c r="V216" i="5" s="1"/>
  <c r="P216" i="5"/>
  <c r="AE216" i="5" s="1"/>
  <c r="AF216" i="5" s="1"/>
  <c r="O216" i="5"/>
  <c r="N216" i="5"/>
  <c r="AC215" i="5"/>
  <c r="AD215" i="5" s="1"/>
  <c r="AA215" i="5"/>
  <c r="AB215" i="5" s="1"/>
  <c r="Y215" i="5"/>
  <c r="Z215" i="5" s="1"/>
  <c r="W215" i="5"/>
  <c r="X215" i="5" s="1"/>
  <c r="Q215" i="5"/>
  <c r="R215" i="5" s="1"/>
  <c r="S215" i="5" s="1"/>
  <c r="T215" i="5" s="1"/>
  <c r="U215" i="5" s="1"/>
  <c r="V215" i="5" s="1"/>
  <c r="P215" i="5"/>
  <c r="AE215" i="5" s="1"/>
  <c r="AF215" i="5" s="1"/>
  <c r="O215" i="5"/>
  <c r="N215" i="5"/>
  <c r="AC214" i="5"/>
  <c r="AD214" i="5" s="1"/>
  <c r="AA214" i="5"/>
  <c r="AB214" i="5" s="1"/>
  <c r="Y214" i="5"/>
  <c r="Z214" i="5" s="1"/>
  <c r="W214" i="5"/>
  <c r="X214" i="5" s="1"/>
  <c r="Q214" i="5"/>
  <c r="R214" i="5" s="1"/>
  <c r="S214" i="5" s="1"/>
  <c r="T214" i="5" s="1"/>
  <c r="U214" i="5" s="1"/>
  <c r="V214" i="5" s="1"/>
  <c r="P214" i="5"/>
  <c r="AE214" i="5" s="1"/>
  <c r="AF214" i="5" s="1"/>
  <c r="O214" i="5"/>
  <c r="N214" i="5"/>
  <c r="AC213" i="5"/>
  <c r="AD213" i="5" s="1"/>
  <c r="AA213" i="5"/>
  <c r="AB213" i="5" s="1"/>
  <c r="Y213" i="5"/>
  <c r="Z213" i="5" s="1"/>
  <c r="W213" i="5"/>
  <c r="X213" i="5" s="1"/>
  <c r="Q213" i="5"/>
  <c r="R213" i="5" s="1"/>
  <c r="S213" i="5" s="1"/>
  <c r="T213" i="5" s="1"/>
  <c r="U213" i="5" s="1"/>
  <c r="V213" i="5" s="1"/>
  <c r="P213" i="5"/>
  <c r="AE213" i="5" s="1"/>
  <c r="AF213" i="5" s="1"/>
  <c r="O213" i="5"/>
  <c r="N213" i="5"/>
  <c r="AC212" i="5"/>
  <c r="AD212" i="5" s="1"/>
  <c r="AA212" i="5"/>
  <c r="AB212" i="5" s="1"/>
  <c r="Y212" i="5"/>
  <c r="Z212" i="5" s="1"/>
  <c r="W212" i="5"/>
  <c r="X212" i="5" s="1"/>
  <c r="Q212" i="5"/>
  <c r="R212" i="5" s="1"/>
  <c r="S212" i="5" s="1"/>
  <c r="T212" i="5" s="1"/>
  <c r="U212" i="5" s="1"/>
  <c r="V212" i="5" s="1"/>
  <c r="P212" i="5"/>
  <c r="AE212" i="5" s="1"/>
  <c r="AF212" i="5" s="1"/>
  <c r="O212" i="5"/>
  <c r="N212" i="5"/>
  <c r="AC211" i="5"/>
  <c r="AD211" i="5" s="1"/>
  <c r="AA211" i="5"/>
  <c r="AB211" i="5" s="1"/>
  <c r="Y211" i="5"/>
  <c r="Z211" i="5" s="1"/>
  <c r="W211" i="5"/>
  <c r="X211" i="5" s="1"/>
  <c r="Q211" i="5"/>
  <c r="R211" i="5" s="1"/>
  <c r="S211" i="5" s="1"/>
  <c r="T211" i="5" s="1"/>
  <c r="U211" i="5" s="1"/>
  <c r="V211" i="5" s="1"/>
  <c r="P211" i="5"/>
  <c r="AE211" i="5" s="1"/>
  <c r="AF211" i="5" s="1"/>
  <c r="O211" i="5"/>
  <c r="N211" i="5"/>
  <c r="AC210" i="5"/>
  <c r="AD210" i="5" s="1"/>
  <c r="AA210" i="5"/>
  <c r="AB210" i="5" s="1"/>
  <c r="Y210" i="5"/>
  <c r="Z210" i="5" s="1"/>
  <c r="W210" i="5"/>
  <c r="X210" i="5" s="1"/>
  <c r="Q210" i="5"/>
  <c r="R210" i="5" s="1"/>
  <c r="S210" i="5" s="1"/>
  <c r="T210" i="5" s="1"/>
  <c r="U210" i="5" s="1"/>
  <c r="V210" i="5" s="1"/>
  <c r="P210" i="5"/>
  <c r="AE210" i="5" s="1"/>
  <c r="AF210" i="5" s="1"/>
  <c r="O210" i="5"/>
  <c r="N210" i="5"/>
  <c r="AC209" i="5"/>
  <c r="AD209" i="5" s="1"/>
  <c r="AA209" i="5"/>
  <c r="AB209" i="5" s="1"/>
  <c r="Y209" i="5"/>
  <c r="Z209" i="5" s="1"/>
  <c r="W209" i="5"/>
  <c r="X209" i="5" s="1"/>
  <c r="Q209" i="5"/>
  <c r="R209" i="5" s="1"/>
  <c r="S209" i="5" s="1"/>
  <c r="T209" i="5" s="1"/>
  <c r="U209" i="5" s="1"/>
  <c r="V209" i="5" s="1"/>
  <c r="P209" i="5"/>
  <c r="AE209" i="5" s="1"/>
  <c r="AF209" i="5" s="1"/>
  <c r="O209" i="5"/>
  <c r="N209" i="5"/>
  <c r="AC208" i="5"/>
  <c r="AD208" i="5" s="1"/>
  <c r="AA208" i="5"/>
  <c r="AB208" i="5" s="1"/>
  <c r="Y208" i="5"/>
  <c r="Z208" i="5" s="1"/>
  <c r="W208" i="5"/>
  <c r="X208" i="5" s="1"/>
  <c r="Q208" i="5"/>
  <c r="R208" i="5" s="1"/>
  <c r="S208" i="5" s="1"/>
  <c r="T208" i="5" s="1"/>
  <c r="U208" i="5" s="1"/>
  <c r="V208" i="5" s="1"/>
  <c r="P208" i="5"/>
  <c r="AE208" i="5" s="1"/>
  <c r="AF208" i="5" s="1"/>
  <c r="O208" i="5"/>
  <c r="N208" i="5"/>
  <c r="AC207" i="5"/>
  <c r="AD207" i="5" s="1"/>
  <c r="AA207" i="5"/>
  <c r="AB207" i="5" s="1"/>
  <c r="Y207" i="5"/>
  <c r="Z207" i="5" s="1"/>
  <c r="W207" i="5"/>
  <c r="X207" i="5" s="1"/>
  <c r="Q207" i="5"/>
  <c r="R207" i="5" s="1"/>
  <c r="S207" i="5" s="1"/>
  <c r="T207" i="5" s="1"/>
  <c r="U207" i="5" s="1"/>
  <c r="V207" i="5" s="1"/>
  <c r="P207" i="5"/>
  <c r="AE207" i="5" s="1"/>
  <c r="AF207" i="5" s="1"/>
  <c r="O207" i="5"/>
  <c r="N207" i="5"/>
  <c r="AC206" i="5"/>
  <c r="AD206" i="5" s="1"/>
  <c r="AA206" i="5"/>
  <c r="AB206" i="5" s="1"/>
  <c r="Y206" i="5"/>
  <c r="Z206" i="5" s="1"/>
  <c r="W206" i="5"/>
  <c r="X206" i="5" s="1"/>
  <c r="Q206" i="5"/>
  <c r="R206" i="5" s="1"/>
  <c r="S206" i="5" s="1"/>
  <c r="T206" i="5" s="1"/>
  <c r="U206" i="5" s="1"/>
  <c r="V206" i="5" s="1"/>
  <c r="P206" i="5"/>
  <c r="AE206" i="5" s="1"/>
  <c r="AF206" i="5" s="1"/>
  <c r="O206" i="5"/>
  <c r="N206" i="5"/>
  <c r="AC205" i="5"/>
  <c r="AD205" i="5" s="1"/>
  <c r="AA205" i="5"/>
  <c r="AB205" i="5" s="1"/>
  <c r="Y205" i="5"/>
  <c r="Z205" i="5" s="1"/>
  <c r="W205" i="5"/>
  <c r="X205" i="5" s="1"/>
  <c r="Q205" i="5"/>
  <c r="R205" i="5" s="1"/>
  <c r="S205" i="5" s="1"/>
  <c r="T205" i="5" s="1"/>
  <c r="U205" i="5" s="1"/>
  <c r="V205" i="5" s="1"/>
  <c r="P205" i="5"/>
  <c r="AE205" i="5" s="1"/>
  <c r="AF205" i="5" s="1"/>
  <c r="O205" i="5"/>
  <c r="N205" i="5"/>
  <c r="AC204" i="5"/>
  <c r="AD204" i="5" s="1"/>
  <c r="AA204" i="5"/>
  <c r="AB204" i="5" s="1"/>
  <c r="Y204" i="5"/>
  <c r="Z204" i="5" s="1"/>
  <c r="W204" i="5"/>
  <c r="X204" i="5" s="1"/>
  <c r="Q204" i="5"/>
  <c r="R204" i="5" s="1"/>
  <c r="S204" i="5" s="1"/>
  <c r="T204" i="5" s="1"/>
  <c r="U204" i="5" s="1"/>
  <c r="V204" i="5" s="1"/>
  <c r="P204" i="5"/>
  <c r="AE204" i="5" s="1"/>
  <c r="AF204" i="5" s="1"/>
  <c r="O204" i="5"/>
  <c r="N204" i="5"/>
  <c r="AC203" i="5"/>
  <c r="AD203" i="5" s="1"/>
  <c r="AA203" i="5"/>
  <c r="AB203" i="5" s="1"/>
  <c r="Y203" i="5"/>
  <c r="Z203" i="5" s="1"/>
  <c r="W203" i="5"/>
  <c r="X203" i="5" s="1"/>
  <c r="Q203" i="5"/>
  <c r="R203" i="5" s="1"/>
  <c r="S203" i="5" s="1"/>
  <c r="T203" i="5" s="1"/>
  <c r="U203" i="5" s="1"/>
  <c r="V203" i="5" s="1"/>
  <c r="P203" i="5"/>
  <c r="AE203" i="5" s="1"/>
  <c r="AF203" i="5" s="1"/>
  <c r="O203" i="5"/>
  <c r="N203" i="5"/>
  <c r="AC202" i="5"/>
  <c r="AD202" i="5" s="1"/>
  <c r="AA202" i="5"/>
  <c r="AB202" i="5" s="1"/>
  <c r="Y202" i="5"/>
  <c r="Z202" i="5" s="1"/>
  <c r="W202" i="5"/>
  <c r="X202" i="5" s="1"/>
  <c r="Q202" i="5"/>
  <c r="R202" i="5" s="1"/>
  <c r="S202" i="5" s="1"/>
  <c r="T202" i="5" s="1"/>
  <c r="U202" i="5" s="1"/>
  <c r="V202" i="5" s="1"/>
  <c r="P202" i="5"/>
  <c r="AE202" i="5" s="1"/>
  <c r="AF202" i="5" s="1"/>
  <c r="O202" i="5"/>
  <c r="N202" i="5"/>
  <c r="AC201" i="5"/>
  <c r="AD201" i="5" s="1"/>
  <c r="AA201" i="5"/>
  <c r="AB201" i="5" s="1"/>
  <c r="Y201" i="5"/>
  <c r="Z201" i="5" s="1"/>
  <c r="W201" i="5"/>
  <c r="X201" i="5" s="1"/>
  <c r="Q201" i="5"/>
  <c r="R201" i="5" s="1"/>
  <c r="S201" i="5" s="1"/>
  <c r="T201" i="5" s="1"/>
  <c r="U201" i="5" s="1"/>
  <c r="V201" i="5" s="1"/>
  <c r="P201" i="5"/>
  <c r="AE201" i="5" s="1"/>
  <c r="AF201" i="5" s="1"/>
  <c r="O201" i="5"/>
  <c r="N201" i="5"/>
  <c r="AC200" i="5"/>
  <c r="AD200" i="5" s="1"/>
  <c r="AA200" i="5"/>
  <c r="AB200" i="5" s="1"/>
  <c r="Y200" i="5"/>
  <c r="Z200" i="5" s="1"/>
  <c r="W200" i="5"/>
  <c r="X200" i="5" s="1"/>
  <c r="Q200" i="5"/>
  <c r="R200" i="5" s="1"/>
  <c r="S200" i="5" s="1"/>
  <c r="T200" i="5" s="1"/>
  <c r="U200" i="5" s="1"/>
  <c r="V200" i="5" s="1"/>
  <c r="P200" i="5"/>
  <c r="AE200" i="5" s="1"/>
  <c r="AF200" i="5" s="1"/>
  <c r="O200" i="5"/>
  <c r="N200" i="5"/>
  <c r="AC199" i="5"/>
  <c r="AD199" i="5" s="1"/>
  <c r="AA199" i="5"/>
  <c r="AB199" i="5" s="1"/>
  <c r="Y199" i="5"/>
  <c r="Z199" i="5" s="1"/>
  <c r="W199" i="5"/>
  <c r="X199" i="5" s="1"/>
  <c r="Q199" i="5"/>
  <c r="R199" i="5" s="1"/>
  <c r="S199" i="5" s="1"/>
  <c r="T199" i="5" s="1"/>
  <c r="U199" i="5" s="1"/>
  <c r="V199" i="5" s="1"/>
  <c r="P199" i="5"/>
  <c r="AE199" i="5" s="1"/>
  <c r="AF199" i="5" s="1"/>
  <c r="O199" i="5"/>
  <c r="N199" i="5"/>
  <c r="AC198" i="5"/>
  <c r="AD198" i="5" s="1"/>
  <c r="AA198" i="5"/>
  <c r="AB198" i="5" s="1"/>
  <c r="Y198" i="5"/>
  <c r="Z198" i="5" s="1"/>
  <c r="W198" i="5"/>
  <c r="X198" i="5" s="1"/>
  <c r="Q198" i="5"/>
  <c r="R198" i="5" s="1"/>
  <c r="S198" i="5" s="1"/>
  <c r="T198" i="5" s="1"/>
  <c r="U198" i="5" s="1"/>
  <c r="V198" i="5" s="1"/>
  <c r="P198" i="5"/>
  <c r="AE198" i="5" s="1"/>
  <c r="AF198" i="5" s="1"/>
  <c r="O198" i="5"/>
  <c r="N198" i="5"/>
  <c r="AC197" i="5"/>
  <c r="AD197" i="5" s="1"/>
  <c r="AA197" i="5"/>
  <c r="AB197" i="5" s="1"/>
  <c r="Y197" i="5"/>
  <c r="Z197" i="5" s="1"/>
  <c r="W197" i="5"/>
  <c r="X197" i="5" s="1"/>
  <c r="Q197" i="5"/>
  <c r="R197" i="5" s="1"/>
  <c r="S197" i="5" s="1"/>
  <c r="T197" i="5" s="1"/>
  <c r="U197" i="5" s="1"/>
  <c r="V197" i="5" s="1"/>
  <c r="P197" i="5"/>
  <c r="AE197" i="5" s="1"/>
  <c r="AF197" i="5" s="1"/>
  <c r="O197" i="5"/>
  <c r="N197" i="5"/>
  <c r="AC196" i="5"/>
  <c r="AD196" i="5" s="1"/>
  <c r="AA196" i="5"/>
  <c r="AB196" i="5" s="1"/>
  <c r="Y196" i="5"/>
  <c r="Z196" i="5" s="1"/>
  <c r="W196" i="5"/>
  <c r="X196" i="5" s="1"/>
  <c r="Q196" i="5"/>
  <c r="R196" i="5" s="1"/>
  <c r="S196" i="5" s="1"/>
  <c r="T196" i="5" s="1"/>
  <c r="U196" i="5" s="1"/>
  <c r="V196" i="5" s="1"/>
  <c r="P196" i="5"/>
  <c r="AE196" i="5" s="1"/>
  <c r="AF196" i="5" s="1"/>
  <c r="O196" i="5"/>
  <c r="N196" i="5"/>
  <c r="AC195" i="5"/>
  <c r="AD195" i="5" s="1"/>
  <c r="AA195" i="5"/>
  <c r="AB195" i="5" s="1"/>
  <c r="Y195" i="5"/>
  <c r="Z195" i="5" s="1"/>
  <c r="W195" i="5"/>
  <c r="X195" i="5" s="1"/>
  <c r="Q195" i="5"/>
  <c r="R195" i="5" s="1"/>
  <c r="S195" i="5" s="1"/>
  <c r="T195" i="5" s="1"/>
  <c r="U195" i="5" s="1"/>
  <c r="V195" i="5" s="1"/>
  <c r="P195" i="5"/>
  <c r="AE195" i="5" s="1"/>
  <c r="AF195" i="5" s="1"/>
  <c r="O195" i="5"/>
  <c r="N195" i="5"/>
  <c r="AC194" i="5"/>
  <c r="AD194" i="5" s="1"/>
  <c r="AA194" i="5"/>
  <c r="AB194" i="5" s="1"/>
  <c r="Y194" i="5"/>
  <c r="Z194" i="5" s="1"/>
  <c r="W194" i="5"/>
  <c r="X194" i="5" s="1"/>
  <c r="Q194" i="5"/>
  <c r="R194" i="5" s="1"/>
  <c r="S194" i="5" s="1"/>
  <c r="T194" i="5" s="1"/>
  <c r="U194" i="5" s="1"/>
  <c r="V194" i="5" s="1"/>
  <c r="P194" i="5"/>
  <c r="AE194" i="5" s="1"/>
  <c r="AF194" i="5" s="1"/>
  <c r="O194" i="5"/>
  <c r="N194" i="5"/>
  <c r="AC193" i="5"/>
  <c r="AD193" i="5" s="1"/>
  <c r="AA193" i="5"/>
  <c r="AB193" i="5" s="1"/>
  <c r="Y193" i="5"/>
  <c r="Z193" i="5" s="1"/>
  <c r="W193" i="5"/>
  <c r="X193" i="5" s="1"/>
  <c r="Q193" i="5"/>
  <c r="R193" i="5" s="1"/>
  <c r="S193" i="5" s="1"/>
  <c r="T193" i="5" s="1"/>
  <c r="U193" i="5" s="1"/>
  <c r="V193" i="5" s="1"/>
  <c r="P193" i="5"/>
  <c r="AE193" i="5" s="1"/>
  <c r="AF193" i="5" s="1"/>
  <c r="O193" i="5"/>
  <c r="N193" i="5"/>
  <c r="AC192" i="5"/>
  <c r="AD192" i="5" s="1"/>
  <c r="AA192" i="5"/>
  <c r="AB192" i="5" s="1"/>
  <c r="Y192" i="5"/>
  <c r="Z192" i="5" s="1"/>
  <c r="W192" i="5"/>
  <c r="X192" i="5" s="1"/>
  <c r="Q192" i="5"/>
  <c r="R192" i="5" s="1"/>
  <c r="S192" i="5" s="1"/>
  <c r="T192" i="5" s="1"/>
  <c r="U192" i="5" s="1"/>
  <c r="V192" i="5" s="1"/>
  <c r="P192" i="5"/>
  <c r="AE192" i="5" s="1"/>
  <c r="AF192" i="5" s="1"/>
  <c r="O192" i="5"/>
  <c r="N192" i="5"/>
  <c r="AC191" i="5"/>
  <c r="AD191" i="5" s="1"/>
  <c r="AA191" i="5"/>
  <c r="AB191" i="5" s="1"/>
  <c r="Y191" i="5"/>
  <c r="Z191" i="5" s="1"/>
  <c r="W191" i="5"/>
  <c r="X191" i="5" s="1"/>
  <c r="Q191" i="5"/>
  <c r="R191" i="5" s="1"/>
  <c r="S191" i="5" s="1"/>
  <c r="T191" i="5" s="1"/>
  <c r="U191" i="5" s="1"/>
  <c r="V191" i="5" s="1"/>
  <c r="P191" i="5"/>
  <c r="AE191" i="5" s="1"/>
  <c r="AF191" i="5" s="1"/>
  <c r="O191" i="5"/>
  <c r="N191" i="5"/>
  <c r="AC190" i="5"/>
  <c r="AD190" i="5" s="1"/>
  <c r="AA190" i="5"/>
  <c r="AB190" i="5" s="1"/>
  <c r="Y190" i="5"/>
  <c r="Z190" i="5" s="1"/>
  <c r="W190" i="5"/>
  <c r="X190" i="5" s="1"/>
  <c r="Q190" i="5"/>
  <c r="R190" i="5" s="1"/>
  <c r="S190" i="5" s="1"/>
  <c r="T190" i="5" s="1"/>
  <c r="U190" i="5" s="1"/>
  <c r="V190" i="5" s="1"/>
  <c r="P190" i="5"/>
  <c r="AE190" i="5" s="1"/>
  <c r="AF190" i="5" s="1"/>
  <c r="O190" i="5"/>
  <c r="N190" i="5"/>
  <c r="AC189" i="5"/>
  <c r="AD189" i="5" s="1"/>
  <c r="AA189" i="5"/>
  <c r="AB189" i="5" s="1"/>
  <c r="Y189" i="5"/>
  <c r="Z189" i="5" s="1"/>
  <c r="W189" i="5"/>
  <c r="X189" i="5" s="1"/>
  <c r="Q189" i="5"/>
  <c r="R189" i="5" s="1"/>
  <c r="S189" i="5" s="1"/>
  <c r="T189" i="5" s="1"/>
  <c r="U189" i="5" s="1"/>
  <c r="V189" i="5" s="1"/>
  <c r="P189" i="5"/>
  <c r="AE189" i="5" s="1"/>
  <c r="AF189" i="5" s="1"/>
  <c r="O189" i="5"/>
  <c r="N189" i="5"/>
  <c r="AC188" i="5"/>
  <c r="AD188" i="5" s="1"/>
  <c r="AA188" i="5"/>
  <c r="AB188" i="5" s="1"/>
  <c r="Y188" i="5"/>
  <c r="Z188" i="5" s="1"/>
  <c r="W188" i="5"/>
  <c r="X188" i="5" s="1"/>
  <c r="Q188" i="5"/>
  <c r="R188" i="5" s="1"/>
  <c r="S188" i="5" s="1"/>
  <c r="T188" i="5" s="1"/>
  <c r="U188" i="5" s="1"/>
  <c r="V188" i="5" s="1"/>
  <c r="P188" i="5"/>
  <c r="AE188" i="5" s="1"/>
  <c r="AF188" i="5" s="1"/>
  <c r="O188" i="5"/>
  <c r="N188" i="5"/>
  <c r="AC187" i="5"/>
  <c r="AD187" i="5" s="1"/>
  <c r="AA187" i="5"/>
  <c r="AB187" i="5" s="1"/>
  <c r="Y187" i="5"/>
  <c r="Z187" i="5" s="1"/>
  <c r="W187" i="5"/>
  <c r="X187" i="5" s="1"/>
  <c r="Q187" i="5"/>
  <c r="R187" i="5" s="1"/>
  <c r="S187" i="5" s="1"/>
  <c r="T187" i="5" s="1"/>
  <c r="U187" i="5" s="1"/>
  <c r="V187" i="5" s="1"/>
  <c r="P187" i="5"/>
  <c r="AE187" i="5" s="1"/>
  <c r="AF187" i="5" s="1"/>
  <c r="O187" i="5"/>
  <c r="N187" i="5"/>
  <c r="AC186" i="5"/>
  <c r="AD186" i="5" s="1"/>
  <c r="AA186" i="5"/>
  <c r="AB186" i="5" s="1"/>
  <c r="Y186" i="5"/>
  <c r="Z186" i="5" s="1"/>
  <c r="W186" i="5"/>
  <c r="X186" i="5" s="1"/>
  <c r="Q186" i="5"/>
  <c r="R186" i="5" s="1"/>
  <c r="S186" i="5" s="1"/>
  <c r="T186" i="5" s="1"/>
  <c r="U186" i="5" s="1"/>
  <c r="V186" i="5" s="1"/>
  <c r="P186" i="5"/>
  <c r="AE186" i="5" s="1"/>
  <c r="AF186" i="5" s="1"/>
  <c r="O186" i="5"/>
  <c r="N186" i="5"/>
  <c r="AC185" i="5"/>
  <c r="AD185" i="5" s="1"/>
  <c r="AA185" i="5"/>
  <c r="AB185" i="5" s="1"/>
  <c r="Y185" i="5"/>
  <c r="Z185" i="5" s="1"/>
  <c r="W185" i="5"/>
  <c r="X185" i="5" s="1"/>
  <c r="Q185" i="5"/>
  <c r="R185" i="5" s="1"/>
  <c r="S185" i="5" s="1"/>
  <c r="T185" i="5" s="1"/>
  <c r="U185" i="5" s="1"/>
  <c r="V185" i="5" s="1"/>
  <c r="P185" i="5"/>
  <c r="AE185" i="5" s="1"/>
  <c r="AF185" i="5" s="1"/>
  <c r="O185" i="5"/>
  <c r="N185" i="5"/>
  <c r="AC184" i="5"/>
  <c r="AD184" i="5" s="1"/>
  <c r="AA184" i="5"/>
  <c r="AB184" i="5" s="1"/>
  <c r="Y184" i="5"/>
  <c r="Z184" i="5" s="1"/>
  <c r="W184" i="5"/>
  <c r="X184" i="5" s="1"/>
  <c r="Q184" i="5"/>
  <c r="R184" i="5" s="1"/>
  <c r="S184" i="5" s="1"/>
  <c r="T184" i="5" s="1"/>
  <c r="U184" i="5" s="1"/>
  <c r="V184" i="5" s="1"/>
  <c r="P184" i="5"/>
  <c r="AE184" i="5" s="1"/>
  <c r="AF184" i="5" s="1"/>
  <c r="O184" i="5"/>
  <c r="N184" i="5"/>
  <c r="AC183" i="5"/>
  <c r="AD183" i="5" s="1"/>
  <c r="AA183" i="5"/>
  <c r="AB183" i="5" s="1"/>
  <c r="Y183" i="5"/>
  <c r="Z183" i="5" s="1"/>
  <c r="W183" i="5"/>
  <c r="X183" i="5" s="1"/>
  <c r="Q183" i="5"/>
  <c r="R183" i="5" s="1"/>
  <c r="S183" i="5" s="1"/>
  <c r="T183" i="5" s="1"/>
  <c r="U183" i="5" s="1"/>
  <c r="V183" i="5" s="1"/>
  <c r="P183" i="5"/>
  <c r="AE183" i="5" s="1"/>
  <c r="AF183" i="5" s="1"/>
  <c r="O183" i="5"/>
  <c r="N183" i="5"/>
  <c r="AC182" i="5"/>
  <c r="AD182" i="5" s="1"/>
  <c r="AA182" i="5"/>
  <c r="AB182" i="5" s="1"/>
  <c r="Y182" i="5"/>
  <c r="Z182" i="5" s="1"/>
  <c r="W182" i="5"/>
  <c r="X182" i="5" s="1"/>
  <c r="Q182" i="5"/>
  <c r="R182" i="5" s="1"/>
  <c r="S182" i="5" s="1"/>
  <c r="T182" i="5" s="1"/>
  <c r="U182" i="5" s="1"/>
  <c r="V182" i="5" s="1"/>
  <c r="P182" i="5"/>
  <c r="AE182" i="5" s="1"/>
  <c r="AF182" i="5" s="1"/>
  <c r="O182" i="5"/>
  <c r="N182" i="5"/>
  <c r="AC181" i="5"/>
  <c r="AD181" i="5" s="1"/>
  <c r="AA181" i="5"/>
  <c r="AB181" i="5" s="1"/>
  <c r="Y181" i="5"/>
  <c r="Z181" i="5" s="1"/>
  <c r="W181" i="5"/>
  <c r="X181" i="5" s="1"/>
  <c r="Q181" i="5"/>
  <c r="R181" i="5" s="1"/>
  <c r="S181" i="5" s="1"/>
  <c r="T181" i="5" s="1"/>
  <c r="U181" i="5" s="1"/>
  <c r="V181" i="5" s="1"/>
  <c r="P181" i="5"/>
  <c r="AE181" i="5" s="1"/>
  <c r="AF181" i="5" s="1"/>
  <c r="O181" i="5"/>
  <c r="N181" i="5"/>
  <c r="AC180" i="5"/>
  <c r="AD180" i="5" s="1"/>
  <c r="AA180" i="5"/>
  <c r="AB180" i="5" s="1"/>
  <c r="Y180" i="5"/>
  <c r="Z180" i="5" s="1"/>
  <c r="W180" i="5"/>
  <c r="X180" i="5" s="1"/>
  <c r="Q180" i="5"/>
  <c r="R180" i="5" s="1"/>
  <c r="S180" i="5" s="1"/>
  <c r="T180" i="5" s="1"/>
  <c r="U180" i="5" s="1"/>
  <c r="V180" i="5" s="1"/>
  <c r="P180" i="5"/>
  <c r="AE180" i="5" s="1"/>
  <c r="AF180" i="5" s="1"/>
  <c r="O180" i="5"/>
  <c r="N180" i="5"/>
  <c r="AC179" i="5"/>
  <c r="AD179" i="5" s="1"/>
  <c r="AA179" i="5"/>
  <c r="AB179" i="5" s="1"/>
  <c r="Y179" i="5"/>
  <c r="Z179" i="5" s="1"/>
  <c r="W179" i="5"/>
  <c r="X179" i="5" s="1"/>
  <c r="Q179" i="5"/>
  <c r="R179" i="5" s="1"/>
  <c r="S179" i="5" s="1"/>
  <c r="T179" i="5" s="1"/>
  <c r="U179" i="5" s="1"/>
  <c r="V179" i="5" s="1"/>
  <c r="P179" i="5"/>
  <c r="AE179" i="5" s="1"/>
  <c r="AF179" i="5" s="1"/>
  <c r="O179" i="5"/>
  <c r="N179" i="5"/>
  <c r="AC178" i="5"/>
  <c r="AD178" i="5" s="1"/>
  <c r="AA178" i="5"/>
  <c r="AB178" i="5" s="1"/>
  <c r="Y178" i="5"/>
  <c r="Z178" i="5" s="1"/>
  <c r="W178" i="5"/>
  <c r="X178" i="5" s="1"/>
  <c r="Q178" i="5"/>
  <c r="R178" i="5" s="1"/>
  <c r="S178" i="5" s="1"/>
  <c r="T178" i="5" s="1"/>
  <c r="U178" i="5" s="1"/>
  <c r="V178" i="5" s="1"/>
  <c r="P178" i="5"/>
  <c r="AE178" i="5" s="1"/>
  <c r="AF178" i="5" s="1"/>
  <c r="O178" i="5"/>
  <c r="N178" i="5"/>
  <c r="AC177" i="5"/>
  <c r="AD177" i="5" s="1"/>
  <c r="AA177" i="5"/>
  <c r="AB177" i="5" s="1"/>
  <c r="Y177" i="5"/>
  <c r="Z177" i="5" s="1"/>
  <c r="W177" i="5"/>
  <c r="X177" i="5" s="1"/>
  <c r="Q177" i="5"/>
  <c r="R177" i="5" s="1"/>
  <c r="S177" i="5" s="1"/>
  <c r="T177" i="5" s="1"/>
  <c r="U177" i="5" s="1"/>
  <c r="V177" i="5" s="1"/>
  <c r="P177" i="5"/>
  <c r="AE177" i="5" s="1"/>
  <c r="AF177" i="5" s="1"/>
  <c r="O177" i="5"/>
  <c r="N177" i="5"/>
  <c r="AC176" i="5"/>
  <c r="AD176" i="5" s="1"/>
  <c r="AA176" i="5"/>
  <c r="AB176" i="5" s="1"/>
  <c r="Y176" i="5"/>
  <c r="Z176" i="5" s="1"/>
  <c r="W176" i="5"/>
  <c r="X176" i="5" s="1"/>
  <c r="Q176" i="5"/>
  <c r="R176" i="5" s="1"/>
  <c r="S176" i="5" s="1"/>
  <c r="T176" i="5" s="1"/>
  <c r="U176" i="5" s="1"/>
  <c r="V176" i="5" s="1"/>
  <c r="P176" i="5"/>
  <c r="AE176" i="5" s="1"/>
  <c r="AF176" i="5" s="1"/>
  <c r="O176" i="5"/>
  <c r="N176" i="5"/>
  <c r="AC175" i="5"/>
  <c r="AD175" i="5" s="1"/>
  <c r="AA175" i="5"/>
  <c r="AB175" i="5" s="1"/>
  <c r="Y175" i="5"/>
  <c r="Z175" i="5" s="1"/>
  <c r="W175" i="5"/>
  <c r="X175" i="5" s="1"/>
  <c r="Q175" i="5"/>
  <c r="R175" i="5" s="1"/>
  <c r="S175" i="5" s="1"/>
  <c r="T175" i="5" s="1"/>
  <c r="U175" i="5" s="1"/>
  <c r="V175" i="5" s="1"/>
  <c r="P175" i="5"/>
  <c r="AE175" i="5" s="1"/>
  <c r="AF175" i="5" s="1"/>
  <c r="O175" i="5"/>
  <c r="N175" i="5"/>
  <c r="AC174" i="5"/>
  <c r="AD174" i="5" s="1"/>
  <c r="AA174" i="5"/>
  <c r="AB174" i="5" s="1"/>
  <c r="Y174" i="5"/>
  <c r="Z174" i="5" s="1"/>
  <c r="W174" i="5"/>
  <c r="X174" i="5" s="1"/>
  <c r="Q174" i="5"/>
  <c r="R174" i="5" s="1"/>
  <c r="S174" i="5" s="1"/>
  <c r="T174" i="5" s="1"/>
  <c r="U174" i="5" s="1"/>
  <c r="V174" i="5" s="1"/>
  <c r="P174" i="5"/>
  <c r="AE174" i="5" s="1"/>
  <c r="AF174" i="5" s="1"/>
  <c r="O174" i="5"/>
  <c r="N174" i="5"/>
  <c r="AC173" i="5"/>
  <c r="AD173" i="5" s="1"/>
  <c r="AA173" i="5"/>
  <c r="AB173" i="5" s="1"/>
  <c r="Y173" i="5"/>
  <c r="Z173" i="5" s="1"/>
  <c r="W173" i="5"/>
  <c r="X173" i="5" s="1"/>
  <c r="Q173" i="5"/>
  <c r="R173" i="5" s="1"/>
  <c r="S173" i="5" s="1"/>
  <c r="T173" i="5" s="1"/>
  <c r="U173" i="5" s="1"/>
  <c r="V173" i="5" s="1"/>
  <c r="P173" i="5"/>
  <c r="AE173" i="5" s="1"/>
  <c r="AF173" i="5" s="1"/>
  <c r="O173" i="5"/>
  <c r="N173" i="5"/>
  <c r="AC172" i="5"/>
  <c r="AD172" i="5" s="1"/>
  <c r="AA172" i="5"/>
  <c r="AB172" i="5" s="1"/>
  <c r="Y172" i="5"/>
  <c r="Z172" i="5" s="1"/>
  <c r="W172" i="5"/>
  <c r="X172" i="5" s="1"/>
  <c r="Q172" i="5"/>
  <c r="R172" i="5" s="1"/>
  <c r="S172" i="5" s="1"/>
  <c r="T172" i="5" s="1"/>
  <c r="U172" i="5" s="1"/>
  <c r="V172" i="5" s="1"/>
  <c r="P172" i="5"/>
  <c r="AE172" i="5" s="1"/>
  <c r="AF172" i="5" s="1"/>
  <c r="O172" i="5"/>
  <c r="N172" i="5"/>
  <c r="AC171" i="5"/>
  <c r="AD171" i="5" s="1"/>
  <c r="AA171" i="5"/>
  <c r="AB171" i="5" s="1"/>
  <c r="Y171" i="5"/>
  <c r="Z171" i="5" s="1"/>
  <c r="W171" i="5"/>
  <c r="X171" i="5" s="1"/>
  <c r="Q171" i="5"/>
  <c r="R171" i="5" s="1"/>
  <c r="S171" i="5" s="1"/>
  <c r="T171" i="5" s="1"/>
  <c r="U171" i="5" s="1"/>
  <c r="V171" i="5" s="1"/>
  <c r="P171" i="5"/>
  <c r="AE171" i="5" s="1"/>
  <c r="AF171" i="5" s="1"/>
  <c r="O171" i="5"/>
  <c r="N171" i="5"/>
  <c r="AC170" i="5"/>
  <c r="AD170" i="5" s="1"/>
  <c r="AA170" i="5"/>
  <c r="AB170" i="5" s="1"/>
  <c r="Y170" i="5"/>
  <c r="Z170" i="5" s="1"/>
  <c r="W170" i="5"/>
  <c r="X170" i="5" s="1"/>
  <c r="Q170" i="5"/>
  <c r="R170" i="5" s="1"/>
  <c r="S170" i="5" s="1"/>
  <c r="T170" i="5" s="1"/>
  <c r="U170" i="5" s="1"/>
  <c r="V170" i="5" s="1"/>
  <c r="P170" i="5"/>
  <c r="AE170" i="5" s="1"/>
  <c r="AF170" i="5" s="1"/>
  <c r="O170" i="5"/>
  <c r="N170" i="5"/>
  <c r="AC169" i="5"/>
  <c r="AD169" i="5" s="1"/>
  <c r="AA169" i="5"/>
  <c r="AB169" i="5" s="1"/>
  <c r="Y169" i="5"/>
  <c r="Z169" i="5" s="1"/>
  <c r="W169" i="5"/>
  <c r="X169" i="5" s="1"/>
  <c r="Q169" i="5"/>
  <c r="R169" i="5" s="1"/>
  <c r="S169" i="5" s="1"/>
  <c r="T169" i="5" s="1"/>
  <c r="U169" i="5" s="1"/>
  <c r="V169" i="5" s="1"/>
  <c r="P169" i="5"/>
  <c r="AE169" i="5" s="1"/>
  <c r="AF169" i="5" s="1"/>
  <c r="O169" i="5"/>
  <c r="N169" i="5"/>
  <c r="AC168" i="5"/>
  <c r="AD168" i="5" s="1"/>
  <c r="AA168" i="5"/>
  <c r="AB168" i="5" s="1"/>
  <c r="Y168" i="5"/>
  <c r="Z168" i="5" s="1"/>
  <c r="W168" i="5"/>
  <c r="X168" i="5" s="1"/>
  <c r="Q168" i="5"/>
  <c r="R168" i="5" s="1"/>
  <c r="S168" i="5" s="1"/>
  <c r="T168" i="5" s="1"/>
  <c r="U168" i="5" s="1"/>
  <c r="V168" i="5" s="1"/>
  <c r="P168" i="5"/>
  <c r="AE168" i="5" s="1"/>
  <c r="AF168" i="5" s="1"/>
  <c r="O168" i="5"/>
  <c r="N168" i="5"/>
  <c r="AC167" i="5"/>
  <c r="AD167" i="5" s="1"/>
  <c r="AA167" i="5"/>
  <c r="AB167" i="5" s="1"/>
  <c r="Y167" i="5"/>
  <c r="Z167" i="5" s="1"/>
  <c r="W167" i="5"/>
  <c r="X167" i="5" s="1"/>
  <c r="Q167" i="5"/>
  <c r="R167" i="5" s="1"/>
  <c r="S167" i="5" s="1"/>
  <c r="T167" i="5" s="1"/>
  <c r="U167" i="5" s="1"/>
  <c r="V167" i="5" s="1"/>
  <c r="P167" i="5"/>
  <c r="AE167" i="5" s="1"/>
  <c r="AF167" i="5" s="1"/>
  <c r="O167" i="5"/>
  <c r="N167" i="5"/>
  <c r="AC166" i="5"/>
  <c r="AD166" i="5" s="1"/>
  <c r="AA166" i="5"/>
  <c r="AB166" i="5" s="1"/>
  <c r="Y166" i="5"/>
  <c r="Z166" i="5" s="1"/>
  <c r="W166" i="5"/>
  <c r="X166" i="5" s="1"/>
  <c r="Q166" i="5"/>
  <c r="R166" i="5" s="1"/>
  <c r="S166" i="5" s="1"/>
  <c r="T166" i="5" s="1"/>
  <c r="U166" i="5" s="1"/>
  <c r="V166" i="5" s="1"/>
  <c r="P166" i="5"/>
  <c r="AE166" i="5" s="1"/>
  <c r="AF166" i="5" s="1"/>
  <c r="O166" i="5"/>
  <c r="N166" i="5"/>
  <c r="AC165" i="5"/>
  <c r="AD165" i="5" s="1"/>
  <c r="AA165" i="5"/>
  <c r="AB165" i="5" s="1"/>
  <c r="Y165" i="5"/>
  <c r="Z165" i="5" s="1"/>
  <c r="W165" i="5"/>
  <c r="X165" i="5" s="1"/>
  <c r="Q165" i="5"/>
  <c r="R165" i="5" s="1"/>
  <c r="S165" i="5" s="1"/>
  <c r="T165" i="5" s="1"/>
  <c r="U165" i="5" s="1"/>
  <c r="V165" i="5" s="1"/>
  <c r="P165" i="5"/>
  <c r="AE165" i="5" s="1"/>
  <c r="AF165" i="5" s="1"/>
  <c r="O165" i="5"/>
  <c r="N165" i="5"/>
  <c r="AC164" i="5"/>
  <c r="AD164" i="5" s="1"/>
  <c r="AA164" i="5"/>
  <c r="AB164" i="5" s="1"/>
  <c r="Y164" i="5"/>
  <c r="Z164" i="5" s="1"/>
  <c r="W164" i="5"/>
  <c r="X164" i="5" s="1"/>
  <c r="Q164" i="5"/>
  <c r="R164" i="5" s="1"/>
  <c r="S164" i="5" s="1"/>
  <c r="T164" i="5" s="1"/>
  <c r="U164" i="5" s="1"/>
  <c r="V164" i="5" s="1"/>
  <c r="P164" i="5"/>
  <c r="AE164" i="5" s="1"/>
  <c r="AF164" i="5" s="1"/>
  <c r="O164" i="5"/>
  <c r="N164" i="5"/>
  <c r="AC163" i="5"/>
  <c r="AD163" i="5" s="1"/>
  <c r="AA163" i="5"/>
  <c r="AB163" i="5" s="1"/>
  <c r="Y163" i="5"/>
  <c r="Z163" i="5" s="1"/>
  <c r="W163" i="5"/>
  <c r="X163" i="5" s="1"/>
  <c r="Q163" i="5"/>
  <c r="R163" i="5" s="1"/>
  <c r="S163" i="5" s="1"/>
  <c r="T163" i="5" s="1"/>
  <c r="U163" i="5" s="1"/>
  <c r="V163" i="5" s="1"/>
  <c r="P163" i="5"/>
  <c r="AE163" i="5" s="1"/>
  <c r="AF163" i="5" s="1"/>
  <c r="O163" i="5"/>
  <c r="N163" i="5"/>
  <c r="AC162" i="5"/>
  <c r="AD162" i="5" s="1"/>
  <c r="AA162" i="5"/>
  <c r="AB162" i="5" s="1"/>
  <c r="Y162" i="5"/>
  <c r="Z162" i="5" s="1"/>
  <c r="W162" i="5"/>
  <c r="X162" i="5" s="1"/>
  <c r="Q162" i="5"/>
  <c r="R162" i="5" s="1"/>
  <c r="S162" i="5" s="1"/>
  <c r="T162" i="5" s="1"/>
  <c r="U162" i="5" s="1"/>
  <c r="V162" i="5" s="1"/>
  <c r="P162" i="5"/>
  <c r="AE162" i="5" s="1"/>
  <c r="AF162" i="5" s="1"/>
  <c r="O162" i="5"/>
  <c r="N162" i="5"/>
  <c r="AC161" i="5"/>
  <c r="AD161" i="5" s="1"/>
  <c r="AA161" i="5"/>
  <c r="AB161" i="5" s="1"/>
  <c r="Y161" i="5"/>
  <c r="Z161" i="5" s="1"/>
  <c r="W161" i="5"/>
  <c r="X161" i="5" s="1"/>
  <c r="Q161" i="5"/>
  <c r="R161" i="5" s="1"/>
  <c r="S161" i="5" s="1"/>
  <c r="T161" i="5" s="1"/>
  <c r="U161" i="5" s="1"/>
  <c r="V161" i="5" s="1"/>
  <c r="P161" i="5"/>
  <c r="AE161" i="5" s="1"/>
  <c r="AF161" i="5" s="1"/>
  <c r="O161" i="5"/>
  <c r="N161" i="5"/>
  <c r="AC160" i="5"/>
  <c r="AD160" i="5" s="1"/>
  <c r="AA160" i="5"/>
  <c r="AB160" i="5" s="1"/>
  <c r="Y160" i="5"/>
  <c r="Z160" i="5" s="1"/>
  <c r="W160" i="5"/>
  <c r="X160" i="5" s="1"/>
  <c r="Q160" i="5"/>
  <c r="R160" i="5" s="1"/>
  <c r="S160" i="5" s="1"/>
  <c r="T160" i="5" s="1"/>
  <c r="U160" i="5" s="1"/>
  <c r="V160" i="5" s="1"/>
  <c r="P160" i="5"/>
  <c r="AE160" i="5" s="1"/>
  <c r="AF160" i="5" s="1"/>
  <c r="O160" i="5"/>
  <c r="N160" i="5"/>
  <c r="AC159" i="5"/>
  <c r="AD159" i="5" s="1"/>
  <c r="AA159" i="5"/>
  <c r="AB159" i="5" s="1"/>
  <c r="Y159" i="5"/>
  <c r="Z159" i="5" s="1"/>
  <c r="W159" i="5"/>
  <c r="X159" i="5" s="1"/>
  <c r="Q159" i="5"/>
  <c r="R159" i="5" s="1"/>
  <c r="S159" i="5" s="1"/>
  <c r="T159" i="5" s="1"/>
  <c r="U159" i="5" s="1"/>
  <c r="V159" i="5" s="1"/>
  <c r="P159" i="5"/>
  <c r="AE159" i="5" s="1"/>
  <c r="AF159" i="5" s="1"/>
  <c r="O159" i="5"/>
  <c r="N159" i="5"/>
  <c r="AC158" i="5"/>
  <c r="AD158" i="5" s="1"/>
  <c r="AA158" i="5"/>
  <c r="AB158" i="5" s="1"/>
  <c r="Y158" i="5"/>
  <c r="Z158" i="5" s="1"/>
  <c r="W158" i="5"/>
  <c r="X158" i="5" s="1"/>
  <c r="Q158" i="5"/>
  <c r="R158" i="5" s="1"/>
  <c r="S158" i="5" s="1"/>
  <c r="T158" i="5" s="1"/>
  <c r="U158" i="5" s="1"/>
  <c r="V158" i="5" s="1"/>
  <c r="P158" i="5"/>
  <c r="AE158" i="5" s="1"/>
  <c r="AF158" i="5" s="1"/>
  <c r="O158" i="5"/>
  <c r="N158" i="5"/>
  <c r="AC157" i="5"/>
  <c r="AD157" i="5" s="1"/>
  <c r="AA157" i="5"/>
  <c r="AB157" i="5" s="1"/>
  <c r="Y157" i="5"/>
  <c r="Z157" i="5" s="1"/>
  <c r="W157" i="5"/>
  <c r="X157" i="5" s="1"/>
  <c r="Q157" i="5"/>
  <c r="R157" i="5" s="1"/>
  <c r="S157" i="5" s="1"/>
  <c r="T157" i="5" s="1"/>
  <c r="U157" i="5" s="1"/>
  <c r="V157" i="5" s="1"/>
  <c r="P157" i="5"/>
  <c r="AE157" i="5" s="1"/>
  <c r="AF157" i="5" s="1"/>
  <c r="O157" i="5"/>
  <c r="N157" i="5"/>
  <c r="AC156" i="5"/>
  <c r="AD156" i="5" s="1"/>
  <c r="AA156" i="5"/>
  <c r="AB156" i="5" s="1"/>
  <c r="Y156" i="5"/>
  <c r="Z156" i="5" s="1"/>
  <c r="W156" i="5"/>
  <c r="X156" i="5" s="1"/>
  <c r="Q156" i="5"/>
  <c r="R156" i="5" s="1"/>
  <c r="S156" i="5" s="1"/>
  <c r="T156" i="5" s="1"/>
  <c r="U156" i="5" s="1"/>
  <c r="V156" i="5" s="1"/>
  <c r="P156" i="5"/>
  <c r="AE156" i="5" s="1"/>
  <c r="AF156" i="5" s="1"/>
  <c r="O156" i="5"/>
  <c r="N156" i="5"/>
  <c r="AC155" i="5"/>
  <c r="AD155" i="5" s="1"/>
  <c r="AA155" i="5"/>
  <c r="AB155" i="5" s="1"/>
  <c r="Y155" i="5"/>
  <c r="Z155" i="5" s="1"/>
  <c r="W155" i="5"/>
  <c r="X155" i="5" s="1"/>
  <c r="Q155" i="5"/>
  <c r="R155" i="5" s="1"/>
  <c r="S155" i="5" s="1"/>
  <c r="T155" i="5" s="1"/>
  <c r="U155" i="5" s="1"/>
  <c r="V155" i="5" s="1"/>
  <c r="P155" i="5"/>
  <c r="AE155" i="5" s="1"/>
  <c r="AF155" i="5" s="1"/>
  <c r="O155" i="5"/>
  <c r="N155" i="5"/>
  <c r="AC154" i="5"/>
  <c r="AD154" i="5" s="1"/>
  <c r="AA154" i="5"/>
  <c r="AB154" i="5" s="1"/>
  <c r="Y154" i="5"/>
  <c r="Z154" i="5" s="1"/>
  <c r="W154" i="5"/>
  <c r="X154" i="5" s="1"/>
  <c r="Q154" i="5"/>
  <c r="R154" i="5" s="1"/>
  <c r="S154" i="5" s="1"/>
  <c r="T154" i="5" s="1"/>
  <c r="U154" i="5" s="1"/>
  <c r="V154" i="5" s="1"/>
  <c r="P154" i="5"/>
  <c r="AE154" i="5" s="1"/>
  <c r="AF154" i="5" s="1"/>
  <c r="O154" i="5"/>
  <c r="N154" i="5"/>
  <c r="AC153" i="5"/>
  <c r="AD153" i="5" s="1"/>
  <c r="AA153" i="5"/>
  <c r="AB153" i="5" s="1"/>
  <c r="Y153" i="5"/>
  <c r="Z153" i="5" s="1"/>
  <c r="W153" i="5"/>
  <c r="X153" i="5" s="1"/>
  <c r="Q153" i="5"/>
  <c r="R153" i="5" s="1"/>
  <c r="S153" i="5" s="1"/>
  <c r="T153" i="5" s="1"/>
  <c r="U153" i="5" s="1"/>
  <c r="V153" i="5" s="1"/>
  <c r="P153" i="5"/>
  <c r="AE153" i="5" s="1"/>
  <c r="AF153" i="5" s="1"/>
  <c r="O153" i="5"/>
  <c r="N153" i="5"/>
  <c r="AC152" i="5"/>
  <c r="AD152" i="5" s="1"/>
  <c r="AA152" i="5"/>
  <c r="AB152" i="5" s="1"/>
  <c r="Y152" i="5"/>
  <c r="Z152" i="5" s="1"/>
  <c r="W152" i="5"/>
  <c r="X152" i="5" s="1"/>
  <c r="Q152" i="5"/>
  <c r="R152" i="5" s="1"/>
  <c r="S152" i="5" s="1"/>
  <c r="T152" i="5" s="1"/>
  <c r="U152" i="5" s="1"/>
  <c r="V152" i="5" s="1"/>
  <c r="P152" i="5"/>
  <c r="AE152" i="5" s="1"/>
  <c r="AF152" i="5" s="1"/>
  <c r="O152" i="5"/>
  <c r="N152" i="5"/>
  <c r="AC151" i="5"/>
  <c r="AD151" i="5" s="1"/>
  <c r="AA151" i="5"/>
  <c r="AB151" i="5" s="1"/>
  <c r="Y151" i="5"/>
  <c r="Z151" i="5" s="1"/>
  <c r="W151" i="5"/>
  <c r="X151" i="5" s="1"/>
  <c r="Q151" i="5"/>
  <c r="R151" i="5" s="1"/>
  <c r="S151" i="5" s="1"/>
  <c r="T151" i="5" s="1"/>
  <c r="U151" i="5" s="1"/>
  <c r="V151" i="5" s="1"/>
  <c r="P151" i="5"/>
  <c r="AE151" i="5" s="1"/>
  <c r="AF151" i="5" s="1"/>
  <c r="O151" i="5"/>
  <c r="N151" i="5"/>
  <c r="AC150" i="5"/>
  <c r="AD150" i="5" s="1"/>
  <c r="AA150" i="5"/>
  <c r="AB150" i="5" s="1"/>
  <c r="Y150" i="5"/>
  <c r="Z150" i="5" s="1"/>
  <c r="W150" i="5"/>
  <c r="X150" i="5" s="1"/>
  <c r="Q150" i="5"/>
  <c r="R150" i="5" s="1"/>
  <c r="S150" i="5" s="1"/>
  <c r="T150" i="5" s="1"/>
  <c r="U150" i="5" s="1"/>
  <c r="V150" i="5" s="1"/>
  <c r="P150" i="5"/>
  <c r="AE150" i="5" s="1"/>
  <c r="AF150" i="5" s="1"/>
  <c r="O150" i="5"/>
  <c r="N150" i="5"/>
  <c r="AC149" i="5"/>
  <c r="AD149" i="5" s="1"/>
  <c r="AA149" i="5"/>
  <c r="AB149" i="5" s="1"/>
  <c r="Y149" i="5"/>
  <c r="Z149" i="5" s="1"/>
  <c r="W149" i="5"/>
  <c r="X149" i="5" s="1"/>
  <c r="Q149" i="5"/>
  <c r="R149" i="5" s="1"/>
  <c r="S149" i="5" s="1"/>
  <c r="T149" i="5" s="1"/>
  <c r="U149" i="5" s="1"/>
  <c r="V149" i="5" s="1"/>
  <c r="P149" i="5"/>
  <c r="AE149" i="5" s="1"/>
  <c r="AF149" i="5" s="1"/>
  <c r="O149" i="5"/>
  <c r="N149" i="5"/>
  <c r="AC148" i="5"/>
  <c r="AD148" i="5" s="1"/>
  <c r="AA148" i="5"/>
  <c r="AB148" i="5" s="1"/>
  <c r="Y148" i="5"/>
  <c r="Z148" i="5" s="1"/>
  <c r="W148" i="5"/>
  <c r="X148" i="5" s="1"/>
  <c r="Q148" i="5"/>
  <c r="R148" i="5" s="1"/>
  <c r="S148" i="5" s="1"/>
  <c r="T148" i="5" s="1"/>
  <c r="U148" i="5" s="1"/>
  <c r="V148" i="5" s="1"/>
  <c r="P148" i="5"/>
  <c r="AE148" i="5" s="1"/>
  <c r="AF148" i="5" s="1"/>
  <c r="O148" i="5"/>
  <c r="N148" i="5"/>
  <c r="AC147" i="5"/>
  <c r="AD147" i="5" s="1"/>
  <c r="AA147" i="5"/>
  <c r="AB147" i="5" s="1"/>
  <c r="Y147" i="5"/>
  <c r="Z147" i="5" s="1"/>
  <c r="W147" i="5"/>
  <c r="X147" i="5" s="1"/>
  <c r="Q147" i="5"/>
  <c r="R147" i="5" s="1"/>
  <c r="S147" i="5" s="1"/>
  <c r="T147" i="5" s="1"/>
  <c r="U147" i="5" s="1"/>
  <c r="V147" i="5" s="1"/>
  <c r="P147" i="5"/>
  <c r="AE147" i="5" s="1"/>
  <c r="AF147" i="5" s="1"/>
  <c r="O147" i="5"/>
  <c r="N147" i="5"/>
  <c r="AC146" i="5"/>
  <c r="AD146" i="5" s="1"/>
  <c r="AA146" i="5"/>
  <c r="AB146" i="5" s="1"/>
  <c r="Y146" i="5"/>
  <c r="Z146" i="5" s="1"/>
  <c r="W146" i="5"/>
  <c r="X146" i="5" s="1"/>
  <c r="Q146" i="5"/>
  <c r="R146" i="5" s="1"/>
  <c r="S146" i="5" s="1"/>
  <c r="T146" i="5" s="1"/>
  <c r="U146" i="5" s="1"/>
  <c r="V146" i="5" s="1"/>
  <c r="P146" i="5"/>
  <c r="AE146" i="5" s="1"/>
  <c r="AF146" i="5" s="1"/>
  <c r="O146" i="5"/>
  <c r="N146" i="5"/>
  <c r="AC145" i="5"/>
  <c r="AD145" i="5" s="1"/>
  <c r="AA145" i="5"/>
  <c r="AB145" i="5" s="1"/>
  <c r="Y145" i="5"/>
  <c r="Z145" i="5" s="1"/>
  <c r="W145" i="5"/>
  <c r="X145" i="5" s="1"/>
  <c r="Q145" i="5"/>
  <c r="R145" i="5" s="1"/>
  <c r="S145" i="5" s="1"/>
  <c r="T145" i="5" s="1"/>
  <c r="U145" i="5" s="1"/>
  <c r="V145" i="5" s="1"/>
  <c r="P145" i="5"/>
  <c r="AE145" i="5" s="1"/>
  <c r="AF145" i="5" s="1"/>
  <c r="O145" i="5"/>
  <c r="N145" i="5"/>
  <c r="AC144" i="5"/>
  <c r="AD144" i="5" s="1"/>
  <c r="AA144" i="5"/>
  <c r="AB144" i="5" s="1"/>
  <c r="Y144" i="5"/>
  <c r="Z144" i="5" s="1"/>
  <c r="W144" i="5"/>
  <c r="X144" i="5" s="1"/>
  <c r="Q144" i="5"/>
  <c r="R144" i="5" s="1"/>
  <c r="S144" i="5" s="1"/>
  <c r="T144" i="5" s="1"/>
  <c r="U144" i="5" s="1"/>
  <c r="V144" i="5" s="1"/>
  <c r="P144" i="5"/>
  <c r="AE144" i="5" s="1"/>
  <c r="AF144" i="5" s="1"/>
  <c r="O144" i="5"/>
  <c r="N144" i="5"/>
  <c r="AC143" i="5"/>
  <c r="AD143" i="5" s="1"/>
  <c r="AA143" i="5"/>
  <c r="AB143" i="5" s="1"/>
  <c r="Y143" i="5"/>
  <c r="Z143" i="5" s="1"/>
  <c r="W143" i="5"/>
  <c r="X143" i="5" s="1"/>
  <c r="Q143" i="5"/>
  <c r="R143" i="5" s="1"/>
  <c r="S143" i="5" s="1"/>
  <c r="T143" i="5" s="1"/>
  <c r="U143" i="5" s="1"/>
  <c r="V143" i="5" s="1"/>
  <c r="P143" i="5"/>
  <c r="AE143" i="5" s="1"/>
  <c r="AF143" i="5" s="1"/>
  <c r="O143" i="5"/>
  <c r="N143" i="5"/>
  <c r="AC142" i="5"/>
  <c r="AD142" i="5" s="1"/>
  <c r="AA142" i="5"/>
  <c r="AB142" i="5" s="1"/>
  <c r="Y142" i="5"/>
  <c r="Z142" i="5" s="1"/>
  <c r="W142" i="5"/>
  <c r="X142" i="5" s="1"/>
  <c r="Q142" i="5"/>
  <c r="R142" i="5" s="1"/>
  <c r="S142" i="5" s="1"/>
  <c r="T142" i="5" s="1"/>
  <c r="U142" i="5" s="1"/>
  <c r="V142" i="5" s="1"/>
  <c r="P142" i="5"/>
  <c r="AE142" i="5" s="1"/>
  <c r="AF142" i="5" s="1"/>
  <c r="O142" i="5"/>
  <c r="N142" i="5"/>
  <c r="AC141" i="5"/>
  <c r="AD141" i="5" s="1"/>
  <c r="AA141" i="5"/>
  <c r="AB141" i="5" s="1"/>
  <c r="Y141" i="5"/>
  <c r="Z141" i="5" s="1"/>
  <c r="W141" i="5"/>
  <c r="X141" i="5" s="1"/>
  <c r="Q141" i="5"/>
  <c r="R141" i="5" s="1"/>
  <c r="S141" i="5" s="1"/>
  <c r="T141" i="5" s="1"/>
  <c r="U141" i="5" s="1"/>
  <c r="V141" i="5" s="1"/>
  <c r="P141" i="5"/>
  <c r="AE141" i="5" s="1"/>
  <c r="AF141" i="5" s="1"/>
  <c r="O141" i="5"/>
  <c r="N141" i="5"/>
  <c r="AC140" i="5"/>
  <c r="AD140" i="5" s="1"/>
  <c r="AA140" i="5"/>
  <c r="AB140" i="5" s="1"/>
  <c r="Y140" i="5"/>
  <c r="Z140" i="5" s="1"/>
  <c r="W140" i="5"/>
  <c r="X140" i="5" s="1"/>
  <c r="Q140" i="5"/>
  <c r="R140" i="5" s="1"/>
  <c r="S140" i="5" s="1"/>
  <c r="T140" i="5" s="1"/>
  <c r="U140" i="5" s="1"/>
  <c r="V140" i="5" s="1"/>
  <c r="P140" i="5"/>
  <c r="AE140" i="5" s="1"/>
  <c r="AF140" i="5" s="1"/>
  <c r="O140" i="5"/>
  <c r="N140" i="5"/>
  <c r="AC139" i="5"/>
  <c r="AD139" i="5" s="1"/>
  <c r="AA139" i="5"/>
  <c r="AB139" i="5" s="1"/>
  <c r="Y139" i="5"/>
  <c r="Z139" i="5" s="1"/>
  <c r="W139" i="5"/>
  <c r="X139" i="5" s="1"/>
  <c r="Q139" i="5"/>
  <c r="R139" i="5" s="1"/>
  <c r="S139" i="5" s="1"/>
  <c r="T139" i="5" s="1"/>
  <c r="U139" i="5" s="1"/>
  <c r="V139" i="5" s="1"/>
  <c r="P139" i="5"/>
  <c r="AE139" i="5" s="1"/>
  <c r="AF139" i="5" s="1"/>
  <c r="O139" i="5"/>
  <c r="N139" i="5"/>
  <c r="AC138" i="5"/>
  <c r="AD138" i="5" s="1"/>
  <c r="AA138" i="5"/>
  <c r="AB138" i="5" s="1"/>
  <c r="Y138" i="5"/>
  <c r="Z138" i="5" s="1"/>
  <c r="W138" i="5"/>
  <c r="X138" i="5" s="1"/>
  <c r="Q138" i="5"/>
  <c r="R138" i="5" s="1"/>
  <c r="S138" i="5" s="1"/>
  <c r="T138" i="5" s="1"/>
  <c r="U138" i="5" s="1"/>
  <c r="V138" i="5" s="1"/>
  <c r="P138" i="5"/>
  <c r="AE138" i="5" s="1"/>
  <c r="AF138" i="5" s="1"/>
  <c r="O138" i="5"/>
  <c r="N138" i="5"/>
  <c r="AC137" i="5"/>
  <c r="AD137" i="5" s="1"/>
  <c r="AA137" i="5"/>
  <c r="AB137" i="5" s="1"/>
  <c r="Y137" i="5"/>
  <c r="Z137" i="5" s="1"/>
  <c r="W137" i="5"/>
  <c r="X137" i="5" s="1"/>
  <c r="Q137" i="5"/>
  <c r="R137" i="5" s="1"/>
  <c r="S137" i="5" s="1"/>
  <c r="T137" i="5" s="1"/>
  <c r="U137" i="5" s="1"/>
  <c r="V137" i="5" s="1"/>
  <c r="P137" i="5"/>
  <c r="AE137" i="5" s="1"/>
  <c r="AF137" i="5" s="1"/>
  <c r="O137" i="5"/>
  <c r="N137" i="5"/>
  <c r="AC136" i="5"/>
  <c r="AD136" i="5" s="1"/>
  <c r="AA136" i="5"/>
  <c r="AB136" i="5" s="1"/>
  <c r="Y136" i="5"/>
  <c r="Z136" i="5" s="1"/>
  <c r="W136" i="5"/>
  <c r="X136" i="5" s="1"/>
  <c r="Q136" i="5"/>
  <c r="R136" i="5" s="1"/>
  <c r="S136" i="5" s="1"/>
  <c r="T136" i="5" s="1"/>
  <c r="U136" i="5" s="1"/>
  <c r="V136" i="5" s="1"/>
  <c r="P136" i="5"/>
  <c r="AE136" i="5" s="1"/>
  <c r="AF136" i="5" s="1"/>
  <c r="O136" i="5"/>
  <c r="N136" i="5"/>
  <c r="AC135" i="5"/>
  <c r="AD135" i="5" s="1"/>
  <c r="AA135" i="5"/>
  <c r="AB135" i="5" s="1"/>
  <c r="Y135" i="5"/>
  <c r="Z135" i="5" s="1"/>
  <c r="W135" i="5"/>
  <c r="X135" i="5" s="1"/>
  <c r="Q135" i="5"/>
  <c r="R135" i="5" s="1"/>
  <c r="S135" i="5" s="1"/>
  <c r="T135" i="5" s="1"/>
  <c r="U135" i="5" s="1"/>
  <c r="V135" i="5" s="1"/>
  <c r="P135" i="5"/>
  <c r="AE135" i="5" s="1"/>
  <c r="AF135" i="5" s="1"/>
  <c r="O135" i="5"/>
  <c r="N135" i="5"/>
  <c r="AC134" i="5"/>
  <c r="AD134" i="5" s="1"/>
  <c r="AA134" i="5"/>
  <c r="AB134" i="5" s="1"/>
  <c r="Y134" i="5"/>
  <c r="Z134" i="5" s="1"/>
  <c r="W134" i="5"/>
  <c r="X134" i="5" s="1"/>
  <c r="Q134" i="5"/>
  <c r="R134" i="5" s="1"/>
  <c r="S134" i="5" s="1"/>
  <c r="T134" i="5" s="1"/>
  <c r="U134" i="5" s="1"/>
  <c r="V134" i="5" s="1"/>
  <c r="P134" i="5"/>
  <c r="AE134" i="5" s="1"/>
  <c r="AF134" i="5" s="1"/>
  <c r="O134" i="5"/>
  <c r="N134" i="5"/>
  <c r="AC133" i="5"/>
  <c r="AD133" i="5" s="1"/>
  <c r="AA133" i="5"/>
  <c r="AB133" i="5" s="1"/>
  <c r="Y133" i="5"/>
  <c r="Z133" i="5" s="1"/>
  <c r="W133" i="5"/>
  <c r="X133" i="5" s="1"/>
  <c r="Q133" i="5"/>
  <c r="R133" i="5" s="1"/>
  <c r="S133" i="5" s="1"/>
  <c r="T133" i="5" s="1"/>
  <c r="U133" i="5" s="1"/>
  <c r="V133" i="5" s="1"/>
  <c r="P133" i="5"/>
  <c r="AE133" i="5" s="1"/>
  <c r="AF133" i="5" s="1"/>
  <c r="O133" i="5"/>
  <c r="N133" i="5"/>
  <c r="AC132" i="5"/>
  <c r="AD132" i="5" s="1"/>
  <c r="AA132" i="5"/>
  <c r="AB132" i="5" s="1"/>
  <c r="Y132" i="5"/>
  <c r="Z132" i="5" s="1"/>
  <c r="W132" i="5"/>
  <c r="X132" i="5" s="1"/>
  <c r="Q132" i="5"/>
  <c r="R132" i="5" s="1"/>
  <c r="S132" i="5" s="1"/>
  <c r="T132" i="5" s="1"/>
  <c r="U132" i="5" s="1"/>
  <c r="V132" i="5" s="1"/>
  <c r="P132" i="5"/>
  <c r="AE132" i="5" s="1"/>
  <c r="AF132" i="5" s="1"/>
  <c r="O132" i="5"/>
  <c r="N132" i="5"/>
  <c r="AC131" i="5"/>
  <c r="AD131" i="5" s="1"/>
  <c r="AA131" i="5"/>
  <c r="AB131" i="5" s="1"/>
  <c r="Y131" i="5"/>
  <c r="Z131" i="5" s="1"/>
  <c r="W131" i="5"/>
  <c r="X131" i="5" s="1"/>
  <c r="Q131" i="5"/>
  <c r="R131" i="5" s="1"/>
  <c r="S131" i="5" s="1"/>
  <c r="T131" i="5" s="1"/>
  <c r="U131" i="5" s="1"/>
  <c r="V131" i="5" s="1"/>
  <c r="P131" i="5"/>
  <c r="AE131" i="5" s="1"/>
  <c r="AF131" i="5" s="1"/>
  <c r="O131" i="5"/>
  <c r="N131" i="5"/>
  <c r="AC130" i="5"/>
  <c r="AD130" i="5" s="1"/>
  <c r="AA130" i="5"/>
  <c r="AB130" i="5" s="1"/>
  <c r="Y130" i="5"/>
  <c r="Z130" i="5" s="1"/>
  <c r="W130" i="5"/>
  <c r="X130" i="5" s="1"/>
  <c r="Q130" i="5"/>
  <c r="R130" i="5" s="1"/>
  <c r="S130" i="5" s="1"/>
  <c r="T130" i="5" s="1"/>
  <c r="U130" i="5" s="1"/>
  <c r="V130" i="5" s="1"/>
  <c r="P130" i="5"/>
  <c r="AE130" i="5" s="1"/>
  <c r="AF130" i="5" s="1"/>
  <c r="O130" i="5"/>
  <c r="N130" i="5"/>
  <c r="AC129" i="5"/>
  <c r="AD129" i="5" s="1"/>
  <c r="AA129" i="5"/>
  <c r="AB129" i="5" s="1"/>
  <c r="Y129" i="5"/>
  <c r="Z129" i="5" s="1"/>
  <c r="W129" i="5"/>
  <c r="X129" i="5" s="1"/>
  <c r="Q129" i="5"/>
  <c r="R129" i="5" s="1"/>
  <c r="S129" i="5" s="1"/>
  <c r="T129" i="5" s="1"/>
  <c r="U129" i="5" s="1"/>
  <c r="V129" i="5" s="1"/>
  <c r="P129" i="5"/>
  <c r="AE129" i="5" s="1"/>
  <c r="AF129" i="5" s="1"/>
  <c r="O129" i="5"/>
  <c r="N129" i="5"/>
  <c r="AC128" i="5"/>
  <c r="AD128" i="5" s="1"/>
  <c r="AA128" i="5"/>
  <c r="AB128" i="5" s="1"/>
  <c r="Y128" i="5"/>
  <c r="Z128" i="5" s="1"/>
  <c r="W128" i="5"/>
  <c r="X128" i="5" s="1"/>
  <c r="Q128" i="5"/>
  <c r="R128" i="5" s="1"/>
  <c r="S128" i="5" s="1"/>
  <c r="T128" i="5" s="1"/>
  <c r="U128" i="5" s="1"/>
  <c r="V128" i="5" s="1"/>
  <c r="P128" i="5"/>
  <c r="AE128" i="5" s="1"/>
  <c r="AF128" i="5" s="1"/>
  <c r="O128" i="5"/>
  <c r="N128" i="5"/>
  <c r="AC127" i="5"/>
  <c r="AD127" i="5" s="1"/>
  <c r="AA127" i="5"/>
  <c r="AB127" i="5" s="1"/>
  <c r="Y127" i="5"/>
  <c r="Z127" i="5" s="1"/>
  <c r="W127" i="5"/>
  <c r="X127" i="5" s="1"/>
  <c r="Q127" i="5"/>
  <c r="R127" i="5" s="1"/>
  <c r="S127" i="5" s="1"/>
  <c r="T127" i="5" s="1"/>
  <c r="U127" i="5" s="1"/>
  <c r="V127" i="5" s="1"/>
  <c r="P127" i="5"/>
  <c r="AE127" i="5" s="1"/>
  <c r="AF127" i="5" s="1"/>
  <c r="O127" i="5"/>
  <c r="N127" i="5"/>
  <c r="AC126" i="5"/>
  <c r="AD126" i="5" s="1"/>
  <c r="AA126" i="5"/>
  <c r="AB126" i="5" s="1"/>
  <c r="Y126" i="5"/>
  <c r="Z126" i="5" s="1"/>
  <c r="W126" i="5"/>
  <c r="X126" i="5" s="1"/>
  <c r="Q126" i="5"/>
  <c r="R126" i="5" s="1"/>
  <c r="S126" i="5" s="1"/>
  <c r="T126" i="5" s="1"/>
  <c r="U126" i="5" s="1"/>
  <c r="V126" i="5" s="1"/>
  <c r="P126" i="5"/>
  <c r="AE126" i="5" s="1"/>
  <c r="AF126" i="5" s="1"/>
  <c r="O126" i="5"/>
  <c r="N126" i="5"/>
  <c r="AC125" i="5"/>
  <c r="AD125" i="5" s="1"/>
  <c r="AA125" i="5"/>
  <c r="AB125" i="5" s="1"/>
  <c r="Y125" i="5"/>
  <c r="Z125" i="5" s="1"/>
  <c r="W125" i="5"/>
  <c r="X125" i="5" s="1"/>
  <c r="Q125" i="5"/>
  <c r="R125" i="5" s="1"/>
  <c r="S125" i="5" s="1"/>
  <c r="T125" i="5" s="1"/>
  <c r="U125" i="5" s="1"/>
  <c r="V125" i="5" s="1"/>
  <c r="P125" i="5"/>
  <c r="AE125" i="5" s="1"/>
  <c r="AF125" i="5" s="1"/>
  <c r="O125" i="5"/>
  <c r="N125" i="5"/>
  <c r="AC124" i="5"/>
  <c r="AD124" i="5" s="1"/>
  <c r="AA124" i="5"/>
  <c r="AB124" i="5" s="1"/>
  <c r="Y124" i="5"/>
  <c r="Z124" i="5" s="1"/>
  <c r="W124" i="5"/>
  <c r="X124" i="5" s="1"/>
  <c r="Q124" i="5"/>
  <c r="R124" i="5" s="1"/>
  <c r="S124" i="5" s="1"/>
  <c r="T124" i="5" s="1"/>
  <c r="U124" i="5" s="1"/>
  <c r="V124" i="5" s="1"/>
  <c r="P124" i="5"/>
  <c r="AE124" i="5" s="1"/>
  <c r="AF124" i="5" s="1"/>
  <c r="O124" i="5"/>
  <c r="N124" i="5"/>
  <c r="AC123" i="5"/>
  <c r="AD123" i="5" s="1"/>
  <c r="AA123" i="5"/>
  <c r="AB123" i="5" s="1"/>
  <c r="Y123" i="5"/>
  <c r="Z123" i="5" s="1"/>
  <c r="W123" i="5"/>
  <c r="X123" i="5" s="1"/>
  <c r="Q123" i="5"/>
  <c r="R123" i="5" s="1"/>
  <c r="S123" i="5" s="1"/>
  <c r="T123" i="5" s="1"/>
  <c r="U123" i="5" s="1"/>
  <c r="V123" i="5" s="1"/>
  <c r="P123" i="5"/>
  <c r="AE123" i="5" s="1"/>
  <c r="AF123" i="5" s="1"/>
  <c r="O123" i="5"/>
  <c r="N123" i="5"/>
  <c r="AC122" i="5"/>
  <c r="AD122" i="5" s="1"/>
  <c r="AA122" i="5"/>
  <c r="AB122" i="5" s="1"/>
  <c r="Y122" i="5"/>
  <c r="Z122" i="5" s="1"/>
  <c r="W122" i="5"/>
  <c r="X122" i="5" s="1"/>
  <c r="Q122" i="5"/>
  <c r="R122" i="5" s="1"/>
  <c r="S122" i="5" s="1"/>
  <c r="T122" i="5" s="1"/>
  <c r="U122" i="5" s="1"/>
  <c r="V122" i="5" s="1"/>
  <c r="P122" i="5"/>
  <c r="AE122" i="5" s="1"/>
  <c r="AF122" i="5" s="1"/>
  <c r="O122" i="5"/>
  <c r="N122" i="5"/>
  <c r="AC121" i="5"/>
  <c r="AD121" i="5" s="1"/>
  <c r="AA121" i="5"/>
  <c r="AB121" i="5" s="1"/>
  <c r="Y121" i="5"/>
  <c r="Z121" i="5" s="1"/>
  <c r="W121" i="5"/>
  <c r="X121" i="5" s="1"/>
  <c r="Q121" i="5"/>
  <c r="R121" i="5" s="1"/>
  <c r="S121" i="5" s="1"/>
  <c r="T121" i="5" s="1"/>
  <c r="U121" i="5" s="1"/>
  <c r="V121" i="5" s="1"/>
  <c r="P121" i="5"/>
  <c r="AE121" i="5" s="1"/>
  <c r="AF121" i="5" s="1"/>
  <c r="O121" i="5"/>
  <c r="N121" i="5"/>
  <c r="AC120" i="5"/>
  <c r="AD120" i="5" s="1"/>
  <c r="AA120" i="5"/>
  <c r="AB120" i="5" s="1"/>
  <c r="Y120" i="5"/>
  <c r="Z120" i="5" s="1"/>
  <c r="W120" i="5"/>
  <c r="X120" i="5" s="1"/>
  <c r="Q120" i="5"/>
  <c r="R120" i="5" s="1"/>
  <c r="S120" i="5" s="1"/>
  <c r="T120" i="5" s="1"/>
  <c r="U120" i="5" s="1"/>
  <c r="V120" i="5" s="1"/>
  <c r="P120" i="5"/>
  <c r="AE120" i="5" s="1"/>
  <c r="AF120" i="5" s="1"/>
  <c r="O120" i="5"/>
  <c r="N120" i="5"/>
  <c r="AC119" i="5"/>
  <c r="AD119" i="5" s="1"/>
  <c r="AA119" i="5"/>
  <c r="AB119" i="5" s="1"/>
  <c r="Y119" i="5"/>
  <c r="Z119" i="5" s="1"/>
  <c r="W119" i="5"/>
  <c r="X119" i="5" s="1"/>
  <c r="Q119" i="5"/>
  <c r="R119" i="5" s="1"/>
  <c r="S119" i="5" s="1"/>
  <c r="T119" i="5" s="1"/>
  <c r="U119" i="5" s="1"/>
  <c r="V119" i="5" s="1"/>
  <c r="P119" i="5"/>
  <c r="AE119" i="5" s="1"/>
  <c r="AF119" i="5" s="1"/>
  <c r="O119" i="5"/>
  <c r="N119" i="5"/>
  <c r="AC118" i="5"/>
  <c r="AD118" i="5" s="1"/>
  <c r="AA118" i="5"/>
  <c r="AB118" i="5" s="1"/>
  <c r="Y118" i="5"/>
  <c r="Z118" i="5" s="1"/>
  <c r="W118" i="5"/>
  <c r="X118" i="5" s="1"/>
  <c r="Q118" i="5"/>
  <c r="R118" i="5" s="1"/>
  <c r="S118" i="5" s="1"/>
  <c r="T118" i="5" s="1"/>
  <c r="U118" i="5" s="1"/>
  <c r="V118" i="5" s="1"/>
  <c r="P118" i="5"/>
  <c r="AE118" i="5" s="1"/>
  <c r="AF118" i="5" s="1"/>
  <c r="O118" i="5"/>
  <c r="N118" i="5"/>
  <c r="AC117" i="5"/>
  <c r="AD117" i="5" s="1"/>
  <c r="AA117" i="5"/>
  <c r="AB117" i="5" s="1"/>
  <c r="Y117" i="5"/>
  <c r="Z117" i="5" s="1"/>
  <c r="W117" i="5"/>
  <c r="X117" i="5" s="1"/>
  <c r="Q117" i="5"/>
  <c r="R117" i="5" s="1"/>
  <c r="S117" i="5" s="1"/>
  <c r="T117" i="5" s="1"/>
  <c r="U117" i="5" s="1"/>
  <c r="V117" i="5" s="1"/>
  <c r="P117" i="5"/>
  <c r="AE117" i="5" s="1"/>
  <c r="AF117" i="5" s="1"/>
  <c r="O117" i="5"/>
  <c r="N117" i="5"/>
  <c r="AC116" i="5"/>
  <c r="AD116" i="5" s="1"/>
  <c r="AA116" i="5"/>
  <c r="AB116" i="5" s="1"/>
  <c r="Y116" i="5"/>
  <c r="Z116" i="5" s="1"/>
  <c r="W116" i="5"/>
  <c r="X116" i="5" s="1"/>
  <c r="Q116" i="5"/>
  <c r="R116" i="5" s="1"/>
  <c r="S116" i="5" s="1"/>
  <c r="T116" i="5" s="1"/>
  <c r="U116" i="5" s="1"/>
  <c r="V116" i="5" s="1"/>
  <c r="P116" i="5"/>
  <c r="AE116" i="5" s="1"/>
  <c r="AF116" i="5" s="1"/>
  <c r="O116" i="5"/>
  <c r="N116" i="5"/>
  <c r="AC115" i="5"/>
  <c r="AD115" i="5" s="1"/>
  <c r="AA115" i="5"/>
  <c r="AB115" i="5" s="1"/>
  <c r="Y115" i="5"/>
  <c r="Z115" i="5" s="1"/>
  <c r="W115" i="5"/>
  <c r="X115" i="5" s="1"/>
  <c r="Q115" i="5"/>
  <c r="R115" i="5" s="1"/>
  <c r="S115" i="5" s="1"/>
  <c r="T115" i="5" s="1"/>
  <c r="U115" i="5" s="1"/>
  <c r="V115" i="5" s="1"/>
  <c r="P115" i="5"/>
  <c r="AE115" i="5" s="1"/>
  <c r="AF115" i="5" s="1"/>
  <c r="O115" i="5"/>
  <c r="N115" i="5"/>
  <c r="AC114" i="5"/>
  <c r="AD114" i="5" s="1"/>
  <c r="AA114" i="5"/>
  <c r="AB114" i="5" s="1"/>
  <c r="Y114" i="5"/>
  <c r="Z114" i="5" s="1"/>
  <c r="W114" i="5"/>
  <c r="X114" i="5" s="1"/>
  <c r="Q114" i="5"/>
  <c r="R114" i="5" s="1"/>
  <c r="S114" i="5" s="1"/>
  <c r="T114" i="5" s="1"/>
  <c r="U114" i="5" s="1"/>
  <c r="V114" i="5" s="1"/>
  <c r="P114" i="5"/>
  <c r="AE114" i="5" s="1"/>
  <c r="AF114" i="5" s="1"/>
  <c r="O114" i="5"/>
  <c r="N114" i="5"/>
  <c r="AC113" i="5"/>
  <c r="AD113" i="5" s="1"/>
  <c r="AA113" i="5"/>
  <c r="AB113" i="5" s="1"/>
  <c r="Y113" i="5"/>
  <c r="Z113" i="5" s="1"/>
  <c r="W113" i="5"/>
  <c r="X113" i="5" s="1"/>
  <c r="Q113" i="5"/>
  <c r="R113" i="5" s="1"/>
  <c r="S113" i="5" s="1"/>
  <c r="T113" i="5" s="1"/>
  <c r="U113" i="5" s="1"/>
  <c r="V113" i="5" s="1"/>
  <c r="P113" i="5"/>
  <c r="AE113" i="5" s="1"/>
  <c r="AF113" i="5" s="1"/>
  <c r="O113" i="5"/>
  <c r="N113" i="5"/>
  <c r="AC112" i="5"/>
  <c r="AD112" i="5" s="1"/>
  <c r="AA112" i="5"/>
  <c r="AB112" i="5" s="1"/>
  <c r="Y112" i="5"/>
  <c r="Z112" i="5" s="1"/>
  <c r="W112" i="5"/>
  <c r="X112" i="5" s="1"/>
  <c r="Q112" i="5"/>
  <c r="R112" i="5" s="1"/>
  <c r="S112" i="5" s="1"/>
  <c r="T112" i="5" s="1"/>
  <c r="U112" i="5" s="1"/>
  <c r="V112" i="5" s="1"/>
  <c r="P112" i="5"/>
  <c r="AE112" i="5" s="1"/>
  <c r="AF112" i="5" s="1"/>
  <c r="O112" i="5"/>
  <c r="N112" i="5"/>
  <c r="AC111" i="5"/>
  <c r="AD111" i="5" s="1"/>
  <c r="AA111" i="5"/>
  <c r="AB111" i="5" s="1"/>
  <c r="Y111" i="5"/>
  <c r="Z111" i="5" s="1"/>
  <c r="W111" i="5"/>
  <c r="X111" i="5" s="1"/>
  <c r="Q111" i="5"/>
  <c r="R111" i="5" s="1"/>
  <c r="S111" i="5" s="1"/>
  <c r="T111" i="5" s="1"/>
  <c r="U111" i="5" s="1"/>
  <c r="V111" i="5" s="1"/>
  <c r="P111" i="5"/>
  <c r="AE111" i="5" s="1"/>
  <c r="AF111" i="5" s="1"/>
  <c r="O111" i="5"/>
  <c r="N111" i="5"/>
  <c r="AC110" i="5"/>
  <c r="AD110" i="5" s="1"/>
  <c r="AA110" i="5"/>
  <c r="AB110" i="5" s="1"/>
  <c r="Y110" i="5"/>
  <c r="Z110" i="5" s="1"/>
  <c r="W110" i="5"/>
  <c r="X110" i="5" s="1"/>
  <c r="Q110" i="5"/>
  <c r="R110" i="5" s="1"/>
  <c r="S110" i="5" s="1"/>
  <c r="T110" i="5" s="1"/>
  <c r="U110" i="5" s="1"/>
  <c r="V110" i="5" s="1"/>
  <c r="P110" i="5"/>
  <c r="AE110" i="5" s="1"/>
  <c r="AF110" i="5" s="1"/>
  <c r="O110" i="5"/>
  <c r="N110" i="5"/>
  <c r="AC109" i="5"/>
  <c r="AD109" i="5" s="1"/>
  <c r="AA109" i="5"/>
  <c r="AB109" i="5" s="1"/>
  <c r="Y109" i="5"/>
  <c r="Z109" i="5" s="1"/>
  <c r="W109" i="5"/>
  <c r="X109" i="5" s="1"/>
  <c r="Q109" i="5"/>
  <c r="R109" i="5" s="1"/>
  <c r="S109" i="5" s="1"/>
  <c r="T109" i="5" s="1"/>
  <c r="U109" i="5" s="1"/>
  <c r="V109" i="5" s="1"/>
  <c r="P109" i="5"/>
  <c r="AE109" i="5" s="1"/>
  <c r="AF109" i="5" s="1"/>
  <c r="O109" i="5"/>
  <c r="N109" i="5"/>
  <c r="AC108" i="5"/>
  <c r="AD108" i="5" s="1"/>
  <c r="AA108" i="5"/>
  <c r="AB108" i="5" s="1"/>
  <c r="Y108" i="5"/>
  <c r="Z108" i="5" s="1"/>
  <c r="W108" i="5"/>
  <c r="X108" i="5" s="1"/>
  <c r="Q108" i="5"/>
  <c r="R108" i="5" s="1"/>
  <c r="S108" i="5" s="1"/>
  <c r="T108" i="5" s="1"/>
  <c r="U108" i="5" s="1"/>
  <c r="V108" i="5" s="1"/>
  <c r="P108" i="5"/>
  <c r="AE108" i="5" s="1"/>
  <c r="AF108" i="5" s="1"/>
  <c r="O108" i="5"/>
  <c r="N108" i="5"/>
  <c r="AC107" i="5"/>
  <c r="AD107" i="5" s="1"/>
  <c r="AA107" i="5"/>
  <c r="AB107" i="5" s="1"/>
  <c r="Y107" i="5"/>
  <c r="Z107" i="5" s="1"/>
  <c r="W107" i="5"/>
  <c r="X107" i="5" s="1"/>
  <c r="Q107" i="5"/>
  <c r="R107" i="5" s="1"/>
  <c r="S107" i="5" s="1"/>
  <c r="T107" i="5" s="1"/>
  <c r="U107" i="5" s="1"/>
  <c r="V107" i="5" s="1"/>
  <c r="P107" i="5"/>
  <c r="AE107" i="5" s="1"/>
  <c r="AF107" i="5" s="1"/>
  <c r="O107" i="5"/>
  <c r="N107" i="5"/>
  <c r="AC106" i="5"/>
  <c r="AD106" i="5" s="1"/>
  <c r="AA106" i="5"/>
  <c r="AB106" i="5" s="1"/>
  <c r="Y106" i="5"/>
  <c r="Z106" i="5" s="1"/>
  <c r="W106" i="5"/>
  <c r="X106" i="5" s="1"/>
  <c r="Q106" i="5"/>
  <c r="R106" i="5" s="1"/>
  <c r="S106" i="5" s="1"/>
  <c r="T106" i="5" s="1"/>
  <c r="U106" i="5" s="1"/>
  <c r="V106" i="5" s="1"/>
  <c r="P106" i="5"/>
  <c r="AE106" i="5" s="1"/>
  <c r="AF106" i="5" s="1"/>
  <c r="O106" i="5"/>
  <c r="N106" i="5"/>
  <c r="AC105" i="5"/>
  <c r="AD105" i="5" s="1"/>
  <c r="AA105" i="5"/>
  <c r="AB105" i="5" s="1"/>
  <c r="Y105" i="5"/>
  <c r="Z105" i="5" s="1"/>
  <c r="W105" i="5"/>
  <c r="X105" i="5" s="1"/>
  <c r="Q105" i="5"/>
  <c r="R105" i="5" s="1"/>
  <c r="S105" i="5" s="1"/>
  <c r="T105" i="5" s="1"/>
  <c r="U105" i="5" s="1"/>
  <c r="V105" i="5" s="1"/>
  <c r="P105" i="5"/>
  <c r="AE105" i="5" s="1"/>
  <c r="AF105" i="5" s="1"/>
  <c r="O105" i="5"/>
  <c r="N105" i="5"/>
  <c r="AC104" i="5"/>
  <c r="AD104" i="5" s="1"/>
  <c r="AA104" i="5"/>
  <c r="AB104" i="5" s="1"/>
  <c r="Y104" i="5"/>
  <c r="Z104" i="5" s="1"/>
  <c r="W104" i="5"/>
  <c r="X104" i="5" s="1"/>
  <c r="Q104" i="5"/>
  <c r="R104" i="5" s="1"/>
  <c r="S104" i="5" s="1"/>
  <c r="T104" i="5" s="1"/>
  <c r="U104" i="5" s="1"/>
  <c r="V104" i="5" s="1"/>
  <c r="P104" i="5"/>
  <c r="AE104" i="5" s="1"/>
  <c r="AF104" i="5" s="1"/>
  <c r="O104" i="5"/>
  <c r="N104" i="5"/>
  <c r="AC103" i="5"/>
  <c r="AD103" i="5" s="1"/>
  <c r="AA103" i="5"/>
  <c r="AB103" i="5" s="1"/>
  <c r="Y103" i="5"/>
  <c r="Z103" i="5" s="1"/>
  <c r="W103" i="5"/>
  <c r="X103" i="5" s="1"/>
  <c r="Q103" i="5"/>
  <c r="R103" i="5" s="1"/>
  <c r="S103" i="5" s="1"/>
  <c r="T103" i="5" s="1"/>
  <c r="U103" i="5" s="1"/>
  <c r="V103" i="5" s="1"/>
  <c r="P103" i="5"/>
  <c r="AE103" i="5" s="1"/>
  <c r="AF103" i="5" s="1"/>
  <c r="O103" i="5"/>
  <c r="N103" i="5"/>
  <c r="AC102" i="5"/>
  <c r="AD102" i="5" s="1"/>
  <c r="AA102" i="5"/>
  <c r="AB102" i="5" s="1"/>
  <c r="Y102" i="5"/>
  <c r="Z102" i="5" s="1"/>
  <c r="W102" i="5"/>
  <c r="X102" i="5" s="1"/>
  <c r="Q102" i="5"/>
  <c r="R102" i="5" s="1"/>
  <c r="S102" i="5" s="1"/>
  <c r="T102" i="5" s="1"/>
  <c r="U102" i="5" s="1"/>
  <c r="V102" i="5" s="1"/>
  <c r="P102" i="5"/>
  <c r="AE102" i="5" s="1"/>
  <c r="AF102" i="5" s="1"/>
  <c r="O102" i="5"/>
  <c r="N102" i="5"/>
  <c r="AC101" i="5"/>
  <c r="AD101" i="5" s="1"/>
  <c r="AA101" i="5"/>
  <c r="AB101" i="5" s="1"/>
  <c r="Y101" i="5"/>
  <c r="Z101" i="5" s="1"/>
  <c r="W101" i="5"/>
  <c r="X101" i="5" s="1"/>
  <c r="Q101" i="5"/>
  <c r="R101" i="5" s="1"/>
  <c r="S101" i="5" s="1"/>
  <c r="T101" i="5" s="1"/>
  <c r="U101" i="5" s="1"/>
  <c r="V101" i="5" s="1"/>
  <c r="P101" i="5"/>
  <c r="AE101" i="5" s="1"/>
  <c r="AF101" i="5" s="1"/>
  <c r="O101" i="5"/>
  <c r="N101" i="5"/>
  <c r="AC100" i="5"/>
  <c r="AD100" i="5" s="1"/>
  <c r="AA100" i="5"/>
  <c r="AB100" i="5" s="1"/>
  <c r="Y100" i="5"/>
  <c r="Z100" i="5" s="1"/>
  <c r="W100" i="5"/>
  <c r="X100" i="5" s="1"/>
  <c r="Q100" i="5"/>
  <c r="R100" i="5" s="1"/>
  <c r="S100" i="5" s="1"/>
  <c r="T100" i="5" s="1"/>
  <c r="U100" i="5" s="1"/>
  <c r="V100" i="5" s="1"/>
  <c r="P100" i="5"/>
  <c r="AE100" i="5" s="1"/>
  <c r="AF100" i="5" s="1"/>
  <c r="O100" i="5"/>
  <c r="N100" i="5"/>
  <c r="AC99" i="5"/>
  <c r="AD99" i="5" s="1"/>
  <c r="AA99" i="5"/>
  <c r="AB99" i="5" s="1"/>
  <c r="Y99" i="5"/>
  <c r="Z99" i="5" s="1"/>
  <c r="W99" i="5"/>
  <c r="X99" i="5" s="1"/>
  <c r="Q99" i="5"/>
  <c r="R99" i="5" s="1"/>
  <c r="S99" i="5" s="1"/>
  <c r="T99" i="5" s="1"/>
  <c r="U99" i="5" s="1"/>
  <c r="V99" i="5" s="1"/>
  <c r="P99" i="5"/>
  <c r="AE99" i="5" s="1"/>
  <c r="AF99" i="5" s="1"/>
  <c r="O99" i="5"/>
  <c r="N99" i="5"/>
  <c r="AC98" i="5"/>
  <c r="AD98" i="5" s="1"/>
  <c r="AA98" i="5"/>
  <c r="AB98" i="5" s="1"/>
  <c r="Y98" i="5"/>
  <c r="Z98" i="5" s="1"/>
  <c r="W98" i="5"/>
  <c r="X98" i="5" s="1"/>
  <c r="Q98" i="5"/>
  <c r="R98" i="5" s="1"/>
  <c r="S98" i="5" s="1"/>
  <c r="T98" i="5" s="1"/>
  <c r="U98" i="5" s="1"/>
  <c r="V98" i="5" s="1"/>
  <c r="P98" i="5"/>
  <c r="AE98" i="5" s="1"/>
  <c r="AF98" i="5" s="1"/>
  <c r="O98" i="5"/>
  <c r="N98" i="5"/>
  <c r="AC97" i="5"/>
  <c r="AD97" i="5" s="1"/>
  <c r="AA97" i="5"/>
  <c r="AB97" i="5" s="1"/>
  <c r="Y97" i="5"/>
  <c r="Z97" i="5" s="1"/>
  <c r="W97" i="5"/>
  <c r="X97" i="5" s="1"/>
  <c r="Q97" i="5"/>
  <c r="R97" i="5" s="1"/>
  <c r="S97" i="5" s="1"/>
  <c r="T97" i="5" s="1"/>
  <c r="U97" i="5" s="1"/>
  <c r="V97" i="5" s="1"/>
  <c r="P97" i="5"/>
  <c r="AE97" i="5" s="1"/>
  <c r="AF97" i="5" s="1"/>
  <c r="O97" i="5"/>
  <c r="N97" i="5"/>
  <c r="AC96" i="5"/>
  <c r="AD96" i="5" s="1"/>
  <c r="AA96" i="5"/>
  <c r="AB96" i="5" s="1"/>
  <c r="Y96" i="5"/>
  <c r="Z96" i="5" s="1"/>
  <c r="W96" i="5"/>
  <c r="X96" i="5" s="1"/>
  <c r="Q96" i="5"/>
  <c r="R96" i="5" s="1"/>
  <c r="S96" i="5" s="1"/>
  <c r="T96" i="5" s="1"/>
  <c r="U96" i="5" s="1"/>
  <c r="V96" i="5" s="1"/>
  <c r="P96" i="5"/>
  <c r="AE96" i="5" s="1"/>
  <c r="AF96" i="5" s="1"/>
  <c r="O96" i="5"/>
  <c r="N96" i="5"/>
  <c r="AC95" i="5"/>
  <c r="AD95" i="5" s="1"/>
  <c r="AA95" i="5"/>
  <c r="AB95" i="5" s="1"/>
  <c r="Y95" i="5"/>
  <c r="Z95" i="5" s="1"/>
  <c r="W95" i="5"/>
  <c r="X95" i="5" s="1"/>
  <c r="Q95" i="5"/>
  <c r="R95" i="5" s="1"/>
  <c r="S95" i="5" s="1"/>
  <c r="T95" i="5" s="1"/>
  <c r="U95" i="5" s="1"/>
  <c r="V95" i="5" s="1"/>
  <c r="P95" i="5"/>
  <c r="AE95" i="5" s="1"/>
  <c r="AF95" i="5" s="1"/>
  <c r="O95" i="5"/>
  <c r="N95" i="5"/>
  <c r="AC94" i="5"/>
  <c r="AD94" i="5" s="1"/>
  <c r="AA94" i="5"/>
  <c r="AB94" i="5" s="1"/>
  <c r="Y94" i="5"/>
  <c r="Z94" i="5" s="1"/>
  <c r="W94" i="5"/>
  <c r="X94" i="5" s="1"/>
  <c r="Q94" i="5"/>
  <c r="R94" i="5" s="1"/>
  <c r="S94" i="5" s="1"/>
  <c r="T94" i="5" s="1"/>
  <c r="U94" i="5" s="1"/>
  <c r="V94" i="5" s="1"/>
  <c r="P94" i="5"/>
  <c r="AE94" i="5" s="1"/>
  <c r="AF94" i="5" s="1"/>
  <c r="O94" i="5"/>
  <c r="N94" i="5"/>
  <c r="AC93" i="5"/>
  <c r="AD93" i="5" s="1"/>
  <c r="AA93" i="5"/>
  <c r="AB93" i="5" s="1"/>
  <c r="Y93" i="5"/>
  <c r="Z93" i="5" s="1"/>
  <c r="W93" i="5"/>
  <c r="X93" i="5" s="1"/>
  <c r="Q93" i="5"/>
  <c r="R93" i="5" s="1"/>
  <c r="S93" i="5" s="1"/>
  <c r="T93" i="5" s="1"/>
  <c r="U93" i="5" s="1"/>
  <c r="V93" i="5" s="1"/>
  <c r="P93" i="5"/>
  <c r="AE93" i="5" s="1"/>
  <c r="AF93" i="5" s="1"/>
  <c r="O93" i="5"/>
  <c r="N93" i="5"/>
  <c r="AC92" i="5"/>
  <c r="AD92" i="5" s="1"/>
  <c r="AA92" i="5"/>
  <c r="AB92" i="5" s="1"/>
  <c r="Y92" i="5"/>
  <c r="Z92" i="5" s="1"/>
  <c r="W92" i="5"/>
  <c r="X92" i="5" s="1"/>
  <c r="Q92" i="5"/>
  <c r="R92" i="5" s="1"/>
  <c r="S92" i="5" s="1"/>
  <c r="T92" i="5" s="1"/>
  <c r="U92" i="5" s="1"/>
  <c r="V92" i="5" s="1"/>
  <c r="P92" i="5"/>
  <c r="AE92" i="5" s="1"/>
  <c r="AF92" i="5" s="1"/>
  <c r="O92" i="5"/>
  <c r="N92" i="5"/>
  <c r="AC91" i="5"/>
  <c r="AD91" i="5" s="1"/>
  <c r="AA91" i="5"/>
  <c r="AB91" i="5" s="1"/>
  <c r="Y91" i="5"/>
  <c r="Z91" i="5" s="1"/>
  <c r="W91" i="5"/>
  <c r="X91" i="5" s="1"/>
  <c r="Q91" i="5"/>
  <c r="R91" i="5" s="1"/>
  <c r="S91" i="5" s="1"/>
  <c r="T91" i="5" s="1"/>
  <c r="U91" i="5" s="1"/>
  <c r="V91" i="5" s="1"/>
  <c r="P91" i="5"/>
  <c r="AE91" i="5" s="1"/>
  <c r="AF91" i="5" s="1"/>
  <c r="O91" i="5"/>
  <c r="N91" i="5"/>
  <c r="AC90" i="5"/>
  <c r="AD90" i="5" s="1"/>
  <c r="AA90" i="5"/>
  <c r="AB90" i="5" s="1"/>
  <c r="Y90" i="5"/>
  <c r="Z90" i="5" s="1"/>
  <c r="W90" i="5"/>
  <c r="X90" i="5" s="1"/>
  <c r="Q90" i="5"/>
  <c r="R90" i="5" s="1"/>
  <c r="S90" i="5" s="1"/>
  <c r="T90" i="5" s="1"/>
  <c r="U90" i="5" s="1"/>
  <c r="V90" i="5" s="1"/>
  <c r="P90" i="5"/>
  <c r="AE90" i="5" s="1"/>
  <c r="AF90" i="5" s="1"/>
  <c r="O90" i="5"/>
  <c r="N90" i="5"/>
  <c r="AC89" i="5"/>
  <c r="AD89" i="5" s="1"/>
  <c r="AA89" i="5"/>
  <c r="AB89" i="5" s="1"/>
  <c r="Y89" i="5"/>
  <c r="Z89" i="5" s="1"/>
  <c r="W89" i="5"/>
  <c r="X89" i="5" s="1"/>
  <c r="Q89" i="5"/>
  <c r="R89" i="5" s="1"/>
  <c r="S89" i="5" s="1"/>
  <c r="T89" i="5" s="1"/>
  <c r="U89" i="5" s="1"/>
  <c r="V89" i="5" s="1"/>
  <c r="P89" i="5"/>
  <c r="AE89" i="5" s="1"/>
  <c r="AF89" i="5" s="1"/>
  <c r="O89" i="5"/>
  <c r="N89" i="5"/>
  <c r="AC88" i="5"/>
  <c r="AD88" i="5" s="1"/>
  <c r="AA88" i="5"/>
  <c r="AB88" i="5" s="1"/>
  <c r="Y88" i="5"/>
  <c r="Z88" i="5" s="1"/>
  <c r="W88" i="5"/>
  <c r="X88" i="5" s="1"/>
  <c r="Q88" i="5"/>
  <c r="R88" i="5" s="1"/>
  <c r="S88" i="5" s="1"/>
  <c r="T88" i="5" s="1"/>
  <c r="U88" i="5" s="1"/>
  <c r="V88" i="5" s="1"/>
  <c r="P88" i="5"/>
  <c r="AE88" i="5" s="1"/>
  <c r="AF88" i="5" s="1"/>
  <c r="O88" i="5"/>
  <c r="N88" i="5"/>
  <c r="AC87" i="5"/>
  <c r="AD87" i="5" s="1"/>
  <c r="AA87" i="5"/>
  <c r="AB87" i="5" s="1"/>
  <c r="Y87" i="5"/>
  <c r="Z87" i="5" s="1"/>
  <c r="W87" i="5"/>
  <c r="X87" i="5" s="1"/>
  <c r="Q87" i="5"/>
  <c r="R87" i="5" s="1"/>
  <c r="S87" i="5" s="1"/>
  <c r="T87" i="5" s="1"/>
  <c r="U87" i="5" s="1"/>
  <c r="V87" i="5" s="1"/>
  <c r="P87" i="5"/>
  <c r="AE87" i="5" s="1"/>
  <c r="AF87" i="5" s="1"/>
  <c r="O87" i="5"/>
  <c r="N87" i="5"/>
  <c r="AC86" i="5"/>
  <c r="AD86" i="5" s="1"/>
  <c r="AA86" i="5"/>
  <c r="AB86" i="5" s="1"/>
  <c r="Y86" i="5"/>
  <c r="Z86" i="5" s="1"/>
  <c r="W86" i="5"/>
  <c r="X86" i="5" s="1"/>
  <c r="Q86" i="5"/>
  <c r="R86" i="5" s="1"/>
  <c r="S86" i="5" s="1"/>
  <c r="T86" i="5" s="1"/>
  <c r="U86" i="5" s="1"/>
  <c r="V86" i="5" s="1"/>
  <c r="P86" i="5"/>
  <c r="AE86" i="5" s="1"/>
  <c r="AF86" i="5" s="1"/>
  <c r="O86" i="5"/>
  <c r="N86" i="5"/>
  <c r="AC85" i="5"/>
  <c r="AD85" i="5" s="1"/>
  <c r="AA85" i="5"/>
  <c r="AB85" i="5" s="1"/>
  <c r="Y85" i="5"/>
  <c r="Z85" i="5" s="1"/>
  <c r="W85" i="5"/>
  <c r="X85" i="5" s="1"/>
  <c r="Q85" i="5"/>
  <c r="R85" i="5" s="1"/>
  <c r="S85" i="5" s="1"/>
  <c r="T85" i="5" s="1"/>
  <c r="U85" i="5" s="1"/>
  <c r="V85" i="5" s="1"/>
  <c r="P85" i="5"/>
  <c r="AE85" i="5" s="1"/>
  <c r="AF85" i="5" s="1"/>
  <c r="O85" i="5"/>
  <c r="N85" i="5"/>
  <c r="AC84" i="5"/>
  <c r="AD84" i="5" s="1"/>
  <c r="AA84" i="5"/>
  <c r="AB84" i="5" s="1"/>
  <c r="Y84" i="5"/>
  <c r="Z84" i="5" s="1"/>
  <c r="W84" i="5"/>
  <c r="X84" i="5" s="1"/>
  <c r="Q84" i="5"/>
  <c r="R84" i="5" s="1"/>
  <c r="S84" i="5" s="1"/>
  <c r="T84" i="5" s="1"/>
  <c r="U84" i="5" s="1"/>
  <c r="V84" i="5" s="1"/>
  <c r="P84" i="5"/>
  <c r="AE84" i="5" s="1"/>
  <c r="AF84" i="5" s="1"/>
  <c r="O84" i="5"/>
  <c r="N84" i="5"/>
  <c r="AC83" i="5"/>
  <c r="AD83" i="5" s="1"/>
  <c r="AA83" i="5"/>
  <c r="AB83" i="5" s="1"/>
  <c r="Y83" i="5"/>
  <c r="Z83" i="5" s="1"/>
  <c r="W83" i="5"/>
  <c r="X83" i="5" s="1"/>
  <c r="Q83" i="5"/>
  <c r="R83" i="5" s="1"/>
  <c r="S83" i="5" s="1"/>
  <c r="T83" i="5" s="1"/>
  <c r="U83" i="5" s="1"/>
  <c r="V83" i="5" s="1"/>
  <c r="P83" i="5"/>
  <c r="AE83" i="5" s="1"/>
  <c r="AF83" i="5" s="1"/>
  <c r="O83" i="5"/>
  <c r="N83" i="5"/>
  <c r="AC82" i="5"/>
  <c r="AD82" i="5" s="1"/>
  <c r="AA82" i="5"/>
  <c r="AB82" i="5" s="1"/>
  <c r="Y82" i="5"/>
  <c r="Z82" i="5" s="1"/>
  <c r="W82" i="5"/>
  <c r="X82" i="5" s="1"/>
  <c r="Q82" i="5"/>
  <c r="R82" i="5" s="1"/>
  <c r="S82" i="5" s="1"/>
  <c r="T82" i="5" s="1"/>
  <c r="U82" i="5" s="1"/>
  <c r="V82" i="5" s="1"/>
  <c r="P82" i="5"/>
  <c r="AE82" i="5" s="1"/>
  <c r="AF82" i="5" s="1"/>
  <c r="O82" i="5"/>
  <c r="N82" i="5"/>
  <c r="AC81" i="5"/>
  <c r="AD81" i="5" s="1"/>
  <c r="AA81" i="5"/>
  <c r="AB81" i="5" s="1"/>
  <c r="Y81" i="5"/>
  <c r="Z81" i="5" s="1"/>
  <c r="W81" i="5"/>
  <c r="X81" i="5" s="1"/>
  <c r="Q81" i="5"/>
  <c r="R81" i="5" s="1"/>
  <c r="S81" i="5" s="1"/>
  <c r="T81" i="5" s="1"/>
  <c r="U81" i="5" s="1"/>
  <c r="V81" i="5" s="1"/>
  <c r="P81" i="5"/>
  <c r="AE81" i="5" s="1"/>
  <c r="AF81" i="5" s="1"/>
  <c r="O81" i="5"/>
  <c r="N81" i="5"/>
  <c r="AC80" i="5"/>
  <c r="AD80" i="5" s="1"/>
  <c r="AA80" i="5"/>
  <c r="AB80" i="5" s="1"/>
  <c r="Y80" i="5"/>
  <c r="Z80" i="5" s="1"/>
  <c r="W80" i="5"/>
  <c r="X80" i="5" s="1"/>
  <c r="Q80" i="5"/>
  <c r="R80" i="5" s="1"/>
  <c r="S80" i="5" s="1"/>
  <c r="T80" i="5" s="1"/>
  <c r="U80" i="5" s="1"/>
  <c r="V80" i="5" s="1"/>
  <c r="P80" i="5"/>
  <c r="AE80" i="5" s="1"/>
  <c r="AF80" i="5" s="1"/>
  <c r="O80" i="5"/>
  <c r="N80" i="5"/>
  <c r="AC79" i="5"/>
  <c r="AD79" i="5" s="1"/>
  <c r="AA79" i="5"/>
  <c r="AB79" i="5" s="1"/>
  <c r="Y79" i="5"/>
  <c r="Z79" i="5" s="1"/>
  <c r="W79" i="5"/>
  <c r="X79" i="5" s="1"/>
  <c r="Q79" i="5"/>
  <c r="R79" i="5" s="1"/>
  <c r="S79" i="5" s="1"/>
  <c r="T79" i="5" s="1"/>
  <c r="U79" i="5" s="1"/>
  <c r="V79" i="5" s="1"/>
  <c r="P79" i="5"/>
  <c r="AE79" i="5" s="1"/>
  <c r="AF79" i="5" s="1"/>
  <c r="O79" i="5"/>
  <c r="N79" i="5"/>
  <c r="AC78" i="5"/>
  <c r="AD78" i="5" s="1"/>
  <c r="AA78" i="5"/>
  <c r="AB78" i="5" s="1"/>
  <c r="Y78" i="5"/>
  <c r="Z78" i="5" s="1"/>
  <c r="W78" i="5"/>
  <c r="X78" i="5" s="1"/>
  <c r="Q78" i="5"/>
  <c r="R78" i="5" s="1"/>
  <c r="S78" i="5" s="1"/>
  <c r="T78" i="5" s="1"/>
  <c r="U78" i="5" s="1"/>
  <c r="V78" i="5" s="1"/>
  <c r="P78" i="5"/>
  <c r="AE78" i="5" s="1"/>
  <c r="AF78" i="5" s="1"/>
  <c r="O78" i="5"/>
  <c r="N78" i="5"/>
  <c r="AC77" i="5"/>
  <c r="AD77" i="5" s="1"/>
  <c r="AA77" i="5"/>
  <c r="AB77" i="5" s="1"/>
  <c r="Y77" i="5"/>
  <c r="Z77" i="5" s="1"/>
  <c r="W77" i="5"/>
  <c r="X77" i="5" s="1"/>
  <c r="Q77" i="5"/>
  <c r="R77" i="5" s="1"/>
  <c r="S77" i="5" s="1"/>
  <c r="T77" i="5" s="1"/>
  <c r="U77" i="5" s="1"/>
  <c r="V77" i="5" s="1"/>
  <c r="P77" i="5"/>
  <c r="AE77" i="5" s="1"/>
  <c r="AF77" i="5" s="1"/>
  <c r="O77" i="5"/>
  <c r="N77" i="5"/>
  <c r="AC76" i="5"/>
  <c r="AD76" i="5" s="1"/>
  <c r="AA76" i="5"/>
  <c r="AB76" i="5" s="1"/>
  <c r="Y76" i="5"/>
  <c r="Z76" i="5" s="1"/>
  <c r="W76" i="5"/>
  <c r="X76" i="5" s="1"/>
  <c r="Q76" i="5"/>
  <c r="R76" i="5" s="1"/>
  <c r="S76" i="5" s="1"/>
  <c r="T76" i="5" s="1"/>
  <c r="U76" i="5" s="1"/>
  <c r="V76" i="5" s="1"/>
  <c r="P76" i="5"/>
  <c r="AE76" i="5" s="1"/>
  <c r="AF76" i="5" s="1"/>
  <c r="O76" i="5"/>
  <c r="N76" i="5"/>
  <c r="AC75" i="5"/>
  <c r="AD75" i="5" s="1"/>
  <c r="AA75" i="5"/>
  <c r="AB75" i="5" s="1"/>
  <c r="Y75" i="5"/>
  <c r="Z75" i="5" s="1"/>
  <c r="W75" i="5"/>
  <c r="X75" i="5" s="1"/>
  <c r="Q75" i="5"/>
  <c r="R75" i="5" s="1"/>
  <c r="S75" i="5" s="1"/>
  <c r="T75" i="5" s="1"/>
  <c r="U75" i="5" s="1"/>
  <c r="V75" i="5" s="1"/>
  <c r="P75" i="5"/>
  <c r="AE75" i="5" s="1"/>
  <c r="AF75" i="5" s="1"/>
  <c r="O75" i="5"/>
  <c r="N75" i="5"/>
  <c r="AC74" i="5"/>
  <c r="AD74" i="5" s="1"/>
  <c r="AA74" i="5"/>
  <c r="AB74" i="5" s="1"/>
  <c r="Y74" i="5"/>
  <c r="Z74" i="5" s="1"/>
  <c r="W74" i="5"/>
  <c r="X74" i="5" s="1"/>
  <c r="Q74" i="5"/>
  <c r="R74" i="5" s="1"/>
  <c r="S74" i="5" s="1"/>
  <c r="T74" i="5" s="1"/>
  <c r="U74" i="5" s="1"/>
  <c r="V74" i="5" s="1"/>
  <c r="P74" i="5"/>
  <c r="AE74" i="5" s="1"/>
  <c r="AF74" i="5" s="1"/>
  <c r="O74" i="5"/>
  <c r="N74" i="5"/>
  <c r="AC73" i="5"/>
  <c r="AD73" i="5" s="1"/>
  <c r="AA73" i="5"/>
  <c r="AB73" i="5" s="1"/>
  <c r="Y73" i="5"/>
  <c r="Z73" i="5" s="1"/>
  <c r="W73" i="5"/>
  <c r="X73" i="5" s="1"/>
  <c r="Q73" i="5"/>
  <c r="R73" i="5" s="1"/>
  <c r="S73" i="5" s="1"/>
  <c r="T73" i="5" s="1"/>
  <c r="U73" i="5" s="1"/>
  <c r="V73" i="5" s="1"/>
  <c r="P73" i="5"/>
  <c r="AE73" i="5" s="1"/>
  <c r="AF73" i="5" s="1"/>
  <c r="O73" i="5"/>
  <c r="N73" i="5"/>
  <c r="AC72" i="5"/>
  <c r="AD72" i="5" s="1"/>
  <c r="AA72" i="5"/>
  <c r="AB72" i="5" s="1"/>
  <c r="Y72" i="5"/>
  <c r="Z72" i="5" s="1"/>
  <c r="W72" i="5"/>
  <c r="X72" i="5" s="1"/>
  <c r="Q72" i="5"/>
  <c r="R72" i="5" s="1"/>
  <c r="S72" i="5" s="1"/>
  <c r="T72" i="5" s="1"/>
  <c r="U72" i="5" s="1"/>
  <c r="V72" i="5" s="1"/>
  <c r="P72" i="5"/>
  <c r="AE72" i="5" s="1"/>
  <c r="AF72" i="5" s="1"/>
  <c r="O72" i="5"/>
  <c r="N72" i="5"/>
  <c r="AC71" i="5"/>
  <c r="AD71" i="5" s="1"/>
  <c r="AA71" i="5"/>
  <c r="AB71" i="5" s="1"/>
  <c r="Y71" i="5"/>
  <c r="Z71" i="5" s="1"/>
  <c r="W71" i="5"/>
  <c r="X71" i="5" s="1"/>
  <c r="Q71" i="5"/>
  <c r="R71" i="5" s="1"/>
  <c r="S71" i="5" s="1"/>
  <c r="T71" i="5" s="1"/>
  <c r="U71" i="5" s="1"/>
  <c r="V71" i="5" s="1"/>
  <c r="P71" i="5"/>
  <c r="AE71" i="5" s="1"/>
  <c r="AF71" i="5" s="1"/>
  <c r="O71" i="5"/>
  <c r="N71" i="5"/>
  <c r="AC70" i="5"/>
  <c r="AD70" i="5" s="1"/>
  <c r="AA70" i="5"/>
  <c r="AB70" i="5" s="1"/>
  <c r="Y70" i="5"/>
  <c r="Z70" i="5" s="1"/>
  <c r="W70" i="5"/>
  <c r="X70" i="5" s="1"/>
  <c r="Q70" i="5"/>
  <c r="R70" i="5" s="1"/>
  <c r="S70" i="5" s="1"/>
  <c r="T70" i="5" s="1"/>
  <c r="U70" i="5" s="1"/>
  <c r="V70" i="5" s="1"/>
  <c r="P70" i="5"/>
  <c r="AE70" i="5" s="1"/>
  <c r="AF70" i="5" s="1"/>
  <c r="O70" i="5"/>
  <c r="N70" i="5"/>
  <c r="AC69" i="5"/>
  <c r="AD69" i="5" s="1"/>
  <c r="AA69" i="5"/>
  <c r="AB69" i="5" s="1"/>
  <c r="Y69" i="5"/>
  <c r="Z69" i="5" s="1"/>
  <c r="W69" i="5"/>
  <c r="X69" i="5" s="1"/>
  <c r="Q69" i="5"/>
  <c r="R69" i="5" s="1"/>
  <c r="S69" i="5" s="1"/>
  <c r="T69" i="5" s="1"/>
  <c r="U69" i="5" s="1"/>
  <c r="V69" i="5" s="1"/>
  <c r="P69" i="5"/>
  <c r="AE69" i="5" s="1"/>
  <c r="AF69" i="5" s="1"/>
  <c r="O69" i="5"/>
  <c r="N69" i="5"/>
  <c r="AC68" i="5"/>
  <c r="AD68" i="5" s="1"/>
  <c r="AA68" i="5"/>
  <c r="AB68" i="5" s="1"/>
  <c r="Y68" i="5"/>
  <c r="Z68" i="5" s="1"/>
  <c r="W68" i="5"/>
  <c r="X68" i="5" s="1"/>
  <c r="Q68" i="5"/>
  <c r="R68" i="5" s="1"/>
  <c r="S68" i="5" s="1"/>
  <c r="T68" i="5" s="1"/>
  <c r="U68" i="5" s="1"/>
  <c r="V68" i="5" s="1"/>
  <c r="P68" i="5"/>
  <c r="AE68" i="5" s="1"/>
  <c r="AF68" i="5" s="1"/>
  <c r="O68" i="5"/>
  <c r="N68" i="5"/>
  <c r="AC67" i="5"/>
  <c r="AD67" i="5" s="1"/>
  <c r="AA67" i="5"/>
  <c r="AB67" i="5" s="1"/>
  <c r="Y67" i="5"/>
  <c r="Z67" i="5" s="1"/>
  <c r="W67" i="5"/>
  <c r="X67" i="5" s="1"/>
  <c r="Q67" i="5"/>
  <c r="R67" i="5" s="1"/>
  <c r="S67" i="5" s="1"/>
  <c r="T67" i="5" s="1"/>
  <c r="U67" i="5" s="1"/>
  <c r="V67" i="5" s="1"/>
  <c r="P67" i="5"/>
  <c r="AE67" i="5" s="1"/>
  <c r="AF67" i="5" s="1"/>
  <c r="O67" i="5"/>
  <c r="N67" i="5"/>
  <c r="AC66" i="5"/>
  <c r="AD66" i="5" s="1"/>
  <c r="AA66" i="5"/>
  <c r="AB66" i="5" s="1"/>
  <c r="Y66" i="5"/>
  <c r="Z66" i="5" s="1"/>
  <c r="W66" i="5"/>
  <c r="X66" i="5" s="1"/>
  <c r="Q66" i="5"/>
  <c r="R66" i="5" s="1"/>
  <c r="S66" i="5" s="1"/>
  <c r="T66" i="5" s="1"/>
  <c r="U66" i="5" s="1"/>
  <c r="V66" i="5" s="1"/>
  <c r="P66" i="5"/>
  <c r="AE66" i="5" s="1"/>
  <c r="AF66" i="5" s="1"/>
  <c r="O66" i="5"/>
  <c r="N66" i="5"/>
  <c r="AC65" i="5"/>
  <c r="AD65" i="5" s="1"/>
  <c r="AA65" i="5"/>
  <c r="AB65" i="5" s="1"/>
  <c r="Y65" i="5"/>
  <c r="Z65" i="5" s="1"/>
  <c r="W65" i="5"/>
  <c r="X65" i="5" s="1"/>
  <c r="Q65" i="5"/>
  <c r="R65" i="5" s="1"/>
  <c r="S65" i="5" s="1"/>
  <c r="T65" i="5" s="1"/>
  <c r="U65" i="5" s="1"/>
  <c r="V65" i="5" s="1"/>
  <c r="P65" i="5"/>
  <c r="AE65" i="5" s="1"/>
  <c r="AF65" i="5" s="1"/>
  <c r="O65" i="5"/>
  <c r="N65" i="5"/>
  <c r="AC64" i="5"/>
  <c r="AD64" i="5" s="1"/>
  <c r="AA64" i="5"/>
  <c r="AB64" i="5" s="1"/>
  <c r="Y64" i="5"/>
  <c r="Z64" i="5" s="1"/>
  <c r="W64" i="5"/>
  <c r="X64" i="5" s="1"/>
  <c r="Q64" i="5"/>
  <c r="R64" i="5" s="1"/>
  <c r="S64" i="5" s="1"/>
  <c r="T64" i="5" s="1"/>
  <c r="U64" i="5" s="1"/>
  <c r="V64" i="5" s="1"/>
  <c r="P64" i="5"/>
  <c r="AE64" i="5" s="1"/>
  <c r="AF64" i="5" s="1"/>
  <c r="O64" i="5"/>
  <c r="N64" i="5"/>
  <c r="AC63" i="5"/>
  <c r="AD63" i="5" s="1"/>
  <c r="AA63" i="5"/>
  <c r="AB63" i="5" s="1"/>
  <c r="Y63" i="5"/>
  <c r="Z63" i="5" s="1"/>
  <c r="W63" i="5"/>
  <c r="X63" i="5" s="1"/>
  <c r="Q63" i="5"/>
  <c r="R63" i="5" s="1"/>
  <c r="S63" i="5" s="1"/>
  <c r="T63" i="5" s="1"/>
  <c r="U63" i="5" s="1"/>
  <c r="V63" i="5" s="1"/>
  <c r="P63" i="5"/>
  <c r="AE63" i="5" s="1"/>
  <c r="AF63" i="5" s="1"/>
  <c r="O63" i="5"/>
  <c r="N63" i="5"/>
  <c r="AC62" i="5"/>
  <c r="AD62" i="5" s="1"/>
  <c r="AA62" i="5"/>
  <c r="AB62" i="5" s="1"/>
  <c r="Y62" i="5"/>
  <c r="Z62" i="5" s="1"/>
  <c r="W62" i="5"/>
  <c r="X62" i="5" s="1"/>
  <c r="Q62" i="5"/>
  <c r="R62" i="5" s="1"/>
  <c r="S62" i="5" s="1"/>
  <c r="T62" i="5" s="1"/>
  <c r="U62" i="5" s="1"/>
  <c r="V62" i="5" s="1"/>
  <c r="P62" i="5"/>
  <c r="AE62" i="5" s="1"/>
  <c r="AF62" i="5" s="1"/>
  <c r="O62" i="5"/>
  <c r="N62" i="5"/>
  <c r="AC61" i="5"/>
  <c r="AD61" i="5" s="1"/>
  <c r="AA61" i="5"/>
  <c r="AB61" i="5" s="1"/>
  <c r="Y61" i="5"/>
  <c r="Z61" i="5" s="1"/>
  <c r="W61" i="5"/>
  <c r="X61" i="5" s="1"/>
  <c r="Q61" i="5"/>
  <c r="R61" i="5" s="1"/>
  <c r="S61" i="5" s="1"/>
  <c r="T61" i="5" s="1"/>
  <c r="U61" i="5" s="1"/>
  <c r="V61" i="5" s="1"/>
  <c r="P61" i="5"/>
  <c r="AE61" i="5" s="1"/>
  <c r="AF61" i="5" s="1"/>
  <c r="O61" i="5"/>
  <c r="N61" i="5"/>
  <c r="AC60" i="5"/>
  <c r="AD60" i="5" s="1"/>
  <c r="AA60" i="5"/>
  <c r="AB60" i="5" s="1"/>
  <c r="Y60" i="5"/>
  <c r="Z60" i="5" s="1"/>
  <c r="W60" i="5"/>
  <c r="X60" i="5" s="1"/>
  <c r="Q60" i="5"/>
  <c r="R60" i="5" s="1"/>
  <c r="S60" i="5" s="1"/>
  <c r="T60" i="5" s="1"/>
  <c r="U60" i="5" s="1"/>
  <c r="V60" i="5" s="1"/>
  <c r="P60" i="5"/>
  <c r="AE60" i="5" s="1"/>
  <c r="AF60" i="5" s="1"/>
  <c r="O60" i="5"/>
  <c r="N60" i="5"/>
  <c r="E14" i="4"/>
  <c r="E10" i="4"/>
  <c r="E9" i="4"/>
  <c r="E8" i="4"/>
  <c r="E7" i="4"/>
  <c r="E6" i="4"/>
  <c r="B4" i="4" s="1"/>
  <c r="R21" i="1"/>
  <c r="R28" i="1" s="1"/>
  <c r="Q21" i="1"/>
  <c r="Q28" i="1" s="1"/>
  <c r="P21" i="1"/>
  <c r="P28" i="1" s="1"/>
  <c r="R20" i="1"/>
  <c r="R27" i="1" s="1"/>
  <c r="R34" i="1" s="1"/>
  <c r="Q20" i="1"/>
  <c r="Q27" i="1" s="1"/>
  <c r="Q34" i="1" s="1"/>
  <c r="P20" i="1"/>
  <c r="P27" i="1" s="1"/>
  <c r="P34" i="1" s="1"/>
  <c r="R19" i="1"/>
  <c r="R26" i="1" s="1"/>
  <c r="R33" i="1" s="1"/>
  <c r="Q19" i="1"/>
  <c r="Q26" i="1" s="1"/>
  <c r="Q33" i="1" s="1"/>
  <c r="P19" i="1"/>
  <c r="P26" i="1" s="1"/>
  <c r="P33" i="1" s="1"/>
  <c r="R18" i="1"/>
  <c r="R25" i="1" s="1"/>
  <c r="R32" i="1" s="1"/>
  <c r="Q18" i="1"/>
  <c r="Q25" i="1" s="1"/>
  <c r="Q32" i="1" s="1"/>
  <c r="P18" i="1"/>
  <c r="P25" i="1" s="1"/>
  <c r="P32" i="1" s="1"/>
  <c r="R17" i="1"/>
  <c r="R24" i="1" s="1"/>
  <c r="R31" i="1" s="1"/>
  <c r="Q17" i="1"/>
  <c r="Q24" i="1" s="1"/>
  <c r="Q31" i="1" s="1"/>
  <c r="P17" i="1"/>
  <c r="P24" i="1" s="1"/>
  <c r="P31" i="1" s="1"/>
  <c r="R16" i="1"/>
  <c r="R23" i="1" s="1"/>
  <c r="R30" i="1" s="1"/>
  <c r="Q16" i="1"/>
  <c r="Q23" i="1" s="1"/>
  <c r="Q30" i="1" s="1"/>
  <c r="P16" i="1"/>
  <c r="P23" i="1" s="1"/>
  <c r="P30" i="1" s="1"/>
  <c r="B16" i="1"/>
  <c r="B17" i="1" s="1"/>
  <c r="R15" i="1"/>
  <c r="R22" i="1" s="1"/>
  <c r="R29" i="1" s="1"/>
  <c r="Q15" i="1"/>
  <c r="Q22" i="1" s="1"/>
  <c r="Q29" i="1" s="1"/>
  <c r="P15" i="1"/>
  <c r="P22" i="1" s="1"/>
  <c r="P29" i="1" s="1"/>
  <c r="D2" i="1"/>
  <c r="D1" i="1"/>
  <c r="AE57" i="5" l="1"/>
  <c r="Q57" i="5"/>
  <c r="R57" i="5" s="1"/>
  <c r="S57" i="5" s="1"/>
  <c r="T57" i="5" s="1"/>
  <c r="U57" i="5" s="1"/>
  <c r="AE6" i="5"/>
  <c r="Q6" i="5"/>
  <c r="R6" i="5" s="1"/>
  <c r="S6" i="5" s="1"/>
  <c r="T6" i="5" s="1"/>
  <c r="U6" i="5" s="1"/>
  <c r="AE53" i="5"/>
  <c r="Q53" i="5"/>
  <c r="R53" i="5" s="1"/>
  <c r="S53" i="5" s="1"/>
  <c r="T53" i="5" s="1"/>
  <c r="U53" i="5" s="1"/>
  <c r="AE55" i="5"/>
  <c r="Q55" i="5"/>
  <c r="R55" i="5" s="1"/>
  <c r="S55" i="5" s="1"/>
  <c r="T55" i="5" s="1"/>
  <c r="U55" i="5" s="1"/>
  <c r="AE39" i="5"/>
  <c r="Q39" i="5"/>
  <c r="R39" i="5" s="1"/>
  <c r="S39" i="5" s="1"/>
  <c r="T39" i="5" s="1"/>
  <c r="U39" i="5" s="1"/>
  <c r="AE27" i="5"/>
  <c r="Q27" i="5"/>
  <c r="R27" i="5" s="1"/>
  <c r="S27" i="5" s="1"/>
  <c r="T27" i="5" s="1"/>
  <c r="U27" i="5" s="1"/>
  <c r="AE43" i="5"/>
  <c r="Q43" i="5"/>
  <c r="R43" i="5" s="1"/>
  <c r="S43" i="5" s="1"/>
  <c r="T43" i="5" s="1"/>
  <c r="U43" i="5" s="1"/>
  <c r="AE33" i="5"/>
  <c r="Q33" i="5"/>
  <c r="R33" i="5" s="1"/>
  <c r="S33" i="5" s="1"/>
  <c r="T33" i="5" s="1"/>
  <c r="U33" i="5" s="1"/>
  <c r="AE51" i="5"/>
  <c r="Q51" i="5"/>
  <c r="R51" i="5" s="1"/>
  <c r="S51" i="5" s="1"/>
  <c r="T51" i="5" s="1"/>
  <c r="U51" i="5" s="1"/>
  <c r="AE59" i="5"/>
  <c r="Q59" i="5"/>
  <c r="R59" i="5" s="1"/>
  <c r="S59" i="5" s="1"/>
  <c r="T59" i="5" s="1"/>
  <c r="U59" i="5" s="1"/>
  <c r="AE47" i="5"/>
  <c r="Q47" i="5"/>
  <c r="R47" i="5" s="1"/>
  <c r="S47" i="5" s="1"/>
  <c r="T47" i="5" s="1"/>
  <c r="U47" i="5" s="1"/>
  <c r="AE49" i="5"/>
  <c r="Q49" i="5"/>
  <c r="R49" i="5" s="1"/>
  <c r="S49" i="5" s="1"/>
  <c r="T49" i="5" s="1"/>
  <c r="U49" i="5" s="1"/>
  <c r="AE45" i="5"/>
  <c r="Q45" i="5"/>
  <c r="R45" i="5" s="1"/>
  <c r="S45" i="5" s="1"/>
  <c r="T45" i="5" s="1"/>
  <c r="U45" i="5" s="1"/>
  <c r="AE18" i="5"/>
  <c r="Q18" i="5"/>
  <c r="R18" i="5" s="1"/>
  <c r="S18" i="5" s="1"/>
  <c r="T18" i="5" s="1"/>
  <c r="U18" i="5" s="1"/>
  <c r="AE15" i="5"/>
  <c r="Q15" i="5"/>
  <c r="R15" i="5" s="1"/>
  <c r="S15" i="5" s="1"/>
  <c r="T15" i="5" s="1"/>
  <c r="U15" i="5" s="1"/>
  <c r="AE58" i="5"/>
  <c r="Q58" i="5"/>
  <c r="R58" i="5" s="1"/>
  <c r="S58" i="5" s="1"/>
  <c r="T58" i="5" s="1"/>
  <c r="U58" i="5" s="1"/>
  <c r="AE41" i="5"/>
  <c r="Q41" i="5"/>
  <c r="R41" i="5" s="1"/>
  <c r="S41" i="5" s="1"/>
  <c r="T41" i="5" s="1"/>
  <c r="U41" i="5" s="1"/>
  <c r="AE12" i="5"/>
  <c r="Q12" i="5"/>
  <c r="R12" i="5" s="1"/>
  <c r="S12" i="5" s="1"/>
  <c r="T12" i="5" s="1"/>
  <c r="U12" i="5" s="1"/>
  <c r="AE56" i="5"/>
  <c r="Q56" i="5"/>
  <c r="R56" i="5" s="1"/>
  <c r="S56" i="5" s="1"/>
  <c r="T56" i="5" s="1"/>
  <c r="U56" i="5" s="1"/>
  <c r="AE54" i="5"/>
  <c r="Q54" i="5"/>
  <c r="R54" i="5" s="1"/>
  <c r="S54" i="5" s="1"/>
  <c r="T54" i="5" s="1"/>
  <c r="U54" i="5" s="1"/>
  <c r="AE52" i="5"/>
  <c r="Q52" i="5"/>
  <c r="R52" i="5" s="1"/>
  <c r="S52" i="5" s="1"/>
  <c r="T52" i="5" s="1"/>
  <c r="U52" i="5" s="1"/>
  <c r="Y52" i="5" s="1"/>
  <c r="AE5" i="5"/>
  <c r="Q5" i="5"/>
  <c r="R5" i="5" s="1"/>
  <c r="S5" i="5" s="1"/>
  <c r="T5" i="5" s="1"/>
  <c r="U5" i="5" s="1"/>
  <c r="AE50" i="5"/>
  <c r="Q50" i="5"/>
  <c r="R50" i="5" s="1"/>
  <c r="S50" i="5" s="1"/>
  <c r="T50" i="5" s="1"/>
  <c r="U50" i="5" s="1"/>
  <c r="W50" i="5" s="1"/>
  <c r="X50" i="5" s="1"/>
  <c r="AE48" i="5"/>
  <c r="Q48" i="5"/>
  <c r="R48" i="5" s="1"/>
  <c r="S48" i="5" s="1"/>
  <c r="T48" i="5" s="1"/>
  <c r="U48" i="5" s="1"/>
  <c r="AE46" i="5"/>
  <c r="Q46" i="5"/>
  <c r="R46" i="5" s="1"/>
  <c r="S46" i="5" s="1"/>
  <c r="T46" i="5" s="1"/>
  <c r="U46" i="5" s="1"/>
  <c r="Y46" i="5" s="1"/>
  <c r="Z46" i="5" s="1"/>
  <c r="AE44" i="5"/>
  <c r="Q44" i="5"/>
  <c r="R44" i="5" s="1"/>
  <c r="S44" i="5" s="1"/>
  <c r="T44" i="5" s="1"/>
  <c r="U44" i="5" s="1"/>
  <c r="W44" i="5" s="1"/>
  <c r="X44" i="5" s="1"/>
  <c r="AE42" i="5"/>
  <c r="Q42" i="5"/>
  <c r="R42" i="5" s="1"/>
  <c r="S42" i="5" s="1"/>
  <c r="T42" i="5" s="1"/>
  <c r="U42" i="5" s="1"/>
  <c r="AA42" i="5" s="1"/>
  <c r="AE26" i="5"/>
  <c r="Q26" i="5"/>
  <c r="R26" i="5" s="1"/>
  <c r="S26" i="5" s="1"/>
  <c r="T26" i="5" s="1"/>
  <c r="U26" i="5" s="1"/>
  <c r="AE32" i="5"/>
  <c r="Q32" i="5"/>
  <c r="R32" i="5" s="1"/>
  <c r="S32" i="5" s="1"/>
  <c r="T32" i="5" s="1"/>
  <c r="U32" i="5" s="1"/>
  <c r="AE38" i="5"/>
  <c r="Q38" i="5"/>
  <c r="R38" i="5" s="1"/>
  <c r="S38" i="5" s="1"/>
  <c r="T38" i="5" s="1"/>
  <c r="U38" i="5" s="1"/>
  <c r="AE40" i="5"/>
  <c r="Q40" i="5"/>
  <c r="R40" i="5" s="1"/>
  <c r="S40" i="5" s="1"/>
  <c r="T40" i="5" s="1"/>
  <c r="U40" i="5" s="1"/>
  <c r="Y40" i="5" s="1"/>
  <c r="Z40" i="5" s="1"/>
  <c r="AE11" i="5"/>
  <c r="Q11" i="5"/>
  <c r="R11" i="5" s="1"/>
  <c r="S11" i="5" s="1"/>
  <c r="T11" i="5" s="1"/>
  <c r="U11" i="5" s="1"/>
  <c r="AE14" i="5"/>
  <c r="Q14" i="5"/>
  <c r="R14" i="5" s="1"/>
  <c r="S14" i="5" s="1"/>
  <c r="T14" i="5" s="1"/>
  <c r="U14" i="5" s="1"/>
  <c r="AE17" i="5"/>
  <c r="Q17" i="5"/>
  <c r="R17" i="5" s="1"/>
  <c r="S17" i="5" s="1"/>
  <c r="T17" i="5" s="1"/>
  <c r="U17" i="5" s="1"/>
  <c r="AE37" i="5"/>
  <c r="Q37" i="5"/>
  <c r="R37" i="5" s="1"/>
  <c r="S37" i="5" s="1"/>
  <c r="T37" i="5" s="1"/>
  <c r="U37" i="5" s="1"/>
  <c r="AE4" i="5"/>
  <c r="Q4" i="5"/>
  <c r="R4" i="5" s="1"/>
  <c r="S4" i="5" s="1"/>
  <c r="T4" i="5" s="1"/>
  <c r="U4" i="5" s="1"/>
  <c r="Q34" i="5"/>
  <c r="R34" i="5" s="1"/>
  <c r="S34" i="5" s="1"/>
  <c r="T34" i="5" s="1"/>
  <c r="U34" i="5" s="1"/>
  <c r="AE34" i="5"/>
  <c r="AF34" i="5" s="1"/>
  <c r="Q30" i="5"/>
  <c r="R30" i="5" s="1"/>
  <c r="S30" i="5" s="1"/>
  <c r="T30" i="5" s="1"/>
  <c r="U30" i="5" s="1"/>
  <c r="AE30" i="5"/>
  <c r="Q25" i="5"/>
  <c r="R25" i="5" s="1"/>
  <c r="S25" i="5" s="1"/>
  <c r="T25" i="5" s="1"/>
  <c r="U25" i="5" s="1"/>
  <c r="V25" i="5" s="1"/>
  <c r="AE25" i="5"/>
  <c r="Q24" i="5"/>
  <c r="R24" i="5" s="1"/>
  <c r="S24" i="5" s="1"/>
  <c r="T24" i="5" s="1"/>
  <c r="U24" i="5" s="1"/>
  <c r="AE24" i="5"/>
  <c r="AF24" i="5" s="1"/>
  <c r="Q23" i="5"/>
  <c r="R23" i="5" s="1"/>
  <c r="S23" i="5" s="1"/>
  <c r="T23" i="5" s="1"/>
  <c r="U23" i="5" s="1"/>
  <c r="AE23" i="5"/>
  <c r="AF23" i="5" s="1"/>
  <c r="Q21" i="5"/>
  <c r="R21" i="5" s="1"/>
  <c r="S21" i="5" s="1"/>
  <c r="T21" i="5" s="1"/>
  <c r="U21" i="5" s="1"/>
  <c r="AE21" i="5"/>
  <c r="AF21" i="5" s="1"/>
  <c r="Q20" i="5"/>
  <c r="R20" i="5" s="1"/>
  <c r="S20" i="5" s="1"/>
  <c r="T20" i="5" s="1"/>
  <c r="U20" i="5" s="1"/>
  <c r="AE20" i="5"/>
  <c r="AF20" i="5" s="1"/>
  <c r="Q19" i="5"/>
  <c r="R19" i="5" s="1"/>
  <c r="S19" i="5" s="1"/>
  <c r="T19" i="5" s="1"/>
  <c r="U19" i="5" s="1"/>
  <c r="V19" i="5" s="1"/>
  <c r="AE19" i="5"/>
  <c r="AF19" i="5" s="1"/>
  <c r="Q13" i="5"/>
  <c r="R13" i="5" s="1"/>
  <c r="S13" i="5" s="1"/>
  <c r="T13" i="5" s="1"/>
  <c r="U13" i="5" s="1"/>
  <c r="AE13" i="5"/>
  <c r="Q7" i="5"/>
  <c r="R7" i="5" s="1"/>
  <c r="S7" i="5" s="1"/>
  <c r="T7" i="5" s="1"/>
  <c r="U7" i="5" s="1"/>
  <c r="V7" i="5" s="1"/>
  <c r="AE7" i="5"/>
  <c r="AF7" i="5" s="1"/>
  <c r="Q3" i="5"/>
  <c r="R3" i="5" s="1"/>
  <c r="S3" i="5" s="1"/>
  <c r="T3" i="5" s="1"/>
  <c r="U3" i="5" s="1"/>
  <c r="AE3" i="5"/>
  <c r="Q2" i="5"/>
  <c r="R2" i="5" s="1"/>
  <c r="S2" i="5" s="1"/>
  <c r="T2" i="5" s="1"/>
  <c r="U2" i="5" s="1"/>
  <c r="AE2" i="5"/>
  <c r="A4" i="7"/>
  <c r="AF3" i="5"/>
  <c r="AF16" i="5"/>
  <c r="AF30" i="5"/>
  <c r="AF36" i="5"/>
  <c r="V28" i="5"/>
  <c r="AA28" i="5"/>
  <c r="AB28" i="5" s="1"/>
  <c r="V10" i="5"/>
  <c r="Y10" i="5"/>
  <c r="V36" i="5"/>
  <c r="AA36" i="5"/>
  <c r="AA35" i="5"/>
  <c r="AB35" i="5" s="1"/>
  <c r="V35" i="5"/>
  <c r="V30" i="5"/>
  <c r="AA30" i="5"/>
  <c r="AA19" i="5"/>
  <c r="V29" i="5"/>
  <c r="AA29" i="5"/>
  <c r="AB29" i="5" s="1"/>
  <c r="V21" i="5"/>
  <c r="AA21" i="5"/>
  <c r="AB21" i="5" s="1"/>
  <c r="Y3" i="5"/>
  <c r="V3" i="5"/>
  <c r="AA34" i="5"/>
  <c r="AB34" i="5" s="1"/>
  <c r="V34" i="5"/>
  <c r="V22" i="5"/>
  <c r="AA22" i="5"/>
  <c r="AB22" i="5" s="1"/>
  <c r="V20" i="5"/>
  <c r="AA20" i="5"/>
  <c r="AB20" i="5" s="1"/>
  <c r="Y7" i="5"/>
  <c r="Z7" i="5" s="1"/>
  <c r="Y2" i="5"/>
  <c r="Z2" i="5" s="1"/>
  <c r="V2" i="5"/>
  <c r="V24" i="5"/>
  <c r="AA24" i="5"/>
  <c r="AB24" i="5" s="1"/>
  <c r="V16" i="5"/>
  <c r="Y16" i="5"/>
  <c r="AA23" i="5"/>
  <c r="AB23" i="5" s="1"/>
  <c r="V23" i="5"/>
  <c r="Y13" i="5"/>
  <c r="V13" i="5"/>
  <c r="Y9" i="5"/>
  <c r="Z9" i="5" s="1"/>
  <c r="V9" i="5"/>
  <c r="Y8" i="5"/>
  <c r="Z8" i="5" s="1"/>
  <c r="V8" i="5"/>
  <c r="E32" i="4"/>
  <c r="G8" i="1"/>
  <c r="H8" i="1"/>
  <c r="E13" i="4"/>
  <c r="E5" i="1"/>
  <c r="J8" i="1"/>
  <c r="F8" i="1"/>
  <c r="I8" i="1"/>
  <c r="E8" i="1"/>
  <c r="F32" i="4"/>
  <c r="H7" i="1"/>
  <c r="C32" i="4"/>
  <c r="F29" i="4"/>
  <c r="C28" i="4"/>
  <c r="F25" i="4"/>
  <c r="E22" i="4"/>
  <c r="C20" i="4"/>
  <c r="E30" i="4"/>
  <c r="E26" i="4"/>
  <c r="C24" i="4"/>
  <c r="F21" i="4"/>
  <c r="E18" i="4"/>
  <c r="B18" i="1"/>
  <c r="F18" i="4"/>
  <c r="E19" i="4"/>
  <c r="C21" i="4"/>
  <c r="F22" i="4"/>
  <c r="E23" i="4"/>
  <c r="C25" i="4"/>
  <c r="F26" i="4"/>
  <c r="E27" i="4"/>
  <c r="C29" i="4"/>
  <c r="F30" i="4"/>
  <c r="E31" i="4"/>
  <c r="F33" i="4"/>
  <c r="F6" i="1"/>
  <c r="C18" i="4"/>
  <c r="F19" i="4"/>
  <c r="E20" i="4"/>
  <c r="C22" i="4"/>
  <c r="F23" i="4"/>
  <c r="E24" i="4"/>
  <c r="C26" i="4"/>
  <c r="F27" i="4"/>
  <c r="E28" i="4"/>
  <c r="C30" i="4"/>
  <c r="F31" i="4"/>
  <c r="G6" i="1"/>
  <c r="C19" i="4"/>
  <c r="F20" i="4"/>
  <c r="E21" i="4"/>
  <c r="C23" i="4"/>
  <c r="F24" i="4"/>
  <c r="E25" i="4"/>
  <c r="C27" i="4"/>
  <c r="F28" i="4"/>
  <c r="E29" i="4"/>
  <c r="C31" i="4"/>
  <c r="E6" i="1" l="1"/>
  <c r="J7" i="1"/>
  <c r="N7" i="1" s="1"/>
  <c r="G5" i="1"/>
  <c r="J6" i="1"/>
  <c r="D7" i="1"/>
  <c r="K5" i="1"/>
  <c r="F5" i="1"/>
  <c r="K6" i="1"/>
  <c r="E7" i="1"/>
  <c r="I5" i="1"/>
  <c r="N5" i="1" s="1"/>
  <c r="I7" i="1"/>
  <c r="J5" i="1"/>
  <c r="G7" i="1"/>
  <c r="D6" i="1"/>
  <c r="D5" i="1"/>
  <c r="M5" i="1" s="1"/>
  <c r="K8" i="1"/>
  <c r="N8" i="1" s="1"/>
  <c r="K7" i="1"/>
  <c r="H6" i="1"/>
  <c r="N6" i="1" s="1"/>
  <c r="H5" i="1"/>
  <c r="AA25" i="5"/>
  <c r="I6" i="1"/>
  <c r="F7" i="1"/>
  <c r="D8" i="1"/>
  <c r="Y57" i="5"/>
  <c r="V57" i="5"/>
  <c r="AF57" i="5"/>
  <c r="Y6" i="5"/>
  <c r="Z6" i="5" s="1"/>
  <c r="V6" i="5"/>
  <c r="AF6" i="5"/>
  <c r="Y53" i="5"/>
  <c r="V53" i="5"/>
  <c r="AF53" i="5"/>
  <c r="Y55" i="5"/>
  <c r="V55" i="5"/>
  <c r="AF55" i="5"/>
  <c r="AA39" i="5"/>
  <c r="V39" i="5"/>
  <c r="AF39" i="5"/>
  <c r="AA27" i="5"/>
  <c r="AB27" i="5" s="1"/>
  <c r="V27" i="5"/>
  <c r="AF27" i="5"/>
  <c r="AA43" i="5"/>
  <c r="V43" i="5"/>
  <c r="AF43" i="5"/>
  <c r="AA33" i="5"/>
  <c r="V33" i="5"/>
  <c r="AF33" i="5"/>
  <c r="W51" i="5"/>
  <c r="X51" i="5" s="1"/>
  <c r="V51" i="5"/>
  <c r="AF51" i="5"/>
  <c r="Y59" i="5"/>
  <c r="Z59" i="5" s="1"/>
  <c r="V59" i="5"/>
  <c r="AF59" i="5"/>
  <c r="Y47" i="5"/>
  <c r="Z47" i="5" s="1"/>
  <c r="V47" i="5"/>
  <c r="AF47" i="5"/>
  <c r="Y49" i="5"/>
  <c r="Z49" i="5" s="1"/>
  <c r="V49" i="5"/>
  <c r="AF49" i="5"/>
  <c r="W45" i="5"/>
  <c r="X45" i="5" s="1"/>
  <c r="V45" i="5"/>
  <c r="AF45" i="5"/>
  <c r="Y18" i="5"/>
  <c r="V18" i="5"/>
  <c r="AF18" i="5"/>
  <c r="Y15" i="5"/>
  <c r="V15" i="5"/>
  <c r="AF15" i="5"/>
  <c r="Y58" i="5"/>
  <c r="Z58" i="5" s="1"/>
  <c r="V58" i="5"/>
  <c r="AF58" i="5"/>
  <c r="Y41" i="5"/>
  <c r="V41" i="5"/>
  <c r="AF41" i="5"/>
  <c r="Y12" i="5"/>
  <c r="V12" i="5"/>
  <c r="AF12" i="5"/>
  <c r="Y56" i="5"/>
  <c r="V56" i="5"/>
  <c r="AF56" i="5"/>
  <c r="Y54" i="5"/>
  <c r="V54" i="5"/>
  <c r="AF54" i="5"/>
  <c r="W52" i="5"/>
  <c r="X52" i="5" s="1"/>
  <c r="V52" i="5"/>
  <c r="AF52" i="5"/>
  <c r="Y5" i="5"/>
  <c r="V5" i="5"/>
  <c r="AF5" i="5"/>
  <c r="Y50" i="5"/>
  <c r="Z50" i="5" s="1"/>
  <c r="V50" i="5"/>
  <c r="AF50" i="5"/>
  <c r="Y48" i="5"/>
  <c r="Z48" i="5" s="1"/>
  <c r="V48" i="5"/>
  <c r="AF48" i="5"/>
  <c r="W46" i="5"/>
  <c r="X46" i="5" s="1"/>
  <c r="V46" i="5"/>
  <c r="AF46" i="5"/>
  <c r="AA44" i="5"/>
  <c r="AB44" i="5" s="1"/>
  <c r="V44" i="5"/>
  <c r="AF44" i="5"/>
  <c r="Y42" i="5"/>
  <c r="Z42" i="5" s="1"/>
  <c r="V42" i="5"/>
  <c r="AF42" i="5"/>
  <c r="AA26" i="5"/>
  <c r="V26" i="5"/>
  <c r="AF26" i="5"/>
  <c r="AA32" i="5"/>
  <c r="V32" i="5"/>
  <c r="AF32" i="5"/>
  <c r="AA38" i="5"/>
  <c r="V38" i="5"/>
  <c r="AF38" i="5"/>
  <c r="AA40" i="5"/>
  <c r="V40" i="5"/>
  <c r="AF40" i="5"/>
  <c r="Y11" i="5"/>
  <c r="Z11" i="5" s="1"/>
  <c r="V11" i="5"/>
  <c r="AF11" i="5"/>
  <c r="Y14" i="5"/>
  <c r="V14" i="5"/>
  <c r="AF14" i="5"/>
  <c r="Y17" i="5"/>
  <c r="V17" i="5"/>
  <c r="AF17" i="5"/>
  <c r="AA37" i="5"/>
  <c r="V37" i="5"/>
  <c r="AF37" i="5"/>
  <c r="AB36" i="5"/>
  <c r="Y4" i="5"/>
  <c r="Z52" i="5" s="1"/>
  <c r="V4" i="5"/>
  <c r="AF4" i="5"/>
  <c r="Z3" i="5"/>
  <c r="V31" i="5"/>
  <c r="AB19" i="5"/>
  <c r="AB31" i="5"/>
  <c r="AF31" i="5"/>
  <c r="AF2" i="5"/>
  <c r="AF10" i="5"/>
  <c r="AF13" i="5"/>
  <c r="AF25" i="5"/>
  <c r="AB30" i="5"/>
  <c r="A5" i="7"/>
  <c r="M8" i="1"/>
  <c r="M7" i="1"/>
  <c r="G19" i="4"/>
  <c r="D19" i="4"/>
  <c r="D25" i="4"/>
  <c r="G25" i="4"/>
  <c r="G28" i="4"/>
  <c r="D28" i="4"/>
  <c r="G23" i="4"/>
  <c r="D23" i="4"/>
  <c r="D30" i="4"/>
  <c r="G30" i="4"/>
  <c r="D29" i="4"/>
  <c r="G29" i="4"/>
  <c r="G20" i="4"/>
  <c r="D20" i="4"/>
  <c r="D26" i="4"/>
  <c r="G26" i="4"/>
  <c r="B19" i="1"/>
  <c r="G27" i="4"/>
  <c r="D27" i="4"/>
  <c r="E12" i="4"/>
  <c r="D18" i="4"/>
  <c r="G18" i="4"/>
  <c r="D24" i="4"/>
  <c r="G24" i="4"/>
  <c r="G32" i="4"/>
  <c r="D32" i="4"/>
  <c r="G31" i="4"/>
  <c r="D31" i="4"/>
  <c r="D22" i="4"/>
  <c r="G22" i="4"/>
  <c r="D21" i="4"/>
  <c r="G21" i="4"/>
  <c r="M6" i="1"/>
  <c r="Z12" i="5" l="1"/>
  <c r="Z41" i="5"/>
  <c r="Z57" i="5"/>
  <c r="Z53" i="5"/>
  <c r="Z55" i="5"/>
  <c r="AB39" i="5"/>
  <c r="AB38" i="5"/>
  <c r="Z54" i="5"/>
  <c r="Z56" i="5"/>
  <c r="AB43" i="5"/>
  <c r="AB42" i="5"/>
  <c r="AB33" i="5"/>
  <c r="AB32" i="5"/>
  <c r="AB26" i="5"/>
  <c r="Z18" i="5"/>
  <c r="Z15" i="5"/>
  <c r="N25" i="7"/>
  <c r="Z5" i="5"/>
  <c r="AB37" i="5"/>
  <c r="AB25" i="5"/>
  <c r="AB40" i="5"/>
  <c r="Z14" i="5"/>
  <c r="Z17" i="5"/>
  <c r="Z13" i="5"/>
  <c r="Z16" i="5"/>
  <c r="N2" i="7"/>
  <c r="M2" i="7"/>
  <c r="L2" i="7"/>
  <c r="K2" i="7"/>
  <c r="J2" i="7"/>
  <c r="I2" i="7"/>
  <c r="H2" i="7"/>
  <c r="G2" i="7"/>
  <c r="F2" i="7"/>
  <c r="E2" i="7"/>
  <c r="D2" i="7"/>
  <c r="C2" i="7"/>
  <c r="B2" i="7"/>
  <c r="Z10" i="5"/>
  <c r="Z4" i="5"/>
  <c r="N5" i="7"/>
  <c r="M5" i="7"/>
  <c r="L5" i="7"/>
  <c r="K5" i="7"/>
  <c r="J5" i="7"/>
  <c r="I5" i="7"/>
  <c r="H5" i="7"/>
  <c r="G5" i="7"/>
  <c r="F5" i="7"/>
  <c r="E5" i="7"/>
  <c r="D5" i="7"/>
  <c r="C5" i="7"/>
  <c r="B5" i="7"/>
  <c r="N4" i="7"/>
  <c r="M4" i="7"/>
  <c r="L4" i="7"/>
  <c r="K4" i="7"/>
  <c r="J4" i="7"/>
  <c r="I4" i="7"/>
  <c r="H4" i="7"/>
  <c r="G4" i="7"/>
  <c r="F4" i="7"/>
  <c r="E4" i="7"/>
  <c r="D4" i="7"/>
  <c r="C4" i="7"/>
  <c r="B4" i="7"/>
  <c r="N3" i="7"/>
  <c r="M3" i="7"/>
  <c r="L3" i="7"/>
  <c r="K3" i="7"/>
  <c r="J3" i="7"/>
  <c r="I3" i="7"/>
  <c r="H3" i="7"/>
  <c r="G3" i="7"/>
  <c r="F3" i="7"/>
  <c r="E3" i="7"/>
  <c r="D3" i="7"/>
  <c r="C3" i="7"/>
  <c r="B3" i="7"/>
  <c r="A6" i="7"/>
  <c r="L18" i="1"/>
  <c r="D18" i="1"/>
  <c r="C18" i="1"/>
  <c r="J18" i="1"/>
  <c r="G18" i="1"/>
  <c r="N18" i="1"/>
  <c r="I18" i="1"/>
  <c r="K18" i="1"/>
  <c r="H18" i="1"/>
  <c r="O18" i="1" s="1"/>
  <c r="M18" i="1"/>
  <c r="N15" i="1"/>
  <c r="J15" i="1"/>
  <c r="D15" i="1"/>
  <c r="M15" i="1"/>
  <c r="I15" i="1"/>
  <c r="C15" i="1"/>
  <c r="K15" i="1"/>
  <c r="L15" i="1"/>
  <c r="H15" i="1"/>
  <c r="O15" i="1" s="1"/>
  <c r="G15" i="1"/>
  <c r="K17" i="1"/>
  <c r="N17" i="1"/>
  <c r="L16" i="1"/>
  <c r="I16" i="1"/>
  <c r="N16" i="1"/>
  <c r="L17" i="1"/>
  <c r="G17" i="1"/>
  <c r="J17" i="1"/>
  <c r="M16" i="1"/>
  <c r="G16" i="1"/>
  <c r="C17" i="1"/>
  <c r="H16" i="1"/>
  <c r="O16" i="1" s="1"/>
  <c r="H17" i="1"/>
  <c r="O17" i="1" s="1"/>
  <c r="M17" i="1"/>
  <c r="D17" i="1"/>
  <c r="D16" i="1"/>
  <c r="K16" i="1"/>
  <c r="I17" i="1"/>
  <c r="C16" i="1"/>
  <c r="J16" i="1"/>
  <c r="N19" i="1"/>
  <c r="J19" i="1"/>
  <c r="D19" i="1"/>
  <c r="M19" i="1"/>
  <c r="I19" i="1"/>
  <c r="C19" i="1"/>
  <c r="B20" i="1"/>
  <c r="G19" i="1"/>
  <c r="L19" i="1"/>
  <c r="H19" i="1"/>
  <c r="O19" i="1" s="1"/>
  <c r="K19" i="1"/>
  <c r="N6" i="7" l="1"/>
  <c r="M6" i="7"/>
  <c r="L6" i="7"/>
  <c r="K6" i="7"/>
  <c r="J6" i="7"/>
  <c r="I6" i="7"/>
  <c r="H6" i="7"/>
  <c r="G6" i="7"/>
  <c r="F6" i="7"/>
  <c r="E6" i="7"/>
  <c r="D6" i="7"/>
  <c r="C6" i="7"/>
  <c r="B6" i="7"/>
  <c r="A7" i="7"/>
  <c r="B21" i="1"/>
  <c r="K20" i="1"/>
  <c r="G20" i="1"/>
  <c r="N20" i="1"/>
  <c r="J20" i="1"/>
  <c r="D20" i="1"/>
  <c r="L20" i="1"/>
  <c r="M20" i="1"/>
  <c r="I20" i="1"/>
  <c r="C20" i="1"/>
  <c r="H20" i="1"/>
  <c r="O20" i="1" s="1"/>
  <c r="N7" i="7" l="1"/>
  <c r="M7" i="7"/>
  <c r="L7" i="7"/>
  <c r="K7" i="7"/>
  <c r="J7" i="7"/>
  <c r="I7" i="7"/>
  <c r="H7" i="7"/>
  <c r="G7" i="7"/>
  <c r="F7" i="7"/>
  <c r="E7" i="7"/>
  <c r="D7" i="7"/>
  <c r="C7" i="7"/>
  <c r="B7" i="7"/>
  <c r="A8" i="7"/>
  <c r="L21" i="1"/>
  <c r="H21" i="1"/>
  <c r="O21" i="1" s="1"/>
  <c r="B22" i="1"/>
  <c r="K21" i="1"/>
  <c r="G21" i="1"/>
  <c r="I21" i="1"/>
  <c r="N21" i="1"/>
  <c r="J21" i="1"/>
  <c r="D21" i="1"/>
  <c r="M21" i="1"/>
  <c r="C21" i="1"/>
  <c r="N8" i="7" l="1"/>
  <c r="M8" i="7"/>
  <c r="L8" i="7"/>
  <c r="K8" i="7"/>
  <c r="J8" i="7"/>
  <c r="I8" i="7"/>
  <c r="H8" i="7"/>
  <c r="G8" i="7"/>
  <c r="F8" i="7"/>
  <c r="E8" i="7"/>
  <c r="D8" i="7"/>
  <c r="C8" i="7"/>
  <c r="B8" i="7"/>
  <c r="A9" i="7"/>
  <c r="M22" i="1"/>
  <c r="I22" i="1"/>
  <c r="C22" i="1"/>
  <c r="L22" i="1"/>
  <c r="H22" i="1"/>
  <c r="O22" i="1" s="1"/>
  <c r="N22" i="1"/>
  <c r="D22" i="1"/>
  <c r="B23" i="1"/>
  <c r="K22" i="1"/>
  <c r="G22" i="1"/>
  <c r="J22" i="1"/>
  <c r="N9" i="7" l="1"/>
  <c r="M9" i="7"/>
  <c r="L9" i="7"/>
  <c r="K9" i="7"/>
  <c r="J9" i="7"/>
  <c r="I9" i="7"/>
  <c r="H9" i="7"/>
  <c r="G9" i="7"/>
  <c r="F9" i="7"/>
  <c r="E9" i="7"/>
  <c r="D9" i="7"/>
  <c r="C9" i="7"/>
  <c r="B9" i="7"/>
  <c r="A10" i="7"/>
  <c r="N23" i="1"/>
  <c r="J23" i="1"/>
  <c r="D23" i="1"/>
  <c r="M23" i="1"/>
  <c r="I23" i="1"/>
  <c r="C23" i="1"/>
  <c r="B24" i="1"/>
  <c r="K23" i="1"/>
  <c r="L23" i="1"/>
  <c r="H23" i="1"/>
  <c r="O23" i="1" s="1"/>
  <c r="G23" i="1"/>
  <c r="N10" i="7" l="1"/>
  <c r="M10" i="7"/>
  <c r="L10" i="7"/>
  <c r="K10" i="7"/>
  <c r="J10" i="7"/>
  <c r="I10" i="7"/>
  <c r="H10" i="7"/>
  <c r="G10" i="7"/>
  <c r="F10" i="7"/>
  <c r="E10" i="7"/>
  <c r="D10" i="7"/>
  <c r="C10" i="7"/>
  <c r="B10" i="7"/>
  <c r="A11" i="7"/>
  <c r="B25" i="1"/>
  <c r="K24" i="1"/>
  <c r="G24" i="1"/>
  <c r="N24" i="1"/>
  <c r="J24" i="1"/>
  <c r="D24" i="1"/>
  <c r="M24" i="1"/>
  <c r="I24" i="1"/>
  <c r="C24" i="1"/>
  <c r="L24" i="1"/>
  <c r="H24" i="1"/>
  <c r="O24" i="1" s="1"/>
  <c r="N11" i="7" l="1"/>
  <c r="M11" i="7"/>
  <c r="L11" i="7"/>
  <c r="K11" i="7"/>
  <c r="J11" i="7"/>
  <c r="I11" i="7"/>
  <c r="H11" i="7"/>
  <c r="G11" i="7"/>
  <c r="F11" i="7"/>
  <c r="E11" i="7"/>
  <c r="D11" i="7"/>
  <c r="C11" i="7"/>
  <c r="B11" i="7"/>
  <c r="A12" i="7"/>
  <c r="L25" i="1"/>
  <c r="H25" i="1"/>
  <c r="O25" i="1" s="1"/>
  <c r="B26" i="1"/>
  <c r="K25" i="1"/>
  <c r="G25" i="1"/>
  <c r="I25" i="1"/>
  <c r="N25" i="1"/>
  <c r="J25" i="1"/>
  <c r="D25" i="1"/>
  <c r="M25" i="1"/>
  <c r="C25" i="1"/>
  <c r="N12" i="7" l="1"/>
  <c r="M12" i="7"/>
  <c r="L12" i="7"/>
  <c r="K12" i="7"/>
  <c r="J12" i="7"/>
  <c r="I12" i="7"/>
  <c r="H12" i="7"/>
  <c r="G12" i="7"/>
  <c r="F12" i="7"/>
  <c r="E12" i="7"/>
  <c r="D12" i="7"/>
  <c r="C12" i="7"/>
  <c r="B12" i="7"/>
  <c r="A13" i="7"/>
  <c r="M26" i="1"/>
  <c r="I26" i="1"/>
  <c r="C26" i="1"/>
  <c r="L26" i="1"/>
  <c r="H26" i="1"/>
  <c r="O26" i="1" s="1"/>
  <c r="N26" i="1"/>
  <c r="D26" i="1"/>
  <c r="B27" i="1"/>
  <c r="K26" i="1"/>
  <c r="G26" i="1"/>
  <c r="J26" i="1"/>
  <c r="N13" i="7" l="1"/>
  <c r="M13" i="7"/>
  <c r="L13" i="7"/>
  <c r="K13" i="7"/>
  <c r="J13" i="7"/>
  <c r="I13" i="7"/>
  <c r="H13" i="7"/>
  <c r="G13" i="7"/>
  <c r="F13" i="7"/>
  <c r="E13" i="7"/>
  <c r="D13" i="7"/>
  <c r="C13" i="7"/>
  <c r="B13" i="7"/>
  <c r="A14" i="7"/>
  <c r="N27" i="1"/>
  <c r="J27" i="1"/>
  <c r="D27" i="1"/>
  <c r="M27" i="1"/>
  <c r="I27" i="1"/>
  <c r="C27" i="1"/>
  <c r="B28" i="1"/>
  <c r="G27" i="1"/>
  <c r="L27" i="1"/>
  <c r="H27" i="1"/>
  <c r="O27" i="1" s="1"/>
  <c r="K27" i="1"/>
  <c r="J14" i="7" l="1"/>
  <c r="N14" i="7"/>
  <c r="M14" i="7"/>
  <c r="L14" i="7"/>
  <c r="K14" i="7"/>
  <c r="I14" i="7"/>
  <c r="H14" i="7"/>
  <c r="G14" i="7"/>
  <c r="F14" i="7"/>
  <c r="E14" i="7"/>
  <c r="D14" i="7"/>
  <c r="C14" i="7"/>
  <c r="B14" i="7"/>
  <c r="A15" i="7"/>
  <c r="B29" i="1"/>
  <c r="K28" i="1"/>
  <c r="G28" i="1"/>
  <c r="N28" i="1"/>
  <c r="J28" i="1"/>
  <c r="D28" i="1"/>
  <c r="L28" i="1"/>
  <c r="M28" i="1"/>
  <c r="I28" i="1"/>
  <c r="C28" i="1"/>
  <c r="H28" i="1"/>
  <c r="O28" i="1" s="1"/>
  <c r="N15" i="7" l="1"/>
  <c r="M15" i="7"/>
  <c r="L15" i="7"/>
  <c r="K15" i="7"/>
  <c r="J15" i="7"/>
  <c r="I15" i="7"/>
  <c r="H15" i="7"/>
  <c r="G15" i="7"/>
  <c r="F15" i="7"/>
  <c r="E15" i="7"/>
  <c r="D15" i="7"/>
  <c r="C15" i="7"/>
  <c r="B15" i="7"/>
  <c r="A16" i="7"/>
  <c r="L29" i="1"/>
  <c r="H29" i="1"/>
  <c r="O29" i="1" s="1"/>
  <c r="B30" i="1"/>
  <c r="K29" i="1"/>
  <c r="G29" i="1"/>
  <c r="M29" i="1"/>
  <c r="C29" i="1"/>
  <c r="N29" i="1"/>
  <c r="J29" i="1"/>
  <c r="D29" i="1"/>
  <c r="I29" i="1"/>
  <c r="N16" i="7" l="1"/>
  <c r="M16" i="7"/>
  <c r="L16" i="7"/>
  <c r="K16" i="7"/>
  <c r="J16" i="7"/>
  <c r="I16" i="7"/>
  <c r="H16" i="7"/>
  <c r="G16" i="7"/>
  <c r="F16" i="7"/>
  <c r="E16" i="7"/>
  <c r="D16" i="7"/>
  <c r="C16" i="7"/>
  <c r="B16" i="7"/>
  <c r="A17" i="7"/>
  <c r="M30" i="1"/>
  <c r="I30" i="1"/>
  <c r="C30" i="1"/>
  <c r="L30" i="1"/>
  <c r="H30" i="1"/>
  <c r="O30" i="1" s="1"/>
  <c r="N30" i="1"/>
  <c r="D30" i="1"/>
  <c r="B31" i="1"/>
  <c r="K30" i="1"/>
  <c r="G30" i="1"/>
  <c r="J30" i="1"/>
  <c r="N17" i="7" l="1"/>
  <c r="M17" i="7"/>
  <c r="L17" i="7"/>
  <c r="K17" i="7"/>
  <c r="J17" i="7"/>
  <c r="I17" i="7"/>
  <c r="H17" i="7"/>
  <c r="G17" i="7"/>
  <c r="F17" i="7"/>
  <c r="E17" i="7"/>
  <c r="D17" i="7"/>
  <c r="C17" i="7"/>
  <c r="B17" i="7"/>
  <c r="A18" i="7"/>
  <c r="N31" i="1"/>
  <c r="J31" i="1"/>
  <c r="D31" i="1"/>
  <c r="M31" i="1"/>
  <c r="I31" i="1"/>
  <c r="C31" i="1"/>
  <c r="B32" i="1"/>
  <c r="G31" i="1"/>
  <c r="L31" i="1"/>
  <c r="H31" i="1"/>
  <c r="O31" i="1" s="1"/>
  <c r="K31" i="1"/>
  <c r="N18" i="7" l="1"/>
  <c r="M18" i="7"/>
  <c r="L18" i="7"/>
  <c r="K18" i="7"/>
  <c r="J18" i="7"/>
  <c r="I18" i="7"/>
  <c r="H18" i="7"/>
  <c r="G18" i="7"/>
  <c r="F18" i="7"/>
  <c r="E18" i="7"/>
  <c r="D18" i="7"/>
  <c r="C18" i="7"/>
  <c r="B18" i="7"/>
  <c r="A19" i="7"/>
  <c r="B33" i="1"/>
  <c r="K32" i="1"/>
  <c r="G32" i="1"/>
  <c r="N32" i="1"/>
  <c r="J32" i="1"/>
  <c r="D32" i="1"/>
  <c r="L32" i="1"/>
  <c r="M32" i="1"/>
  <c r="I32" i="1"/>
  <c r="C32" i="1"/>
  <c r="H32" i="1"/>
  <c r="O32" i="1" s="1"/>
  <c r="N19" i="7" l="1"/>
  <c r="M19" i="7"/>
  <c r="L19" i="7"/>
  <c r="K19" i="7"/>
  <c r="J19" i="7"/>
  <c r="I19" i="7"/>
  <c r="H19" i="7"/>
  <c r="G19" i="7"/>
  <c r="F19" i="7"/>
  <c r="E19" i="7"/>
  <c r="D19" i="7"/>
  <c r="C19" i="7"/>
  <c r="B19" i="7"/>
  <c r="A20" i="7"/>
  <c r="L33" i="1"/>
  <c r="H33" i="1"/>
  <c r="O33" i="1" s="1"/>
  <c r="B34" i="1"/>
  <c r="K33" i="1"/>
  <c r="G33" i="1"/>
  <c r="M33" i="1"/>
  <c r="C33" i="1"/>
  <c r="N33" i="1"/>
  <c r="J33" i="1"/>
  <c r="D33" i="1"/>
  <c r="I33" i="1"/>
  <c r="N20" i="7" l="1"/>
  <c r="M20" i="7"/>
  <c r="L20" i="7"/>
  <c r="K20" i="7"/>
  <c r="J20" i="7"/>
  <c r="I20" i="7"/>
  <c r="H20" i="7"/>
  <c r="G20" i="7"/>
  <c r="F20" i="7"/>
  <c r="E20" i="7"/>
  <c r="D20" i="7"/>
  <c r="C20" i="7"/>
  <c r="B20" i="7"/>
  <c r="A21" i="7"/>
  <c r="M34" i="1"/>
  <c r="I34" i="1"/>
  <c r="C34" i="1"/>
  <c r="L34" i="1"/>
  <c r="H34" i="1"/>
  <c r="O34" i="1" s="1"/>
  <c r="N34" i="1"/>
  <c r="J34" i="1"/>
  <c r="D34" i="1"/>
  <c r="K34" i="1"/>
  <c r="G34" i="1"/>
  <c r="N21" i="7" l="1"/>
  <c r="M21" i="7"/>
  <c r="L21" i="7"/>
  <c r="K21" i="7"/>
  <c r="J21" i="7"/>
  <c r="I21" i="7"/>
  <c r="H21" i="7"/>
  <c r="G21" i="7"/>
  <c r="F21" i="7"/>
  <c r="E21" i="7"/>
  <c r="D21" i="7"/>
  <c r="C21" i="7"/>
  <c r="B21" i="7"/>
  <c r="A22" i="7"/>
  <c r="N22" i="7" l="1"/>
  <c r="M22" i="7"/>
  <c r="L22" i="7"/>
  <c r="K22" i="7"/>
  <c r="J22" i="7"/>
  <c r="I22" i="7"/>
  <c r="H22" i="7"/>
  <c r="G22" i="7"/>
  <c r="F22" i="7"/>
  <c r="E22" i="7"/>
  <c r="D22" i="7"/>
  <c r="C22" i="7"/>
  <c r="B22" i="7"/>
  <c r="A23" i="7"/>
  <c r="N23" i="7" l="1"/>
  <c r="M23" i="7"/>
  <c r="L23" i="7"/>
  <c r="K23" i="7"/>
  <c r="J23" i="7"/>
  <c r="I23" i="7"/>
  <c r="H23" i="7"/>
  <c r="G23" i="7"/>
  <c r="F23" i="7"/>
  <c r="E23" i="7"/>
  <c r="D23" i="7"/>
  <c r="C23" i="7"/>
  <c r="B23" i="7"/>
  <c r="A24" i="7"/>
  <c r="N24" i="7" l="1"/>
  <c r="M24" i="7"/>
  <c r="L24" i="7"/>
  <c r="K24" i="7"/>
  <c r="J24" i="7"/>
  <c r="I24" i="7"/>
  <c r="H24" i="7"/>
  <c r="G24" i="7"/>
  <c r="F24" i="7"/>
  <c r="E24" i="7"/>
  <c r="D24" i="7"/>
  <c r="C24" i="7"/>
  <c r="B24" i="7"/>
  <c r="A25" i="7"/>
  <c r="M25" i="7" l="1"/>
  <c r="L25" i="7"/>
  <c r="K25" i="7"/>
  <c r="J25" i="7"/>
  <c r="I25" i="7"/>
  <c r="H25" i="7"/>
  <c r="G25" i="7"/>
  <c r="F25" i="7"/>
  <c r="E25" i="7"/>
  <c r="D25" i="7"/>
  <c r="C25" i="7"/>
  <c r="B25" i="7"/>
  <c r="A26" i="7"/>
  <c r="N26" i="7" l="1"/>
  <c r="M26" i="7"/>
  <c r="L26" i="7"/>
  <c r="K26" i="7"/>
  <c r="J26" i="7"/>
  <c r="I26" i="7"/>
  <c r="H26" i="7"/>
  <c r="G26" i="7"/>
  <c r="F26" i="7"/>
  <c r="E26" i="7"/>
  <c r="D26" i="7"/>
  <c r="C26" i="7"/>
  <c r="B26" i="7"/>
  <c r="A27" i="7"/>
  <c r="N27" i="7" l="1"/>
  <c r="M27" i="7"/>
  <c r="L27" i="7"/>
  <c r="K27" i="7"/>
  <c r="J27" i="7"/>
  <c r="I27" i="7"/>
  <c r="H27" i="7"/>
  <c r="G27" i="7"/>
  <c r="F27" i="7"/>
  <c r="E27" i="7"/>
  <c r="D27" i="7"/>
  <c r="C27" i="7"/>
  <c r="B27" i="7"/>
  <c r="A28" i="7"/>
  <c r="N28" i="7" l="1"/>
  <c r="M28" i="7"/>
  <c r="L28" i="7"/>
  <c r="K28" i="7"/>
  <c r="J28" i="7"/>
  <c r="I28" i="7"/>
  <c r="H28" i="7"/>
  <c r="G28" i="7"/>
  <c r="F28" i="7"/>
  <c r="E28" i="7"/>
  <c r="D28" i="7"/>
  <c r="C28" i="7"/>
  <c r="B28" i="7"/>
  <c r="A29" i="7"/>
  <c r="N29" i="7" l="1"/>
  <c r="M29" i="7"/>
  <c r="L29" i="7"/>
  <c r="K29" i="7"/>
  <c r="J29" i="7"/>
  <c r="I29" i="7"/>
  <c r="H29" i="7"/>
  <c r="G29" i="7"/>
  <c r="F29" i="7"/>
  <c r="E29" i="7"/>
  <c r="D29" i="7"/>
  <c r="C29" i="7"/>
  <c r="B29" i="7"/>
  <c r="A30" i="7"/>
  <c r="N30" i="7" l="1"/>
  <c r="M30" i="7"/>
  <c r="L30" i="7"/>
  <c r="K30" i="7"/>
  <c r="J30" i="7"/>
  <c r="I30" i="7"/>
  <c r="H30" i="7"/>
  <c r="G30" i="7"/>
  <c r="F30" i="7"/>
  <c r="E30" i="7"/>
  <c r="D30" i="7"/>
  <c r="C30" i="7"/>
  <c r="B30" i="7"/>
  <c r="A31" i="7"/>
  <c r="N31" i="7" l="1"/>
  <c r="M31" i="7"/>
  <c r="L31" i="7"/>
  <c r="K31" i="7"/>
  <c r="J31" i="7"/>
  <c r="I31" i="7"/>
  <c r="H31" i="7"/>
  <c r="G31" i="7"/>
  <c r="F31" i="7"/>
  <c r="E31" i="7"/>
  <c r="D31" i="7"/>
  <c r="C31" i="7"/>
  <c r="B31" i="7"/>
  <c r="A32" i="7"/>
  <c r="N32" i="7" l="1"/>
  <c r="M32" i="7"/>
  <c r="L32" i="7"/>
  <c r="K32" i="7"/>
  <c r="J32" i="7"/>
  <c r="I32" i="7"/>
  <c r="H32" i="7"/>
  <c r="G32" i="7"/>
  <c r="F32" i="7"/>
  <c r="E32" i="7"/>
  <c r="D32" i="7"/>
  <c r="C32" i="7"/>
  <c r="B32" i="7"/>
  <c r="A33" i="7"/>
  <c r="N33" i="7" l="1"/>
  <c r="M33" i="7"/>
  <c r="L33" i="7"/>
  <c r="K33" i="7"/>
  <c r="J33" i="7"/>
  <c r="I33" i="7"/>
  <c r="H33" i="7"/>
  <c r="G33" i="7"/>
  <c r="F33" i="7"/>
  <c r="E33" i="7"/>
  <c r="D33" i="7"/>
  <c r="C33" i="7"/>
  <c r="B33" i="7"/>
  <c r="A34" i="7"/>
  <c r="N34" i="7" l="1"/>
  <c r="M34" i="7"/>
  <c r="L34" i="7"/>
  <c r="K34" i="7"/>
  <c r="J34" i="7"/>
  <c r="I34" i="7"/>
  <c r="H34" i="7"/>
  <c r="G34" i="7"/>
  <c r="F34" i="7"/>
  <c r="E34" i="7"/>
  <c r="D34" i="7"/>
  <c r="C34" i="7"/>
  <c r="B34" i="7"/>
  <c r="A35" i="7"/>
  <c r="N35" i="7" l="1"/>
  <c r="M35" i="7"/>
  <c r="L35" i="7"/>
  <c r="K35" i="7"/>
  <c r="J35" i="7"/>
  <c r="I35" i="7"/>
  <c r="H35" i="7"/>
  <c r="G35" i="7"/>
  <c r="F35" i="7"/>
  <c r="E35" i="7"/>
  <c r="D35" i="7"/>
  <c r="C35" i="7"/>
  <c r="B35" i="7"/>
  <c r="A36" i="7"/>
  <c r="N36" i="7" l="1"/>
  <c r="M36" i="7"/>
  <c r="L36" i="7"/>
  <c r="K36" i="7"/>
  <c r="J36" i="7"/>
  <c r="I36" i="7"/>
  <c r="H36" i="7"/>
  <c r="G36" i="7"/>
  <c r="F36" i="7"/>
  <c r="E36" i="7"/>
  <c r="D36" i="7"/>
  <c r="C36" i="7"/>
  <c r="B36" i="7"/>
  <c r="A37" i="7"/>
  <c r="N37" i="7" l="1"/>
  <c r="M37" i="7"/>
  <c r="L37" i="7"/>
  <c r="K37" i="7"/>
  <c r="J37" i="7"/>
  <c r="I37" i="7"/>
  <c r="H37" i="7"/>
  <c r="G37" i="7"/>
  <c r="F37" i="7"/>
  <c r="E37" i="7"/>
  <c r="D37" i="7"/>
  <c r="C37" i="7"/>
  <c r="B37" i="7"/>
  <c r="A38" i="7"/>
  <c r="N38" i="7" l="1"/>
  <c r="M38" i="7"/>
  <c r="L38" i="7"/>
  <c r="K38" i="7"/>
  <c r="J38" i="7"/>
  <c r="I38" i="7"/>
  <c r="H38" i="7"/>
  <c r="G38" i="7"/>
  <c r="F38" i="7"/>
  <c r="E38" i="7"/>
  <c r="D38" i="7"/>
  <c r="C38" i="7"/>
  <c r="B38" i="7"/>
  <c r="A39" i="7"/>
  <c r="N39" i="7" l="1"/>
  <c r="M39" i="7"/>
  <c r="L39" i="7"/>
  <c r="K39" i="7"/>
  <c r="J39" i="7"/>
  <c r="I39" i="7"/>
  <c r="H39" i="7"/>
  <c r="G39" i="7"/>
  <c r="F39" i="7"/>
  <c r="E39" i="7"/>
  <c r="D39" i="7"/>
  <c r="C39" i="7"/>
  <c r="B39" i="7"/>
  <c r="A40" i="7"/>
  <c r="N40" i="7" l="1"/>
  <c r="M40" i="7"/>
  <c r="L40" i="7"/>
  <c r="K40" i="7"/>
  <c r="J40" i="7"/>
  <c r="I40" i="7"/>
  <c r="H40" i="7"/>
  <c r="G40" i="7"/>
  <c r="F40" i="7"/>
  <c r="E40" i="7"/>
  <c r="D40" i="7"/>
  <c r="C40" i="7"/>
  <c r="B40" i="7"/>
  <c r="A41" i="7"/>
  <c r="N41" i="7" l="1"/>
  <c r="M41" i="7"/>
  <c r="L41" i="7"/>
  <c r="K41" i="7"/>
  <c r="J41" i="7"/>
  <c r="I41" i="7"/>
  <c r="H41" i="7"/>
  <c r="G41" i="7"/>
  <c r="F41" i="7"/>
  <c r="E41" i="7"/>
  <c r="D41" i="7"/>
  <c r="C41" i="7"/>
  <c r="B41" i="7"/>
  <c r="A42" i="7"/>
  <c r="N42" i="7" l="1"/>
  <c r="M42" i="7"/>
  <c r="L42" i="7"/>
  <c r="K42" i="7"/>
  <c r="J42" i="7"/>
  <c r="I42" i="7"/>
  <c r="H42" i="7"/>
  <c r="G42" i="7"/>
  <c r="F42" i="7"/>
  <c r="E42" i="7"/>
  <c r="D42" i="7"/>
  <c r="C42" i="7"/>
  <c r="B42" i="7"/>
  <c r="A43" i="7"/>
  <c r="N43" i="7" l="1"/>
  <c r="M43" i="7"/>
  <c r="L43" i="7"/>
  <c r="K43" i="7"/>
  <c r="J43" i="7"/>
  <c r="I43" i="7"/>
  <c r="H43" i="7"/>
  <c r="G43" i="7"/>
  <c r="F43" i="7"/>
  <c r="E43" i="7"/>
  <c r="D43" i="7"/>
  <c r="C43" i="7"/>
  <c r="B43" i="7"/>
  <c r="A44" i="7"/>
  <c r="N44" i="7" l="1"/>
  <c r="M44" i="7"/>
  <c r="L44" i="7"/>
  <c r="K44" i="7"/>
  <c r="J44" i="7"/>
  <c r="I44" i="7"/>
  <c r="H44" i="7"/>
  <c r="G44" i="7"/>
  <c r="F44" i="7"/>
  <c r="E44" i="7"/>
  <c r="D44" i="7"/>
  <c r="C44" i="7"/>
  <c r="B44" i="7"/>
  <c r="A45" i="7"/>
  <c r="N45" i="7" l="1"/>
  <c r="M45" i="7"/>
  <c r="L45" i="7"/>
  <c r="K45" i="7"/>
  <c r="J45" i="7"/>
  <c r="I45" i="7"/>
  <c r="H45" i="7"/>
  <c r="G45" i="7"/>
  <c r="F45" i="7"/>
  <c r="E45" i="7"/>
  <c r="D45" i="7"/>
  <c r="C45" i="7"/>
  <c r="B45" i="7"/>
  <c r="A46" i="7"/>
  <c r="N46" i="7" l="1"/>
  <c r="M46" i="7"/>
  <c r="L46" i="7"/>
  <c r="K46" i="7"/>
  <c r="J46" i="7"/>
  <c r="I46" i="7"/>
  <c r="H46" i="7"/>
  <c r="G46" i="7"/>
  <c r="F46" i="7"/>
  <c r="E46" i="7"/>
  <c r="D46" i="7"/>
  <c r="C46" i="7"/>
  <c r="B46" i="7"/>
  <c r="A47" i="7"/>
  <c r="N47" i="7" l="1"/>
  <c r="M47" i="7"/>
  <c r="L47" i="7"/>
  <c r="K47" i="7"/>
  <c r="J47" i="7"/>
  <c r="I47" i="7"/>
  <c r="H47" i="7"/>
  <c r="G47" i="7"/>
  <c r="F47" i="7"/>
  <c r="E47" i="7"/>
  <c r="D47" i="7"/>
  <c r="C47" i="7"/>
  <c r="B47" i="7"/>
  <c r="A48" i="7"/>
  <c r="N48" i="7" l="1"/>
  <c r="M48" i="7"/>
  <c r="L48" i="7"/>
  <c r="K48" i="7"/>
  <c r="J48" i="7"/>
  <c r="I48" i="7"/>
  <c r="H48" i="7"/>
  <c r="G48" i="7"/>
  <c r="F48" i="7"/>
  <c r="E48" i="7"/>
  <c r="D48" i="7"/>
  <c r="C48" i="7"/>
  <c r="B48" i="7"/>
  <c r="A49" i="7"/>
  <c r="N49" i="7" l="1"/>
  <c r="M49" i="7"/>
  <c r="L49" i="7"/>
  <c r="K49" i="7"/>
  <c r="J49" i="7"/>
  <c r="I49" i="7"/>
  <c r="H49" i="7"/>
  <c r="G49" i="7"/>
  <c r="F49" i="7"/>
  <c r="E49" i="7"/>
  <c r="D49" i="7"/>
  <c r="C49" i="7"/>
  <c r="B49" i="7"/>
  <c r="A50" i="7"/>
  <c r="N50" i="7" l="1"/>
  <c r="M50" i="7"/>
  <c r="L50" i="7"/>
  <c r="K50" i="7"/>
  <c r="J50" i="7"/>
  <c r="I50" i="7"/>
  <c r="H50" i="7"/>
  <c r="G50" i="7"/>
  <c r="F50" i="7"/>
  <c r="E50" i="7"/>
  <c r="D50" i="7"/>
  <c r="C50" i="7"/>
  <c r="B50" i="7"/>
  <c r="A51" i="7"/>
  <c r="N51" i="7" l="1"/>
  <c r="M51" i="7"/>
  <c r="L51" i="7"/>
  <c r="K51" i="7"/>
  <c r="J51" i="7"/>
  <c r="I51" i="7"/>
  <c r="H51" i="7"/>
  <c r="G51" i="7"/>
  <c r="F51" i="7"/>
  <c r="E51" i="7"/>
  <c r="D51" i="7"/>
  <c r="C51" i="7"/>
  <c r="B51" i="7"/>
  <c r="A52" i="7"/>
  <c r="N52" i="7" l="1"/>
  <c r="M52" i="7"/>
  <c r="L52" i="7"/>
  <c r="K52" i="7"/>
  <c r="J52" i="7"/>
  <c r="I52" i="7"/>
  <c r="H52" i="7"/>
  <c r="G52" i="7"/>
  <c r="F52" i="7"/>
  <c r="E52" i="7"/>
  <c r="D52" i="7"/>
  <c r="C52" i="7"/>
  <c r="B52" i="7"/>
  <c r="A53" i="7"/>
  <c r="N53" i="7" l="1"/>
  <c r="M53" i="7"/>
  <c r="L53" i="7"/>
  <c r="K53" i="7"/>
  <c r="J53" i="7"/>
  <c r="I53" i="7"/>
  <c r="H53" i="7"/>
  <c r="G53" i="7"/>
  <c r="F53" i="7"/>
  <c r="E53" i="7"/>
  <c r="D53" i="7"/>
  <c r="C53" i="7"/>
  <c r="B53" i="7"/>
  <c r="A54" i="7"/>
  <c r="N54" i="7" l="1"/>
  <c r="M54" i="7"/>
  <c r="L54" i="7"/>
  <c r="K54" i="7"/>
  <c r="J54" i="7"/>
  <c r="I54" i="7"/>
  <c r="H54" i="7"/>
  <c r="G54" i="7"/>
  <c r="F54" i="7"/>
  <c r="E54" i="7"/>
  <c r="D54" i="7"/>
  <c r="C54" i="7"/>
  <c r="B54" i="7"/>
  <c r="A55" i="7"/>
  <c r="N55" i="7" l="1"/>
  <c r="M55" i="7"/>
  <c r="L55" i="7"/>
  <c r="K55" i="7"/>
  <c r="J55" i="7"/>
  <c r="I55" i="7"/>
  <c r="H55" i="7"/>
  <c r="G55" i="7"/>
  <c r="F55" i="7"/>
  <c r="E55" i="7"/>
  <c r="D55" i="7"/>
  <c r="C55" i="7"/>
  <c r="B55" i="7"/>
  <c r="A56" i="7"/>
  <c r="N56" i="7" l="1"/>
  <c r="M56" i="7"/>
  <c r="L56" i="7"/>
  <c r="K56" i="7"/>
  <c r="J56" i="7"/>
  <c r="I56" i="7"/>
  <c r="H56" i="7"/>
  <c r="G56" i="7"/>
  <c r="F56" i="7"/>
  <c r="E56" i="7"/>
  <c r="D56" i="7"/>
  <c r="C56" i="7"/>
  <c r="B56" i="7"/>
  <c r="A57" i="7"/>
  <c r="N57" i="7" l="1"/>
  <c r="M57" i="7"/>
  <c r="L57" i="7"/>
  <c r="K57" i="7"/>
  <c r="J57" i="7"/>
  <c r="I57" i="7"/>
  <c r="H57" i="7"/>
  <c r="G57" i="7"/>
  <c r="F57" i="7"/>
  <c r="E57" i="7"/>
  <c r="D57" i="7"/>
  <c r="C57" i="7"/>
  <c r="B57" i="7"/>
  <c r="A58" i="7"/>
  <c r="N58" i="7" l="1"/>
  <c r="M58" i="7"/>
  <c r="L58" i="7"/>
  <c r="K58" i="7"/>
  <c r="J58" i="7"/>
  <c r="I58" i="7"/>
  <c r="H58" i="7"/>
  <c r="G58" i="7"/>
  <c r="F58" i="7"/>
  <c r="E58" i="7"/>
  <c r="D58" i="7"/>
  <c r="C58" i="7"/>
  <c r="B58" i="7"/>
  <c r="A59" i="7"/>
  <c r="N59" i="7" l="1"/>
  <c r="M59" i="7"/>
  <c r="L59" i="7"/>
  <c r="K59" i="7"/>
  <c r="J59" i="7"/>
  <c r="I59" i="7"/>
  <c r="H59" i="7"/>
  <c r="G59" i="7"/>
  <c r="F59" i="7"/>
  <c r="E59" i="7"/>
  <c r="D59" i="7"/>
  <c r="C59" i="7"/>
  <c r="B59" i="7"/>
  <c r="A60" i="7"/>
  <c r="N60" i="7" l="1"/>
  <c r="M60" i="7"/>
  <c r="L60" i="7"/>
  <c r="K60" i="7"/>
  <c r="J60" i="7"/>
  <c r="I60" i="7"/>
  <c r="H60" i="7"/>
  <c r="G60" i="7"/>
  <c r="F60" i="7"/>
  <c r="E60" i="7"/>
  <c r="D60" i="7"/>
  <c r="C60" i="7"/>
  <c r="B60" i="7"/>
  <c r="A61" i="7"/>
  <c r="N61" i="7" l="1"/>
  <c r="M61" i="7"/>
  <c r="L61" i="7"/>
  <c r="K61" i="7"/>
  <c r="J61" i="7"/>
  <c r="I61" i="7"/>
  <c r="H61" i="7"/>
  <c r="G61" i="7"/>
  <c r="F61" i="7"/>
  <c r="E61" i="7"/>
  <c r="D61" i="7"/>
  <c r="C61" i="7"/>
  <c r="B61" i="7"/>
  <c r="A62" i="7"/>
  <c r="N62" i="7" l="1"/>
  <c r="M62" i="7"/>
  <c r="L62" i="7"/>
  <c r="K62" i="7"/>
  <c r="J62" i="7"/>
  <c r="I62" i="7"/>
  <c r="H62" i="7"/>
  <c r="G62" i="7"/>
  <c r="F62" i="7"/>
  <c r="E62" i="7"/>
  <c r="D62" i="7"/>
  <c r="C62" i="7"/>
  <c r="B62" i="7"/>
  <c r="A63" i="7"/>
  <c r="N63" i="7" l="1"/>
  <c r="M63" i="7"/>
  <c r="L63" i="7"/>
  <c r="K63" i="7"/>
  <c r="J63" i="7"/>
  <c r="I63" i="7"/>
  <c r="H63" i="7"/>
  <c r="G63" i="7"/>
  <c r="F63" i="7"/>
  <c r="E63" i="7"/>
  <c r="D63" i="7"/>
  <c r="C63" i="7"/>
  <c r="B63" i="7"/>
  <c r="A64" i="7"/>
  <c r="N64" i="7" l="1"/>
  <c r="M64" i="7"/>
  <c r="L64" i="7"/>
  <c r="K64" i="7"/>
  <c r="J64" i="7"/>
  <c r="I64" i="7"/>
  <c r="H64" i="7"/>
  <c r="G64" i="7"/>
  <c r="F64" i="7"/>
  <c r="E64" i="7"/>
  <c r="D64" i="7"/>
  <c r="C64" i="7"/>
  <c r="B64" i="7"/>
  <c r="A65" i="7"/>
  <c r="N65" i="7" l="1"/>
  <c r="M65" i="7"/>
  <c r="L65" i="7"/>
  <c r="K65" i="7"/>
  <c r="J65" i="7"/>
  <c r="I65" i="7"/>
  <c r="H65" i="7"/>
  <c r="G65" i="7"/>
  <c r="F65" i="7"/>
  <c r="E65" i="7"/>
  <c r="D65" i="7"/>
  <c r="C65" i="7"/>
  <c r="B65" i="7"/>
  <c r="A66" i="7"/>
  <c r="N66" i="7" l="1"/>
  <c r="M66" i="7"/>
  <c r="L66" i="7"/>
  <c r="K66" i="7"/>
  <c r="J66" i="7"/>
  <c r="I66" i="7"/>
  <c r="H66" i="7"/>
  <c r="G66" i="7"/>
  <c r="F66" i="7"/>
  <c r="E66" i="7"/>
  <c r="D66" i="7"/>
  <c r="C66" i="7"/>
  <c r="B66" i="7"/>
  <c r="A67" i="7"/>
  <c r="N67" i="7" l="1"/>
  <c r="M67" i="7"/>
  <c r="L67" i="7"/>
  <c r="K67" i="7"/>
  <c r="J67" i="7"/>
  <c r="I67" i="7"/>
  <c r="H67" i="7"/>
  <c r="G67" i="7"/>
  <c r="F67" i="7"/>
  <c r="E67" i="7"/>
  <c r="D67" i="7"/>
  <c r="C67" i="7"/>
  <c r="B67" i="7"/>
  <c r="A68" i="7"/>
  <c r="N68" i="7" l="1"/>
  <c r="M68" i="7"/>
  <c r="L68" i="7"/>
  <c r="K68" i="7"/>
  <c r="J68" i="7"/>
  <c r="I68" i="7"/>
  <c r="H68" i="7"/>
  <c r="G68" i="7"/>
  <c r="F68" i="7"/>
  <c r="E68" i="7"/>
  <c r="D68" i="7"/>
  <c r="C68" i="7"/>
  <c r="B68" i="7"/>
  <c r="A69" i="7"/>
  <c r="N69" i="7" l="1"/>
  <c r="M69" i="7"/>
  <c r="L69" i="7"/>
  <c r="K69" i="7"/>
  <c r="J69" i="7"/>
  <c r="I69" i="7"/>
  <c r="H69" i="7"/>
  <c r="G69" i="7"/>
  <c r="F69" i="7"/>
  <c r="E69" i="7"/>
  <c r="D69" i="7"/>
  <c r="C69" i="7"/>
  <c r="B69" i="7"/>
  <c r="A70" i="7"/>
  <c r="N70" i="7" l="1"/>
  <c r="M70" i="7"/>
  <c r="L70" i="7"/>
  <c r="K70" i="7"/>
  <c r="J70" i="7"/>
  <c r="I70" i="7"/>
  <c r="H70" i="7"/>
  <c r="G70" i="7"/>
  <c r="F70" i="7"/>
  <c r="E70" i="7"/>
  <c r="D70" i="7"/>
  <c r="C70" i="7"/>
  <c r="B70" i="7"/>
  <c r="A71" i="7"/>
  <c r="N71" i="7" l="1"/>
  <c r="M71" i="7"/>
  <c r="L71" i="7"/>
  <c r="K71" i="7"/>
  <c r="J71" i="7"/>
  <c r="I71" i="7"/>
  <c r="H71" i="7"/>
  <c r="G71" i="7"/>
  <c r="F71" i="7"/>
  <c r="E71" i="7"/>
  <c r="D71" i="7"/>
  <c r="C71" i="7"/>
  <c r="B71" i="7"/>
  <c r="A72" i="7"/>
  <c r="N72" i="7" l="1"/>
  <c r="M72" i="7"/>
  <c r="L72" i="7"/>
  <c r="K72" i="7"/>
  <c r="J72" i="7"/>
  <c r="I72" i="7"/>
  <c r="H72" i="7"/>
  <c r="G72" i="7"/>
  <c r="F72" i="7"/>
  <c r="E72" i="7"/>
  <c r="D72" i="7"/>
  <c r="C72" i="7"/>
  <c r="B72" i="7"/>
  <c r="A73" i="7"/>
  <c r="N73" i="7" l="1"/>
  <c r="M73" i="7"/>
  <c r="L73" i="7"/>
  <c r="K73" i="7"/>
  <c r="J73" i="7"/>
  <c r="I73" i="7"/>
  <c r="H73" i="7"/>
  <c r="G73" i="7"/>
  <c r="F73" i="7"/>
  <c r="E73" i="7"/>
  <c r="D73" i="7"/>
  <c r="C73" i="7"/>
  <c r="B73" i="7"/>
  <c r="A74" i="7"/>
  <c r="N74" i="7" l="1"/>
  <c r="M74" i="7"/>
  <c r="L74" i="7"/>
  <c r="K74" i="7"/>
  <c r="J74" i="7"/>
  <c r="I74" i="7"/>
  <c r="H74" i="7"/>
  <c r="G74" i="7"/>
  <c r="F74" i="7"/>
  <c r="E74" i="7"/>
  <c r="D74" i="7"/>
  <c r="C74" i="7"/>
  <c r="B74" i="7"/>
  <c r="A75" i="7"/>
  <c r="N75" i="7" l="1"/>
  <c r="M75" i="7"/>
  <c r="L75" i="7"/>
  <c r="K75" i="7"/>
  <c r="J75" i="7"/>
  <c r="I75" i="7"/>
  <c r="H75" i="7"/>
  <c r="G75" i="7"/>
  <c r="F75" i="7"/>
  <c r="E75" i="7"/>
  <c r="D75" i="7"/>
  <c r="C75" i="7"/>
  <c r="B75" i="7"/>
  <c r="A76" i="7"/>
  <c r="N76" i="7" l="1"/>
  <c r="M76" i="7"/>
  <c r="L76" i="7"/>
  <c r="K76" i="7"/>
  <c r="J76" i="7"/>
  <c r="I76" i="7"/>
  <c r="H76" i="7"/>
  <c r="G76" i="7"/>
  <c r="F76" i="7"/>
  <c r="E76" i="7"/>
  <c r="D76" i="7"/>
  <c r="C76" i="7"/>
  <c r="B76" i="7"/>
  <c r="A77" i="7"/>
  <c r="N77" i="7" l="1"/>
  <c r="M77" i="7"/>
  <c r="L77" i="7"/>
  <c r="K77" i="7"/>
  <c r="J77" i="7"/>
  <c r="I77" i="7"/>
  <c r="H77" i="7"/>
  <c r="G77" i="7"/>
  <c r="F77" i="7"/>
  <c r="E77" i="7"/>
  <c r="D77" i="7"/>
  <c r="C77" i="7"/>
  <c r="B77" i="7"/>
  <c r="A78" i="7"/>
  <c r="N78" i="7" l="1"/>
  <c r="M78" i="7"/>
  <c r="L78" i="7"/>
  <c r="K78" i="7"/>
  <c r="J78" i="7"/>
  <c r="I78" i="7"/>
  <c r="H78" i="7"/>
  <c r="G78" i="7"/>
  <c r="F78" i="7"/>
  <c r="E78" i="7"/>
  <c r="D78" i="7"/>
  <c r="C78" i="7"/>
  <c r="B78" i="7"/>
  <c r="A79" i="7"/>
  <c r="N79" i="7" l="1"/>
  <c r="M79" i="7"/>
  <c r="L79" i="7"/>
  <c r="K79" i="7"/>
  <c r="J79" i="7"/>
  <c r="I79" i="7"/>
  <c r="H79" i="7"/>
  <c r="G79" i="7"/>
  <c r="F79" i="7"/>
  <c r="E79" i="7"/>
  <c r="D79" i="7"/>
  <c r="C79" i="7"/>
  <c r="B79" i="7"/>
  <c r="A80" i="7"/>
  <c r="N80" i="7" l="1"/>
  <c r="M80" i="7"/>
  <c r="L80" i="7"/>
  <c r="K80" i="7"/>
  <c r="J80" i="7"/>
  <c r="I80" i="7"/>
  <c r="H80" i="7"/>
  <c r="G80" i="7"/>
  <c r="F80" i="7"/>
  <c r="E80" i="7"/>
  <c r="D80" i="7"/>
  <c r="C80" i="7"/>
  <c r="B80" i="7"/>
  <c r="A81" i="7"/>
  <c r="N81" i="7" l="1"/>
  <c r="M81" i="7"/>
  <c r="L81" i="7"/>
  <c r="K81" i="7"/>
  <c r="J81" i="7"/>
  <c r="I81" i="7"/>
  <c r="H81" i="7"/>
  <c r="G81" i="7"/>
  <c r="F81" i="7"/>
  <c r="E81" i="7"/>
  <c r="D81" i="7"/>
  <c r="C81" i="7"/>
  <c r="B81" i="7"/>
  <c r="A82" i="7"/>
  <c r="N82" i="7" l="1"/>
  <c r="M82" i="7"/>
  <c r="L82" i="7"/>
  <c r="K82" i="7"/>
  <c r="J82" i="7"/>
  <c r="I82" i="7"/>
  <c r="H82" i="7"/>
  <c r="G82" i="7"/>
  <c r="F82" i="7"/>
  <c r="E82" i="7"/>
  <c r="D82" i="7"/>
  <c r="C82" i="7"/>
  <c r="B82" i="7"/>
  <c r="A83" i="7"/>
  <c r="N83" i="7" l="1"/>
  <c r="M83" i="7"/>
  <c r="L83" i="7"/>
  <c r="K83" i="7"/>
  <c r="J83" i="7"/>
  <c r="I83" i="7"/>
  <c r="H83" i="7"/>
  <c r="G83" i="7"/>
  <c r="F83" i="7"/>
  <c r="E83" i="7"/>
  <c r="D83" i="7"/>
  <c r="C83" i="7"/>
  <c r="B83" i="7"/>
  <c r="A84" i="7"/>
  <c r="N84" i="7" l="1"/>
  <c r="M84" i="7"/>
  <c r="L84" i="7"/>
  <c r="K84" i="7"/>
  <c r="J84" i="7"/>
  <c r="I84" i="7"/>
  <c r="H84" i="7"/>
  <c r="G84" i="7"/>
  <c r="F84" i="7"/>
  <c r="E84" i="7"/>
  <c r="D84" i="7"/>
  <c r="C84" i="7"/>
  <c r="B84" i="7"/>
  <c r="A85" i="7"/>
  <c r="N85" i="7" l="1"/>
  <c r="M85" i="7"/>
  <c r="L85" i="7"/>
  <c r="K85" i="7"/>
  <c r="J85" i="7"/>
  <c r="I85" i="7"/>
  <c r="H85" i="7"/>
  <c r="G85" i="7"/>
  <c r="F85" i="7"/>
  <c r="E85" i="7"/>
  <c r="D85" i="7"/>
  <c r="C85" i="7"/>
  <c r="B85" i="7"/>
  <c r="A86" i="7"/>
  <c r="N86" i="7" l="1"/>
  <c r="M86" i="7"/>
  <c r="L86" i="7"/>
  <c r="K86" i="7"/>
  <c r="J86" i="7"/>
  <c r="I86" i="7"/>
  <c r="H86" i="7"/>
  <c r="G86" i="7"/>
  <c r="F86" i="7"/>
  <c r="E86" i="7"/>
  <c r="D86" i="7"/>
  <c r="C86" i="7"/>
  <c r="B86" i="7"/>
  <c r="A87" i="7"/>
  <c r="N87" i="7" l="1"/>
  <c r="M87" i="7"/>
  <c r="L87" i="7"/>
  <c r="K87" i="7"/>
  <c r="J87" i="7"/>
  <c r="I87" i="7"/>
  <c r="H87" i="7"/>
  <c r="G87" i="7"/>
  <c r="F87" i="7"/>
  <c r="E87" i="7"/>
  <c r="D87" i="7"/>
  <c r="C87" i="7"/>
  <c r="B87" i="7"/>
  <c r="A88" i="7"/>
  <c r="N88" i="7" l="1"/>
  <c r="M88" i="7"/>
  <c r="L88" i="7"/>
  <c r="K88" i="7"/>
  <c r="J88" i="7"/>
  <c r="I88" i="7"/>
  <c r="H88" i="7"/>
  <c r="G88" i="7"/>
  <c r="F88" i="7"/>
  <c r="E88" i="7"/>
  <c r="D88" i="7"/>
  <c r="C88" i="7"/>
  <c r="B88" i="7"/>
  <c r="A89" i="7"/>
  <c r="N89" i="7" l="1"/>
  <c r="M89" i="7"/>
  <c r="L89" i="7"/>
  <c r="K89" i="7"/>
  <c r="J89" i="7"/>
  <c r="I89" i="7"/>
  <c r="H89" i="7"/>
  <c r="G89" i="7"/>
  <c r="F89" i="7"/>
  <c r="E89" i="7"/>
  <c r="D89" i="7"/>
  <c r="C89" i="7"/>
  <c r="B89" i="7"/>
  <c r="A90" i="7"/>
  <c r="N90" i="7" l="1"/>
  <c r="M90" i="7"/>
  <c r="L90" i="7"/>
  <c r="K90" i="7"/>
  <c r="J90" i="7"/>
  <c r="I90" i="7"/>
  <c r="H90" i="7"/>
  <c r="G90" i="7"/>
  <c r="F90" i="7"/>
  <c r="E90" i="7"/>
  <c r="D90" i="7"/>
  <c r="C90" i="7"/>
  <c r="B90" i="7"/>
  <c r="A91" i="7"/>
  <c r="N91" i="7" l="1"/>
  <c r="M91" i="7"/>
  <c r="L91" i="7"/>
  <c r="K91" i="7"/>
  <c r="J91" i="7"/>
  <c r="I91" i="7"/>
  <c r="H91" i="7"/>
  <c r="G91" i="7"/>
  <c r="F91" i="7"/>
  <c r="E91" i="7"/>
  <c r="D91" i="7"/>
  <c r="C91" i="7"/>
  <c r="B91" i="7"/>
  <c r="A92" i="7"/>
  <c r="N92" i="7" l="1"/>
  <c r="M92" i="7"/>
  <c r="L92" i="7"/>
  <c r="K92" i="7"/>
  <c r="J92" i="7"/>
  <c r="I92" i="7"/>
  <c r="H92" i="7"/>
  <c r="G92" i="7"/>
  <c r="F92" i="7"/>
  <c r="E92" i="7"/>
  <c r="D92" i="7"/>
  <c r="C92" i="7"/>
  <c r="B92" i="7"/>
  <c r="A93" i="7"/>
  <c r="N93" i="7" l="1"/>
  <c r="M93" i="7"/>
  <c r="L93" i="7"/>
  <c r="K93" i="7"/>
  <c r="J93" i="7"/>
  <c r="I93" i="7"/>
  <c r="H93" i="7"/>
  <c r="G93" i="7"/>
  <c r="F93" i="7"/>
  <c r="E93" i="7"/>
  <c r="D93" i="7"/>
  <c r="C93" i="7"/>
  <c r="B93" i="7"/>
  <c r="A94" i="7"/>
  <c r="N94" i="7" l="1"/>
  <c r="M94" i="7"/>
  <c r="L94" i="7"/>
  <c r="K94" i="7"/>
  <c r="J94" i="7"/>
  <c r="I94" i="7"/>
  <c r="H94" i="7"/>
  <c r="G94" i="7"/>
  <c r="F94" i="7"/>
  <c r="E94" i="7"/>
  <c r="D94" i="7"/>
  <c r="C94" i="7"/>
  <c r="B94" i="7"/>
  <c r="A95" i="7"/>
  <c r="N95" i="7" l="1"/>
  <c r="M95" i="7"/>
  <c r="L95" i="7"/>
  <c r="K95" i="7"/>
  <c r="J95" i="7"/>
  <c r="I95" i="7"/>
  <c r="H95" i="7"/>
  <c r="G95" i="7"/>
  <c r="F95" i="7"/>
  <c r="E95" i="7"/>
  <c r="D95" i="7"/>
  <c r="C95" i="7"/>
  <c r="B95" i="7"/>
  <c r="A96" i="7"/>
  <c r="N96" i="7" l="1"/>
  <c r="M96" i="7"/>
  <c r="L96" i="7"/>
  <c r="K96" i="7"/>
  <c r="J96" i="7"/>
  <c r="I96" i="7"/>
  <c r="H96" i="7"/>
  <c r="G96" i="7"/>
  <c r="F96" i="7"/>
  <c r="E96" i="7"/>
  <c r="D96" i="7"/>
  <c r="C96" i="7"/>
  <c r="B96" i="7"/>
  <c r="A97" i="7"/>
  <c r="N97" i="7" l="1"/>
  <c r="M97" i="7"/>
  <c r="L97" i="7"/>
  <c r="K97" i="7"/>
  <c r="J97" i="7"/>
  <c r="I97" i="7"/>
  <c r="H97" i="7"/>
  <c r="G97" i="7"/>
  <c r="F97" i="7"/>
  <c r="E97" i="7"/>
  <c r="D97" i="7"/>
  <c r="C97" i="7"/>
  <c r="B97" i="7"/>
  <c r="A98" i="7"/>
  <c r="N98" i="7" l="1"/>
  <c r="M98" i="7"/>
  <c r="L98" i="7"/>
  <c r="K98" i="7"/>
  <c r="J98" i="7"/>
  <c r="I98" i="7"/>
  <c r="H98" i="7"/>
  <c r="G98" i="7"/>
  <c r="F98" i="7"/>
  <c r="E98" i="7"/>
  <c r="D98" i="7"/>
  <c r="C98" i="7"/>
  <c r="B98" i="7"/>
  <c r="A99" i="7"/>
  <c r="N99" i="7" l="1"/>
  <c r="M99" i="7"/>
  <c r="L99" i="7"/>
  <c r="K99" i="7"/>
  <c r="J99" i="7"/>
  <c r="I99" i="7"/>
  <c r="H99" i="7"/>
  <c r="G99" i="7"/>
  <c r="F99" i="7"/>
  <c r="E99" i="7"/>
  <c r="D99" i="7"/>
  <c r="C99" i="7"/>
  <c r="B99" i="7"/>
  <c r="A100" i="7"/>
  <c r="N100" i="7" l="1"/>
  <c r="M100" i="7"/>
  <c r="L100" i="7"/>
  <c r="K100" i="7"/>
  <c r="J100" i="7"/>
  <c r="I100" i="7"/>
  <c r="H100" i="7"/>
  <c r="G100" i="7"/>
  <c r="F100" i="7"/>
  <c r="E100" i="7"/>
  <c r="D100" i="7"/>
  <c r="C100" i="7"/>
  <c r="B100" i="7"/>
  <c r="A101" i="7"/>
  <c r="N101" i="7" l="1"/>
  <c r="M101" i="7"/>
  <c r="L101" i="7"/>
  <c r="K101" i="7"/>
  <c r="J101" i="7"/>
  <c r="I101" i="7"/>
  <c r="H101" i="7"/>
  <c r="G101" i="7"/>
  <c r="F101" i="7"/>
  <c r="E101" i="7"/>
  <c r="D101" i="7"/>
  <c r="C101" i="7"/>
  <c r="B101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Stephani</author>
  </authors>
  <commentList>
    <comment ref="I3" authorId="0" shapeId="0" xr:uid="{0D6079AE-13F3-4396-B852-FD4E9A63261E}">
      <text>
        <r>
          <rPr>
            <sz val="11"/>
            <color rgb="FF000000"/>
            <rFont val="Calibri"/>
            <family val="2"/>
            <charset val="1"/>
          </rPr>
          <t>Stephani:
OFF JANUARI 25</t>
        </r>
      </text>
    </comment>
    <comment ref="I8" authorId="0" shapeId="0" xr:uid="{DC694880-B323-47D7-A448-849FD9D7E90A}">
      <text>
        <r>
          <rPr>
            <sz val="11"/>
            <color rgb="FF000000"/>
            <rFont val="Calibri"/>
            <family val="2"/>
            <charset val="1"/>
          </rPr>
          <t>Stephani:
OFF FEB 24</t>
        </r>
      </text>
    </comment>
    <comment ref="I10" authorId="0" shapeId="0" xr:uid="{08CE5B86-8199-4526-B950-30C0ED12F8B3}">
      <text>
        <r>
          <rPr>
            <sz val="11"/>
            <color rgb="FF000000"/>
            <rFont val="Calibri"/>
            <family val="2"/>
            <charset val="1"/>
          </rPr>
          <t>Stephani:
OFF MARET 25</t>
        </r>
      </text>
    </comment>
    <comment ref="I14" authorId="0" shapeId="0" xr:uid="{2CB41DCF-B95E-4ECE-BB85-6CB2195CA292}">
      <text>
        <r>
          <rPr>
            <sz val="11"/>
            <color rgb="FF000000"/>
            <rFont val="Calibri"/>
            <family val="2"/>
            <charset val="1"/>
          </rPr>
          <t>Stephani:
OFF OKT 25</t>
        </r>
      </text>
    </comment>
    <comment ref="I17" authorId="0" shapeId="0" xr:uid="{D04F6118-075A-467E-BE5E-E3C931F2E47B}">
      <text>
        <r>
          <rPr>
            <sz val="11"/>
            <color rgb="FF000000"/>
            <rFont val="Calibri"/>
            <family val="2"/>
            <charset val="1"/>
          </rPr>
          <t>Stephani:
OFF OKT 25</t>
        </r>
      </text>
    </comment>
    <comment ref="I20" authorId="0" shapeId="0" xr:uid="{262FB7A1-5B6D-465E-939D-88A1EBB1D7D2}">
      <text>
        <r>
          <rPr>
            <sz val="11"/>
            <color rgb="FF000000"/>
            <rFont val="Calibri"/>
            <family val="2"/>
            <charset val="1"/>
          </rPr>
          <t>Stephani:
OFF SEP 22</t>
        </r>
      </text>
    </comment>
    <comment ref="I22" authorId="0" shapeId="0" xr:uid="{BA0651A4-F4E6-474C-92E1-E76DCB9B432A}">
      <text>
        <r>
          <rPr>
            <sz val="11"/>
            <color rgb="FF000000"/>
            <rFont val="Calibri"/>
            <family val="2"/>
            <charset val="1"/>
          </rPr>
          <t>Stephani:
OFF OKT 23</t>
        </r>
      </text>
    </comment>
    <comment ref="I24" authorId="0" shapeId="0" xr:uid="{11FBD344-206D-4663-99ED-631216A8ACA5}">
      <text>
        <r>
          <rPr>
            <sz val="11"/>
            <color rgb="FF000000"/>
            <rFont val="Calibri"/>
            <family val="2"/>
            <charset val="1"/>
          </rPr>
          <t>Stephani:
OFF NOV 24</t>
        </r>
      </text>
    </comment>
    <comment ref="I26" authorId="0" shapeId="0" xr:uid="{441B342C-47F8-41CA-AE38-5C4B98F24EC9}">
      <text>
        <r>
          <rPr>
            <sz val="11"/>
            <color rgb="FF000000"/>
            <rFont val="Calibri"/>
            <family val="2"/>
            <charset val="1"/>
          </rPr>
          <t>Stephani:
OFF DES 25</t>
        </r>
      </text>
    </comment>
    <comment ref="I29" authorId="0" shapeId="0" xr:uid="{A138B828-83FD-4F25-90F6-533FB3A7AE94}">
      <text>
        <r>
          <rPr>
            <sz val="11"/>
            <color rgb="FF000000"/>
            <rFont val="Calibri"/>
            <family val="2"/>
            <charset val="1"/>
          </rPr>
          <t>Stephani:
OFF MEI 24</t>
        </r>
      </text>
    </comment>
    <comment ref="I31" authorId="0" shapeId="0" xr:uid="{65C9C67F-B135-42E0-9442-DB0841194E8A}">
      <text>
        <r>
          <rPr>
            <sz val="11"/>
            <color rgb="FF000000"/>
            <rFont val="Calibri"/>
            <family val="2"/>
            <charset val="1"/>
          </rPr>
          <t>Stephani:
OFF JUN 25</t>
        </r>
      </text>
    </comment>
    <comment ref="I35" authorId="0" shapeId="0" xr:uid="{7249174A-9C1C-414E-8E82-7432D91E833B}">
      <text>
        <r>
          <rPr>
            <sz val="11"/>
            <color rgb="FF000000"/>
            <rFont val="Calibri"/>
            <family val="2"/>
            <charset val="1"/>
          </rPr>
          <t>Stephani:
OFF JUL 24</t>
        </r>
      </text>
    </comment>
    <comment ref="I37" authorId="0" shapeId="0" xr:uid="{238236B3-88F2-47A0-944C-1107CD080393}">
      <text>
        <r>
          <rPr>
            <sz val="11"/>
            <color rgb="FF000000"/>
            <rFont val="Calibri"/>
            <family val="2"/>
            <charset val="1"/>
          </rPr>
          <t>Stephani:
OFF AGUST 25</t>
        </r>
      </text>
    </comment>
  </commentList>
</comments>
</file>

<file path=xl/sharedStrings.xml><?xml version="1.0" encoding="utf-8"?>
<sst xmlns="http://schemas.openxmlformats.org/spreadsheetml/2006/main" count="779" uniqueCount="234">
  <si>
    <t>Branch Code</t>
  </si>
  <si>
    <t>Branch Name</t>
  </si>
  <si>
    <t>No. of Contract</t>
  </si>
  <si>
    <t>Pass &gt;90</t>
  </si>
  <si>
    <t>Pass 61-90</t>
  </si>
  <si>
    <t>Pass 31-60</t>
  </si>
  <si>
    <t>Pass 0-30</t>
  </si>
  <si>
    <t>Run 0-30</t>
  </si>
  <si>
    <t>Run 31-60</t>
  </si>
  <si>
    <t>Run 60-90</t>
  </si>
  <si>
    <t>Run &gt;90</t>
  </si>
  <si>
    <t>Pass</t>
  </si>
  <si>
    <t>Run</t>
  </si>
  <si>
    <t>Salesman</t>
  </si>
  <si>
    <t>Salesgirl</t>
  </si>
  <si>
    <t>Mekanik</t>
  </si>
  <si>
    <t>Admin</t>
  </si>
  <si>
    <t>All Position</t>
  </si>
  <si>
    <t>View Datas</t>
  </si>
  <si>
    <t>Run 61-90</t>
  </si>
  <si>
    <t>Position</t>
  </si>
  <si>
    <t>Status</t>
  </si>
  <si>
    <t>No</t>
  </si>
  <si>
    <t>Full Name</t>
  </si>
  <si>
    <t>Start Date</t>
  </si>
  <si>
    <t>End Date</t>
  </si>
  <si>
    <t>Last Contract No.</t>
  </si>
  <si>
    <t>Resident ID Number</t>
  </si>
  <si>
    <t>Notification</t>
  </si>
  <si>
    <t>Search &amp; Edit Database</t>
  </si>
  <si>
    <t>Enter Contract Number:</t>
  </si>
  <si>
    <t xml:space="preserve">LO.PERJ/HRD-MEK VIII-027/IV/24 </t>
  </si>
  <si>
    <t>H721</t>
  </si>
  <si>
    <t>Ketapang</t>
  </si>
  <si>
    <t>Pontianak</t>
  </si>
  <si>
    <t>Pria</t>
  </si>
  <si>
    <t>H722</t>
  </si>
  <si>
    <t>Pattimura</t>
  </si>
  <si>
    <t>Wanita</t>
  </si>
  <si>
    <t>KETAPANG</t>
  </si>
  <si>
    <t>H723</t>
  </si>
  <si>
    <t>Singkawang</t>
  </si>
  <si>
    <t>Region</t>
  </si>
  <si>
    <t>PONTIANAK</t>
  </si>
  <si>
    <t>H724</t>
  </si>
  <si>
    <t>Sanggau</t>
  </si>
  <si>
    <t xml:space="preserve">KURNIAWAN DWI PRAYOGI </t>
  </si>
  <si>
    <t>H725</t>
  </si>
  <si>
    <t>Serdam</t>
  </si>
  <si>
    <t>Place of Birth</t>
  </si>
  <si>
    <t>H726</t>
  </si>
  <si>
    <t>Ayani</t>
  </si>
  <si>
    <t>Date of Birth</t>
  </si>
  <si>
    <t>H727</t>
  </si>
  <si>
    <t>Benua Kayong</t>
  </si>
  <si>
    <t>Birth Mother's Name</t>
  </si>
  <si>
    <t>SUM ARNI</t>
  </si>
  <si>
    <t>H728</t>
  </si>
  <si>
    <t>Sintang</t>
  </si>
  <si>
    <t>Training Start Date</t>
  </si>
  <si>
    <t>H729</t>
  </si>
  <si>
    <t>Putussibau</t>
  </si>
  <si>
    <t>Training End Date</t>
  </si>
  <si>
    <t>H730</t>
  </si>
  <si>
    <t>Sambas</t>
  </si>
  <si>
    <t>MEKANIK</t>
  </si>
  <si>
    <t>Gender</t>
  </si>
  <si>
    <t>L</t>
  </si>
  <si>
    <t>Contract Number</t>
  </si>
  <si>
    <t>Resident Identification Number</t>
  </si>
  <si>
    <t>6104111404010003</t>
  </si>
  <si>
    <t>Double check the changes!</t>
  </si>
  <si>
    <t>Individual Datas</t>
  </si>
  <si>
    <t>Input Resident Identification Number</t>
  </si>
  <si>
    <t>:</t>
  </si>
  <si>
    <t>Contract Status</t>
  </si>
  <si>
    <t>History of Contract</t>
  </si>
  <si>
    <t>No.</t>
  </si>
  <si>
    <t>Magang ke</t>
  </si>
  <si>
    <t>ID0</t>
  </si>
  <si>
    <t>ID Bantu</t>
  </si>
  <si>
    <t>ID Count Dash</t>
  </si>
  <si>
    <t>ID1</t>
  </si>
  <si>
    <t>Status Dash</t>
  </si>
  <si>
    <t>Status Click</t>
  </si>
  <si>
    <t>ID Click</t>
  </si>
  <si>
    <t>Rank All</t>
  </si>
  <si>
    <t>Rank Salesman</t>
  </si>
  <si>
    <t>Rank Salesgirl</t>
  </si>
  <si>
    <t>Rank Mekanik</t>
  </si>
  <si>
    <t>Rank Admin</t>
  </si>
  <si>
    <t>Prs</t>
  </si>
  <si>
    <t>C.Prs</t>
  </si>
  <si>
    <t>SAMBAS</t>
  </si>
  <si>
    <t>PERTIWI SAFITRI</t>
  </si>
  <si>
    <t>SB KOLAM</t>
  </si>
  <si>
    <t>ELI</t>
  </si>
  <si>
    <t>SALESGIRL</t>
  </si>
  <si>
    <t>P</t>
  </si>
  <si>
    <t>LO/PERJ/HRD-H730/011/VII/2024</t>
  </si>
  <si>
    <t>6101034405040002</t>
  </si>
  <si>
    <t>LO/PERJ/HRD-H730/002/I/2025</t>
  </si>
  <si>
    <t>LO/PERJ/HRD-H730/007/VIII/2025</t>
  </si>
  <si>
    <t>LO/PERJ/HRD-H730/009/III/2026</t>
  </si>
  <si>
    <t>ELSA GUSTIANA</t>
  </si>
  <si>
    <t>SENYAWAN</t>
  </si>
  <si>
    <t>HALIJAH</t>
  </si>
  <si>
    <t>LO/PERJ/HRD-H730/016/IX/2024</t>
  </si>
  <si>
    <t>6101046008020005</t>
  </si>
  <si>
    <t>LO/PERJ/HRD-H730/006/IV/2025</t>
  </si>
  <si>
    <t>HALUAH</t>
  </si>
  <si>
    <t>LO/PERJ/HRD-H730/013/X/2025</t>
  </si>
  <si>
    <t>NADIYA</t>
  </si>
  <si>
    <t>JAWAI LAUT</t>
  </si>
  <si>
    <t>HAZIMA</t>
  </si>
  <si>
    <t>LO/PERJ/HRD-H730/018/X/2024</t>
  </si>
  <si>
    <t>6101165109000001</t>
  </si>
  <si>
    <t>LO/PERJ/HRD-H730/005/IV/2025</t>
  </si>
  <si>
    <t>LO/PERJ/HRD-H730/016/XI/2025</t>
  </si>
  <si>
    <t>TITI REISTIKA</t>
  </si>
  <si>
    <t>MATANG TERAP</t>
  </si>
  <si>
    <t>SUPRIHARTINI</t>
  </si>
  <si>
    <t>LO/PERJ/HRD-H730/019/X/2024</t>
  </si>
  <si>
    <t>6101165204010001</t>
  </si>
  <si>
    <t>LO/PERJ/HRD-H730/003/IV/2025</t>
  </si>
  <si>
    <t>LO/PERJ/HRD-H730/017/XI/2025</t>
  </si>
  <si>
    <t xml:space="preserve">HERIANTO </t>
  </si>
  <si>
    <t>SEPINGGAN JIRAK</t>
  </si>
  <si>
    <t>WAHDAH</t>
  </si>
  <si>
    <t>LO.PERJ/HRD-MEK/071/IX/21</t>
  </si>
  <si>
    <t>6101132102020001</t>
  </si>
  <si>
    <t>LO.PERJ/HRD-MEK II/024/III/22</t>
  </si>
  <si>
    <t>LO.PERJ/HRD-MEK III/099/X/22</t>
  </si>
  <si>
    <t>LO.PERJ/HRD-MEK IV/073/IV/23</t>
  </si>
  <si>
    <t>LO.PERJ/HRD-MEK V/112/XI/23</t>
  </si>
  <si>
    <t>LO.PERJ/HRD-MEK VI/047/VI/24</t>
  </si>
  <si>
    <t>LO.PERJ/HRD-MEK-VII/111/XII/24</t>
  </si>
  <si>
    <t>LO.PERJ/HRD-MEK-VIII/066/VI/25</t>
  </si>
  <si>
    <t>LO.PERJ/HRD-MEK-IX/029/I/26</t>
  </si>
  <si>
    <t>GILANG ANANDITA</t>
  </si>
  <si>
    <t>MENSERE</t>
  </si>
  <si>
    <t>YESI YANTI</t>
  </si>
  <si>
    <t>LO.PERJ/HRD-MEK/060/V/23</t>
  </si>
  <si>
    <t>6101040405030001</t>
  </si>
  <si>
    <t>LO.PERJ/HRD-MEK II/133/XI/23</t>
  </si>
  <si>
    <t>LO.PERJ/HRD-MEK III/046/VI/24</t>
  </si>
  <si>
    <t>LO.PERJ/HRD-MEK IV/132/XII/24</t>
  </si>
  <si>
    <t>LO.PERJ/HRD-MEK V/067/VII/25</t>
  </si>
  <si>
    <t>LO.PERJ/HRD-MEK VI/005/I/26</t>
  </si>
  <si>
    <t>ANGGI PRATAMA RIDNUR</t>
  </si>
  <si>
    <t>SEMPARUK</t>
  </si>
  <si>
    <t>NURHALIMAH</t>
  </si>
  <si>
    <t>LO.PERJ/HRD-MEK/080/VII/23</t>
  </si>
  <si>
    <t>6101130907030002</t>
  </si>
  <si>
    <t>LO.PERJ/HRD-MEK II/008/I/24</t>
  </si>
  <si>
    <t>LO.PERJ/HRD-MEK III/086/VIII/24</t>
  </si>
  <si>
    <t>LO.PERJ/HRD-MEK IV/019/II/25</t>
  </si>
  <si>
    <t>LO.PERJ/HRD-MEK V/068/IX/25</t>
  </si>
  <si>
    <t>LO.PERJ/HRD-MEK VI/028/III/26</t>
  </si>
  <si>
    <t>NUDIALIS SOLATA</t>
  </si>
  <si>
    <t>NANGA KANTUK</t>
  </si>
  <si>
    <t>FATMAWATI</t>
  </si>
  <si>
    <t>LO/PERJ/HRD-H730/007/IV/2025</t>
  </si>
  <si>
    <t>6101032004900002</t>
  </si>
  <si>
    <t>LO/PERJ/HRD-H730/014/X/2025</t>
  </si>
  <si>
    <t>YUDA</t>
  </si>
  <si>
    <t>CEPALA</t>
  </si>
  <si>
    <t>RUSNAH</t>
  </si>
  <si>
    <t>LO.PERJ/HRD-MEK/100/VIII/25</t>
  </si>
  <si>
    <t>6101122204060001</t>
  </si>
  <si>
    <t>LO.PERJ/HRD-MEK II/013/II/26</t>
  </si>
  <si>
    <t>BIO LESRAK ADILIATRA</t>
  </si>
  <si>
    <t>SERUMPUN</t>
  </si>
  <si>
    <t>DAKHLIA</t>
  </si>
  <si>
    <t>SALESMAN</t>
  </si>
  <si>
    <t>LO/PERJ/HRD-H730/001/VIII/2025</t>
  </si>
  <si>
    <t>6101180902910000</t>
  </si>
  <si>
    <t>LO/PERJ/HRD-H730/001/II/2026</t>
  </si>
  <si>
    <t>RISA</t>
  </si>
  <si>
    <t>SEMAYONG</t>
  </si>
  <si>
    <t>MAUZIAH</t>
  </si>
  <si>
    <t>LO/PERJ/HRD-H730/003/VIII/2025</t>
  </si>
  <si>
    <t>6101024707890005</t>
  </si>
  <si>
    <t>LO/PERJ/HRD-H730/003/II/2026</t>
  </si>
  <si>
    <t>FITRI DEWI</t>
  </si>
  <si>
    <t>SENTEBANG</t>
  </si>
  <si>
    <t>CICI</t>
  </si>
  <si>
    <t>LO/PERJ/HRD-H730/004/VIII/2025</t>
  </si>
  <si>
    <t>6101036406050002</t>
  </si>
  <si>
    <t>LO/PERJ/HRD-H730/002/II/2026</t>
  </si>
  <si>
    <t>NOPA,S.PD.K</t>
  </si>
  <si>
    <t>SINAH</t>
  </si>
  <si>
    <t>LO/PERJ/HRD-H730/006/VIII/2025</t>
  </si>
  <si>
    <t>6101101312860002</t>
  </si>
  <si>
    <t>LO/PERJ/HRD-H730/005/II/2026</t>
  </si>
  <si>
    <t>NOVI DAMAYANTI</t>
  </si>
  <si>
    <t>SARKIAH</t>
  </si>
  <si>
    <t>LO/PERJ/HRD-H730/010/IX/2025</t>
  </si>
  <si>
    <t>6101034911030001</t>
  </si>
  <si>
    <t>LO/PERJ/HRD-H730/007/III/2026</t>
  </si>
  <si>
    <t>MEMEY</t>
  </si>
  <si>
    <t>SEBURING</t>
  </si>
  <si>
    <t>RAHMAWATI</t>
  </si>
  <si>
    <t>LO/PERJ/HRD-H730/011/IX/2025</t>
  </si>
  <si>
    <t>6101134102060001</t>
  </si>
  <si>
    <t>LO/PERJ/HRD-H730/006/III/2025</t>
  </si>
  <si>
    <t>WULAN DARI</t>
  </si>
  <si>
    <t>RUMIAH</t>
  </si>
  <si>
    <t>LO/PERJ/HRD-H730/012/IX/2025</t>
  </si>
  <si>
    <t>6101044908950003</t>
  </si>
  <si>
    <t>LO/PERJ/HRD-H730/008/III/2026</t>
  </si>
  <si>
    <t>JANA WIJAYA</t>
  </si>
  <si>
    <t>SEMELAGI</t>
  </si>
  <si>
    <t>ARNA</t>
  </si>
  <si>
    <t>TEAM LEADER</t>
  </si>
  <si>
    <t>LO/PERJ/HCD/KSM-H730/008/IX/2025</t>
  </si>
  <si>
    <t>6172020504930002</t>
  </si>
  <si>
    <t>ADINDA</t>
  </si>
  <si>
    <t>TEBAS SUNGAI</t>
  </si>
  <si>
    <t>NURSINTA</t>
  </si>
  <si>
    <t>LO/PERJ/HRD-H730/004/II/2026</t>
  </si>
  <si>
    <t>6101125801020001</t>
  </si>
  <si>
    <t xml:space="preserve"> </t>
  </si>
  <si>
    <t>Timestamp</t>
  </si>
  <si>
    <t>Action</t>
  </si>
  <si>
    <t>User</t>
  </si>
  <si>
    <t>Search</t>
  </si>
  <si>
    <t>u12345678901234567890123999</t>
  </si>
  <si>
    <t>dodo</t>
  </si>
  <si>
    <t>upup</t>
  </si>
  <si>
    <t>mekanik</t>
  </si>
  <si>
    <t>pria</t>
  </si>
  <si>
    <t>1234567890123400</t>
  </si>
  <si>
    <t>USER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</si>
</sst>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* #,##0_-;\-* #,##0_-;_-* \-_-;_-@_-"/>
    <numFmt numFmtId="165" formatCode="mmm\ d&quot;, &quot;yy"/>
    <numFmt numFmtId="166" formatCode="mm/dd/yyyy"/>
    <numFmt numFmtId="167" formatCode="d\-mmm\-yy;@"/>
    <numFmt numFmtId="168" formatCode="[$-409]d\-mmm\-yy;@"/>
    <numFmt numFmtId="169" formatCode="mm/dd/yy\ hh:mm\ AM/PM"/>
  </numFmts>
  <fonts count="23" x14ac:knownFonts="1">
    <font>
      <sz val="11"/>
      <color rgb="FF000000"/>
      <name val="Calibri"/>
      <family val="2"/>
      <charset val="1"/>
    </font>
    <font>
      <sz val="11"/>
      <color theme="1"/>
      <name val="Aptos Narrow"/>
      <family val="2"/>
      <scheme val="minor"/>
    </font>
    <font>
      <b/>
      <sz val="11"/>
      <color rgb="FF000000"/>
      <name val="Calibri"/>
      <family val="2"/>
      <charset val="1"/>
    </font>
    <font>
      <b/>
      <sz val="11"/>
      <color rgb="FFFFFFFF"/>
      <name val="Calibri"/>
      <family val="2"/>
      <charset val="1"/>
    </font>
    <font>
      <b/>
      <u/>
      <sz val="11"/>
      <color rgb="FF000000"/>
      <name val="Calibri"/>
      <family val="2"/>
      <charset val="1"/>
    </font>
    <font>
      <sz val="10"/>
      <color rgb="FF000000"/>
      <name val="Calibri"/>
      <family val="2"/>
      <charset val="1"/>
    </font>
    <font>
      <b/>
      <sz val="10"/>
      <color rgb="FFFF0000"/>
      <name val="Calibri"/>
      <family val="2"/>
      <charset val="1"/>
    </font>
    <font>
      <b/>
      <sz val="11"/>
      <color rgb="FFFF0000"/>
      <name val="Calibri"/>
      <family val="2"/>
      <charset val="1"/>
    </font>
    <font>
      <b/>
      <u/>
      <sz val="16"/>
      <color rgb="FFF79646"/>
      <name val="Calibri"/>
      <family val="2"/>
      <charset val="1"/>
    </font>
    <font>
      <b/>
      <u/>
      <sz val="12"/>
      <color rgb="FF000000"/>
      <name val="Calibri"/>
      <family val="2"/>
      <charset val="1"/>
    </font>
    <font>
      <b/>
      <u/>
      <sz val="16"/>
      <color rgb="FF000000"/>
      <name val="Calibri"/>
      <family val="2"/>
      <charset val="1"/>
    </font>
    <font>
      <i/>
      <sz val="11"/>
      <color rgb="FF000000"/>
      <name val="Calibri"/>
      <family val="2"/>
      <charset val="1"/>
    </font>
    <font>
      <sz val="11"/>
      <name val="Calibri"/>
      <family val="2"/>
      <charset val="1"/>
    </font>
    <font>
      <b/>
      <sz val="11"/>
      <name val="Calibri"/>
      <family val="2"/>
      <charset val="1"/>
    </font>
    <font>
      <b/>
      <sz val="11"/>
      <color rgb="FF000000"/>
      <name val="Arial"/>
      <family val="2"/>
      <charset val="1"/>
    </font>
    <font>
      <sz val="11"/>
      <color rgb="FF000000"/>
      <name val="Arial"/>
      <family val="2"/>
      <charset val="1"/>
    </font>
    <font>
      <sz val="11"/>
      <color rgb="FF000000"/>
      <name val="Calibri"/>
      <family val="2"/>
      <charset val="1"/>
    </font>
    <font>
      <b/>
      <sz val="11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FF0000"/>
      <name val="Calibri"/>
      <family val="2"/>
      <charset val="1"/>
    </font>
    <font>
      <sz val="11"/>
      <color rgb="FF000000"/>
      <name val="Calibri"/>
      <family val="2"/>
    </font>
    <font>
      <sz val="11"/>
      <color rgb="FF000000"/>
      <name val="Aptos Narrow"/>
      <family val="2"/>
    </font>
  </fonts>
  <fills count="21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  <fill>
      <patternFill patternType="solid">
        <fgColor rgb="FF808080"/>
        <bgColor rgb="FF969696"/>
      </patternFill>
    </fill>
    <fill>
      <patternFill patternType="solid">
        <fgColor rgb="FFFF0000"/>
        <bgColor rgb="FFC9211E"/>
      </patternFill>
    </fill>
    <fill>
      <patternFill patternType="solid">
        <fgColor rgb="FFF79646"/>
        <bgColor rgb="FFFF8080"/>
      </patternFill>
    </fill>
    <fill>
      <patternFill patternType="solid">
        <fgColor rgb="FFFFC000"/>
        <bgColor rgb="FFF79646"/>
      </patternFill>
    </fill>
    <fill>
      <patternFill patternType="solid">
        <fgColor rgb="FFFFFF00"/>
        <bgColor rgb="FFFFFF00"/>
      </patternFill>
    </fill>
    <fill>
      <patternFill patternType="solid">
        <fgColor rgb="FF92D050"/>
        <bgColor rgb="FF969696"/>
      </patternFill>
    </fill>
    <fill>
      <patternFill patternType="solid">
        <fgColor rgb="FF00B050"/>
        <bgColor rgb="FF008080"/>
      </patternFill>
    </fill>
    <fill>
      <patternFill patternType="solid">
        <fgColor rgb="FF00B0F0"/>
        <bgColor rgb="FF33CCCC"/>
      </patternFill>
    </fill>
    <fill>
      <patternFill patternType="solid">
        <fgColor rgb="FFCCC1DA"/>
        <bgColor rgb="FFE6B9B8"/>
      </patternFill>
    </fill>
    <fill>
      <patternFill patternType="solid">
        <fgColor rgb="FFD7E4BD"/>
        <bgColor rgb="FFEBF1DE"/>
      </patternFill>
    </fill>
    <fill>
      <patternFill patternType="solid">
        <fgColor rgb="FFE6B9B8"/>
        <bgColor rgb="FFCCC1DA"/>
      </patternFill>
    </fill>
    <fill>
      <patternFill patternType="solid">
        <fgColor rgb="FF8EB4E3"/>
        <bgColor rgb="FF9999FF"/>
      </patternFill>
    </fill>
    <fill>
      <patternFill patternType="solid">
        <fgColor rgb="FFFFFFCC"/>
        <bgColor rgb="FFEBF1DE"/>
      </patternFill>
    </fill>
    <fill>
      <patternFill patternType="solid">
        <fgColor rgb="FFCCFFFF"/>
        <bgColor rgb="FFDBEEF4"/>
      </patternFill>
    </fill>
    <fill>
      <patternFill patternType="solid">
        <fgColor rgb="FFEBF1DE"/>
        <bgColor rgb="FFDBEEF4"/>
      </patternFill>
    </fill>
    <fill>
      <patternFill patternType="solid">
        <fgColor rgb="FFF2DCDB"/>
        <bgColor rgb="FFEBF1DE"/>
      </patternFill>
    </fill>
    <fill>
      <patternFill patternType="solid">
        <fgColor rgb="FFDBEEF4"/>
        <bgColor rgb="FFEBF1DE"/>
      </patternFill>
    </fill>
    <fill>
      <patternFill patternType="solid">
        <fgColor theme="7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5">
    <xf numFmtId="0" fontId="0" fillId="0" borderId="0"/>
    <xf numFmtId="0" fontId="16" fillId="0" borderId="0"/>
    <xf numFmtId="0" fontId="16" fillId="0" borderId="0"/>
    <xf numFmtId="164" fontId="16" fillId="0" borderId="0" applyBorder="0" applyProtection="0"/>
    <xf numFmtId="0" fontId="1" fillId="0" borderId="0"/>
  </cellStyleXfs>
  <cellXfs count="173">
    <xf numFmtId="0" fontId="0" fillId="0" borderId="0" xfId="0"/>
    <xf numFmtId="0" fontId="2" fillId="11" borderId="4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/>
    <xf numFmtId="0" fontId="2" fillId="2" borderId="0" xfId="0" applyFont="1" applyFill="1"/>
    <xf numFmtId="0" fontId="2" fillId="2" borderId="0" xfId="0" applyFont="1" applyFill="1" applyProtection="1">
      <protection hidden="1"/>
    </xf>
    <xf numFmtId="0" fontId="0" fillId="2" borderId="0" xfId="0" applyFill="1" applyAlignment="1">
      <alignment horizontal="center"/>
    </xf>
    <xf numFmtId="0" fontId="2" fillId="0" borderId="1" xfId="0" applyFont="1" applyBorder="1"/>
    <xf numFmtId="0" fontId="3" fillId="3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0" fillId="0" borderId="1" xfId="0" applyBorder="1"/>
    <xf numFmtId="164" fontId="16" fillId="0" borderId="1" xfId="3" applyBorder="1" applyAlignment="1" applyProtection="1">
      <alignment horizontal="center"/>
      <protection hidden="1"/>
    </xf>
    <xf numFmtId="164" fontId="0" fillId="0" borderId="0" xfId="0" applyNumberFormat="1" applyAlignment="1" applyProtection="1">
      <alignment horizontal="center"/>
      <protection hidden="1"/>
    </xf>
    <xf numFmtId="164" fontId="2" fillId="0" borderId="1" xfId="0" applyNumberFormat="1" applyFont="1" applyBorder="1" applyAlignment="1" applyProtection="1">
      <alignment horizontal="center"/>
      <protection hidden="1"/>
    </xf>
    <xf numFmtId="0" fontId="4" fillId="2" borderId="0" xfId="0" applyFont="1" applyFill="1"/>
    <xf numFmtId="0" fontId="2" fillId="11" borderId="2" xfId="0" applyFont="1" applyFill="1" applyBorder="1"/>
    <xf numFmtId="0" fontId="2" fillId="11" borderId="3" xfId="0" applyFont="1" applyFill="1" applyBorder="1" applyAlignment="1">
      <alignment horizontal="center"/>
    </xf>
    <xf numFmtId="0" fontId="0" fillId="2" borderId="5" xfId="0" applyFill="1" applyBorder="1"/>
    <xf numFmtId="0" fontId="5" fillId="2" borderId="0" xfId="0" applyFont="1" applyFill="1" applyProtection="1">
      <protection hidden="1"/>
    </xf>
    <xf numFmtId="165" fontId="5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7" xfId="0" applyFill="1" applyBorder="1"/>
    <xf numFmtId="0" fontId="0" fillId="0" borderId="0" xfId="0" applyAlignment="1">
      <alignment vertical="center"/>
    </xf>
    <xf numFmtId="0" fontId="7" fillId="2" borderId="0" xfId="0" applyFont="1" applyFill="1"/>
    <xf numFmtId="0" fontId="8" fillId="2" borderId="0" xfId="0" applyFont="1" applyFill="1" applyAlignment="1">
      <alignment vertical="top"/>
    </xf>
    <xf numFmtId="0" fontId="9" fillId="2" borderId="0" xfId="0" applyFont="1" applyFill="1" applyAlignment="1">
      <alignment vertical="center"/>
    </xf>
    <xf numFmtId="49" fontId="2" fillId="6" borderId="0" xfId="0" applyNumberFormat="1" applyFont="1" applyFill="1" applyAlignment="1" applyProtection="1">
      <alignment vertical="center"/>
      <protection locked="0"/>
    </xf>
    <xf numFmtId="0" fontId="2" fillId="2" borderId="0" xfId="0" applyFont="1" applyFill="1" applyAlignment="1">
      <alignment vertical="center"/>
    </xf>
    <xf numFmtId="0" fontId="0" fillId="2" borderId="1" xfId="0" applyFill="1" applyBorder="1" applyAlignment="1" applyProtection="1">
      <alignment horizontal="center" vertical="center"/>
      <protection locked="0"/>
    </xf>
    <xf numFmtId="166" fontId="0" fillId="2" borderId="1" xfId="0" applyNumberFormat="1" applyFill="1" applyBorder="1" applyAlignment="1" applyProtection="1">
      <alignment horizontal="center" vertical="center"/>
      <protection locked="0"/>
    </xf>
    <xf numFmtId="49" fontId="0" fillId="2" borderId="1" xfId="0" applyNumberFormat="1" applyFill="1" applyBorder="1" applyAlignment="1" applyProtection="1">
      <alignment horizontal="center" vertical="center"/>
      <protection locked="0"/>
    </xf>
    <xf numFmtId="0" fontId="0" fillId="2" borderId="0" xfId="0" applyFill="1" applyAlignment="1">
      <alignment vertical="top"/>
    </xf>
    <xf numFmtId="0" fontId="10" fillId="2" borderId="0" xfId="0" applyFont="1" applyFill="1" applyAlignment="1">
      <alignment vertical="top"/>
    </xf>
    <xf numFmtId="0" fontId="0" fillId="0" borderId="0" xfId="0" applyAlignment="1">
      <alignment vertical="top"/>
    </xf>
    <xf numFmtId="49" fontId="2" fillId="6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Fill="1" applyProtection="1">
      <protection hidden="1"/>
    </xf>
    <xf numFmtId="165" fontId="0" fillId="2" borderId="0" xfId="0" applyNumberFormat="1" applyFill="1" applyAlignment="1" applyProtection="1">
      <alignment horizontal="left" vertical="center" wrapText="1"/>
      <protection hidden="1"/>
    </xf>
    <xf numFmtId="3" fontId="0" fillId="2" borderId="0" xfId="0" applyNumberFormat="1" applyFill="1" applyProtection="1">
      <protection hidden="1"/>
    </xf>
    <xf numFmtId="0" fontId="2" fillId="12" borderId="2" xfId="0" applyFont="1" applyFill="1" applyBorder="1" applyAlignment="1">
      <alignment horizontal="center"/>
    </xf>
    <xf numFmtId="0" fontId="2" fillId="12" borderId="4" xfId="0" applyFont="1" applyFill="1" applyBorder="1" applyAlignment="1">
      <alignment horizontal="center"/>
    </xf>
    <xf numFmtId="0" fontId="2" fillId="12" borderId="0" xfId="0" applyFont="1" applyFill="1" applyAlignment="1">
      <alignment horizontal="center"/>
    </xf>
    <xf numFmtId="0" fontId="2" fillId="12" borderId="0" xfId="0" applyFont="1" applyFill="1"/>
    <xf numFmtId="0" fontId="0" fillId="2" borderId="7" xfId="0" applyFill="1" applyBorder="1" applyAlignment="1">
      <alignment horizontal="center"/>
    </xf>
    <xf numFmtId="165" fontId="0" fillId="2" borderId="0" xfId="0" applyNumberFormat="1" applyFill="1" applyAlignment="1" applyProtection="1">
      <alignment horizontal="center" vertical="center" wrapText="1"/>
      <protection hidden="1"/>
    </xf>
    <xf numFmtId="0" fontId="11" fillId="2" borderId="0" xfId="0" applyFont="1" applyFill="1" applyAlignment="1" applyProtection="1">
      <alignment horizontal="left"/>
      <protection hidden="1"/>
    </xf>
    <xf numFmtId="3" fontId="16" fillId="0" borderId="0" xfId="3" applyNumberFormat="1" applyBorder="1" applyAlignment="1" applyProtection="1">
      <alignment horizontal="center"/>
      <protection hidden="1"/>
    </xf>
    <xf numFmtId="3" fontId="16" fillId="2" borderId="0" xfId="3" applyNumberFormat="1" applyFill="1" applyBorder="1" applyAlignment="1" applyProtection="1">
      <alignment horizontal="center"/>
      <protection hidden="1"/>
    </xf>
    <xf numFmtId="0" fontId="12" fillId="0" borderId="0" xfId="0" applyFont="1" applyAlignment="1">
      <alignment vertical="center"/>
    </xf>
    <xf numFmtId="165" fontId="0" fillId="0" borderId="0" xfId="0" applyNumberFormat="1" applyAlignment="1">
      <alignment vertical="center"/>
    </xf>
    <xf numFmtId="49" fontId="0" fillId="0" borderId="0" xfId="0" applyNumberFormat="1" applyAlignment="1">
      <alignment horizontal="left" vertical="center"/>
    </xf>
    <xf numFmtId="4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 wrapText="1"/>
    </xf>
    <xf numFmtId="165" fontId="2" fillId="0" borderId="1" xfId="0" applyNumberFormat="1" applyFont="1" applyBorder="1" applyAlignment="1">
      <alignment horizontal="center" vertical="center" wrapText="1"/>
    </xf>
    <xf numFmtId="49" fontId="2" fillId="0" borderId="1" xfId="0" applyNumberFormat="1" applyFont="1" applyBorder="1" applyAlignment="1">
      <alignment horizontal="left" vertical="center" wrapText="1"/>
    </xf>
    <xf numFmtId="49" fontId="2" fillId="0" borderId="1" xfId="0" applyNumberFormat="1" applyFont="1" applyBorder="1" applyAlignment="1">
      <alignment horizontal="center" vertical="center" wrapText="1"/>
    </xf>
    <xf numFmtId="0" fontId="7" fillId="8" borderId="8" xfId="2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11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0" xfId="0" applyFill="1" applyAlignment="1">
      <alignment horizontal="center" vertical="center" wrapText="1"/>
    </xf>
    <xf numFmtId="0" fontId="0" fillId="12" borderId="0" xfId="0" applyFill="1" applyAlignment="1">
      <alignment horizontal="center" vertical="center" wrapText="1"/>
    </xf>
    <xf numFmtId="0" fontId="0" fillId="13" borderId="0" xfId="0" applyFill="1" applyAlignment="1">
      <alignment horizontal="center" vertical="center" wrapText="1"/>
    </xf>
    <xf numFmtId="0" fontId="0" fillId="14" borderId="0" xfId="0" applyFill="1" applyAlignment="1">
      <alignment horizontal="center" vertical="center" wrapText="1"/>
    </xf>
    <xf numFmtId="0" fontId="16" fillId="15" borderId="8" xfId="1" applyFill="1" applyBorder="1" applyAlignment="1">
      <alignment horizontal="center"/>
    </xf>
    <xf numFmtId="0" fontId="16" fillId="15" borderId="8" xfId="1" applyFill="1" applyBorder="1" applyAlignment="1">
      <alignment horizontal="center" vertical="center"/>
    </xf>
    <xf numFmtId="0" fontId="12" fillId="16" borderId="1" xfId="1" applyFont="1" applyFill="1" applyBorder="1" applyAlignment="1">
      <alignment horizontal="center" vertical="center"/>
    </xf>
    <xf numFmtId="165" fontId="16" fillId="15" borderId="8" xfId="1" applyNumberFormat="1" applyFill="1" applyBorder="1" applyAlignment="1">
      <alignment horizontal="center"/>
    </xf>
    <xf numFmtId="167" fontId="16" fillId="15" borderId="8" xfId="1" applyNumberFormat="1" applyFill="1" applyBorder="1" applyAlignment="1">
      <alignment horizontal="center"/>
    </xf>
    <xf numFmtId="168" fontId="12" fillId="2" borderId="8" xfId="1" applyNumberFormat="1" applyFont="1" applyFill="1" applyBorder="1" applyAlignment="1">
      <alignment horizontal="center"/>
    </xf>
    <xf numFmtId="0" fontId="12" fillId="15" borderId="8" xfId="1" applyFont="1" applyFill="1" applyBorder="1" applyAlignment="1">
      <alignment horizontal="center"/>
    </xf>
    <xf numFmtId="0" fontId="16" fillId="0" borderId="8" xfId="1" applyBorder="1"/>
    <xf numFmtId="0" fontId="16" fillId="0" borderId="1" xfId="1" applyBorder="1"/>
    <xf numFmtId="0" fontId="0" fillId="7" borderId="0" xfId="0" applyFill="1" applyAlignment="1">
      <alignment horizontal="center" vertical="center"/>
    </xf>
    <xf numFmtId="0" fontId="0" fillId="7" borderId="0" xfId="0" applyFill="1" applyAlignment="1">
      <alignment horizontal="left" vertical="center"/>
    </xf>
    <xf numFmtId="1" fontId="0" fillId="7" borderId="0" xfId="0" applyNumberFormat="1" applyFill="1" applyAlignment="1">
      <alignment horizontal="center" vertical="center"/>
    </xf>
    <xf numFmtId="0" fontId="16" fillId="15" borderId="1" xfId="1" applyFill="1" applyBorder="1" applyAlignment="1">
      <alignment horizontal="center"/>
    </xf>
    <xf numFmtId="0" fontId="16" fillId="15" borderId="1" xfId="1" applyFill="1" applyBorder="1" applyAlignment="1">
      <alignment horizontal="center" vertical="center"/>
    </xf>
    <xf numFmtId="0" fontId="12" fillId="15" borderId="1" xfId="1" applyFont="1" applyFill="1" applyBorder="1" applyAlignment="1">
      <alignment horizontal="center"/>
    </xf>
    <xf numFmtId="0" fontId="16" fillId="15" borderId="1" xfId="1" applyFill="1" applyBorder="1"/>
    <xf numFmtId="165" fontId="12" fillId="15" borderId="1" xfId="1" applyNumberFormat="1" applyFont="1" applyFill="1" applyBorder="1" applyAlignment="1">
      <alignment horizontal="center"/>
    </xf>
    <xf numFmtId="0" fontId="14" fillId="2" borderId="1" xfId="1" applyFont="1" applyFill="1" applyBorder="1"/>
    <xf numFmtId="0" fontId="12" fillId="2" borderId="1" xfId="1" applyFont="1" applyFill="1" applyBorder="1"/>
    <xf numFmtId="0" fontId="12" fillId="17" borderId="1" xfId="2" applyFont="1" applyFill="1" applyBorder="1" applyAlignment="1">
      <alignment horizontal="center" vertical="center"/>
    </xf>
    <xf numFmtId="0" fontId="16" fillId="17" borderId="9" xfId="2" applyFill="1" applyBorder="1" applyAlignment="1">
      <alignment horizontal="center" vertical="center"/>
    </xf>
    <xf numFmtId="0" fontId="12" fillId="17" borderId="1" xfId="2" applyFont="1" applyFill="1" applyBorder="1" applyAlignment="1">
      <alignment horizontal="left" vertical="center"/>
    </xf>
    <xf numFmtId="0" fontId="12" fillId="17" borderId="10" xfId="2" applyFont="1" applyFill="1" applyBorder="1" applyAlignment="1">
      <alignment horizontal="center" vertical="center"/>
    </xf>
    <xf numFmtId="0" fontId="12" fillId="17" borderId="8" xfId="2" applyFont="1" applyFill="1" applyBorder="1" applyAlignment="1">
      <alignment horizontal="center" vertical="center"/>
    </xf>
    <xf numFmtId="49" fontId="12" fillId="17" borderId="8" xfId="2" applyNumberFormat="1" applyFont="1" applyFill="1" applyBorder="1" applyAlignment="1">
      <alignment vertical="center"/>
    </xf>
    <xf numFmtId="165" fontId="16" fillId="17" borderId="8" xfId="2" applyNumberFormat="1" applyFill="1" applyBorder="1" applyAlignment="1">
      <alignment horizontal="center" vertical="center"/>
    </xf>
    <xf numFmtId="49" fontId="15" fillId="17" borderId="1" xfId="2" applyNumberFormat="1" applyFont="1" applyFill="1" applyBorder="1" applyAlignment="1">
      <alignment horizontal="left" vertical="center"/>
    </xf>
    <xf numFmtId="0" fontId="12" fillId="18" borderId="1" xfId="2" applyFont="1" applyFill="1" applyBorder="1" applyAlignment="1">
      <alignment horizontal="center" vertical="center"/>
    </xf>
    <xf numFmtId="0" fontId="16" fillId="18" borderId="9" xfId="2" applyFill="1" applyBorder="1" applyAlignment="1">
      <alignment horizontal="center" vertical="center"/>
    </xf>
    <xf numFmtId="0" fontId="12" fillId="18" borderId="1" xfId="2" applyFont="1" applyFill="1" applyBorder="1" applyAlignment="1">
      <alignment horizontal="left" vertical="center"/>
    </xf>
    <xf numFmtId="165" fontId="16" fillId="18" borderId="8" xfId="2" applyNumberFormat="1" applyFill="1" applyBorder="1" applyAlignment="1">
      <alignment horizontal="center" vertical="center"/>
    </xf>
    <xf numFmtId="0" fontId="12" fillId="18" borderId="8" xfId="2" applyFont="1" applyFill="1" applyBorder="1" applyAlignment="1">
      <alignment horizontal="center" vertical="center"/>
    </xf>
    <xf numFmtId="49" fontId="15" fillId="18" borderId="1" xfId="2" applyNumberFormat="1" applyFont="1" applyFill="1" applyBorder="1" applyAlignment="1">
      <alignment horizontal="left" vertical="center"/>
    </xf>
    <xf numFmtId="49" fontId="12" fillId="18" borderId="1" xfId="2" applyNumberFormat="1" applyFont="1" applyFill="1" applyBorder="1" applyAlignment="1">
      <alignment vertical="center"/>
    </xf>
    <xf numFmtId="165" fontId="12" fillId="18" borderId="1" xfId="2" applyNumberFormat="1" applyFont="1" applyFill="1" applyBorder="1" applyAlignment="1">
      <alignment horizontal="center" vertical="center"/>
    </xf>
    <xf numFmtId="49" fontId="12" fillId="18" borderId="1" xfId="2" applyNumberFormat="1" applyFont="1" applyFill="1" applyBorder="1" applyAlignment="1">
      <alignment horizontal="left" vertical="center"/>
    </xf>
    <xf numFmtId="165" fontId="16" fillId="18" borderId="1" xfId="2" applyNumberFormat="1" applyFill="1" applyBorder="1" applyAlignment="1">
      <alignment horizontal="center" vertical="center"/>
    </xf>
    <xf numFmtId="0" fontId="12" fillId="19" borderId="1" xfId="2" applyFont="1" applyFill="1" applyBorder="1" applyAlignment="1">
      <alignment horizontal="center" vertical="center"/>
    </xf>
    <xf numFmtId="0" fontId="16" fillId="19" borderId="9" xfId="2" applyFill="1" applyBorder="1" applyAlignment="1">
      <alignment horizontal="center" vertical="center"/>
    </xf>
    <xf numFmtId="0" fontId="12" fillId="19" borderId="1" xfId="2" applyFont="1" applyFill="1" applyBorder="1" applyAlignment="1">
      <alignment horizontal="left" vertical="center"/>
    </xf>
    <xf numFmtId="165" fontId="16" fillId="19" borderId="1" xfId="2" applyNumberFormat="1" applyFill="1" applyBorder="1" applyAlignment="1">
      <alignment horizontal="center" vertical="center"/>
    </xf>
    <xf numFmtId="0" fontId="12" fillId="19" borderId="8" xfId="2" applyFont="1" applyFill="1" applyBorder="1" applyAlignment="1">
      <alignment horizontal="center" vertical="center"/>
    </xf>
    <xf numFmtId="49" fontId="15" fillId="19" borderId="1" xfId="2" applyNumberFormat="1" applyFont="1" applyFill="1" applyBorder="1" applyAlignment="1">
      <alignment horizontal="left" vertical="center"/>
    </xf>
    <xf numFmtId="49" fontId="12" fillId="19" borderId="1" xfId="2" applyNumberFormat="1" applyFont="1" applyFill="1" applyBorder="1" applyAlignment="1">
      <alignment vertical="center"/>
    </xf>
    <xf numFmtId="165" fontId="12" fillId="19" borderId="1" xfId="2" applyNumberFormat="1" applyFont="1" applyFill="1" applyBorder="1" applyAlignment="1">
      <alignment horizontal="center" vertical="center"/>
    </xf>
    <xf numFmtId="49" fontId="12" fillId="19" borderId="1" xfId="2" applyNumberFormat="1" applyFont="1" applyFill="1" applyBorder="1" applyAlignment="1">
      <alignment horizontal="left" vertical="center"/>
    </xf>
    <xf numFmtId="49" fontId="12" fillId="19" borderId="8" xfId="2" applyNumberFormat="1" applyFont="1" applyFill="1" applyBorder="1" applyAlignment="1">
      <alignment vertical="center"/>
    </xf>
    <xf numFmtId="0" fontId="12" fillId="18" borderId="10" xfId="2" applyFont="1" applyFill="1" applyBorder="1" applyAlignment="1">
      <alignment horizontal="center" vertical="center"/>
    </xf>
    <xf numFmtId="49" fontId="12" fillId="18" borderId="8" xfId="2" applyNumberFormat="1" applyFont="1" applyFill="1" applyBorder="1" applyAlignment="1">
      <alignment vertical="center"/>
    </xf>
    <xf numFmtId="165" fontId="12" fillId="18" borderId="8" xfId="2" applyNumberFormat="1" applyFont="1" applyFill="1" applyBorder="1" applyAlignment="1">
      <alignment horizontal="center" vertical="center"/>
    </xf>
    <xf numFmtId="0" fontId="12" fillId="7" borderId="1" xfId="2" applyFont="1" applyFill="1" applyBorder="1" applyAlignment="1">
      <alignment horizontal="center" vertical="center"/>
    </xf>
    <xf numFmtId="0" fontId="16" fillId="7" borderId="9" xfId="2" applyFill="1" applyBorder="1" applyAlignment="1">
      <alignment horizontal="center" vertical="center"/>
    </xf>
    <xf numFmtId="0" fontId="12" fillId="7" borderId="1" xfId="2" applyFont="1" applyFill="1" applyBorder="1" applyAlignment="1">
      <alignment horizontal="left" vertical="center"/>
    </xf>
    <xf numFmtId="165" fontId="12" fillId="7" borderId="8" xfId="2" applyNumberFormat="1" applyFont="1" applyFill="1" applyBorder="1" applyAlignment="1">
      <alignment horizontal="center" vertical="center"/>
    </xf>
    <xf numFmtId="0" fontId="12" fillId="7" borderId="10" xfId="2" applyFont="1" applyFill="1" applyBorder="1" applyAlignment="1">
      <alignment horizontal="center" vertical="center"/>
    </xf>
    <xf numFmtId="0" fontId="12" fillId="7" borderId="8" xfId="2" applyFont="1" applyFill="1" applyBorder="1" applyAlignment="1">
      <alignment horizontal="center" vertical="center"/>
    </xf>
    <xf numFmtId="49" fontId="12" fillId="7" borderId="1" xfId="2" applyNumberFormat="1" applyFont="1" applyFill="1" applyBorder="1" applyAlignment="1">
      <alignment horizontal="left" vertical="center"/>
    </xf>
    <xf numFmtId="49" fontId="12" fillId="7" borderId="8" xfId="2" applyNumberFormat="1" applyFont="1" applyFill="1" applyBorder="1" applyAlignment="1">
      <alignment vertical="center"/>
    </xf>
    <xf numFmtId="0" fontId="16" fillId="7" borderId="1" xfId="2" applyFill="1" applyBorder="1" applyAlignment="1">
      <alignment horizontal="center" vertical="center"/>
    </xf>
    <xf numFmtId="0" fontId="12" fillId="7" borderId="8" xfId="2" applyFont="1" applyFill="1" applyBorder="1" applyAlignment="1">
      <alignment horizontal="left" vertical="center"/>
    </xf>
    <xf numFmtId="165" fontId="12" fillId="7" borderId="1" xfId="2" applyNumberFormat="1" applyFont="1" applyFill="1" applyBorder="1" applyAlignment="1">
      <alignment horizontal="center" vertical="center"/>
    </xf>
    <xf numFmtId="49" fontId="12" fillId="7" borderId="1" xfId="2" applyNumberFormat="1" applyFont="1" applyFill="1" applyBorder="1" applyAlignment="1">
      <alignment vertical="center"/>
    </xf>
    <xf numFmtId="0" fontId="0" fillId="7" borderId="0" xfId="0" applyFill="1" applyAlignment="1">
      <alignment horizontal="center" vertical="center" wrapText="1"/>
    </xf>
    <xf numFmtId="1" fontId="0" fillId="7" borderId="0" xfId="0" applyNumberFormat="1" applyFill="1" applyAlignment="1">
      <alignment horizontal="center" vertical="center" wrapText="1"/>
    </xf>
    <xf numFmtId="49" fontId="0" fillId="0" borderId="0" xfId="0" applyNumberFormat="1"/>
    <xf numFmtId="0" fontId="2" fillId="0" borderId="0" xfId="0" applyFont="1"/>
    <xf numFmtId="49" fontId="2" fillId="0" borderId="0" xfId="0" applyNumberFormat="1" applyFont="1"/>
    <xf numFmtId="169" fontId="0" fillId="0" borderId="0" xfId="0" applyNumberFormat="1"/>
    <xf numFmtId="166" fontId="0" fillId="0" borderId="0" xfId="0" applyNumberFormat="1"/>
    <xf numFmtId="165" fontId="0" fillId="0" borderId="1" xfId="1" applyNumberFormat="1" applyFont="1" applyBorder="1" applyAlignment="1">
      <alignment horizontal="center"/>
    </xf>
    <xf numFmtId="0" fontId="0" fillId="0" borderId="1" xfId="1" applyFont="1" applyBorder="1" applyAlignment="1">
      <alignment horizontal="center"/>
    </xf>
    <xf numFmtId="0" fontId="0" fillId="20" borderId="0" xfId="0" applyFill="1" applyAlignment="1">
      <alignment horizontal="center" vertical="center" wrapText="1"/>
    </xf>
    <xf numFmtId="0" fontId="0" fillId="20" borderId="0" xfId="0" applyFill="1" applyAlignment="1">
      <alignment horizontal="center" vertical="center"/>
    </xf>
    <xf numFmtId="0" fontId="17" fillId="20" borderId="1" xfId="4" applyFont="1" applyFill="1" applyBorder="1" applyAlignment="1">
      <alignment horizontal="center" vertical="center" wrapText="1"/>
    </xf>
    <xf numFmtId="0" fontId="18" fillId="20" borderId="1" xfId="4" applyFont="1" applyFill="1" applyBorder="1" applyAlignment="1">
      <alignment horizontal="center" vertical="center" wrapText="1"/>
    </xf>
    <xf numFmtId="15" fontId="17" fillId="20" borderId="1" xfId="4" applyNumberFormat="1" applyFont="1" applyFill="1" applyBorder="1" applyAlignment="1">
      <alignment horizontal="center" vertical="center" wrapText="1"/>
    </xf>
    <xf numFmtId="49" fontId="17" fillId="20" borderId="1" xfId="4" applyNumberFormat="1" applyFont="1" applyFill="1" applyBorder="1" applyAlignment="1">
      <alignment horizontal="left" vertical="center" wrapText="1"/>
    </xf>
    <xf numFmtId="49" fontId="17" fillId="20" borderId="1" xfId="4" applyNumberFormat="1" applyFont="1" applyFill="1" applyBorder="1" applyAlignment="1">
      <alignment horizontal="center" vertical="center" wrapText="1"/>
    </xf>
    <xf numFmtId="0" fontId="1" fillId="0" borderId="0" xfId="4" applyAlignment="1">
      <alignment horizontal="center" vertical="center" wrapText="1"/>
    </xf>
    <xf numFmtId="0" fontId="1" fillId="0" borderId="1" xfId="4" applyBorder="1" applyAlignment="1">
      <alignment horizontal="center" vertical="center"/>
    </xf>
    <xf numFmtId="0" fontId="12" fillId="0" borderId="1" xfId="2" quotePrefix="1" applyFont="1" applyBorder="1" applyAlignment="1">
      <alignment horizontal="center" vertical="center"/>
    </xf>
    <xf numFmtId="0" fontId="1" fillId="0" borderId="0" xfId="4" applyAlignment="1">
      <alignment horizontal="center" vertical="center"/>
    </xf>
    <xf numFmtId="0" fontId="1" fillId="0" borderId="0" xfId="4" applyAlignment="1">
      <alignment vertical="center"/>
    </xf>
    <xf numFmtId="0" fontId="19" fillId="0" borderId="0" xfId="4" applyFont="1" applyAlignment="1">
      <alignment vertical="center"/>
    </xf>
    <xf numFmtId="15" fontId="1" fillId="0" borderId="0" xfId="4" applyNumberFormat="1" applyAlignment="1">
      <alignment horizontal="center" vertical="center"/>
    </xf>
    <xf numFmtId="49" fontId="1" fillId="0" borderId="0" xfId="4" applyNumberFormat="1" applyAlignment="1">
      <alignment horizontal="left" vertical="center"/>
    </xf>
    <xf numFmtId="49" fontId="1" fillId="0" borderId="0" xfId="4" applyNumberFormat="1" applyAlignment="1">
      <alignment vertical="center"/>
    </xf>
    <xf numFmtId="15" fontId="12" fillId="0" borderId="1" xfId="2" quotePrefix="1" applyNumberFormat="1" applyFont="1" applyBorder="1" applyAlignment="1">
      <alignment horizontal="center" vertical="center"/>
    </xf>
    <xf numFmtId="0" fontId="12" fillId="16" borderId="1" xfId="1" applyFont="1" applyFill="1" applyBorder="1" applyAlignment="1">
      <alignment horizontal="center" vertical="center" wrapText="1"/>
    </xf>
    <xf numFmtId="0" fontId="12" fillId="2" borderId="1" xfId="1" quotePrefix="1" applyFont="1" applyFill="1" applyBorder="1"/>
    <xf numFmtId="0" fontId="0" fillId="15" borderId="8" xfId="1" applyFont="1" applyFill="1" applyBorder="1"/>
    <xf numFmtId="0" fontId="0" fillId="15" borderId="1" xfId="1" applyFont="1" applyFill="1" applyBorder="1"/>
    <xf numFmtId="0" fontId="20" fillId="15" borderId="1" xfId="1" applyFont="1" applyFill="1" applyBorder="1"/>
    <xf numFmtId="0" fontId="20" fillId="15" borderId="8" xfId="1" applyFont="1" applyFill="1" applyBorder="1"/>
    <xf numFmtId="0" fontId="5" fillId="2" borderId="0" xfId="0" applyFont="1" applyFill="1" applyAlignment="1" applyProtection="1">
      <alignment horizontal="left"/>
      <protection hidden="1"/>
    </xf>
    <xf numFmtId="0" fontId="5" fillId="2" borderId="0" xfId="0" applyFont="1" applyFill="1" applyAlignment="1" applyProtection="1">
      <alignment horizontal="center"/>
      <protection hidden="1"/>
    </xf>
    <xf numFmtId="0" fontId="6" fillId="2" borderId="0" xfId="0" applyFont="1" applyFill="1" applyAlignment="1" applyProtection="1">
      <alignment horizontal="center"/>
      <protection hidden="1"/>
    </xf>
    <xf numFmtId="0" fontId="2" fillId="11" borderId="0" xfId="0" applyFont="1" applyFill="1" applyAlignment="1">
      <alignment horizontal="center"/>
    </xf>
    <xf numFmtId="0" fontId="5" fillId="2" borderId="6" xfId="0" applyFont="1" applyFill="1" applyBorder="1" applyAlignment="1" applyProtection="1">
      <alignment horizontal="left"/>
      <protection hidden="1"/>
    </xf>
    <xf numFmtId="0" fontId="2" fillId="6" borderId="0" xfId="0" applyFont="1" applyFill="1" applyAlignment="1" applyProtection="1">
      <alignment horizontal="center"/>
      <protection locked="0"/>
    </xf>
    <xf numFmtId="0" fontId="2" fillId="11" borderId="4" xfId="0" applyFont="1" applyFill="1" applyBorder="1" applyAlignment="1">
      <alignment horizontal="center"/>
    </xf>
  </cellXfs>
  <cellStyles count="5">
    <cellStyle name="Excel Built-in Comma [0]" xfId="3" xr:uid="{00000000-0005-0000-0000-000008000000}"/>
    <cellStyle name="Normal" xfId="0" builtinId="0"/>
    <cellStyle name="Normal 10 34 5 2" xfId="1" xr:uid="{00000000-0005-0000-0000-000006000000}"/>
    <cellStyle name="Normal 10 34 6 2" xfId="2" xr:uid="{00000000-0005-0000-0000-000007000000}"/>
    <cellStyle name="Normal 2" xfId="4" xr:uid="{DBE102A5-AD4B-4AFC-BC5B-FB23DCA13BB6}"/>
  </cellStyles>
  <dxfs count="4">
    <dxf>
      <font>
        <color rgb="FFFF0000"/>
      </font>
      <fill>
        <patternFill>
          <bgColor rgb="FFFFFFFF"/>
        </patternFill>
      </fill>
    </dxf>
    <dxf>
      <font>
        <color rgb="FF00B050"/>
      </font>
      <fill>
        <patternFill>
          <bgColor rgb="FFFFFFFF"/>
        </patternFill>
      </fill>
    </dxf>
    <dxf>
      <font>
        <color rgb="FFFF0000"/>
      </font>
      <fill>
        <patternFill>
          <bgColor rgb="FFFFFFFF"/>
        </patternFill>
      </fill>
    </dxf>
    <dxf>
      <font>
        <color rgb="FF00B050"/>
      </font>
      <fill>
        <patternFill>
          <bgColor rgb="FFFFFFFF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CC1DA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F2DCDB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DBEEF4"/>
      <rgbColor rgb="FFEBF1DE"/>
      <rgbColor rgb="FFD7E4BD"/>
      <rgbColor rgb="FF8EB4E3"/>
      <rgbColor rgb="FFFF99CC"/>
      <rgbColor rgb="FFCC99FF"/>
      <rgbColor rgb="FFE6B9B8"/>
      <rgbColor rgb="FF3366FF"/>
      <rgbColor rgb="FF33CCCC"/>
      <rgbColor rgb="FF92D050"/>
      <rgbColor rgb="FFFFC000"/>
      <rgbColor rgb="FFF79646"/>
      <rgbColor rgb="FFFF6600"/>
      <rgbColor rgb="FF666699"/>
      <rgbColor rgb="FF969696"/>
      <rgbColor rgb="FF003366"/>
      <rgbColor rgb="FF00B050"/>
      <rgbColor rgb="FF003300"/>
      <rgbColor rgb="FF333300"/>
      <rgbColor rgb="FFC9211E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hyperlink" Target="#Dashboard!A1"/><Relationship Id="rId7" Type="http://schemas.openxmlformats.org/officeDocument/2006/relationships/hyperlink" Target="#View!A1"/><Relationship Id="rId2" Type="http://schemas.openxmlformats.org/officeDocument/2006/relationships/image" Target="../media/image1.png"/><Relationship Id="rId1" Type="http://schemas.openxmlformats.org/officeDocument/2006/relationships/hyperlink" Target="#form!A1"/><Relationship Id="rId6" Type="http://schemas.openxmlformats.org/officeDocument/2006/relationships/image" Target="../media/image3.png"/><Relationship Id="rId5" Type="http://schemas.openxmlformats.org/officeDocument/2006/relationships/hyperlink" Target="#'edit data'!A1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Dashboard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hyperlink" Target="#Dashboard!A1"/><Relationship Id="rId7" Type="http://schemas.openxmlformats.org/officeDocument/2006/relationships/hyperlink" Target="#View!A1"/><Relationship Id="rId2" Type="http://schemas.openxmlformats.org/officeDocument/2006/relationships/image" Target="../media/image1.png"/><Relationship Id="rId1" Type="http://schemas.openxmlformats.org/officeDocument/2006/relationships/hyperlink" Target="#form!A1"/><Relationship Id="rId6" Type="http://schemas.openxmlformats.org/officeDocument/2006/relationships/image" Target="../media/image3.png"/><Relationship Id="rId5" Type="http://schemas.openxmlformats.org/officeDocument/2006/relationships/hyperlink" Target="#'edit data'!A1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601200</xdr:colOff>
      <xdr:row>1</xdr:row>
      <xdr:rowOff>50760</xdr:rowOff>
    </xdr:from>
    <xdr:to>
      <xdr:col>16</xdr:col>
      <xdr:colOff>380880</xdr:colOff>
      <xdr:row>3</xdr:row>
      <xdr:rowOff>3240</xdr:rowOff>
    </xdr:to>
    <xdr:pic>
      <xdr:nvPicPr>
        <xdr:cNvPr id="2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2"/>
        <a:stretch/>
      </xdr:blipFill>
      <xdr:spPr>
        <a:xfrm>
          <a:off x="9129240" y="241200"/>
          <a:ext cx="404640" cy="33372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15</xdr:col>
      <xdr:colOff>169200</xdr:colOff>
      <xdr:row>1</xdr:row>
      <xdr:rowOff>33840</xdr:rowOff>
    </xdr:from>
    <xdr:to>
      <xdr:col>15</xdr:col>
      <xdr:colOff>528840</xdr:colOff>
      <xdr:row>2</xdr:row>
      <xdr:rowOff>178920</xdr:rowOff>
    </xdr:to>
    <xdr:pic>
      <xdr:nvPicPr>
        <xdr:cNvPr id="3" name="Picture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/>
      </xdr:nvPicPr>
      <xdr:blipFill>
        <a:blip xmlns:r="http://schemas.openxmlformats.org/officeDocument/2006/relationships" r:embed="rId4"/>
        <a:stretch/>
      </xdr:blipFill>
      <xdr:spPr>
        <a:xfrm>
          <a:off x="8697240" y="224280"/>
          <a:ext cx="359640" cy="33552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16</xdr:col>
      <xdr:colOff>457200</xdr:colOff>
      <xdr:row>1</xdr:row>
      <xdr:rowOff>42480</xdr:rowOff>
    </xdr:from>
    <xdr:to>
      <xdr:col>17</xdr:col>
      <xdr:colOff>207360</xdr:colOff>
      <xdr:row>3</xdr:row>
      <xdr:rowOff>2880</xdr:rowOff>
    </xdr:to>
    <xdr:pic>
      <xdr:nvPicPr>
        <xdr:cNvPr id="4" name="Picture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/>
      </xdr:nvPicPr>
      <xdr:blipFill>
        <a:blip xmlns:r="http://schemas.openxmlformats.org/officeDocument/2006/relationships" r:embed="rId6"/>
        <a:srcRect l="18552" t="13722" r="13221" b="12035"/>
        <a:stretch/>
      </xdr:blipFill>
      <xdr:spPr>
        <a:xfrm>
          <a:off x="9610200" y="232920"/>
          <a:ext cx="374760" cy="341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17</xdr:col>
      <xdr:colOff>245520</xdr:colOff>
      <xdr:row>1</xdr:row>
      <xdr:rowOff>16920</xdr:rowOff>
    </xdr:from>
    <xdr:to>
      <xdr:col>17</xdr:col>
      <xdr:colOff>586080</xdr:colOff>
      <xdr:row>3</xdr:row>
      <xdr:rowOff>15480</xdr:rowOff>
    </xdr:to>
    <xdr:pic>
      <xdr:nvPicPr>
        <xdr:cNvPr id="5" name="Picture 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/>
      </xdr:nvPicPr>
      <xdr:blipFill>
        <a:blip xmlns:r="http://schemas.openxmlformats.org/officeDocument/2006/relationships" r:embed="rId8"/>
        <a:stretch/>
      </xdr:blipFill>
      <xdr:spPr>
        <a:xfrm>
          <a:off x="10023120" y="207360"/>
          <a:ext cx="340560" cy="37980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297360</xdr:colOff>
      <xdr:row>15</xdr:row>
      <xdr:rowOff>91440</xdr:rowOff>
    </xdr:from>
    <xdr:to>
      <xdr:col>3</xdr:col>
      <xdr:colOff>657000</xdr:colOff>
      <xdr:row>17</xdr:row>
      <xdr:rowOff>56880</xdr:rowOff>
    </xdr:to>
    <xdr:pic>
      <xdr:nvPicPr>
        <xdr:cNvPr id="5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/>
      </xdr:nvPicPr>
      <xdr:blipFill>
        <a:blip xmlns:r="http://schemas.openxmlformats.org/officeDocument/2006/relationships" r:embed="rId2"/>
        <a:stretch/>
      </xdr:blipFill>
      <xdr:spPr>
        <a:xfrm>
          <a:off x="4661640" y="4110840"/>
          <a:ext cx="359640" cy="346680"/>
        </a:xfrm>
        <a:prstGeom prst="rect">
          <a:avLst/>
        </a:prstGeom>
        <a:ln w="0"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101600</xdr:colOff>
          <xdr:row>0</xdr:row>
          <xdr:rowOff>412750</xdr:rowOff>
        </xdr:from>
        <xdr:to>
          <xdr:col>3</xdr:col>
          <xdr:colOff>584200</xdr:colOff>
          <xdr:row>2</xdr:row>
          <xdr:rowOff>6350</xdr:rowOff>
        </xdr:to>
        <xdr:sp macro="" textlink="">
          <xdr:nvSpPr>
            <xdr:cNvPr id="1001" name="Button 1" descr="Search" hidden="1">
              <a:extLst>
                <a:ext uri="{63B3BB69-23CF-44E3-9099-C40C66FF867C}">
                  <a14:compatExt spid="_x0000_s1001"/>
                </a:ext>
                <a:ext uri="{FF2B5EF4-FFF2-40B4-BE49-F238E27FC236}">
                  <a16:creationId xmlns:a16="http://schemas.microsoft.com/office/drawing/2014/main" id="{00000000-0008-0000-0200-0000E9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Aptos Narrow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762000</xdr:colOff>
          <xdr:row>15</xdr:row>
          <xdr:rowOff>101600</xdr:rowOff>
        </xdr:from>
        <xdr:to>
          <xdr:col>2</xdr:col>
          <xdr:colOff>1365250</xdr:colOff>
          <xdr:row>17</xdr:row>
          <xdr:rowOff>63500</xdr:rowOff>
        </xdr:to>
        <xdr:sp macro="" textlink="">
          <xdr:nvSpPr>
            <xdr:cNvPr id="1002" name="Button 2" descr="Update" hidden="1">
              <a:extLst>
                <a:ext uri="{63B3BB69-23CF-44E3-9099-C40C66FF867C}">
                  <a14:compatExt spid="_x0000_s1002"/>
                </a:ext>
                <a:ext uri="{FF2B5EF4-FFF2-40B4-BE49-F238E27FC236}">
                  <a16:creationId xmlns:a16="http://schemas.microsoft.com/office/drawing/2014/main" id="{00000000-0008-0000-0200-0000EA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101600</xdr:colOff>
          <xdr:row>0</xdr:row>
          <xdr:rowOff>412750</xdr:rowOff>
        </xdr:from>
        <xdr:to>
          <xdr:col>4</xdr:col>
          <xdr:colOff>228600</xdr:colOff>
          <xdr:row>2</xdr:row>
          <xdr:rowOff>6350</xdr:rowOff>
        </xdr:to>
        <xdr:sp macro="" textlink="">
          <xdr:nvSpPr>
            <xdr:cNvPr id="2050" name="shape_0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762000</xdr:colOff>
          <xdr:row>15</xdr:row>
          <xdr:rowOff>101600</xdr:rowOff>
        </xdr:from>
        <xdr:to>
          <xdr:col>3</xdr:col>
          <xdr:colOff>692150</xdr:colOff>
          <xdr:row>17</xdr:row>
          <xdr:rowOff>63500</xdr:rowOff>
        </xdr:to>
        <xdr:sp macro="" textlink="">
          <xdr:nvSpPr>
            <xdr:cNvPr id="2049" name="shape_0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822240</xdr:colOff>
      <xdr:row>0</xdr:row>
      <xdr:rowOff>195480</xdr:rowOff>
    </xdr:from>
    <xdr:to>
      <xdr:col>6</xdr:col>
      <xdr:colOff>1211400</xdr:colOff>
      <xdr:row>2</xdr:row>
      <xdr:rowOff>9000</xdr:rowOff>
    </xdr:to>
    <xdr:pic>
      <xdr:nvPicPr>
        <xdr:cNvPr id="6" name="Pictur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/>
      </xdr:nvPicPr>
      <xdr:blipFill>
        <a:blip xmlns:r="http://schemas.openxmlformats.org/officeDocument/2006/relationships" r:embed="rId2"/>
        <a:stretch/>
      </xdr:blipFill>
      <xdr:spPr>
        <a:xfrm>
          <a:off x="5447520" y="195480"/>
          <a:ext cx="389160" cy="3182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6</xdr:col>
      <xdr:colOff>390240</xdr:colOff>
      <xdr:row>0</xdr:row>
      <xdr:rowOff>178560</xdr:rowOff>
    </xdr:from>
    <xdr:to>
      <xdr:col>6</xdr:col>
      <xdr:colOff>749880</xdr:colOff>
      <xdr:row>2</xdr:row>
      <xdr:rowOff>1800</xdr:rowOff>
    </xdr:to>
    <xdr:pic>
      <xdr:nvPicPr>
        <xdr:cNvPr id="7" name="Picture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/>
      </xdr:nvPicPr>
      <xdr:blipFill>
        <a:blip xmlns:r="http://schemas.openxmlformats.org/officeDocument/2006/relationships" r:embed="rId4"/>
        <a:stretch/>
      </xdr:blipFill>
      <xdr:spPr>
        <a:xfrm>
          <a:off x="5015520" y="178560"/>
          <a:ext cx="359640" cy="32796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6</xdr:col>
      <xdr:colOff>1287720</xdr:colOff>
      <xdr:row>0</xdr:row>
      <xdr:rowOff>187200</xdr:rowOff>
    </xdr:from>
    <xdr:to>
      <xdr:col>6</xdr:col>
      <xdr:colOff>1647360</xdr:colOff>
      <xdr:row>2</xdr:row>
      <xdr:rowOff>8640</xdr:rowOff>
    </xdr:to>
    <xdr:pic>
      <xdr:nvPicPr>
        <xdr:cNvPr id="8" name="Picture 1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/>
      </xdr:nvPicPr>
      <xdr:blipFill>
        <a:blip xmlns:r="http://schemas.openxmlformats.org/officeDocument/2006/relationships" r:embed="rId6"/>
        <a:srcRect l="18552" t="13722" r="13221" b="12035"/>
        <a:stretch/>
      </xdr:blipFill>
      <xdr:spPr>
        <a:xfrm>
          <a:off x="5913000" y="187200"/>
          <a:ext cx="359640" cy="32616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6</xdr:col>
      <xdr:colOff>1685880</xdr:colOff>
      <xdr:row>0</xdr:row>
      <xdr:rowOff>161640</xdr:rowOff>
    </xdr:from>
    <xdr:to>
      <xdr:col>7</xdr:col>
      <xdr:colOff>271440</xdr:colOff>
      <xdr:row>2</xdr:row>
      <xdr:rowOff>21240</xdr:rowOff>
    </xdr:to>
    <xdr:pic>
      <xdr:nvPicPr>
        <xdr:cNvPr id="9" name="Picture 1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/>
      </xdr:nvPicPr>
      <xdr:blipFill>
        <a:blip xmlns:r="http://schemas.openxmlformats.org/officeDocument/2006/relationships" r:embed="rId8"/>
        <a:stretch/>
      </xdr:blipFill>
      <xdr:spPr>
        <a:xfrm>
          <a:off x="6311160" y="161640"/>
          <a:ext cx="359640" cy="364320"/>
        </a:xfrm>
        <a:prstGeom prst="rect">
          <a:avLst/>
        </a:prstGeom>
        <a:ln w="0"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MJ35"/>
  <sheetViews>
    <sheetView tabSelected="1" zoomScale="90" zoomScaleNormal="90" workbookViewId="0">
      <pane ySplit="14" topLeftCell="A15" activePane="bottomLeft" state="frozen"/>
      <selection pane="bottomLeft" activeCell="AML6" sqref="AML6"/>
    </sheetView>
  </sheetViews>
  <sheetFormatPr defaultColWidth="8.81640625" defaultRowHeight="14.5" zeroHeight="1" x14ac:dyDescent="0.35"/>
  <cols>
    <col min="1" max="1" width="3" customWidth="1"/>
    <col min="2" max="2" width="3.81640625" customWidth="1"/>
    <col min="3" max="3" width="11.26953125" customWidth="1"/>
    <col min="4" max="11" width="9.26953125" customWidth="1"/>
    <col min="12" max="12" width="1.81640625" customWidth="1"/>
    <col min="13" max="13" width="8.81640625" style="2"/>
    <col min="19" max="19" width="4.7265625" customWidth="1"/>
    <col min="20" max="20" width="9.7265625" hidden="1" customWidth="1"/>
    <col min="21" max="21" width="3.7265625" hidden="1" customWidth="1"/>
    <col min="22" max="22" width="10" hidden="1" customWidth="1"/>
    <col min="23" max="1024" width="8.81640625" hidden="1"/>
  </cols>
  <sheetData>
    <row r="1" spans="1:22" x14ac:dyDescent="0.35">
      <c r="A1" s="3"/>
      <c r="B1" s="4" t="s">
        <v>0</v>
      </c>
      <c r="C1" s="4"/>
      <c r="D1" s="5" t="e">
        <f>database!#REF!</f>
        <v>#REF!</v>
      </c>
      <c r="E1" s="3"/>
      <c r="F1" s="3"/>
      <c r="G1" s="3"/>
      <c r="H1" s="3"/>
      <c r="I1" s="3"/>
      <c r="J1" s="3"/>
      <c r="K1" s="3"/>
      <c r="L1" s="3"/>
      <c r="M1" s="6"/>
      <c r="N1" s="3"/>
      <c r="O1" s="3"/>
      <c r="P1" s="3"/>
      <c r="Q1" s="3"/>
      <c r="R1" s="3"/>
      <c r="S1" s="3"/>
      <c r="T1" s="3"/>
      <c r="U1" s="3"/>
      <c r="V1" s="3"/>
    </row>
    <row r="2" spans="1:22" x14ac:dyDescent="0.35">
      <c r="A2" s="3"/>
      <c r="B2" s="4" t="s">
        <v>1</v>
      </c>
      <c r="C2" s="4"/>
      <c r="D2" s="5" t="e">
        <f>database!#REF!</f>
        <v>#REF!</v>
      </c>
      <c r="E2" s="3"/>
      <c r="F2" s="3"/>
      <c r="G2" s="3"/>
      <c r="H2" s="3"/>
      <c r="I2" s="3"/>
      <c r="J2" s="3"/>
      <c r="K2" s="3"/>
      <c r="L2" s="3"/>
      <c r="M2" s="6"/>
      <c r="N2" s="3"/>
      <c r="O2" s="3"/>
      <c r="P2" s="3"/>
      <c r="Q2" s="3"/>
      <c r="R2" s="3"/>
      <c r="S2" s="3"/>
      <c r="T2" s="3"/>
      <c r="U2" s="3"/>
      <c r="V2" s="3"/>
    </row>
    <row r="3" spans="1:22" x14ac:dyDescent="0.3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6"/>
      <c r="N3" s="3"/>
      <c r="O3" s="3"/>
      <c r="P3" s="3"/>
      <c r="Q3" s="3"/>
      <c r="R3" s="3"/>
      <c r="S3" s="3"/>
      <c r="T3" s="3"/>
      <c r="U3" s="3"/>
      <c r="V3" s="3"/>
    </row>
    <row r="4" spans="1:22" x14ac:dyDescent="0.35">
      <c r="A4" s="3"/>
      <c r="B4" s="7" t="s">
        <v>2</v>
      </c>
      <c r="C4" s="7"/>
      <c r="D4" s="8" t="s">
        <v>3</v>
      </c>
      <c r="E4" s="9" t="s">
        <v>4</v>
      </c>
      <c r="F4" s="10" t="s">
        <v>5</v>
      </c>
      <c r="G4" s="11" t="s">
        <v>6</v>
      </c>
      <c r="H4" s="12" t="s">
        <v>7</v>
      </c>
      <c r="I4" s="13" t="s">
        <v>8</v>
      </c>
      <c r="J4" s="14" t="s">
        <v>9</v>
      </c>
      <c r="K4" s="15" t="s">
        <v>10</v>
      </c>
      <c r="M4" s="16" t="s">
        <v>11</v>
      </c>
      <c r="N4" s="16" t="s">
        <v>12</v>
      </c>
      <c r="O4" s="3"/>
      <c r="P4" s="3"/>
      <c r="Q4" s="3"/>
      <c r="R4" s="3"/>
      <c r="S4" s="3"/>
      <c r="T4" s="3" t="s">
        <v>3</v>
      </c>
      <c r="U4" s="3"/>
      <c r="V4" s="17" t="s">
        <v>13</v>
      </c>
    </row>
    <row r="5" spans="1:22" x14ac:dyDescent="0.35">
      <c r="A5" s="3"/>
      <c r="B5" s="17" t="s">
        <v>13</v>
      </c>
      <c r="C5" s="17"/>
      <c r="D5" s="18">
        <f ca="1">COUNTIFS(database!$S:$S,Dashboard!D$4,database!$J:$J,Dashboard!$B5)</f>
        <v>0</v>
      </c>
      <c r="E5" s="18">
        <f ca="1">COUNTIFS(database!$S:$S,Dashboard!E$4,database!$J:$J,Dashboard!$B5)</f>
        <v>0</v>
      </c>
      <c r="F5" s="18">
        <f ca="1">COUNTIFS(database!$S:$S,Dashboard!F$4,database!$J:$J,Dashboard!$B5)</f>
        <v>0</v>
      </c>
      <c r="G5" s="18">
        <f ca="1">COUNTIFS(database!$S:$S,Dashboard!G$4,database!$J:$J,Dashboard!$B5)</f>
        <v>0</v>
      </c>
      <c r="H5" s="18">
        <f ca="1">COUNTIFS(database!$S:$S,Dashboard!H$4,database!$J:$J,Dashboard!$B5)</f>
        <v>0</v>
      </c>
      <c r="I5" s="18">
        <f ca="1">COUNTIFS(database!$S:$S,Dashboard!I$4,database!$J:$J,Dashboard!$B5)</f>
        <v>0</v>
      </c>
      <c r="J5" s="18">
        <f ca="1">COUNTIFS(database!$S:$S,Dashboard!J$4,database!$J:$J,Dashboard!$B5)</f>
        <v>0</v>
      </c>
      <c r="K5" s="18">
        <f ca="1">COUNTIFS(database!$S:$S,Dashboard!K$4,database!$J:$J,Dashboard!$B5)</f>
        <v>2</v>
      </c>
      <c r="L5" s="19"/>
      <c r="M5" s="20">
        <f ca="1">SUM(D5:G5)</f>
        <v>0</v>
      </c>
      <c r="N5" s="20">
        <f ca="1">SUM(H5:K5)</f>
        <v>2</v>
      </c>
      <c r="O5" s="3"/>
      <c r="P5" s="3"/>
      <c r="Q5" s="3"/>
      <c r="R5" s="3"/>
      <c r="S5" s="3"/>
      <c r="T5" s="3" t="s">
        <v>4</v>
      </c>
      <c r="U5" s="3"/>
      <c r="V5" s="17" t="s">
        <v>14</v>
      </c>
    </row>
    <row r="6" spans="1:22" x14ac:dyDescent="0.35">
      <c r="A6" s="3"/>
      <c r="B6" s="17" t="s">
        <v>14</v>
      </c>
      <c r="C6" s="17"/>
      <c r="D6" s="18">
        <f ca="1">COUNTIFS(database!$S:$S,Dashboard!D$4,database!$J:$J,Dashboard!$B6)</f>
        <v>0</v>
      </c>
      <c r="E6" s="18">
        <f ca="1">COUNTIFS(database!$S:$S,Dashboard!E$4,database!$J:$J,Dashboard!$B6)</f>
        <v>0</v>
      </c>
      <c r="F6" s="18">
        <f ca="1">COUNTIFS(database!$S:$S,Dashboard!F$4,database!$J:$J,Dashboard!$B6)</f>
        <v>0</v>
      </c>
      <c r="G6" s="18">
        <f ca="1">COUNTIFS(database!$S:$S,Dashboard!G$4,database!$J:$J,Dashboard!$B6)</f>
        <v>2</v>
      </c>
      <c r="H6" s="18">
        <f ca="1">COUNTIFS(database!$S:$S,Dashboard!H$4,database!$J:$J,Dashboard!$B6)</f>
        <v>2</v>
      </c>
      <c r="I6" s="18">
        <f ca="1">COUNTIFS(database!$S:$S,Dashboard!I$4,database!$J:$J,Dashboard!$B6)</f>
        <v>0</v>
      </c>
      <c r="J6" s="18">
        <f ca="1">COUNTIFS(database!$S:$S,Dashboard!J$4,database!$J:$J,Dashboard!$B6)</f>
        <v>0</v>
      </c>
      <c r="K6" s="18">
        <f ca="1">COUNTIFS(database!$S:$S,Dashboard!K$4,database!$J:$J,Dashboard!$B6)</f>
        <v>7</v>
      </c>
      <c r="L6" s="19"/>
      <c r="M6" s="20">
        <f ca="1">SUM(D6:G6)</f>
        <v>2</v>
      </c>
      <c r="N6" s="20">
        <f ca="1">SUM(H6:K6)</f>
        <v>9</v>
      </c>
      <c r="O6" s="3"/>
      <c r="P6" s="3"/>
      <c r="Q6" s="3"/>
      <c r="R6" s="3"/>
      <c r="S6" s="3"/>
      <c r="T6" s="3" t="s">
        <v>5</v>
      </c>
      <c r="U6" s="3"/>
      <c r="V6" s="17" t="s">
        <v>15</v>
      </c>
    </row>
    <row r="7" spans="1:22" x14ac:dyDescent="0.35">
      <c r="A7" s="3"/>
      <c r="B7" s="17" t="s">
        <v>15</v>
      </c>
      <c r="C7" s="17"/>
      <c r="D7" s="18">
        <f ca="1">COUNTIFS(database!$S:$S,Dashboard!D$4,database!$J:$J,Dashboard!$B7)</f>
        <v>0</v>
      </c>
      <c r="E7" s="18">
        <f ca="1">COUNTIFS(database!$S:$S,Dashboard!E$4,database!$J:$J,Dashboard!$B7)</f>
        <v>0</v>
      </c>
      <c r="F7" s="18">
        <f ca="1">COUNTIFS(database!$S:$S,Dashboard!F$4,database!$J:$J,Dashboard!$B7)</f>
        <v>0</v>
      </c>
      <c r="G7" s="18">
        <f ca="1">COUNTIFS(database!$S:$S,Dashboard!G$4,database!$J:$J,Dashboard!$B7)</f>
        <v>0</v>
      </c>
      <c r="H7" s="18">
        <f ca="1">COUNTIFS(database!$S:$S,Dashboard!H$4,database!$J:$J,Dashboard!$B7)</f>
        <v>0</v>
      </c>
      <c r="I7" s="18">
        <f ca="1">COUNTIFS(database!$S:$S,Dashboard!I$4,database!$J:$J,Dashboard!$B7)</f>
        <v>0</v>
      </c>
      <c r="J7" s="18">
        <f ca="1">COUNTIFS(database!$S:$S,Dashboard!J$4,database!$J:$J,Dashboard!$B7)</f>
        <v>2</v>
      </c>
      <c r="K7" s="18">
        <f ca="1">COUNTIFS(database!$S:$S,Dashboard!K$4,database!$J:$J,Dashboard!$B7)</f>
        <v>2</v>
      </c>
      <c r="L7" s="19"/>
      <c r="M7" s="20">
        <f ca="1">SUM(D7:G7)</f>
        <v>0</v>
      </c>
      <c r="N7" s="20">
        <f ca="1">SUM(H7:K7)</f>
        <v>4</v>
      </c>
      <c r="O7" s="3"/>
      <c r="P7" s="3"/>
      <c r="Q7" s="3"/>
      <c r="R7" s="3"/>
      <c r="S7" s="3"/>
      <c r="T7" s="3" t="s">
        <v>6</v>
      </c>
      <c r="U7" s="3"/>
      <c r="V7" s="17" t="s">
        <v>16</v>
      </c>
    </row>
    <row r="8" spans="1:22" x14ac:dyDescent="0.35">
      <c r="A8" s="3"/>
      <c r="B8" s="17" t="s">
        <v>16</v>
      </c>
      <c r="C8" s="17"/>
      <c r="D8" s="18">
        <f ca="1">COUNTIFS(database!$S:$S,Dashboard!D$4,database!$J:$J,Dashboard!$B8)</f>
        <v>0</v>
      </c>
      <c r="E8" s="18">
        <f>COUNTIFS(database!$S:$S,Dashboard!E$4,database!$J:$J,Dashboard!$B8)</f>
        <v>0</v>
      </c>
      <c r="F8" s="18">
        <f>COUNTIFS(database!$S:$S,Dashboard!F$4,database!$J:$J,Dashboard!$B8)</f>
        <v>0</v>
      </c>
      <c r="G8" s="18">
        <f>COUNTIFS(database!$S:$S,Dashboard!G$4,database!$J:$J,Dashboard!$B8)</f>
        <v>0</v>
      </c>
      <c r="H8" s="18">
        <f>COUNTIFS(database!$S:$S,Dashboard!H$4,database!$J:$J,Dashboard!$B8)</f>
        <v>0</v>
      </c>
      <c r="I8" s="18">
        <f>COUNTIFS(database!$S:$S,Dashboard!I$4,database!$J:$J,Dashboard!$B8)</f>
        <v>0</v>
      </c>
      <c r="J8" s="18">
        <f>COUNTIFS(database!$S:$S,Dashboard!J$4,database!$J:$J,Dashboard!$B8)</f>
        <v>0</v>
      </c>
      <c r="K8" s="18">
        <f ca="1">COUNTIFS(database!$S:$S,Dashboard!K$4,database!$J:$J,Dashboard!$B8)</f>
        <v>0</v>
      </c>
      <c r="L8" s="19"/>
      <c r="M8" s="20">
        <f ca="1">SUM(D8:G8)</f>
        <v>0</v>
      </c>
      <c r="N8" s="20">
        <f ca="1">SUM(H8:K8)</f>
        <v>0</v>
      </c>
      <c r="O8" s="3"/>
      <c r="P8" s="3"/>
      <c r="Q8" s="3"/>
      <c r="R8" s="3"/>
      <c r="S8" s="3"/>
      <c r="T8" s="3" t="s">
        <v>7</v>
      </c>
      <c r="U8" s="3"/>
      <c r="V8" s="3" t="s">
        <v>17</v>
      </c>
    </row>
    <row r="9" spans="1:22" x14ac:dyDescent="0.3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6"/>
      <c r="N9" s="3"/>
      <c r="O9" s="3"/>
      <c r="P9" s="3"/>
      <c r="Q9" s="3"/>
      <c r="R9" s="3"/>
      <c r="S9" s="3"/>
      <c r="T9" s="3" t="s">
        <v>8</v>
      </c>
      <c r="U9" s="3"/>
      <c r="V9" s="3"/>
    </row>
    <row r="10" spans="1:22" x14ac:dyDescent="0.35">
      <c r="A10" s="3"/>
      <c r="B10" s="21" t="s">
        <v>18</v>
      </c>
      <c r="C10" s="21"/>
      <c r="D10" s="3"/>
      <c r="E10" s="3"/>
      <c r="F10" s="3"/>
      <c r="G10" s="3"/>
      <c r="H10" s="3"/>
      <c r="I10" s="3"/>
      <c r="J10" s="3"/>
      <c r="K10" s="3"/>
      <c r="L10" s="3"/>
      <c r="M10" s="6"/>
      <c r="N10" s="3"/>
      <c r="O10" s="3"/>
      <c r="P10" s="3"/>
      <c r="Q10" s="3"/>
      <c r="R10" s="3"/>
      <c r="S10" s="3"/>
      <c r="T10" s="3" t="s">
        <v>19</v>
      </c>
      <c r="U10" s="3"/>
      <c r="V10" s="3"/>
    </row>
    <row r="11" spans="1:22" x14ac:dyDescent="0.35">
      <c r="A11" s="3"/>
      <c r="B11" s="3"/>
      <c r="C11" s="4" t="s">
        <v>20</v>
      </c>
      <c r="D11" s="171" t="s">
        <v>17</v>
      </c>
      <c r="E11" s="171"/>
      <c r="F11" s="3"/>
      <c r="G11" s="3"/>
      <c r="H11" s="3"/>
      <c r="I11" s="3"/>
      <c r="J11" s="3"/>
      <c r="K11" s="3"/>
      <c r="L11" s="3"/>
      <c r="M11" s="6"/>
      <c r="N11" s="3"/>
      <c r="O11" s="3"/>
      <c r="P11" s="3"/>
      <c r="Q11" s="3"/>
      <c r="R11" s="3"/>
      <c r="S11" s="3"/>
      <c r="T11" s="3" t="s">
        <v>10</v>
      </c>
      <c r="U11" s="3"/>
      <c r="V11" s="3"/>
    </row>
    <row r="12" spans="1:22" x14ac:dyDescent="0.35">
      <c r="A12" s="3"/>
      <c r="B12" s="3"/>
      <c r="C12" s="4" t="s">
        <v>21</v>
      </c>
      <c r="D12" s="171" t="s">
        <v>6</v>
      </c>
      <c r="E12" s="171"/>
      <c r="F12" s="3"/>
      <c r="G12" s="3"/>
      <c r="H12" s="3"/>
      <c r="I12" s="3"/>
      <c r="J12" s="3"/>
      <c r="K12" s="3"/>
      <c r="L12" s="3"/>
      <c r="M12" s="6"/>
      <c r="N12" s="3"/>
      <c r="O12" s="3"/>
      <c r="P12" s="3"/>
      <c r="Q12" s="3"/>
      <c r="R12" s="3"/>
      <c r="S12" s="3"/>
      <c r="T12" s="3"/>
      <c r="U12" s="3"/>
      <c r="V12" s="3"/>
    </row>
    <row r="13" spans="1:22" ht="4.5" customHeight="1" x14ac:dyDescent="0.3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6"/>
      <c r="N13" s="3"/>
      <c r="O13" s="3"/>
      <c r="P13" s="3"/>
      <c r="Q13" s="3"/>
      <c r="R13" s="3"/>
      <c r="S13" s="3"/>
      <c r="T13" s="3"/>
      <c r="U13" s="3"/>
      <c r="V13" s="3"/>
    </row>
    <row r="14" spans="1:22" x14ac:dyDescent="0.35">
      <c r="A14" s="3"/>
      <c r="B14" s="22" t="s">
        <v>22</v>
      </c>
      <c r="C14" s="23" t="s">
        <v>20</v>
      </c>
      <c r="D14" s="172" t="s">
        <v>23</v>
      </c>
      <c r="E14" s="172"/>
      <c r="F14" s="1"/>
      <c r="G14" s="1" t="s">
        <v>24</v>
      </c>
      <c r="H14" s="1" t="s">
        <v>25</v>
      </c>
      <c r="I14" s="169" t="s">
        <v>26</v>
      </c>
      <c r="J14" s="169"/>
      <c r="K14" s="169"/>
      <c r="L14" s="169"/>
      <c r="M14" s="169" t="s">
        <v>27</v>
      </c>
      <c r="N14" s="169"/>
      <c r="O14" s="169" t="s">
        <v>28</v>
      </c>
      <c r="P14" s="169"/>
      <c r="Q14" s="169"/>
      <c r="R14" s="169"/>
      <c r="S14" s="3"/>
      <c r="T14" s="3"/>
      <c r="U14" s="3"/>
      <c r="V14" s="3"/>
    </row>
    <row r="15" spans="1:22" x14ac:dyDescent="0.35">
      <c r="A15" s="3"/>
      <c r="B15" s="24">
        <v>1</v>
      </c>
      <c r="C15" s="25" t="str">
        <f ca="1">IFERROR(IF($D$11="All Position",OFFSET(database!J$1,MATCH($B15,database!$V$2:$V$2028,0),0),
IF($D$11="Salesman",OFFSET(database!J$1,MATCH($B15,database!$X$2:$X$2028,0),0),
IF($D$11="Salesgirl",OFFSET(database!J$1,MATCH($B15,database!$Z$2:$Z$2028,0),0),
IF($D$11="Mekanik",OFFSET(database!J$1,MATCH($B15,database!$AB$2:$AB$2028,0),0),
IF($D$11="Admin",OFFSET(database!J$1,MATCH($B15,database!$AD$2:$AD$2028,0),0),""))))),"")</f>
        <v>SALESGIRL</v>
      </c>
      <c r="D15" s="170" t="str">
        <f ca="1">IFERROR(IF($D$11="All Position",OFFSET(database!D$1,MATCH($B15,database!$V$2:$V$2028,0),0),
IF($D$11="Salesman",OFFSET(database!D$1,MATCH($B15,database!$X$2:$X$2028,0),0),
IF($D$11="Salesgirl",OFFSET(database!D$1,MATCH($B15,database!$Z$2:$Z$2028,0),0),
IF($D$11="Mekanik",OFFSET(database!D$1,MATCH($B15,database!$AB$2:$AB$2028,0),0),
IF($D$11="Admin",OFFSET(database!D$1,MATCH($B15,database!$AD$2:$AD$2028,0),0),""))))),"")</f>
        <v>ELSA GUSTIANA</v>
      </c>
      <c r="E15" s="170"/>
      <c r="F15" s="170"/>
      <c r="G15" s="26">
        <f ca="1">IFERROR(IF($D$11="All Position",OFFSET(database!H$1,MATCH($B15,database!$V$2:$V$2028,0),0),
IF($D$11="Salesman",OFFSET(database!H$1,MATCH($B15,database!$X$2:$X$2028,0),0),
IF($D$11="Salesgirl",OFFSET(database!H$1,MATCH($B15,database!$Z$2:$Z$2028,0),0),
IF($D$11="Mekanik",OFFSET(database!H$1,MATCH($B15,database!$AB$2:$AB$2028,0),0),
IF($D$11="Admin",OFFSET(database!H$1,MATCH($B15,database!$AD$2:$AD$2028,0),0),""))))),"")</f>
        <v>45931</v>
      </c>
      <c r="H15" s="26">
        <f ca="1">IFERROR(IF($D$11="All Position",OFFSET(database!I$1,MATCH($B15,database!$V$2:$V$2028,0),0),
IF($D$11="Salesman",OFFSET(database!I$1,MATCH($B15,database!$X$2:$X$2028,0),0),
IF($D$11="Salesgirl",OFFSET(database!I$1,MATCH($B15,database!$Z$2:$Z$2028,0),0),
IF($D$11="Mekanik",OFFSET(database!I$1,MATCH($B15,database!$AB$2:$AB$2028,0),0),
IF($D$11="Admin",OFFSET(database!I$1,MATCH($B15,database!$AD$2:$AD$2028,0),0),""))))),"")</f>
        <v>46112</v>
      </c>
      <c r="I15" s="167" t="str">
        <f ca="1">IFERROR(IF($D$11="All Position",OFFSET(database!L$1,MATCH($B15,database!$V$2:$V$2028,0),0),
IF($D$11="Salesman",OFFSET(database!L$1,MATCH($B15,database!$X$2:$X$2028,0),0),
IF($D$11="Salesgirl",OFFSET(database!L$1,MATCH($B15,database!$Z$2:$Z$2028,0),0),
IF($D$11="Mekanik",OFFSET(database!L$1,MATCH($B15,database!$AB$2:$AB$2028,0),0),
IF($D$11="Admin",OFFSET(database!L$1,MATCH($B15,database!$AD$2:$AD$2028,0),0),""))))),"")</f>
        <v>LO/PERJ/HRD-H730/013/X/2025</v>
      </c>
      <c r="J15" s="167" t="str">
        <f ca="1">IFERROR(IF($D$11="All Position",OFFSET(database!K$1,MATCH($B15,database!$V$2:$V$2028,0),0),
IF($D$11="Salesman",OFFSET(database!K$1,MATCH($B15,database!$X$2:$X$2028,0),0),
IF($D$11="Salesgirl",OFFSET(database!K$1,MATCH($B15,database!$Z$2:$Z$2028,0),0),
IF($D$11="Mekanik",OFFSET(database!K$1,MATCH($B15,database!$AB$2:$AB$2028,0),0),
IF($D$11="Admin",OFFSET(database!K$1,MATCH($B15,database!$AD$2:$AD$2028,0),0),""))))),"")</f>
        <v>P</v>
      </c>
      <c r="K15" s="167" t="str">
        <f ca="1">IFERROR(IF($D$11="All Position",OFFSET(database!L$1,MATCH($B15,database!$V$2:$V$2028,0),0),
IF($D$11="Salesman",OFFSET(database!L$1,MATCH($B15,database!$X$2:$X$2028,0),0),
IF($D$11="Salesgirl",OFFSET(database!L$1,MATCH($B15,database!$Z$2:$Z$2028,0),0),
IF($D$11="Mekanik",OFFSET(database!L$1,MATCH($B15,database!$AB$2:$AB$2028,0),0),
IF($D$11="Admin",OFFSET(database!L$1,MATCH($B15,database!$AD$2:$AD$2028,0),0),""))))),"")</f>
        <v>LO/PERJ/HRD-H730/013/X/2025</v>
      </c>
      <c r="L15" s="167" t="str">
        <f ca="1">IFERROR(IF($D$11="All Position",OFFSET(database!M$1,MATCH($B15,database!$V$2:$V$2028,0),0),
IF($D$11="Salesman",OFFSET(database!M$1,MATCH($B15,database!$X$2:$X$2028,0),0),
IF($D$11="Salesgirl",OFFSET(database!M$1,MATCH($B15,database!$Z$2:$Z$2028,0),0),
IF($D$11="Mekanik",OFFSET(database!M$1,MATCH($B15,database!$AB$2:$AB$2028,0),0),
IF($D$11="Admin",OFFSET(database!M$1,MATCH($B15,database!$AD$2:$AD$2028,0),0),""))))),"")</f>
        <v>6101046008020005</v>
      </c>
      <c r="M15" s="167" t="str">
        <f ca="1">IFERROR(IF($D$11="All Position",OFFSET(database!M$1,MATCH($B15,database!$V$2:$V$2028,0),0),
IF($D$11="Salesman",OFFSET(database!M$1,MATCH($B15,database!$X$2:$X$2028,0),0),
IF($D$11="Salesgirl",OFFSET(database!M$1,MATCH($B15,database!$Z$2:$Z$2028,0),0),
IF($D$11="Mekanik",OFFSET(database!M$1,MATCH($B15,database!$AB$2:$AB$2028,0),0),
IF($D$11="Admin",OFFSET(database!M$1,MATCH($B15,database!$AD$2:$AD$2028,0),0),""))))),"")</f>
        <v>6101046008020005</v>
      </c>
      <c r="N15" s="167" t="str">
        <f ca="1">IFERROR(IF($D$11="All Position",OFFSET(database!O$1,MATCH($B15,database!$V$2:$V$2028,0),0),
IF($D$11="Salesman",OFFSET(database!O$1,MATCH($B15,database!$X$2:$X$2028,0),0),
IF($D$11="Salesgirl",OFFSET(database!O$1,MATCH($B15,database!$Z$2:$Z$2028,0),0),
IF($D$11="Mekanik",OFFSET(database!O$1,MATCH($B15,database!$AB$2:$AB$2028,0),0),
IF($D$11="Admin",OFFSET(database!O$1,MATCH($B15,database!$AD$2:$AD$2028,0),0),""))))),"")</f>
        <v>6-6101046008020005</v>
      </c>
      <c r="O15" s="168" t="str">
        <f t="shared" ref="O15:O34" ca="1" si="0">IF(H15="","",IF(TODAY()-H15&gt;0,"Contract Ended "&amp;(TODAY()-H15)&amp;" days ago!","Warning! Contract End in "&amp;(TODAY()-H15)*-1&amp;" days again!"))</f>
        <v>Contract Ended 4 days ago!</v>
      </c>
      <c r="P15" s="168" t="str">
        <f t="shared" ref="P15:R34" ca="1" si="1">IF(P8="","",IF(TODAY()-MAX(P23:P33)&gt;0,"Contract Ended "&amp;TODAY()-MAX(P23:P33)&amp;" days ago!","Warning! Contract End in "&amp;(TODAY()-MAX(P23:P33))*-1&amp;" days again!"))</f>
        <v/>
      </c>
      <c r="Q15" s="168" t="str">
        <f t="shared" ca="1" si="1"/>
        <v/>
      </c>
      <c r="R15" s="168" t="str">
        <f t="shared" ca="1" si="1"/>
        <v/>
      </c>
      <c r="S15" s="6"/>
      <c r="T15" s="3"/>
      <c r="U15" s="3"/>
      <c r="V15" s="3"/>
    </row>
    <row r="16" spans="1:22" x14ac:dyDescent="0.35">
      <c r="A16" s="3"/>
      <c r="B16" s="27">
        <f t="shared" ref="B16:B34" si="2">B15+1</f>
        <v>2</v>
      </c>
      <c r="C16" s="25" t="str">
        <f ca="1">IFERROR(IF($D$11="All Position",OFFSET(database!J$1,MATCH($B16,database!$V$2:$V$2028,0),0),
IF($D$11="Salesman",OFFSET(database!J$1,MATCH($B16,database!$X$2:$X$2028,0),0),
IF($D$11="Salesgirl",OFFSET(database!J$1,MATCH($B16,database!$Z$2:$Z$2028,0),0),
IF($D$11="Mekanik",OFFSET(database!J$1,MATCH($B16,database!$AB$2:$AB$2028,0),0),
IF($D$11="Admin",OFFSET(database!J$1,MATCH($B16,database!$AD$2:$AD$2028,0),0),""))))),"")</f>
        <v>SALESGIRL</v>
      </c>
      <c r="D16" s="166" t="str">
        <f ca="1">IFERROR(IF($D$11="All Position",OFFSET(database!D$1,MATCH($B16,database!$V$2:$V$2028,0),0),
IF($D$11="Salesman",OFFSET(database!D$1,MATCH($B16,database!$X$2:$X$2028,0),0),
IF($D$11="Salesgirl",OFFSET(database!D$1,MATCH($B16,database!$Z$2:$Z$2028,0),0),
IF($D$11="Mekanik",OFFSET(database!D$1,MATCH($B16,database!$AB$2:$AB$2028,0),0),
IF($D$11="Admin",OFFSET(database!D$1,MATCH($B16,database!$AD$2:$AD$2028,0),0),""))))),"")</f>
        <v>NUDIALIS SOLATA</v>
      </c>
      <c r="E16" s="166"/>
      <c r="F16" s="166"/>
      <c r="G16" s="26">
        <f ca="1">IFERROR(IF($D$11="All Position",OFFSET(database!H$1,MATCH($B16,database!$V$2:$V$2028,0),0),
IF($D$11="Salesman",OFFSET(database!H$1,MATCH($B16,database!$X$2:$X$2028,0),0),
IF($D$11="Salesgirl",OFFSET(database!H$1,MATCH($B16,database!$Z$2:$Z$2028,0),0),
IF($D$11="Mekanik",OFFSET(database!H$1,MATCH($B16,database!$AB$2:$AB$2028,0),0),
IF($D$11="Admin",OFFSET(database!H$1,MATCH($B16,database!$AD$2:$AD$2028,0),0),""))))),"")</f>
        <v>45931</v>
      </c>
      <c r="H16" s="26">
        <f ca="1">IFERROR(IF($D$11="All Position",OFFSET(database!I$1,MATCH($B16,database!$V$2:$V$2028,0),0),
IF($D$11="Salesman",OFFSET(database!I$1,MATCH($B16,database!$X$2:$X$2028,0),0),
IF($D$11="Salesgirl",OFFSET(database!I$1,MATCH($B16,database!$Z$2:$Z$2028,0),0),
IF($D$11="Mekanik",OFFSET(database!I$1,MATCH($B16,database!$AB$2:$AB$2028,0),0),
IF($D$11="Admin",OFFSET(database!I$1,MATCH($B16,database!$AD$2:$AD$2028,0),0),""))))),"")</f>
        <v>46112</v>
      </c>
      <c r="I16" s="167" t="str">
        <f ca="1">IFERROR(IF($D$11="All Position",OFFSET(database!L$1,MATCH($B16,database!$V$2:$V$2028,0),0),
IF($D$11="Salesman",OFFSET(database!L$1,MATCH($B16,database!$X$2:$X$2028,0),0),
IF($D$11="Salesgirl",OFFSET(database!L$1,MATCH($B16,database!$Z$2:$Z$2028,0),0),
IF($D$11="Mekanik",OFFSET(database!L$1,MATCH($B16,database!$AB$2:$AB$2028,0),0),
IF($D$11="Admin",OFFSET(database!L$1,MATCH($B16,database!$AD$2:$AD$2028,0),0),""))))),"")</f>
        <v>LO/PERJ/HRD-H730/014/X/2025</v>
      </c>
      <c r="J16" s="167" t="str">
        <f ca="1">IFERROR(IF($D$11="All Position",OFFSET(database!K$1,MATCH($B16,database!$V$2:$V$2028,0),0),
IF($D$11="Salesman",OFFSET(database!K$1,MATCH($B16,database!$X$2:$X$2028,0),0),
IF($D$11="Salesgirl",OFFSET(database!K$1,MATCH($B16,database!$Z$2:$Z$2028,0),0),
IF($D$11="Mekanik",OFFSET(database!K$1,MATCH($B16,database!$AB$2:$AB$2028,0),0),
IF($D$11="Admin",OFFSET(database!K$1,MATCH($B16,database!$AD$2:$AD$2028,0),0),""))))),"")</f>
        <v>P</v>
      </c>
      <c r="K16" s="167" t="str">
        <f ca="1">IFERROR(IF($D$11="All Position",OFFSET(database!L$1,MATCH($B16,database!$V$2:$V$2028,0),0),
IF($D$11="Salesman",OFFSET(database!L$1,MATCH($B16,database!$X$2:$X$2028,0),0),
IF($D$11="Salesgirl",OFFSET(database!L$1,MATCH($B16,database!$Z$2:$Z$2028,0),0),
IF($D$11="Mekanik",OFFSET(database!L$1,MATCH($B16,database!$AB$2:$AB$2028,0),0),
IF($D$11="Admin",OFFSET(database!L$1,MATCH($B16,database!$AD$2:$AD$2028,0),0),""))))),"")</f>
        <v>LO/PERJ/HRD-H730/014/X/2025</v>
      </c>
      <c r="L16" s="167" t="str">
        <f ca="1">IFERROR(IF($D$11="All Position",OFFSET(database!M$1,MATCH($B16,database!$V$2:$V$2028,0),0),
IF($D$11="Salesman",OFFSET(database!M$1,MATCH($B16,database!$X$2:$X$2028,0),0),
IF($D$11="Salesgirl",OFFSET(database!M$1,MATCH($B16,database!$Z$2:$Z$2028,0),0),
IF($D$11="Mekanik",OFFSET(database!M$1,MATCH($B16,database!$AB$2:$AB$2028,0),0),
IF($D$11="Admin",OFFSET(database!M$1,MATCH($B16,database!$AD$2:$AD$2028,0),0),""))))),"")</f>
        <v>6101032004900002</v>
      </c>
      <c r="M16" s="167" t="str">
        <f ca="1">IFERROR(IF($D$11="All Position",OFFSET(database!M$1,MATCH($B16,database!$V$2:$V$2028,0),0),
IF($D$11="Salesman",OFFSET(database!M$1,MATCH($B16,database!$X$2:$X$2028,0),0),
IF($D$11="Salesgirl",OFFSET(database!M$1,MATCH($B16,database!$Z$2:$Z$2028,0),0),
IF($D$11="Mekanik",OFFSET(database!M$1,MATCH($B16,database!$AB$2:$AB$2028,0),0),
IF($D$11="Admin",OFFSET(database!M$1,MATCH($B16,database!$AD$2:$AD$2028,0),0),""))))),"")</f>
        <v>6101032004900002</v>
      </c>
      <c r="N16" s="167" t="str">
        <f ca="1">IFERROR(IF($D$11="All Position",OFFSET(database!O$1,MATCH($B16,database!$V$2:$V$2028,0),0),
IF($D$11="Salesman",OFFSET(database!O$1,MATCH($B16,database!$X$2:$X$2028,0),0),
IF($D$11="Salesgirl",OFFSET(database!O$1,MATCH($B16,database!$Z$2:$Z$2028,0),0),
IF($D$11="Mekanik",OFFSET(database!O$1,MATCH($B16,database!$AB$2:$AB$2028,0),0),
IF($D$11="Admin",OFFSET(database!O$1,MATCH($B16,database!$AD$2:$AD$2028,0),0),""))))),"")</f>
        <v>2-6101032004900002</v>
      </c>
      <c r="O16" s="168" t="str">
        <f t="shared" ca="1" si="0"/>
        <v>Contract Ended 4 days ago!</v>
      </c>
      <c r="P16" s="168" t="str">
        <f t="shared" ca="1" si="1"/>
        <v/>
      </c>
      <c r="Q16" s="168" t="str">
        <f t="shared" ca="1" si="1"/>
        <v/>
      </c>
      <c r="R16" s="168" t="str">
        <f t="shared" ca="1" si="1"/>
        <v/>
      </c>
      <c r="S16" s="3"/>
      <c r="T16" s="3"/>
      <c r="U16" s="3"/>
      <c r="V16" s="3"/>
    </row>
    <row r="17" spans="1:22" x14ac:dyDescent="0.35">
      <c r="A17" s="3"/>
      <c r="B17" s="27">
        <f t="shared" si="2"/>
        <v>3</v>
      </c>
      <c r="C17" s="25" t="str">
        <f ca="1">IFERROR(IF($D$11="All Position",OFFSET(database!J$1,MATCH($B17,database!$V$2:$V$2028,0),0),
IF($D$11="Salesman",OFFSET(database!J$1,MATCH($B17,database!$X$2:$X$2028,0),0),
IF($D$11="Salesgirl",OFFSET(database!J$1,MATCH($B17,database!$Z$2:$Z$2028,0),0),
IF($D$11="Mekanik",OFFSET(database!J$1,MATCH($B17,database!$AB$2:$AB$2028,0),0),
IF($D$11="Admin",OFFSET(database!J$1,MATCH($B17,database!$AD$2:$AD$2028,0),0),""))))),"")</f>
        <v/>
      </c>
      <c r="D17" s="166" t="str">
        <f ca="1">IFERROR(IF($D$11="All Position",OFFSET(database!D$1,MATCH($B17,database!$V$2:$V$2028,0),0),
IF($D$11="Salesman",OFFSET(database!D$1,MATCH($B17,database!$X$2:$X$2028,0),0),
IF($D$11="Salesgirl",OFFSET(database!D$1,MATCH($B17,database!$Z$2:$Z$2028,0),0),
IF($D$11="Mekanik",OFFSET(database!D$1,MATCH($B17,database!$AB$2:$AB$2028,0),0),
IF($D$11="Admin",OFFSET(database!D$1,MATCH($B17,database!$AD$2:$AD$2028,0),0),""))))),"")</f>
        <v/>
      </c>
      <c r="E17" s="166"/>
      <c r="F17" s="166"/>
      <c r="G17" s="26" t="str">
        <f ca="1">IFERROR(IF($D$11="All Position",OFFSET(database!H$1,MATCH($B17,database!$V$2:$V$2028,0),0),
IF($D$11="Salesman",OFFSET(database!H$1,MATCH($B17,database!$X$2:$X$2028,0),0),
IF($D$11="Salesgirl",OFFSET(database!H$1,MATCH($B17,database!$Z$2:$Z$2028,0),0),
IF($D$11="Mekanik",OFFSET(database!H$1,MATCH($B17,database!$AB$2:$AB$2028,0),0),
IF($D$11="Admin",OFFSET(database!H$1,MATCH($B17,database!$AD$2:$AD$2028,0),0),""))))),"")</f>
        <v/>
      </c>
      <c r="H17" s="26" t="str">
        <f ca="1">IFERROR(IF($D$11="All Position",OFFSET(database!I$1,MATCH($B17,database!$V$2:$V$2028,0),0),
IF($D$11="Salesman",OFFSET(database!I$1,MATCH($B17,database!$X$2:$X$2028,0),0),
IF($D$11="Salesgirl",OFFSET(database!I$1,MATCH($B17,database!$Z$2:$Z$2028,0),0),
IF($D$11="Mekanik",OFFSET(database!I$1,MATCH($B17,database!$AB$2:$AB$2028,0),0),
IF($D$11="Admin",OFFSET(database!I$1,MATCH($B17,database!$AD$2:$AD$2028,0),0),""))))),"")</f>
        <v/>
      </c>
      <c r="I17" s="167" t="str">
        <f ca="1">IFERROR(IF($D$11="All Position",OFFSET(database!L$1,MATCH($B17,database!$V$2:$V$2028,0),0),
IF($D$11="Salesman",OFFSET(database!L$1,MATCH($B17,database!$X$2:$X$2028,0),0),
IF($D$11="Salesgirl",OFFSET(database!L$1,MATCH($B17,database!$Z$2:$Z$2028,0),0),
IF($D$11="Mekanik",OFFSET(database!L$1,MATCH($B17,database!$AB$2:$AB$2028,0),0),
IF($D$11="Admin",OFFSET(database!L$1,MATCH($B17,database!$AD$2:$AD$2028,0),0),""))))),"")</f>
        <v/>
      </c>
      <c r="J17" s="167" t="str">
        <f ca="1">IFERROR(IF($D$11="All Position",OFFSET(database!K$1,MATCH($B17,database!$V$2:$V$2028,0),0),
IF($D$11="Salesman",OFFSET(database!K$1,MATCH($B17,database!$X$2:$X$2028,0),0),
IF($D$11="Salesgirl",OFFSET(database!K$1,MATCH($B17,database!$Z$2:$Z$2028,0),0),
IF($D$11="Mekanik",OFFSET(database!K$1,MATCH($B17,database!$AB$2:$AB$2028,0),0),
IF($D$11="Admin",OFFSET(database!K$1,MATCH($B17,database!$AD$2:$AD$2028,0),0),""))))),"")</f>
        <v/>
      </c>
      <c r="K17" s="167" t="str">
        <f ca="1">IFERROR(IF($D$11="All Position",OFFSET(database!L$1,MATCH($B17,database!$V$2:$V$2028,0),0),
IF($D$11="Salesman",OFFSET(database!L$1,MATCH($B17,database!$X$2:$X$2028,0),0),
IF($D$11="Salesgirl",OFFSET(database!L$1,MATCH($B17,database!$Z$2:$Z$2028,0),0),
IF($D$11="Mekanik",OFFSET(database!L$1,MATCH($B17,database!$AB$2:$AB$2028,0),0),
IF($D$11="Admin",OFFSET(database!L$1,MATCH($B17,database!$AD$2:$AD$2028,0),0),""))))),"")</f>
        <v/>
      </c>
      <c r="L17" s="167" t="str">
        <f ca="1">IFERROR(IF($D$11="All Position",OFFSET(database!M$1,MATCH($B17,database!$V$2:$V$2028,0),0),
IF($D$11="Salesman",OFFSET(database!M$1,MATCH($B17,database!$X$2:$X$2028,0),0),
IF($D$11="Salesgirl",OFFSET(database!M$1,MATCH($B17,database!$Z$2:$Z$2028,0),0),
IF($D$11="Mekanik",OFFSET(database!M$1,MATCH($B17,database!$AB$2:$AB$2028,0),0),
IF($D$11="Admin",OFFSET(database!M$1,MATCH($B17,database!$AD$2:$AD$2028,0),0),""))))),"")</f>
        <v/>
      </c>
      <c r="M17" s="167" t="str">
        <f ca="1">IFERROR(IF($D$11="All Position",OFFSET(database!M$1,MATCH($B17,database!$V$2:$V$2028,0),0),
IF($D$11="Salesman",OFFSET(database!M$1,MATCH($B17,database!$X$2:$X$2028,0),0),
IF($D$11="Salesgirl",OFFSET(database!M$1,MATCH($B17,database!$Z$2:$Z$2028,0),0),
IF($D$11="Mekanik",OFFSET(database!M$1,MATCH($B17,database!$AB$2:$AB$2028,0),0),
IF($D$11="Admin",OFFSET(database!M$1,MATCH($B17,database!$AD$2:$AD$2028,0),0),""))))),"")</f>
        <v/>
      </c>
      <c r="N17" s="167" t="str">
        <f ca="1">IFERROR(IF($D$11="All Position",OFFSET(database!O$1,MATCH($B17,database!$V$2:$V$2028,0),0),
IF($D$11="Salesman",OFFSET(database!O$1,MATCH($B17,database!$X$2:$X$2028,0),0),
IF($D$11="Salesgirl",OFFSET(database!O$1,MATCH($B17,database!$Z$2:$Z$2028,0),0),
IF($D$11="Mekanik",OFFSET(database!O$1,MATCH($B17,database!$AB$2:$AB$2028,0),0),
IF($D$11="Admin",OFFSET(database!O$1,MATCH($B17,database!$AD$2:$AD$2028,0),0),""))))),"")</f>
        <v/>
      </c>
      <c r="O17" s="168" t="str">
        <f t="shared" ca="1" si="0"/>
        <v/>
      </c>
      <c r="P17" s="168" t="str">
        <f t="shared" ca="1" si="1"/>
        <v/>
      </c>
      <c r="Q17" s="168" t="str">
        <f t="shared" ca="1" si="1"/>
        <v/>
      </c>
      <c r="R17" s="168" t="str">
        <f t="shared" ca="1" si="1"/>
        <v/>
      </c>
      <c r="S17" s="3"/>
      <c r="T17" s="3"/>
      <c r="U17" s="3"/>
      <c r="V17" s="3"/>
    </row>
    <row r="18" spans="1:22" x14ac:dyDescent="0.35">
      <c r="A18" s="3"/>
      <c r="B18" s="27">
        <f t="shared" si="2"/>
        <v>4</v>
      </c>
      <c r="C18" s="25" t="str">
        <f ca="1">IFERROR(IF($D$11="All Position",OFFSET(database!J$1,MATCH($B18,database!$V$2:$V$2028,0),0),
IF($D$11="Salesman",OFFSET(database!J$1,MATCH($B18,database!$X$2:$X$2028,0),0),
IF($D$11="Salesgirl",OFFSET(database!J$1,MATCH($B18,database!$Z$2:$Z$2028,0),0),
IF($D$11="Mekanik",OFFSET(database!J$1,MATCH($B18,database!$AB$2:$AB$2028,0),0),
IF($D$11="Admin",OFFSET(database!J$1,MATCH($B18,database!$AD$2:$AD$2028,0),0),""))))),"")</f>
        <v/>
      </c>
      <c r="D18" s="166" t="str">
        <f ca="1">IFERROR(IF($D$11="All Position",OFFSET(database!D$1,MATCH($B18,database!$V$2:$V$2028,0),0),
IF($D$11="Salesman",OFFSET(database!D$1,MATCH($B18,database!$X$2:$X$2028,0),0),
IF($D$11="Salesgirl",OFFSET(database!D$1,MATCH($B18,database!$Z$2:$Z$2028,0),0),
IF($D$11="Mekanik",OFFSET(database!D$1,MATCH($B18,database!$AB$2:$AB$2028,0),0),
IF($D$11="Admin",OFFSET(database!D$1,MATCH($B18,database!$AD$2:$AD$2028,0),0),""))))),"")</f>
        <v/>
      </c>
      <c r="E18" s="166"/>
      <c r="F18" s="166"/>
      <c r="G18" s="26" t="str">
        <f ca="1">IFERROR(IF($D$11="All Position",OFFSET(database!H$1,MATCH($B18,database!$V$2:$V$2028,0),0),
IF($D$11="Salesman",OFFSET(database!H$1,MATCH($B18,database!$X$2:$X$2028,0),0),
IF($D$11="Salesgirl",OFFSET(database!H$1,MATCH($B18,database!$Z$2:$Z$2028,0),0),
IF($D$11="Mekanik",OFFSET(database!H$1,MATCH($B18,database!$AB$2:$AB$2028,0),0),
IF($D$11="Admin",OFFSET(database!H$1,MATCH($B18,database!$AD$2:$AD$2028,0),0),""))))),"")</f>
        <v/>
      </c>
      <c r="H18" s="26" t="str">
        <f ca="1">IFERROR(IF($D$11="All Position",OFFSET(database!I$1,MATCH($B18,database!$V$2:$V$2028,0),0),
IF($D$11="Salesman",OFFSET(database!I$1,MATCH($B18,database!$X$2:$X$2028,0),0),
IF($D$11="Salesgirl",OFFSET(database!I$1,MATCH($B18,database!$Z$2:$Z$2028,0),0),
IF($D$11="Mekanik",OFFSET(database!I$1,MATCH($B18,database!$AB$2:$AB$2028,0),0),
IF($D$11="Admin",OFFSET(database!I$1,MATCH($B18,database!$AD$2:$AD$2028,0),0),""))))),"")</f>
        <v/>
      </c>
      <c r="I18" s="167" t="str">
        <f ca="1">IFERROR(IF($D$11="All Position",OFFSET(database!L$1,MATCH($B18,database!$V$2:$V$2028,0),0),
IF($D$11="Salesman",OFFSET(database!L$1,MATCH($B18,database!$X$2:$X$2028,0),0),
IF($D$11="Salesgirl",OFFSET(database!L$1,MATCH($B18,database!$Z$2:$Z$2028,0),0),
IF($D$11="Mekanik",OFFSET(database!L$1,MATCH($B18,database!$AB$2:$AB$2028,0),0),
IF($D$11="Admin",OFFSET(database!L$1,MATCH($B18,database!$AD$2:$AD$2028,0),0),""))))),"")</f>
        <v/>
      </c>
      <c r="J18" s="167" t="str">
        <f ca="1">IFERROR(IF($D$11="All Position",OFFSET(database!K$1,MATCH($B18,database!$V$2:$V$2028,0),0),
IF($D$11="Salesman",OFFSET(database!K$1,MATCH($B18,database!$X$2:$X$2028,0),0),
IF($D$11="Salesgirl",OFFSET(database!K$1,MATCH($B18,database!$Z$2:$Z$2028,0),0),
IF($D$11="Mekanik",OFFSET(database!K$1,MATCH($B18,database!$AB$2:$AB$2028,0),0),
IF($D$11="Admin",OFFSET(database!K$1,MATCH($B18,database!$AD$2:$AD$2028,0),0),""))))),"")</f>
        <v/>
      </c>
      <c r="K18" s="167" t="str">
        <f ca="1">IFERROR(IF($D$11="All Position",OFFSET(database!L$1,MATCH($B18,database!$V$2:$V$2028,0),0),
IF($D$11="Salesman",OFFSET(database!L$1,MATCH($B18,database!$X$2:$X$2028,0),0),
IF($D$11="Salesgirl",OFFSET(database!L$1,MATCH($B18,database!$Z$2:$Z$2028,0),0),
IF($D$11="Mekanik",OFFSET(database!L$1,MATCH($B18,database!$AB$2:$AB$2028,0),0),
IF($D$11="Admin",OFFSET(database!L$1,MATCH($B18,database!$AD$2:$AD$2028,0),0),""))))),"")</f>
        <v/>
      </c>
      <c r="L18" s="167" t="str">
        <f ca="1">IFERROR(IF($D$11="All Position",OFFSET(database!M$1,MATCH($B18,database!$V$2:$V$2028,0),0),
IF($D$11="Salesman",OFFSET(database!M$1,MATCH($B18,database!$X$2:$X$2028,0),0),
IF($D$11="Salesgirl",OFFSET(database!M$1,MATCH($B18,database!$Z$2:$Z$2028,0),0),
IF($D$11="Mekanik",OFFSET(database!M$1,MATCH($B18,database!$AB$2:$AB$2028,0),0),
IF($D$11="Admin",OFFSET(database!M$1,MATCH($B18,database!$AD$2:$AD$2028,0),0),""))))),"")</f>
        <v/>
      </c>
      <c r="M18" s="167" t="str">
        <f ca="1">IFERROR(IF($D$11="All Position",OFFSET(database!M$1,MATCH($B18,database!$V$2:$V$2028,0),0),
IF($D$11="Salesman",OFFSET(database!M$1,MATCH($B18,database!$X$2:$X$2028,0),0),
IF($D$11="Salesgirl",OFFSET(database!M$1,MATCH($B18,database!$Z$2:$Z$2028,0),0),
IF($D$11="Mekanik",OFFSET(database!M$1,MATCH($B18,database!$AB$2:$AB$2028,0),0),
IF($D$11="Admin",OFFSET(database!M$1,MATCH($B18,database!$AD$2:$AD$2028,0),0),""))))),"")</f>
        <v/>
      </c>
      <c r="N18" s="167" t="str">
        <f ca="1">IFERROR(IF($D$11="All Position",OFFSET(database!O$1,MATCH($B18,database!$V$2:$V$2028,0),0),
IF($D$11="Salesman",OFFSET(database!O$1,MATCH($B18,database!$X$2:$X$2028,0),0),
IF($D$11="Salesgirl",OFFSET(database!O$1,MATCH($B18,database!$Z$2:$Z$2028,0),0),
IF($D$11="Mekanik",OFFSET(database!O$1,MATCH($B18,database!$AB$2:$AB$2028,0),0),
IF($D$11="Admin",OFFSET(database!O$1,MATCH($B18,database!$AD$2:$AD$2028,0),0),""))))),"")</f>
        <v/>
      </c>
      <c r="O18" s="168" t="str">
        <f t="shared" ca="1" si="0"/>
        <v/>
      </c>
      <c r="P18" s="168" t="str">
        <f t="shared" ca="1" si="1"/>
        <v/>
      </c>
      <c r="Q18" s="168" t="str">
        <f t="shared" ca="1" si="1"/>
        <v/>
      </c>
      <c r="R18" s="168" t="str">
        <f t="shared" ca="1" si="1"/>
        <v/>
      </c>
      <c r="S18" s="3"/>
      <c r="T18" s="3"/>
      <c r="U18" s="3"/>
      <c r="V18" s="3"/>
    </row>
    <row r="19" spans="1:22" x14ac:dyDescent="0.35">
      <c r="A19" s="3"/>
      <c r="B19" s="27">
        <f t="shared" si="2"/>
        <v>5</v>
      </c>
      <c r="C19" s="25" t="str">
        <f ca="1">IFERROR(IF($D$11="All Position",OFFSET(database!J$1,MATCH($B19,database!$V$2:$V$2028,0),0),
IF($D$11="Salesman",OFFSET(database!J$1,MATCH($B19,database!$X$2:$X$2028,0),0),
IF($D$11="Salesgirl",OFFSET(database!J$1,MATCH($B19,database!$Z$2:$Z$2028,0),0),
IF($D$11="Mekanik",OFFSET(database!J$1,MATCH($B19,database!$AB$2:$AB$2028,0),0),
IF($D$11="Admin",OFFSET(database!J$1,MATCH($B19,database!$AD$2:$AD$2028,0),0),""))))),"")</f>
        <v/>
      </c>
      <c r="D19" s="166" t="str">
        <f ca="1">IFERROR(IF($D$11="All Position",OFFSET(database!D$1,MATCH($B19,database!$V$2:$V$2028,0),0),
IF($D$11="Salesman",OFFSET(database!D$1,MATCH($B19,database!$X$2:$X$2028,0),0),
IF($D$11="Salesgirl",OFFSET(database!D$1,MATCH($B19,database!$Z$2:$Z$2028,0),0),
IF($D$11="Mekanik",OFFSET(database!D$1,MATCH($B19,database!$AB$2:$AB$2028,0),0),
IF($D$11="Admin",OFFSET(database!D$1,MATCH($B19,database!$AD$2:$AD$2028,0),0),""))))),"")</f>
        <v/>
      </c>
      <c r="E19" s="166"/>
      <c r="F19" s="166"/>
      <c r="G19" s="26" t="str">
        <f ca="1">IFERROR(IF($D$11="All Position",OFFSET(database!H$1,MATCH($B19,database!$V$2:$V$2028,0),0),
IF($D$11="Salesman",OFFSET(database!H$1,MATCH($B19,database!$X$2:$X$2028,0),0),
IF($D$11="Salesgirl",OFFSET(database!H$1,MATCH($B19,database!$Z$2:$Z$2028,0),0),
IF($D$11="Mekanik",OFFSET(database!H$1,MATCH($B19,database!$AB$2:$AB$2028,0),0),
IF($D$11="Admin",OFFSET(database!H$1,MATCH($B19,database!$AD$2:$AD$2028,0),0),""))))),"")</f>
        <v/>
      </c>
      <c r="H19" s="26" t="str">
        <f ca="1">IFERROR(IF($D$11="All Position",OFFSET(database!I$1,MATCH($B19,database!$V$2:$V$2028,0),0),
IF($D$11="Salesman",OFFSET(database!I$1,MATCH($B19,database!$X$2:$X$2028,0),0),
IF($D$11="Salesgirl",OFFSET(database!I$1,MATCH($B19,database!$Z$2:$Z$2028,0),0),
IF($D$11="Mekanik",OFFSET(database!I$1,MATCH($B19,database!$AB$2:$AB$2028,0),0),
IF($D$11="Admin",OFFSET(database!I$1,MATCH($B19,database!$AD$2:$AD$2028,0),0),""))))),"")</f>
        <v/>
      </c>
      <c r="I19" s="167" t="str">
        <f ca="1">IFERROR(IF($D$11="All Position",OFFSET(database!L$1,MATCH($B19,database!$V$2:$V$2028,0),0),
IF($D$11="Salesman",OFFSET(database!L$1,MATCH($B19,database!$X$2:$X$2028,0),0),
IF($D$11="Salesgirl",OFFSET(database!L$1,MATCH($B19,database!$Z$2:$Z$2028,0),0),
IF($D$11="Mekanik",OFFSET(database!L$1,MATCH($B19,database!$AB$2:$AB$2028,0),0),
IF($D$11="Admin",OFFSET(database!L$1,MATCH($B19,database!$AD$2:$AD$2028,0),0),""))))),"")</f>
        <v/>
      </c>
      <c r="J19" s="167" t="str">
        <f ca="1">IFERROR(IF($D$11="All Position",OFFSET(database!K$1,MATCH($B19,database!$V$2:$V$2028,0),0),
IF($D$11="Salesman",OFFSET(database!K$1,MATCH($B19,database!$X$2:$X$2028,0),0),
IF($D$11="Salesgirl",OFFSET(database!K$1,MATCH($B19,database!$Z$2:$Z$2028,0),0),
IF($D$11="Mekanik",OFFSET(database!K$1,MATCH($B19,database!$AB$2:$AB$2028,0),0),
IF($D$11="Admin",OFFSET(database!K$1,MATCH($B19,database!$AD$2:$AD$2028,0),0),""))))),"")</f>
        <v/>
      </c>
      <c r="K19" s="167" t="str">
        <f ca="1">IFERROR(IF($D$11="All Position",OFFSET(database!L$1,MATCH($B19,database!$V$2:$V$2028,0),0),
IF($D$11="Salesman",OFFSET(database!L$1,MATCH($B19,database!$X$2:$X$2028,0),0),
IF($D$11="Salesgirl",OFFSET(database!L$1,MATCH($B19,database!$Z$2:$Z$2028,0),0),
IF($D$11="Mekanik",OFFSET(database!L$1,MATCH($B19,database!$AB$2:$AB$2028,0),0),
IF($D$11="Admin",OFFSET(database!L$1,MATCH($B19,database!$AD$2:$AD$2028,0),0),""))))),"")</f>
        <v/>
      </c>
      <c r="L19" s="167" t="str">
        <f ca="1">IFERROR(IF($D$11="All Position",OFFSET(database!M$1,MATCH($B19,database!$V$2:$V$2028,0),0),
IF($D$11="Salesman",OFFSET(database!M$1,MATCH($B19,database!$X$2:$X$2028,0),0),
IF($D$11="Salesgirl",OFFSET(database!M$1,MATCH($B19,database!$Z$2:$Z$2028,0),0),
IF($D$11="Mekanik",OFFSET(database!M$1,MATCH($B19,database!$AB$2:$AB$2028,0),0),
IF($D$11="Admin",OFFSET(database!M$1,MATCH($B19,database!$AD$2:$AD$2028,0),0),""))))),"")</f>
        <v/>
      </c>
      <c r="M19" s="167" t="str">
        <f ca="1">IFERROR(IF($D$11="All Position",OFFSET(database!M$1,MATCH($B19,database!$V$2:$V$2028,0),0),
IF($D$11="Salesman",OFFSET(database!M$1,MATCH($B19,database!$X$2:$X$2028,0),0),
IF($D$11="Salesgirl",OFFSET(database!M$1,MATCH($B19,database!$Z$2:$Z$2028,0),0),
IF($D$11="Mekanik",OFFSET(database!M$1,MATCH($B19,database!$AB$2:$AB$2028,0),0),
IF($D$11="Admin",OFFSET(database!M$1,MATCH($B19,database!$AD$2:$AD$2028,0),0),""))))),"")</f>
        <v/>
      </c>
      <c r="N19" s="167" t="str">
        <f ca="1">IFERROR(IF($D$11="All Position",OFFSET(database!O$1,MATCH($B19,database!$V$2:$V$2028,0),0),
IF($D$11="Salesman",OFFSET(database!O$1,MATCH($B19,database!$X$2:$X$2028,0),0),
IF($D$11="Salesgirl",OFFSET(database!O$1,MATCH($B19,database!$Z$2:$Z$2028,0),0),
IF($D$11="Mekanik",OFFSET(database!O$1,MATCH($B19,database!$AB$2:$AB$2028,0),0),
IF($D$11="Admin",OFFSET(database!O$1,MATCH($B19,database!$AD$2:$AD$2028,0),0),""))))),"")</f>
        <v/>
      </c>
      <c r="O19" s="168" t="str">
        <f t="shared" ca="1" si="0"/>
        <v/>
      </c>
      <c r="P19" s="168" t="str">
        <f t="shared" ca="1" si="1"/>
        <v/>
      </c>
      <c r="Q19" s="168" t="str">
        <f t="shared" ca="1" si="1"/>
        <v/>
      </c>
      <c r="R19" s="168" t="str">
        <f t="shared" ca="1" si="1"/>
        <v/>
      </c>
      <c r="S19" s="3"/>
      <c r="T19" s="3"/>
      <c r="U19" s="3"/>
      <c r="V19" s="3"/>
    </row>
    <row r="20" spans="1:22" x14ac:dyDescent="0.35">
      <c r="A20" s="3"/>
      <c r="B20" s="27">
        <f t="shared" si="2"/>
        <v>6</v>
      </c>
      <c r="C20" s="25" t="str">
        <f ca="1">IFERROR(IF($D$11="All Position",OFFSET(database!J$1,MATCH($B20,database!$V$2:$V$2028,0),0),
IF($D$11="Salesman",OFFSET(database!J$1,MATCH($B20,database!$X$2:$X$2028,0),0),
IF($D$11="Salesgirl",OFFSET(database!J$1,MATCH($B20,database!$Z$2:$Z$2028,0),0),
IF($D$11="Mekanik",OFFSET(database!J$1,MATCH($B20,database!$AB$2:$AB$2028,0),0),
IF($D$11="Admin",OFFSET(database!J$1,MATCH($B20,database!$AD$2:$AD$2028,0),0),""))))),"")</f>
        <v/>
      </c>
      <c r="D20" s="166" t="str">
        <f ca="1">IFERROR(IF($D$11="All Position",OFFSET(database!D$1,MATCH($B20,database!$V$2:$V$2028,0),0),
IF($D$11="Salesman",OFFSET(database!D$1,MATCH($B20,database!$X$2:$X$2028,0),0),
IF($D$11="Salesgirl",OFFSET(database!D$1,MATCH($B20,database!$Z$2:$Z$2028,0),0),
IF($D$11="Mekanik",OFFSET(database!D$1,MATCH($B20,database!$AB$2:$AB$2028,0),0),
IF($D$11="Admin",OFFSET(database!D$1,MATCH($B20,database!$AD$2:$AD$2028,0),0),""))))),"")</f>
        <v/>
      </c>
      <c r="E20" s="166"/>
      <c r="F20" s="166"/>
      <c r="G20" s="26" t="str">
        <f ca="1">IFERROR(IF($D$11="All Position",OFFSET(database!H$1,MATCH($B20,database!$V$2:$V$2028,0),0),
IF($D$11="Salesman",OFFSET(database!H$1,MATCH($B20,database!$X$2:$X$2028,0),0),
IF($D$11="Salesgirl",OFFSET(database!H$1,MATCH($B20,database!$Z$2:$Z$2028,0),0),
IF($D$11="Mekanik",OFFSET(database!H$1,MATCH($B20,database!$AB$2:$AB$2028,0),0),
IF($D$11="Admin",OFFSET(database!H$1,MATCH($B20,database!$AD$2:$AD$2028,0),0),""))))),"")</f>
        <v/>
      </c>
      <c r="H20" s="26" t="str">
        <f ca="1">IFERROR(IF($D$11="All Position",OFFSET(database!I$1,MATCH($B20,database!$V$2:$V$2028,0),0),
IF($D$11="Salesman",OFFSET(database!I$1,MATCH($B20,database!$X$2:$X$2028,0),0),
IF($D$11="Salesgirl",OFFSET(database!I$1,MATCH($B20,database!$Z$2:$Z$2028,0),0),
IF($D$11="Mekanik",OFFSET(database!I$1,MATCH($B20,database!$AB$2:$AB$2028,0),0),
IF($D$11="Admin",OFFSET(database!I$1,MATCH($B20,database!$AD$2:$AD$2028,0),0),""))))),"")</f>
        <v/>
      </c>
      <c r="I20" s="167" t="str">
        <f ca="1">IFERROR(IF($D$11="All Position",OFFSET(database!L$1,MATCH($B20,database!$V$2:$V$2028,0),0),
IF($D$11="Salesman",OFFSET(database!L$1,MATCH($B20,database!$X$2:$X$2028,0),0),
IF($D$11="Salesgirl",OFFSET(database!L$1,MATCH($B20,database!$Z$2:$Z$2028,0),0),
IF($D$11="Mekanik",OFFSET(database!L$1,MATCH($B20,database!$AB$2:$AB$2028,0),0),
IF($D$11="Admin",OFFSET(database!L$1,MATCH($B20,database!$AD$2:$AD$2028,0),0),""))))),"")</f>
        <v/>
      </c>
      <c r="J20" s="167" t="str">
        <f ca="1">IFERROR(IF($D$11="All Position",OFFSET(database!K$1,MATCH($B20,database!$V$2:$V$2028,0),0),
IF($D$11="Salesman",OFFSET(database!K$1,MATCH($B20,database!$X$2:$X$2028,0),0),
IF($D$11="Salesgirl",OFFSET(database!K$1,MATCH($B20,database!$Z$2:$Z$2028,0),0),
IF($D$11="Mekanik",OFFSET(database!K$1,MATCH($B20,database!$AB$2:$AB$2028,0),0),
IF($D$11="Admin",OFFSET(database!K$1,MATCH($B20,database!$AD$2:$AD$2028,0),0),""))))),"")</f>
        <v/>
      </c>
      <c r="K20" s="167" t="str">
        <f ca="1">IFERROR(IF($D$11="All Position",OFFSET(database!L$1,MATCH($B20,database!$V$2:$V$2028,0),0),
IF($D$11="Salesman",OFFSET(database!L$1,MATCH($B20,database!$X$2:$X$2028,0),0),
IF($D$11="Salesgirl",OFFSET(database!L$1,MATCH($B20,database!$Z$2:$Z$2028,0),0),
IF($D$11="Mekanik",OFFSET(database!L$1,MATCH($B20,database!$AB$2:$AB$2028,0),0),
IF($D$11="Admin",OFFSET(database!L$1,MATCH($B20,database!$AD$2:$AD$2028,0),0),""))))),"")</f>
        <v/>
      </c>
      <c r="L20" s="167" t="str">
        <f ca="1">IFERROR(IF($D$11="All Position",OFFSET(database!M$1,MATCH($B20,database!$V$2:$V$2028,0),0),
IF($D$11="Salesman",OFFSET(database!M$1,MATCH($B20,database!$X$2:$X$2028,0),0),
IF($D$11="Salesgirl",OFFSET(database!M$1,MATCH($B20,database!$Z$2:$Z$2028,0),0),
IF($D$11="Mekanik",OFFSET(database!M$1,MATCH($B20,database!$AB$2:$AB$2028,0),0),
IF($D$11="Admin",OFFSET(database!M$1,MATCH($B20,database!$AD$2:$AD$2028,0),0),""))))),"")</f>
        <v/>
      </c>
      <c r="M20" s="167" t="str">
        <f ca="1">IFERROR(IF($D$11="All Position",OFFSET(database!M$1,MATCH($B20,database!$V$2:$V$2028,0),0),
IF($D$11="Salesman",OFFSET(database!M$1,MATCH($B20,database!$X$2:$X$2028,0),0),
IF($D$11="Salesgirl",OFFSET(database!M$1,MATCH($B20,database!$Z$2:$Z$2028,0),0),
IF($D$11="Mekanik",OFFSET(database!M$1,MATCH($B20,database!$AB$2:$AB$2028,0),0),
IF($D$11="Admin",OFFSET(database!M$1,MATCH($B20,database!$AD$2:$AD$2028,0),0),""))))),"")</f>
        <v/>
      </c>
      <c r="N20" s="167" t="str">
        <f ca="1">IFERROR(IF($D$11="All Position",OFFSET(database!O$1,MATCH($B20,database!$V$2:$V$2028,0),0),
IF($D$11="Salesman",OFFSET(database!O$1,MATCH($B20,database!$X$2:$X$2028,0),0),
IF($D$11="Salesgirl",OFFSET(database!O$1,MATCH($B20,database!$Z$2:$Z$2028,0),0),
IF($D$11="Mekanik",OFFSET(database!O$1,MATCH($B20,database!$AB$2:$AB$2028,0),0),
IF($D$11="Admin",OFFSET(database!O$1,MATCH($B20,database!$AD$2:$AD$2028,0),0),""))))),"")</f>
        <v/>
      </c>
      <c r="O20" s="168" t="str">
        <f t="shared" ca="1" si="0"/>
        <v/>
      </c>
      <c r="P20" s="168" t="str">
        <f t="shared" ca="1" si="1"/>
        <v/>
      </c>
      <c r="Q20" s="168" t="str">
        <f t="shared" ca="1" si="1"/>
        <v/>
      </c>
      <c r="R20" s="168" t="str">
        <f t="shared" ca="1" si="1"/>
        <v/>
      </c>
      <c r="S20" s="3"/>
      <c r="T20" s="3"/>
      <c r="U20" s="3"/>
      <c r="V20" s="3"/>
    </row>
    <row r="21" spans="1:22" x14ac:dyDescent="0.35">
      <c r="A21" s="3"/>
      <c r="B21" s="27">
        <f t="shared" si="2"/>
        <v>7</v>
      </c>
      <c r="C21" s="25" t="str">
        <f ca="1">IFERROR(IF($D$11="All Position",OFFSET(database!J$1,MATCH($B21,database!$V$2:$V$2028,0),0),
IF($D$11="Salesman",OFFSET(database!J$1,MATCH($B21,database!$X$2:$X$2028,0),0),
IF($D$11="Salesgirl",OFFSET(database!J$1,MATCH($B21,database!$Z$2:$Z$2028,0),0),
IF($D$11="Mekanik",OFFSET(database!J$1,MATCH($B21,database!$AB$2:$AB$2028,0),0),
IF($D$11="Admin",OFFSET(database!J$1,MATCH($B21,database!$AD$2:$AD$2028,0),0),""))))),"")</f>
        <v/>
      </c>
      <c r="D21" s="166" t="str">
        <f ca="1">IFERROR(IF($D$11="All Position",OFFSET(database!D$1,MATCH($B21,database!$V$2:$V$2028,0),0),
IF($D$11="Salesman",OFFSET(database!D$1,MATCH($B21,database!$X$2:$X$2028,0),0),
IF($D$11="Salesgirl",OFFSET(database!D$1,MATCH($B21,database!$Z$2:$Z$2028,0),0),
IF($D$11="Mekanik",OFFSET(database!D$1,MATCH($B21,database!$AB$2:$AB$2028,0),0),
IF($D$11="Admin",OFFSET(database!D$1,MATCH($B21,database!$AD$2:$AD$2028,0),0),""))))),"")</f>
        <v/>
      </c>
      <c r="E21" s="166"/>
      <c r="F21" s="166"/>
      <c r="G21" s="26" t="str">
        <f ca="1">IFERROR(IF($D$11="All Position",OFFSET(database!H$1,MATCH($B21,database!$V$2:$V$2028,0),0),
IF($D$11="Salesman",OFFSET(database!H$1,MATCH($B21,database!$X$2:$X$2028,0),0),
IF($D$11="Salesgirl",OFFSET(database!H$1,MATCH($B21,database!$Z$2:$Z$2028,0),0),
IF($D$11="Mekanik",OFFSET(database!H$1,MATCH($B21,database!$AB$2:$AB$2028,0),0),
IF($D$11="Admin",OFFSET(database!H$1,MATCH($B21,database!$AD$2:$AD$2028,0),0),""))))),"")</f>
        <v/>
      </c>
      <c r="H21" s="26" t="str">
        <f ca="1">IFERROR(IF($D$11="All Position",OFFSET(database!I$1,MATCH($B21,database!$V$2:$V$2028,0),0),
IF($D$11="Salesman",OFFSET(database!I$1,MATCH($B21,database!$X$2:$X$2028,0),0),
IF($D$11="Salesgirl",OFFSET(database!I$1,MATCH($B21,database!$Z$2:$Z$2028,0),0),
IF($D$11="Mekanik",OFFSET(database!I$1,MATCH($B21,database!$AB$2:$AB$2028,0),0),
IF($D$11="Admin",OFFSET(database!I$1,MATCH($B21,database!$AD$2:$AD$2028,0),0),""))))),"")</f>
        <v/>
      </c>
      <c r="I21" s="167" t="str">
        <f ca="1">IFERROR(IF($D$11="All Position",OFFSET(database!L$1,MATCH($B21,database!$V$2:$V$2028,0),0),
IF($D$11="Salesman",OFFSET(database!L$1,MATCH($B21,database!$X$2:$X$2028,0),0),
IF($D$11="Salesgirl",OFFSET(database!L$1,MATCH($B21,database!$Z$2:$Z$2028,0),0),
IF($D$11="Mekanik",OFFSET(database!L$1,MATCH($B21,database!$AB$2:$AB$2028,0),0),
IF($D$11="Admin",OFFSET(database!L$1,MATCH($B21,database!$AD$2:$AD$2028,0),0),""))))),"")</f>
        <v/>
      </c>
      <c r="J21" s="167" t="str">
        <f ca="1">IFERROR(IF($D$11="All Position",OFFSET(database!K$1,MATCH($B21,database!$V$2:$V$2028,0),0),
IF($D$11="Salesman",OFFSET(database!K$1,MATCH($B21,database!$X$2:$X$2028,0),0),
IF($D$11="Salesgirl",OFFSET(database!K$1,MATCH($B21,database!$Z$2:$Z$2028,0),0),
IF($D$11="Mekanik",OFFSET(database!K$1,MATCH($B21,database!$AB$2:$AB$2028,0),0),
IF($D$11="Admin",OFFSET(database!K$1,MATCH($B21,database!$AD$2:$AD$2028,0),0),""))))),"")</f>
        <v/>
      </c>
      <c r="K21" s="167" t="str">
        <f ca="1">IFERROR(IF($D$11="All Position",OFFSET(database!L$1,MATCH($B21,database!$V$2:$V$2028,0),0),
IF($D$11="Salesman",OFFSET(database!L$1,MATCH($B21,database!$X$2:$X$2028,0),0),
IF($D$11="Salesgirl",OFFSET(database!L$1,MATCH($B21,database!$Z$2:$Z$2028,0),0),
IF($D$11="Mekanik",OFFSET(database!L$1,MATCH($B21,database!$AB$2:$AB$2028,0),0),
IF($D$11="Admin",OFFSET(database!L$1,MATCH($B21,database!$AD$2:$AD$2028,0),0),""))))),"")</f>
        <v/>
      </c>
      <c r="L21" s="167" t="str">
        <f ca="1">IFERROR(IF($D$11="All Position",OFFSET(database!M$1,MATCH($B21,database!$V$2:$V$2028,0),0),
IF($D$11="Salesman",OFFSET(database!M$1,MATCH($B21,database!$X$2:$X$2028,0),0),
IF($D$11="Salesgirl",OFFSET(database!M$1,MATCH($B21,database!$Z$2:$Z$2028,0),0),
IF($D$11="Mekanik",OFFSET(database!M$1,MATCH($B21,database!$AB$2:$AB$2028,0),0),
IF($D$11="Admin",OFFSET(database!M$1,MATCH($B21,database!$AD$2:$AD$2028,0),0),""))))),"")</f>
        <v/>
      </c>
      <c r="M21" s="167" t="str">
        <f ca="1">IFERROR(IF($D$11="All Position",OFFSET(database!M$1,MATCH($B21,database!$V$2:$V$2028,0),0),
IF($D$11="Salesman",OFFSET(database!M$1,MATCH($B21,database!$X$2:$X$2028,0),0),
IF($D$11="Salesgirl",OFFSET(database!M$1,MATCH($B21,database!$Z$2:$Z$2028,0),0),
IF($D$11="Mekanik",OFFSET(database!M$1,MATCH($B21,database!$AB$2:$AB$2028,0),0),
IF($D$11="Admin",OFFSET(database!M$1,MATCH($B21,database!$AD$2:$AD$2028,0),0),""))))),"")</f>
        <v/>
      </c>
      <c r="N21" s="167" t="str">
        <f ca="1">IFERROR(IF($D$11="All Position",OFFSET(database!O$1,MATCH($B21,database!$V$2:$V$2028,0),0),
IF($D$11="Salesman",OFFSET(database!O$1,MATCH($B21,database!$X$2:$X$2028,0),0),
IF($D$11="Salesgirl",OFFSET(database!O$1,MATCH($B21,database!$Z$2:$Z$2028,0),0),
IF($D$11="Mekanik",OFFSET(database!O$1,MATCH($B21,database!$AB$2:$AB$2028,0),0),
IF($D$11="Admin",OFFSET(database!O$1,MATCH($B21,database!$AD$2:$AD$2028,0),0),""))))),"")</f>
        <v/>
      </c>
      <c r="O21" s="168" t="str">
        <f t="shared" ca="1" si="0"/>
        <v/>
      </c>
      <c r="P21" s="168" t="str">
        <f t="shared" ca="1" si="1"/>
        <v/>
      </c>
      <c r="Q21" s="168" t="str">
        <f t="shared" ca="1" si="1"/>
        <v/>
      </c>
      <c r="R21" s="168" t="str">
        <f t="shared" ca="1" si="1"/>
        <v/>
      </c>
      <c r="S21" s="3"/>
      <c r="T21" s="3"/>
      <c r="U21" s="3"/>
      <c r="V21" s="3"/>
    </row>
    <row r="22" spans="1:22" x14ac:dyDescent="0.35">
      <c r="A22" s="3"/>
      <c r="B22" s="27">
        <f t="shared" si="2"/>
        <v>8</v>
      </c>
      <c r="C22" s="25" t="str">
        <f ca="1">IFERROR(IF($D$11="All Position",OFFSET(database!J$1,MATCH($B22,database!$V$2:$V$2028,0),0),
IF($D$11="Salesman",OFFSET(database!J$1,MATCH($B22,database!$X$2:$X$2028,0),0),
IF($D$11="Salesgirl",OFFSET(database!J$1,MATCH($B22,database!$Z$2:$Z$2028,0),0),
IF($D$11="Mekanik",OFFSET(database!J$1,MATCH($B22,database!$AB$2:$AB$2028,0),0),
IF($D$11="Admin",OFFSET(database!J$1,MATCH($B22,database!$AD$2:$AD$2028,0),0),""))))),"")</f>
        <v/>
      </c>
      <c r="D22" s="166" t="str">
        <f ca="1">IFERROR(IF($D$11="All Position",OFFSET(database!D$1,MATCH($B22,database!$V$2:$V$2028,0),0),
IF($D$11="Salesman",OFFSET(database!D$1,MATCH($B22,database!$X$2:$X$2028,0),0),
IF($D$11="Salesgirl",OFFSET(database!D$1,MATCH($B22,database!$Z$2:$Z$2028,0),0),
IF($D$11="Mekanik",OFFSET(database!D$1,MATCH($B22,database!$AB$2:$AB$2028,0),0),
IF($D$11="Admin",OFFSET(database!D$1,MATCH($B22,database!$AD$2:$AD$2028,0),0),""))))),"")</f>
        <v/>
      </c>
      <c r="E22" s="166"/>
      <c r="F22" s="166"/>
      <c r="G22" s="26" t="str">
        <f ca="1">IFERROR(IF($D$11="All Position",OFFSET(database!H$1,MATCH($B22,database!$V$2:$V$2028,0),0),
IF($D$11="Salesman",OFFSET(database!H$1,MATCH($B22,database!$X$2:$X$2028,0),0),
IF($D$11="Salesgirl",OFFSET(database!H$1,MATCH($B22,database!$Z$2:$Z$2028,0),0),
IF($D$11="Mekanik",OFFSET(database!H$1,MATCH($B22,database!$AB$2:$AB$2028,0),0),
IF($D$11="Admin",OFFSET(database!H$1,MATCH($B22,database!$AD$2:$AD$2028,0),0),""))))),"")</f>
        <v/>
      </c>
      <c r="H22" s="26" t="str">
        <f ca="1">IFERROR(IF($D$11="All Position",OFFSET(database!I$1,MATCH($B22,database!$V$2:$V$2028,0),0),
IF($D$11="Salesman",OFFSET(database!I$1,MATCH($B22,database!$X$2:$X$2028,0),0),
IF($D$11="Salesgirl",OFFSET(database!I$1,MATCH($B22,database!$Z$2:$Z$2028,0),0),
IF($D$11="Mekanik",OFFSET(database!I$1,MATCH($B22,database!$AB$2:$AB$2028,0),0),
IF($D$11="Admin",OFFSET(database!I$1,MATCH($B22,database!$AD$2:$AD$2028,0),0),""))))),"")</f>
        <v/>
      </c>
      <c r="I22" s="167" t="str">
        <f ca="1">IFERROR(IF($D$11="All Position",OFFSET(database!L$1,MATCH($B22,database!$V$2:$V$2028,0),0),
IF($D$11="Salesman",OFFSET(database!L$1,MATCH($B22,database!$X$2:$X$2028,0),0),
IF($D$11="Salesgirl",OFFSET(database!L$1,MATCH($B22,database!$Z$2:$Z$2028,0),0),
IF($D$11="Mekanik",OFFSET(database!L$1,MATCH($B22,database!$AB$2:$AB$2028,0),0),
IF($D$11="Admin",OFFSET(database!L$1,MATCH($B22,database!$AD$2:$AD$2028,0),0),""))))),"")</f>
        <v/>
      </c>
      <c r="J22" s="167" t="str">
        <f ca="1">IFERROR(IF($D$11="All Position",OFFSET(database!K$1,MATCH($B22,database!$V$2:$V$2028,0),0),
IF($D$11="Salesman",OFFSET(database!K$1,MATCH($B22,database!$X$2:$X$2028,0),0),
IF($D$11="Salesgirl",OFFSET(database!K$1,MATCH($B22,database!$Z$2:$Z$2028,0),0),
IF($D$11="Mekanik",OFFSET(database!K$1,MATCH($B22,database!$AB$2:$AB$2028,0),0),
IF($D$11="Admin",OFFSET(database!K$1,MATCH($B22,database!$AD$2:$AD$2028,0),0),""))))),"")</f>
        <v/>
      </c>
      <c r="K22" s="167" t="str">
        <f ca="1">IFERROR(IF($D$11="All Position",OFFSET(database!L$1,MATCH($B22,database!$V$2:$V$2028,0),0),
IF($D$11="Salesman",OFFSET(database!L$1,MATCH($B22,database!$X$2:$X$2028,0),0),
IF($D$11="Salesgirl",OFFSET(database!L$1,MATCH($B22,database!$Z$2:$Z$2028,0),0),
IF($D$11="Mekanik",OFFSET(database!L$1,MATCH($B22,database!$AB$2:$AB$2028,0),0),
IF($D$11="Admin",OFFSET(database!L$1,MATCH($B22,database!$AD$2:$AD$2028,0),0),""))))),"")</f>
        <v/>
      </c>
      <c r="L22" s="167" t="str">
        <f ca="1">IFERROR(IF($D$11="All Position",OFFSET(database!M$1,MATCH($B22,database!$V$2:$V$2028,0),0),
IF($D$11="Salesman",OFFSET(database!M$1,MATCH($B22,database!$X$2:$X$2028,0),0),
IF($D$11="Salesgirl",OFFSET(database!M$1,MATCH($B22,database!$Z$2:$Z$2028,0),0),
IF($D$11="Mekanik",OFFSET(database!M$1,MATCH($B22,database!$AB$2:$AB$2028,0),0),
IF($D$11="Admin",OFFSET(database!M$1,MATCH($B22,database!$AD$2:$AD$2028,0),0),""))))),"")</f>
        <v/>
      </c>
      <c r="M22" s="167" t="str">
        <f ca="1">IFERROR(IF($D$11="All Position",OFFSET(database!M$1,MATCH($B22,database!$V$2:$V$2028,0),0),
IF($D$11="Salesman",OFFSET(database!M$1,MATCH($B22,database!$X$2:$X$2028,0),0),
IF($D$11="Salesgirl",OFFSET(database!M$1,MATCH($B22,database!$Z$2:$Z$2028,0),0),
IF($D$11="Mekanik",OFFSET(database!M$1,MATCH($B22,database!$AB$2:$AB$2028,0),0),
IF($D$11="Admin",OFFSET(database!M$1,MATCH($B22,database!$AD$2:$AD$2028,0),0),""))))),"")</f>
        <v/>
      </c>
      <c r="N22" s="167" t="str">
        <f ca="1">IFERROR(IF($D$11="All Position",OFFSET(database!O$1,MATCH($B22,database!$V$2:$V$2028,0),0),
IF($D$11="Salesman",OFFSET(database!O$1,MATCH($B22,database!$X$2:$X$2028,0),0),
IF($D$11="Salesgirl",OFFSET(database!O$1,MATCH($B22,database!$Z$2:$Z$2028,0),0),
IF($D$11="Mekanik",OFFSET(database!O$1,MATCH($B22,database!$AB$2:$AB$2028,0),0),
IF($D$11="Admin",OFFSET(database!O$1,MATCH($B22,database!$AD$2:$AD$2028,0),0),""))))),"")</f>
        <v/>
      </c>
      <c r="O22" s="168" t="str">
        <f t="shared" ca="1" si="0"/>
        <v/>
      </c>
      <c r="P22" s="168" t="str">
        <f t="shared" ca="1" si="1"/>
        <v/>
      </c>
      <c r="Q22" s="168" t="str">
        <f t="shared" ca="1" si="1"/>
        <v/>
      </c>
      <c r="R22" s="168" t="str">
        <f t="shared" ca="1" si="1"/>
        <v/>
      </c>
      <c r="S22" s="3"/>
      <c r="T22" s="3"/>
      <c r="U22" s="3"/>
      <c r="V22" s="3"/>
    </row>
    <row r="23" spans="1:22" x14ac:dyDescent="0.35">
      <c r="A23" s="3"/>
      <c r="B23" s="27">
        <f t="shared" si="2"/>
        <v>9</v>
      </c>
      <c r="C23" s="25" t="str">
        <f ca="1">IFERROR(IF($D$11="All Position",OFFSET(database!J$1,MATCH($B23,database!$V$2:$V$2028,0),0),
IF($D$11="Salesman",OFFSET(database!J$1,MATCH($B23,database!$X$2:$X$2028,0),0),
IF($D$11="Salesgirl",OFFSET(database!J$1,MATCH($B23,database!$Z$2:$Z$2028,0),0),
IF($D$11="Mekanik",OFFSET(database!J$1,MATCH($B23,database!$AB$2:$AB$2028,0),0),
IF($D$11="Admin",OFFSET(database!J$1,MATCH($B23,database!$AD$2:$AD$2028,0),0),""))))),"")</f>
        <v/>
      </c>
      <c r="D23" s="166" t="str">
        <f ca="1">IFERROR(IF($D$11="All Position",OFFSET(database!D$1,MATCH($B23,database!$V$2:$V$2028,0),0),
IF($D$11="Salesman",OFFSET(database!D$1,MATCH($B23,database!$X$2:$X$2028,0),0),
IF($D$11="Salesgirl",OFFSET(database!D$1,MATCH($B23,database!$Z$2:$Z$2028,0),0),
IF($D$11="Mekanik",OFFSET(database!D$1,MATCH($B23,database!$AB$2:$AB$2028,0),0),
IF($D$11="Admin",OFFSET(database!D$1,MATCH($B23,database!$AD$2:$AD$2028,0),0),""))))),"")</f>
        <v/>
      </c>
      <c r="E23" s="166"/>
      <c r="F23" s="166"/>
      <c r="G23" s="26" t="str">
        <f ca="1">IFERROR(IF($D$11="All Position",OFFSET(database!H$1,MATCH($B23,database!$V$2:$V$2028,0),0),
IF($D$11="Salesman",OFFSET(database!H$1,MATCH($B23,database!$X$2:$X$2028,0),0),
IF($D$11="Salesgirl",OFFSET(database!H$1,MATCH($B23,database!$Z$2:$Z$2028,0),0),
IF($D$11="Mekanik",OFFSET(database!H$1,MATCH($B23,database!$AB$2:$AB$2028,0),0),
IF($D$11="Admin",OFFSET(database!H$1,MATCH($B23,database!$AD$2:$AD$2028,0),0),""))))),"")</f>
        <v/>
      </c>
      <c r="H23" s="26" t="str">
        <f ca="1">IFERROR(IF($D$11="All Position",OFFSET(database!I$1,MATCH($B23,database!$V$2:$V$2028,0),0),
IF($D$11="Salesman",OFFSET(database!I$1,MATCH($B23,database!$X$2:$X$2028,0),0),
IF($D$11="Salesgirl",OFFSET(database!I$1,MATCH($B23,database!$Z$2:$Z$2028,0),0),
IF($D$11="Mekanik",OFFSET(database!I$1,MATCH($B23,database!$AB$2:$AB$2028,0),0),
IF($D$11="Admin",OFFSET(database!I$1,MATCH($B23,database!$AD$2:$AD$2028,0),0),""))))),"")</f>
        <v/>
      </c>
      <c r="I23" s="167" t="str">
        <f ca="1">IFERROR(IF($D$11="All Position",OFFSET(database!L$1,MATCH($B23,database!$V$2:$V$2028,0),0),
IF($D$11="Salesman",OFFSET(database!L$1,MATCH($B23,database!$X$2:$X$2028,0),0),
IF($D$11="Salesgirl",OFFSET(database!L$1,MATCH($B23,database!$Z$2:$Z$2028,0),0),
IF($D$11="Mekanik",OFFSET(database!L$1,MATCH($B23,database!$AB$2:$AB$2028,0),0),
IF($D$11="Admin",OFFSET(database!L$1,MATCH($B23,database!$AD$2:$AD$2028,0),0),""))))),"")</f>
        <v/>
      </c>
      <c r="J23" s="167" t="str">
        <f ca="1">IFERROR(IF($D$11="All Position",OFFSET(database!K$1,MATCH($B23,database!$V$2:$V$2028,0),0),
IF($D$11="Salesman",OFFSET(database!K$1,MATCH($B23,database!$X$2:$X$2028,0),0),
IF($D$11="Salesgirl",OFFSET(database!K$1,MATCH($B23,database!$Z$2:$Z$2028,0),0),
IF($D$11="Mekanik",OFFSET(database!K$1,MATCH($B23,database!$AB$2:$AB$2028,0),0),
IF($D$11="Admin",OFFSET(database!K$1,MATCH($B23,database!$AD$2:$AD$2028,0),0),""))))),"")</f>
        <v/>
      </c>
      <c r="K23" s="167" t="str">
        <f ca="1">IFERROR(IF($D$11="All Position",OFFSET(database!L$1,MATCH($B23,database!$V$2:$V$2028,0),0),
IF($D$11="Salesman",OFFSET(database!L$1,MATCH($B23,database!$X$2:$X$2028,0),0),
IF($D$11="Salesgirl",OFFSET(database!L$1,MATCH($B23,database!$Z$2:$Z$2028,0),0),
IF($D$11="Mekanik",OFFSET(database!L$1,MATCH($B23,database!$AB$2:$AB$2028,0),0),
IF($D$11="Admin",OFFSET(database!L$1,MATCH($B23,database!$AD$2:$AD$2028,0),0),""))))),"")</f>
        <v/>
      </c>
      <c r="L23" s="167" t="str">
        <f ca="1">IFERROR(IF($D$11="All Position",OFFSET(database!M$1,MATCH($B23,database!$V$2:$V$2028,0),0),
IF($D$11="Salesman",OFFSET(database!M$1,MATCH($B23,database!$X$2:$X$2028,0),0),
IF($D$11="Salesgirl",OFFSET(database!M$1,MATCH($B23,database!$Z$2:$Z$2028,0),0),
IF($D$11="Mekanik",OFFSET(database!M$1,MATCH($B23,database!$AB$2:$AB$2028,0),0),
IF($D$11="Admin",OFFSET(database!M$1,MATCH($B23,database!$AD$2:$AD$2028,0),0),""))))),"")</f>
        <v/>
      </c>
      <c r="M23" s="167" t="str">
        <f ca="1">IFERROR(IF($D$11="All Position",OFFSET(database!M$1,MATCH($B23,database!$V$2:$V$2028,0),0),
IF($D$11="Salesman",OFFSET(database!M$1,MATCH($B23,database!$X$2:$X$2028,0),0),
IF($D$11="Salesgirl",OFFSET(database!M$1,MATCH($B23,database!$Z$2:$Z$2028,0),0),
IF($D$11="Mekanik",OFFSET(database!M$1,MATCH($B23,database!$AB$2:$AB$2028,0),0),
IF($D$11="Admin",OFFSET(database!M$1,MATCH($B23,database!$AD$2:$AD$2028,0),0),""))))),"")</f>
        <v/>
      </c>
      <c r="N23" s="167" t="str">
        <f ca="1">IFERROR(IF($D$11="All Position",OFFSET(database!O$1,MATCH($B23,database!$V$2:$V$2028,0),0),
IF($D$11="Salesman",OFFSET(database!O$1,MATCH($B23,database!$X$2:$X$2028,0),0),
IF($D$11="Salesgirl",OFFSET(database!O$1,MATCH($B23,database!$Z$2:$Z$2028,0),0),
IF($D$11="Mekanik",OFFSET(database!O$1,MATCH($B23,database!$AB$2:$AB$2028,0),0),
IF($D$11="Admin",OFFSET(database!O$1,MATCH($B23,database!$AD$2:$AD$2028,0),0),""))))),"")</f>
        <v/>
      </c>
      <c r="O23" s="168" t="str">
        <f t="shared" ca="1" si="0"/>
        <v/>
      </c>
      <c r="P23" s="168" t="str">
        <f t="shared" ca="1" si="1"/>
        <v/>
      </c>
      <c r="Q23" s="168" t="str">
        <f t="shared" ca="1" si="1"/>
        <v/>
      </c>
      <c r="R23" s="168" t="str">
        <f t="shared" ca="1" si="1"/>
        <v/>
      </c>
      <c r="S23" s="3"/>
      <c r="T23" s="3"/>
      <c r="U23" s="3"/>
      <c r="V23" s="3"/>
    </row>
    <row r="24" spans="1:22" x14ac:dyDescent="0.35">
      <c r="A24" s="3"/>
      <c r="B24" s="27">
        <f t="shared" si="2"/>
        <v>10</v>
      </c>
      <c r="C24" s="25" t="str">
        <f ca="1">IFERROR(IF($D$11="All Position",OFFSET(database!J$1,MATCH($B24,database!$V$2:$V$2028,0),0),
IF($D$11="Salesman",OFFSET(database!J$1,MATCH($B24,database!$X$2:$X$2028,0),0),
IF($D$11="Salesgirl",OFFSET(database!J$1,MATCH($B24,database!$Z$2:$Z$2028,0),0),
IF($D$11="Mekanik",OFFSET(database!J$1,MATCH($B24,database!$AB$2:$AB$2028,0),0),
IF($D$11="Admin",OFFSET(database!J$1,MATCH($B24,database!$AD$2:$AD$2028,0),0),""))))),"")</f>
        <v/>
      </c>
      <c r="D24" s="166" t="str">
        <f ca="1">IFERROR(IF($D$11="All Position",OFFSET(database!D$1,MATCH($B24,database!$V$2:$V$2028,0),0),
IF($D$11="Salesman",OFFSET(database!D$1,MATCH($B24,database!$X$2:$X$2028,0),0),
IF($D$11="Salesgirl",OFFSET(database!D$1,MATCH($B24,database!$Z$2:$Z$2028,0),0),
IF($D$11="Mekanik",OFFSET(database!D$1,MATCH($B24,database!$AB$2:$AB$2028,0),0),
IF($D$11="Admin",OFFSET(database!D$1,MATCH($B24,database!$AD$2:$AD$2028,0),0),""))))),"")</f>
        <v/>
      </c>
      <c r="E24" s="166"/>
      <c r="F24" s="166"/>
      <c r="G24" s="26" t="str">
        <f ca="1">IFERROR(IF($D$11="All Position",OFFSET(database!H$1,MATCH($B24,database!$V$2:$V$2028,0),0),
IF($D$11="Salesman",OFFSET(database!H$1,MATCH($B24,database!$X$2:$X$2028,0),0),
IF($D$11="Salesgirl",OFFSET(database!H$1,MATCH($B24,database!$Z$2:$Z$2028,0),0),
IF($D$11="Mekanik",OFFSET(database!H$1,MATCH($B24,database!$AB$2:$AB$2028,0),0),
IF($D$11="Admin",OFFSET(database!H$1,MATCH($B24,database!$AD$2:$AD$2028,0),0),""))))),"")</f>
        <v/>
      </c>
      <c r="H24" s="26" t="str">
        <f ca="1">IFERROR(IF($D$11="All Position",OFFSET(database!I$1,MATCH($B24,database!$V$2:$V$2028,0),0),
IF($D$11="Salesman",OFFSET(database!I$1,MATCH($B24,database!$X$2:$X$2028,0),0),
IF($D$11="Salesgirl",OFFSET(database!I$1,MATCH($B24,database!$Z$2:$Z$2028,0),0),
IF($D$11="Mekanik",OFFSET(database!I$1,MATCH($B24,database!$AB$2:$AB$2028,0),0),
IF($D$11="Admin",OFFSET(database!I$1,MATCH($B24,database!$AD$2:$AD$2028,0),0),""))))),"")</f>
        <v/>
      </c>
      <c r="I24" s="167" t="str">
        <f ca="1">IFERROR(IF($D$11="All Position",OFFSET(database!L$1,MATCH($B24,database!$V$2:$V$2028,0),0),
IF($D$11="Salesman",OFFSET(database!L$1,MATCH($B24,database!$X$2:$X$2028,0),0),
IF($D$11="Salesgirl",OFFSET(database!L$1,MATCH($B24,database!$Z$2:$Z$2028,0),0),
IF($D$11="Mekanik",OFFSET(database!L$1,MATCH($B24,database!$AB$2:$AB$2028,0),0),
IF($D$11="Admin",OFFSET(database!L$1,MATCH($B24,database!$AD$2:$AD$2028,0),0),""))))),"")</f>
        <v/>
      </c>
      <c r="J24" s="167" t="str">
        <f ca="1">IFERROR(IF($D$11="All Position",OFFSET(database!K$1,MATCH($B24,database!$V$2:$V$2028,0),0),
IF($D$11="Salesman",OFFSET(database!K$1,MATCH($B24,database!$X$2:$X$2028,0),0),
IF($D$11="Salesgirl",OFFSET(database!K$1,MATCH($B24,database!$Z$2:$Z$2028,0),0),
IF($D$11="Mekanik",OFFSET(database!K$1,MATCH($B24,database!$AB$2:$AB$2028,0),0),
IF($D$11="Admin",OFFSET(database!K$1,MATCH($B24,database!$AD$2:$AD$2028,0),0),""))))),"")</f>
        <v/>
      </c>
      <c r="K24" s="167" t="str">
        <f ca="1">IFERROR(IF($D$11="All Position",OFFSET(database!L$1,MATCH($B24,database!$V$2:$V$2028,0),0),
IF($D$11="Salesman",OFFSET(database!L$1,MATCH($B24,database!$X$2:$X$2028,0),0),
IF($D$11="Salesgirl",OFFSET(database!L$1,MATCH($B24,database!$Z$2:$Z$2028,0),0),
IF($D$11="Mekanik",OFFSET(database!L$1,MATCH($B24,database!$AB$2:$AB$2028,0),0),
IF($D$11="Admin",OFFSET(database!L$1,MATCH($B24,database!$AD$2:$AD$2028,0),0),""))))),"")</f>
        <v/>
      </c>
      <c r="L24" s="167" t="str">
        <f ca="1">IFERROR(IF($D$11="All Position",OFFSET(database!M$1,MATCH($B24,database!$V$2:$V$2028,0),0),
IF($D$11="Salesman",OFFSET(database!M$1,MATCH($B24,database!$X$2:$X$2028,0),0),
IF($D$11="Salesgirl",OFFSET(database!M$1,MATCH($B24,database!$Z$2:$Z$2028,0),0),
IF($D$11="Mekanik",OFFSET(database!M$1,MATCH($B24,database!$AB$2:$AB$2028,0),0),
IF($D$11="Admin",OFFSET(database!M$1,MATCH($B24,database!$AD$2:$AD$2028,0),0),""))))),"")</f>
        <v/>
      </c>
      <c r="M24" s="167" t="str">
        <f ca="1">IFERROR(IF($D$11="All Position",OFFSET(database!M$1,MATCH($B24,database!$V$2:$V$2028,0),0),
IF($D$11="Salesman",OFFSET(database!M$1,MATCH($B24,database!$X$2:$X$2028,0),0),
IF($D$11="Salesgirl",OFFSET(database!M$1,MATCH($B24,database!$Z$2:$Z$2028,0),0),
IF($D$11="Mekanik",OFFSET(database!M$1,MATCH($B24,database!$AB$2:$AB$2028,0),0),
IF($D$11="Admin",OFFSET(database!M$1,MATCH($B24,database!$AD$2:$AD$2028,0),0),""))))),"")</f>
        <v/>
      </c>
      <c r="N24" s="167" t="str">
        <f ca="1">IFERROR(IF($D$11="All Position",OFFSET(database!O$1,MATCH($B24,database!$V$2:$V$2028,0),0),
IF($D$11="Salesman",OFFSET(database!O$1,MATCH($B24,database!$X$2:$X$2028,0),0),
IF($D$11="Salesgirl",OFFSET(database!O$1,MATCH($B24,database!$Z$2:$Z$2028,0),0),
IF($D$11="Mekanik",OFFSET(database!O$1,MATCH($B24,database!$AB$2:$AB$2028,0),0),
IF($D$11="Admin",OFFSET(database!O$1,MATCH($B24,database!$AD$2:$AD$2028,0),0),""))))),"")</f>
        <v/>
      </c>
      <c r="O24" s="168" t="str">
        <f t="shared" ca="1" si="0"/>
        <v/>
      </c>
      <c r="P24" s="168" t="str">
        <f t="shared" ca="1" si="1"/>
        <v/>
      </c>
      <c r="Q24" s="168" t="str">
        <f t="shared" ca="1" si="1"/>
        <v/>
      </c>
      <c r="R24" s="168" t="str">
        <f t="shared" ca="1" si="1"/>
        <v/>
      </c>
      <c r="S24" s="3"/>
      <c r="T24" s="3"/>
      <c r="U24" s="3"/>
      <c r="V24" s="3"/>
    </row>
    <row r="25" spans="1:22" x14ac:dyDescent="0.35">
      <c r="A25" s="3"/>
      <c r="B25" s="27">
        <f t="shared" si="2"/>
        <v>11</v>
      </c>
      <c r="C25" s="25" t="str">
        <f ca="1">IFERROR(IF($D$11="All Position",OFFSET(database!J$1,MATCH($B25,database!$V$2:$V$2028,0),0),
IF($D$11="Salesman",OFFSET(database!J$1,MATCH($B25,database!$X$2:$X$2028,0),0),
IF($D$11="Salesgirl",OFFSET(database!J$1,MATCH($B25,database!$Z$2:$Z$2028,0),0),
IF($D$11="Mekanik",OFFSET(database!J$1,MATCH($B25,database!$AB$2:$AB$2028,0),0),
IF($D$11="Admin",OFFSET(database!J$1,MATCH($B25,database!$AD$2:$AD$2028,0),0),""))))),"")</f>
        <v/>
      </c>
      <c r="D25" s="166" t="str">
        <f ca="1">IFERROR(IF($D$11="All Position",OFFSET(database!D$1,MATCH($B25,database!$V$2:$V$2028,0),0),
IF($D$11="Salesman",OFFSET(database!D$1,MATCH($B25,database!$X$2:$X$2028,0),0),
IF($D$11="Salesgirl",OFFSET(database!D$1,MATCH($B25,database!$Z$2:$Z$2028,0),0),
IF($D$11="Mekanik",OFFSET(database!D$1,MATCH($B25,database!$AB$2:$AB$2028,0),0),
IF($D$11="Admin",OFFSET(database!D$1,MATCH($B25,database!$AD$2:$AD$2028,0),0),""))))),"")</f>
        <v/>
      </c>
      <c r="E25" s="166"/>
      <c r="F25" s="166"/>
      <c r="G25" s="26" t="str">
        <f ca="1">IFERROR(IF($D$11="All Position",OFFSET(database!H$1,MATCH($B25,database!$V$2:$V$2028,0),0),
IF($D$11="Salesman",OFFSET(database!H$1,MATCH($B25,database!$X$2:$X$2028,0),0),
IF($D$11="Salesgirl",OFFSET(database!H$1,MATCH($B25,database!$Z$2:$Z$2028,0),0),
IF($D$11="Mekanik",OFFSET(database!H$1,MATCH($B25,database!$AB$2:$AB$2028,0),0),
IF($D$11="Admin",OFFSET(database!H$1,MATCH($B25,database!$AD$2:$AD$2028,0),0),""))))),"")</f>
        <v/>
      </c>
      <c r="H25" s="26" t="str">
        <f ca="1">IFERROR(IF($D$11="All Position",OFFSET(database!I$1,MATCH($B25,database!$V$2:$V$2028,0),0),
IF($D$11="Salesman",OFFSET(database!I$1,MATCH($B25,database!$X$2:$X$2028,0),0),
IF($D$11="Salesgirl",OFFSET(database!I$1,MATCH($B25,database!$Z$2:$Z$2028,0),0),
IF($D$11="Mekanik",OFFSET(database!I$1,MATCH($B25,database!$AB$2:$AB$2028,0),0),
IF($D$11="Admin",OFFSET(database!I$1,MATCH($B25,database!$AD$2:$AD$2028,0),0),""))))),"")</f>
        <v/>
      </c>
      <c r="I25" s="167" t="str">
        <f ca="1">IFERROR(IF($D$11="All Position",OFFSET(database!L$1,MATCH($B25,database!$V$2:$V$2028,0),0),
IF($D$11="Salesman",OFFSET(database!L$1,MATCH($B25,database!$X$2:$X$2028,0),0),
IF($D$11="Salesgirl",OFFSET(database!L$1,MATCH($B25,database!$Z$2:$Z$2028,0),0),
IF($D$11="Mekanik",OFFSET(database!L$1,MATCH($B25,database!$AB$2:$AB$2028,0),0),
IF($D$11="Admin",OFFSET(database!L$1,MATCH($B25,database!$AD$2:$AD$2028,0),0),""))))),"")</f>
        <v/>
      </c>
      <c r="J25" s="167" t="str">
        <f ca="1">IFERROR(IF($D$11="All Position",OFFSET(database!K$1,MATCH($B25,database!$V$2:$V$2028,0),0),
IF($D$11="Salesman",OFFSET(database!K$1,MATCH($B25,database!$X$2:$X$2028,0),0),
IF($D$11="Salesgirl",OFFSET(database!K$1,MATCH($B25,database!$Z$2:$Z$2028,0),0),
IF($D$11="Mekanik",OFFSET(database!K$1,MATCH($B25,database!$AB$2:$AB$2028,0),0),
IF($D$11="Admin",OFFSET(database!K$1,MATCH($B25,database!$AD$2:$AD$2028,0),0),""))))),"")</f>
        <v/>
      </c>
      <c r="K25" s="167" t="str">
        <f ca="1">IFERROR(IF($D$11="All Position",OFFSET(database!L$1,MATCH($B25,database!$V$2:$V$2028,0),0),
IF($D$11="Salesman",OFFSET(database!L$1,MATCH($B25,database!$X$2:$X$2028,0),0),
IF($D$11="Salesgirl",OFFSET(database!L$1,MATCH($B25,database!$Z$2:$Z$2028,0),0),
IF($D$11="Mekanik",OFFSET(database!L$1,MATCH($B25,database!$AB$2:$AB$2028,0),0),
IF($D$11="Admin",OFFSET(database!L$1,MATCH($B25,database!$AD$2:$AD$2028,0),0),""))))),"")</f>
        <v/>
      </c>
      <c r="L25" s="167" t="str">
        <f ca="1">IFERROR(IF($D$11="All Position",OFFSET(database!M$1,MATCH($B25,database!$V$2:$V$2028,0),0),
IF($D$11="Salesman",OFFSET(database!M$1,MATCH($B25,database!$X$2:$X$2028,0),0),
IF($D$11="Salesgirl",OFFSET(database!M$1,MATCH($B25,database!$Z$2:$Z$2028,0),0),
IF($D$11="Mekanik",OFFSET(database!M$1,MATCH($B25,database!$AB$2:$AB$2028,0),0),
IF($D$11="Admin",OFFSET(database!M$1,MATCH($B25,database!$AD$2:$AD$2028,0),0),""))))),"")</f>
        <v/>
      </c>
      <c r="M25" s="167" t="str">
        <f ca="1">IFERROR(IF($D$11="All Position",OFFSET(database!M$1,MATCH($B25,database!$V$2:$V$2028,0),0),
IF($D$11="Salesman",OFFSET(database!M$1,MATCH($B25,database!$X$2:$X$2028,0),0),
IF($D$11="Salesgirl",OFFSET(database!M$1,MATCH($B25,database!$Z$2:$Z$2028,0),0),
IF($D$11="Mekanik",OFFSET(database!M$1,MATCH($B25,database!$AB$2:$AB$2028,0),0),
IF($D$11="Admin",OFFSET(database!M$1,MATCH($B25,database!$AD$2:$AD$2028,0),0),""))))),"")</f>
        <v/>
      </c>
      <c r="N25" s="167" t="str">
        <f ca="1">IFERROR(IF($D$11="All Position",OFFSET(database!O$1,MATCH($B25,database!$V$2:$V$2028,0),0),
IF($D$11="Salesman",OFFSET(database!O$1,MATCH($B25,database!$X$2:$X$2028,0),0),
IF($D$11="Salesgirl",OFFSET(database!O$1,MATCH($B25,database!$Z$2:$Z$2028,0),0),
IF($D$11="Mekanik",OFFSET(database!O$1,MATCH($B25,database!$AB$2:$AB$2028,0),0),
IF($D$11="Admin",OFFSET(database!O$1,MATCH($B25,database!$AD$2:$AD$2028,0),0),""))))),"")</f>
        <v/>
      </c>
      <c r="O25" s="168" t="str">
        <f t="shared" ca="1" si="0"/>
        <v/>
      </c>
      <c r="P25" s="168" t="str">
        <f t="shared" ca="1" si="1"/>
        <v/>
      </c>
      <c r="Q25" s="168" t="str">
        <f t="shared" ca="1" si="1"/>
        <v/>
      </c>
      <c r="R25" s="168" t="str">
        <f t="shared" ca="1" si="1"/>
        <v/>
      </c>
      <c r="S25" s="3"/>
      <c r="T25" s="3"/>
      <c r="U25" s="3"/>
      <c r="V25" s="3"/>
    </row>
    <row r="26" spans="1:22" x14ac:dyDescent="0.35">
      <c r="A26" s="3"/>
      <c r="B26" s="27">
        <f t="shared" si="2"/>
        <v>12</v>
      </c>
      <c r="C26" s="25" t="str">
        <f ca="1">IFERROR(IF($D$11="All Position",OFFSET(database!J$1,MATCH($B26,database!$V$2:$V$2028,0),0),
IF($D$11="Salesman",OFFSET(database!J$1,MATCH($B26,database!$X$2:$X$2028,0),0),
IF($D$11="Salesgirl",OFFSET(database!J$1,MATCH($B26,database!$Z$2:$Z$2028,0),0),
IF($D$11="Mekanik",OFFSET(database!J$1,MATCH($B26,database!$AB$2:$AB$2028,0),0),
IF($D$11="Admin",OFFSET(database!J$1,MATCH($B26,database!$AD$2:$AD$2028,0),0),""))))),"")</f>
        <v/>
      </c>
      <c r="D26" s="166" t="str">
        <f ca="1">IFERROR(IF($D$11="All Position",OFFSET(database!D$1,MATCH($B26,database!$V$2:$V$2028,0),0),
IF($D$11="Salesman",OFFSET(database!D$1,MATCH($B26,database!$X$2:$X$2028,0),0),
IF($D$11="Salesgirl",OFFSET(database!D$1,MATCH($B26,database!$Z$2:$Z$2028,0),0),
IF($D$11="Mekanik",OFFSET(database!D$1,MATCH($B26,database!$AB$2:$AB$2028,0),0),
IF($D$11="Admin",OFFSET(database!D$1,MATCH($B26,database!$AD$2:$AD$2028,0),0),""))))),"")</f>
        <v/>
      </c>
      <c r="E26" s="166"/>
      <c r="F26" s="166"/>
      <c r="G26" s="26" t="str">
        <f ca="1">IFERROR(IF($D$11="All Position",OFFSET(database!H$1,MATCH($B26,database!$V$2:$V$2028,0),0),
IF($D$11="Salesman",OFFSET(database!H$1,MATCH($B26,database!$X$2:$X$2028,0),0),
IF($D$11="Salesgirl",OFFSET(database!H$1,MATCH($B26,database!$Z$2:$Z$2028,0),0),
IF($D$11="Mekanik",OFFSET(database!H$1,MATCH($B26,database!$AB$2:$AB$2028,0),0),
IF($D$11="Admin",OFFSET(database!H$1,MATCH($B26,database!$AD$2:$AD$2028,0),0),""))))),"")</f>
        <v/>
      </c>
      <c r="H26" s="26" t="str">
        <f ca="1">IFERROR(IF($D$11="All Position",OFFSET(database!I$1,MATCH($B26,database!$V$2:$V$2028,0),0),
IF($D$11="Salesman",OFFSET(database!I$1,MATCH($B26,database!$X$2:$X$2028,0),0),
IF($D$11="Salesgirl",OFFSET(database!I$1,MATCH($B26,database!$Z$2:$Z$2028,0),0),
IF($D$11="Mekanik",OFFSET(database!I$1,MATCH($B26,database!$AB$2:$AB$2028,0),0),
IF($D$11="Admin",OFFSET(database!I$1,MATCH($B26,database!$AD$2:$AD$2028,0),0),""))))),"")</f>
        <v/>
      </c>
      <c r="I26" s="167" t="str">
        <f ca="1">IFERROR(IF($D$11="All Position",OFFSET(database!L$1,MATCH($B26,database!$V$2:$V$2028,0),0),
IF($D$11="Salesman",OFFSET(database!L$1,MATCH($B26,database!$X$2:$X$2028,0),0),
IF($D$11="Salesgirl",OFFSET(database!L$1,MATCH($B26,database!$Z$2:$Z$2028,0),0),
IF($D$11="Mekanik",OFFSET(database!L$1,MATCH($B26,database!$AB$2:$AB$2028,0),0),
IF($D$11="Admin",OFFSET(database!L$1,MATCH($B26,database!$AD$2:$AD$2028,0),0),""))))),"")</f>
        <v/>
      </c>
      <c r="J26" s="167" t="str">
        <f ca="1">IFERROR(IF($D$11="All Position",OFFSET(database!K$1,MATCH($B26,database!$V$2:$V$2028,0),0),
IF($D$11="Salesman",OFFSET(database!K$1,MATCH($B26,database!$X$2:$X$2028,0),0),
IF($D$11="Salesgirl",OFFSET(database!K$1,MATCH($B26,database!$Z$2:$Z$2028,0),0),
IF($D$11="Mekanik",OFFSET(database!K$1,MATCH($B26,database!$AB$2:$AB$2028,0),0),
IF($D$11="Admin",OFFSET(database!K$1,MATCH($B26,database!$AD$2:$AD$2028,0),0),""))))),"")</f>
        <v/>
      </c>
      <c r="K26" s="167" t="str">
        <f ca="1">IFERROR(IF($D$11="All Position",OFFSET(database!L$1,MATCH($B26,database!$V$2:$V$2028,0),0),
IF($D$11="Salesman",OFFSET(database!L$1,MATCH($B26,database!$X$2:$X$2028,0),0),
IF($D$11="Salesgirl",OFFSET(database!L$1,MATCH($B26,database!$Z$2:$Z$2028,0),0),
IF($D$11="Mekanik",OFFSET(database!L$1,MATCH($B26,database!$AB$2:$AB$2028,0),0),
IF($D$11="Admin",OFFSET(database!L$1,MATCH($B26,database!$AD$2:$AD$2028,0),0),""))))),"")</f>
        <v/>
      </c>
      <c r="L26" s="167" t="str">
        <f ca="1">IFERROR(IF($D$11="All Position",OFFSET(database!M$1,MATCH($B26,database!$V$2:$V$2028,0),0),
IF($D$11="Salesman",OFFSET(database!M$1,MATCH($B26,database!$X$2:$X$2028,0),0),
IF($D$11="Salesgirl",OFFSET(database!M$1,MATCH($B26,database!$Z$2:$Z$2028,0),0),
IF($D$11="Mekanik",OFFSET(database!M$1,MATCH($B26,database!$AB$2:$AB$2028,0),0),
IF($D$11="Admin",OFFSET(database!M$1,MATCH($B26,database!$AD$2:$AD$2028,0),0),""))))),"")</f>
        <v/>
      </c>
      <c r="M26" s="167" t="str">
        <f ca="1">IFERROR(IF($D$11="All Position",OFFSET(database!M$1,MATCH($B26,database!$V$2:$V$2028,0),0),
IF($D$11="Salesman",OFFSET(database!M$1,MATCH($B26,database!$X$2:$X$2028,0),0),
IF($D$11="Salesgirl",OFFSET(database!M$1,MATCH($B26,database!$Z$2:$Z$2028,0),0),
IF($D$11="Mekanik",OFFSET(database!M$1,MATCH($B26,database!$AB$2:$AB$2028,0),0),
IF($D$11="Admin",OFFSET(database!M$1,MATCH($B26,database!$AD$2:$AD$2028,0),0),""))))),"")</f>
        <v/>
      </c>
      <c r="N26" s="167" t="str">
        <f ca="1">IFERROR(IF($D$11="All Position",OFFSET(database!O$1,MATCH($B26,database!$V$2:$V$2028,0),0),
IF($D$11="Salesman",OFFSET(database!O$1,MATCH($B26,database!$X$2:$X$2028,0),0),
IF($D$11="Salesgirl",OFFSET(database!O$1,MATCH($B26,database!$Z$2:$Z$2028,0),0),
IF($D$11="Mekanik",OFFSET(database!O$1,MATCH($B26,database!$AB$2:$AB$2028,0),0),
IF($D$11="Admin",OFFSET(database!O$1,MATCH($B26,database!$AD$2:$AD$2028,0),0),""))))),"")</f>
        <v/>
      </c>
      <c r="O26" s="168" t="str">
        <f t="shared" ca="1" si="0"/>
        <v/>
      </c>
      <c r="P26" s="168" t="str">
        <f t="shared" ca="1" si="1"/>
        <v/>
      </c>
      <c r="Q26" s="168" t="str">
        <f t="shared" ca="1" si="1"/>
        <v/>
      </c>
      <c r="R26" s="168" t="str">
        <f t="shared" ca="1" si="1"/>
        <v/>
      </c>
      <c r="S26" s="3"/>
      <c r="T26" s="3"/>
      <c r="U26" s="3"/>
      <c r="V26" s="3"/>
    </row>
    <row r="27" spans="1:22" x14ac:dyDescent="0.35">
      <c r="A27" s="3"/>
      <c r="B27" s="27">
        <f t="shared" si="2"/>
        <v>13</v>
      </c>
      <c r="C27" s="25" t="str">
        <f ca="1">IFERROR(IF($D$11="All Position",OFFSET(database!J$1,MATCH($B27,database!$V$2:$V$2028,0),0),
IF($D$11="Salesman",OFFSET(database!J$1,MATCH($B27,database!$X$2:$X$2028,0),0),
IF($D$11="Salesgirl",OFFSET(database!J$1,MATCH($B27,database!$Z$2:$Z$2028,0),0),
IF($D$11="Mekanik",OFFSET(database!J$1,MATCH($B27,database!$AB$2:$AB$2028,0),0),
IF($D$11="Admin",OFFSET(database!J$1,MATCH($B27,database!$AD$2:$AD$2028,0),0),""))))),"")</f>
        <v/>
      </c>
      <c r="D27" s="166" t="str">
        <f ca="1">IFERROR(IF($D$11="All Position",OFFSET(database!D$1,MATCH($B27,database!$V$2:$V$2028,0),0),
IF($D$11="Salesman",OFFSET(database!D$1,MATCH($B27,database!$X$2:$X$2028,0),0),
IF($D$11="Salesgirl",OFFSET(database!D$1,MATCH($B27,database!$Z$2:$Z$2028,0),0),
IF($D$11="Mekanik",OFFSET(database!D$1,MATCH($B27,database!$AB$2:$AB$2028,0),0),
IF($D$11="Admin",OFFSET(database!D$1,MATCH($B27,database!$AD$2:$AD$2028,0),0),""))))),"")</f>
        <v/>
      </c>
      <c r="E27" s="166"/>
      <c r="F27" s="166"/>
      <c r="G27" s="26" t="str">
        <f ca="1">IFERROR(IF($D$11="All Position",OFFSET(database!H$1,MATCH($B27,database!$V$2:$V$2028,0),0),
IF($D$11="Salesman",OFFSET(database!H$1,MATCH($B27,database!$X$2:$X$2028,0),0),
IF($D$11="Salesgirl",OFFSET(database!H$1,MATCH($B27,database!$Z$2:$Z$2028,0),0),
IF($D$11="Mekanik",OFFSET(database!H$1,MATCH($B27,database!$AB$2:$AB$2028,0),0),
IF($D$11="Admin",OFFSET(database!H$1,MATCH($B27,database!$AD$2:$AD$2028,0),0),""))))),"")</f>
        <v/>
      </c>
      <c r="H27" s="26" t="str">
        <f ca="1">IFERROR(IF($D$11="All Position",OFFSET(database!I$1,MATCH($B27,database!$V$2:$V$2028,0),0),
IF($D$11="Salesman",OFFSET(database!I$1,MATCH($B27,database!$X$2:$X$2028,0),0),
IF($D$11="Salesgirl",OFFSET(database!I$1,MATCH($B27,database!$Z$2:$Z$2028,0),0),
IF($D$11="Mekanik",OFFSET(database!I$1,MATCH($B27,database!$AB$2:$AB$2028,0),0),
IF($D$11="Admin",OFFSET(database!I$1,MATCH($B27,database!$AD$2:$AD$2028,0),0),""))))),"")</f>
        <v/>
      </c>
      <c r="I27" s="167" t="str">
        <f ca="1">IFERROR(IF($D$11="All Position",OFFSET(database!L$1,MATCH($B27,database!$V$2:$V$2028,0),0),
IF($D$11="Salesman",OFFSET(database!L$1,MATCH($B27,database!$X$2:$X$2028,0),0),
IF($D$11="Salesgirl",OFFSET(database!L$1,MATCH($B27,database!$Z$2:$Z$2028,0),0),
IF($D$11="Mekanik",OFFSET(database!L$1,MATCH($B27,database!$AB$2:$AB$2028,0),0),
IF($D$11="Admin",OFFSET(database!L$1,MATCH($B27,database!$AD$2:$AD$2028,0),0),""))))),"")</f>
        <v/>
      </c>
      <c r="J27" s="167" t="str">
        <f ca="1">IFERROR(IF($D$11="All Position",OFFSET(database!K$1,MATCH($B27,database!$V$2:$V$2028,0),0),
IF($D$11="Salesman",OFFSET(database!K$1,MATCH($B27,database!$X$2:$X$2028,0),0),
IF($D$11="Salesgirl",OFFSET(database!K$1,MATCH($B27,database!$Z$2:$Z$2028,0),0),
IF($D$11="Mekanik",OFFSET(database!K$1,MATCH($B27,database!$AB$2:$AB$2028,0),0),
IF($D$11="Admin",OFFSET(database!K$1,MATCH($B27,database!$AD$2:$AD$2028,0),0),""))))),"")</f>
        <v/>
      </c>
      <c r="K27" s="167" t="str">
        <f ca="1">IFERROR(IF($D$11="All Position",OFFSET(database!L$1,MATCH($B27,database!$V$2:$V$2028,0),0),
IF($D$11="Salesman",OFFSET(database!L$1,MATCH($B27,database!$X$2:$X$2028,0),0),
IF($D$11="Salesgirl",OFFSET(database!L$1,MATCH($B27,database!$Z$2:$Z$2028,0),0),
IF($D$11="Mekanik",OFFSET(database!L$1,MATCH($B27,database!$AB$2:$AB$2028,0),0),
IF($D$11="Admin",OFFSET(database!L$1,MATCH($B27,database!$AD$2:$AD$2028,0),0),""))))),"")</f>
        <v/>
      </c>
      <c r="L27" s="167" t="str">
        <f ca="1">IFERROR(IF($D$11="All Position",OFFSET(database!M$1,MATCH($B27,database!$V$2:$V$2028,0),0),
IF($D$11="Salesman",OFFSET(database!M$1,MATCH($B27,database!$X$2:$X$2028,0),0),
IF($D$11="Salesgirl",OFFSET(database!M$1,MATCH($B27,database!$Z$2:$Z$2028,0),0),
IF($D$11="Mekanik",OFFSET(database!M$1,MATCH($B27,database!$AB$2:$AB$2028,0),0),
IF($D$11="Admin",OFFSET(database!M$1,MATCH($B27,database!$AD$2:$AD$2028,0),0),""))))),"")</f>
        <v/>
      </c>
      <c r="M27" s="167" t="str">
        <f ca="1">IFERROR(IF($D$11="All Position",OFFSET(database!M$1,MATCH($B27,database!$V$2:$V$2028,0),0),
IF($D$11="Salesman",OFFSET(database!M$1,MATCH($B27,database!$X$2:$X$2028,0),0),
IF($D$11="Salesgirl",OFFSET(database!M$1,MATCH($B27,database!$Z$2:$Z$2028,0),0),
IF($D$11="Mekanik",OFFSET(database!M$1,MATCH($B27,database!$AB$2:$AB$2028,0),0),
IF($D$11="Admin",OFFSET(database!M$1,MATCH($B27,database!$AD$2:$AD$2028,0),0),""))))),"")</f>
        <v/>
      </c>
      <c r="N27" s="167" t="str">
        <f ca="1">IFERROR(IF($D$11="All Position",OFFSET(database!O$1,MATCH($B27,database!$V$2:$V$2028,0),0),
IF($D$11="Salesman",OFFSET(database!O$1,MATCH($B27,database!$X$2:$X$2028,0),0),
IF($D$11="Salesgirl",OFFSET(database!O$1,MATCH($B27,database!$Z$2:$Z$2028,0),0),
IF($D$11="Mekanik",OFFSET(database!O$1,MATCH($B27,database!$AB$2:$AB$2028,0),0),
IF($D$11="Admin",OFFSET(database!O$1,MATCH($B27,database!$AD$2:$AD$2028,0),0),""))))),"")</f>
        <v/>
      </c>
      <c r="O27" s="168" t="str">
        <f t="shared" ca="1" si="0"/>
        <v/>
      </c>
      <c r="P27" s="168" t="str">
        <f t="shared" ca="1" si="1"/>
        <v/>
      </c>
      <c r="Q27" s="168" t="str">
        <f t="shared" ca="1" si="1"/>
        <v/>
      </c>
      <c r="R27" s="168" t="str">
        <f t="shared" ca="1" si="1"/>
        <v/>
      </c>
      <c r="S27" s="3"/>
      <c r="T27" s="3"/>
      <c r="U27" s="3"/>
      <c r="V27" s="3"/>
    </row>
    <row r="28" spans="1:22" x14ac:dyDescent="0.35">
      <c r="A28" s="3"/>
      <c r="B28" s="27">
        <f t="shared" si="2"/>
        <v>14</v>
      </c>
      <c r="C28" s="25" t="str">
        <f ca="1">IFERROR(IF($D$11="All Position",OFFSET(database!J$1,MATCH($B28,database!$V$2:$V$2028,0),0),
IF($D$11="Salesman",OFFSET(database!J$1,MATCH($B28,database!$X$2:$X$2028,0),0),
IF($D$11="Salesgirl",OFFSET(database!J$1,MATCH($B28,database!$Z$2:$Z$2028,0),0),
IF($D$11="Mekanik",OFFSET(database!J$1,MATCH($B28,database!$AB$2:$AB$2028,0),0),
IF($D$11="Admin",OFFSET(database!J$1,MATCH($B28,database!$AD$2:$AD$2028,0),0),""))))),"")</f>
        <v/>
      </c>
      <c r="D28" s="166" t="str">
        <f ca="1">IFERROR(IF($D$11="All Position",OFFSET(database!D$1,MATCH($B28,database!$V$2:$V$2028,0),0),
IF($D$11="Salesman",OFFSET(database!D$1,MATCH($B28,database!$X$2:$X$2028,0),0),
IF($D$11="Salesgirl",OFFSET(database!D$1,MATCH($B28,database!$Z$2:$Z$2028,0),0),
IF($D$11="Mekanik",OFFSET(database!D$1,MATCH($B28,database!$AB$2:$AB$2028,0),0),
IF($D$11="Admin",OFFSET(database!D$1,MATCH($B28,database!$AD$2:$AD$2028,0),0),""))))),"")</f>
        <v/>
      </c>
      <c r="E28" s="166"/>
      <c r="F28" s="166"/>
      <c r="G28" s="26" t="str">
        <f ca="1">IFERROR(IF($D$11="All Position",OFFSET(database!H$1,MATCH($B28,database!$V$2:$V$2028,0),0),
IF($D$11="Salesman",OFFSET(database!H$1,MATCH($B28,database!$X$2:$X$2028,0),0),
IF($D$11="Salesgirl",OFFSET(database!H$1,MATCH($B28,database!$Z$2:$Z$2028,0),0),
IF($D$11="Mekanik",OFFSET(database!H$1,MATCH($B28,database!$AB$2:$AB$2028,0),0),
IF($D$11="Admin",OFFSET(database!H$1,MATCH($B28,database!$AD$2:$AD$2028,0),0),""))))),"")</f>
        <v/>
      </c>
      <c r="H28" s="26" t="str">
        <f ca="1">IFERROR(IF($D$11="All Position",OFFSET(database!I$1,MATCH($B28,database!$V$2:$V$2028,0),0),
IF($D$11="Salesman",OFFSET(database!I$1,MATCH($B28,database!$X$2:$X$2028,0),0),
IF($D$11="Salesgirl",OFFSET(database!I$1,MATCH($B28,database!$Z$2:$Z$2028,0),0),
IF($D$11="Mekanik",OFFSET(database!I$1,MATCH($B28,database!$AB$2:$AB$2028,0),0),
IF($D$11="Admin",OFFSET(database!I$1,MATCH($B28,database!$AD$2:$AD$2028,0),0),""))))),"")</f>
        <v/>
      </c>
      <c r="I28" s="167" t="str">
        <f ca="1">IFERROR(IF($D$11="All Position",OFFSET(database!L$1,MATCH($B28,database!$V$2:$V$2028,0),0),
IF($D$11="Salesman",OFFSET(database!L$1,MATCH($B28,database!$X$2:$X$2028,0),0),
IF($D$11="Salesgirl",OFFSET(database!L$1,MATCH($B28,database!$Z$2:$Z$2028,0),0),
IF($D$11="Mekanik",OFFSET(database!L$1,MATCH($B28,database!$AB$2:$AB$2028,0),0),
IF($D$11="Admin",OFFSET(database!L$1,MATCH($B28,database!$AD$2:$AD$2028,0),0),""))))),"")</f>
        <v/>
      </c>
      <c r="J28" s="167" t="str">
        <f ca="1">IFERROR(IF($D$11="All Position",OFFSET(database!K$1,MATCH($B28,database!$V$2:$V$2028,0),0),
IF($D$11="Salesman",OFFSET(database!K$1,MATCH($B28,database!$X$2:$X$2028,0),0),
IF($D$11="Salesgirl",OFFSET(database!K$1,MATCH($B28,database!$Z$2:$Z$2028,0),0),
IF($D$11="Mekanik",OFFSET(database!K$1,MATCH($B28,database!$AB$2:$AB$2028,0),0),
IF($D$11="Admin",OFFSET(database!K$1,MATCH($B28,database!$AD$2:$AD$2028,0),0),""))))),"")</f>
        <v/>
      </c>
      <c r="K28" s="167" t="str">
        <f ca="1">IFERROR(IF($D$11="All Position",OFFSET(database!L$1,MATCH($B28,database!$V$2:$V$2028,0),0),
IF($D$11="Salesman",OFFSET(database!L$1,MATCH($B28,database!$X$2:$X$2028,0),0),
IF($D$11="Salesgirl",OFFSET(database!L$1,MATCH($B28,database!$Z$2:$Z$2028,0),0),
IF($D$11="Mekanik",OFFSET(database!L$1,MATCH($B28,database!$AB$2:$AB$2028,0),0),
IF($D$11="Admin",OFFSET(database!L$1,MATCH($B28,database!$AD$2:$AD$2028,0),0),""))))),"")</f>
        <v/>
      </c>
      <c r="L28" s="167" t="str">
        <f ca="1">IFERROR(IF($D$11="All Position",OFFSET(database!M$1,MATCH($B28,database!$V$2:$V$2028,0),0),
IF($D$11="Salesman",OFFSET(database!M$1,MATCH($B28,database!$X$2:$X$2028,0),0),
IF($D$11="Salesgirl",OFFSET(database!M$1,MATCH($B28,database!$Z$2:$Z$2028,0),0),
IF($D$11="Mekanik",OFFSET(database!M$1,MATCH($B28,database!$AB$2:$AB$2028,0),0),
IF($D$11="Admin",OFFSET(database!M$1,MATCH($B28,database!$AD$2:$AD$2028,0),0),""))))),"")</f>
        <v/>
      </c>
      <c r="M28" s="167" t="str">
        <f ca="1">IFERROR(IF($D$11="All Position",OFFSET(database!M$1,MATCH($B28,database!$V$2:$V$2028,0),0),
IF($D$11="Salesman",OFFSET(database!M$1,MATCH($B28,database!$X$2:$X$2028,0),0),
IF($D$11="Salesgirl",OFFSET(database!M$1,MATCH($B28,database!$Z$2:$Z$2028,0),0),
IF($D$11="Mekanik",OFFSET(database!M$1,MATCH($B28,database!$AB$2:$AB$2028,0),0),
IF($D$11="Admin",OFFSET(database!M$1,MATCH($B28,database!$AD$2:$AD$2028,0),0),""))))),"")</f>
        <v/>
      </c>
      <c r="N28" s="167" t="str">
        <f ca="1">IFERROR(IF($D$11="All Position",OFFSET(database!O$1,MATCH($B28,database!$V$2:$V$2028,0),0),
IF($D$11="Salesman",OFFSET(database!O$1,MATCH($B28,database!$X$2:$X$2028,0),0),
IF($D$11="Salesgirl",OFFSET(database!O$1,MATCH($B28,database!$Z$2:$Z$2028,0),0),
IF($D$11="Mekanik",OFFSET(database!O$1,MATCH($B28,database!$AB$2:$AB$2028,0),0),
IF($D$11="Admin",OFFSET(database!O$1,MATCH($B28,database!$AD$2:$AD$2028,0),0),""))))),"")</f>
        <v/>
      </c>
      <c r="O28" s="168" t="str">
        <f t="shared" ca="1" si="0"/>
        <v/>
      </c>
      <c r="P28" s="168" t="str">
        <f t="shared" ca="1" si="1"/>
        <v/>
      </c>
      <c r="Q28" s="168" t="str">
        <f t="shared" ca="1" si="1"/>
        <v/>
      </c>
      <c r="R28" s="168" t="str">
        <f t="shared" ca="1" si="1"/>
        <v/>
      </c>
      <c r="S28" s="3"/>
      <c r="T28" s="3"/>
      <c r="U28" s="3"/>
      <c r="V28" s="3"/>
    </row>
    <row r="29" spans="1:22" x14ac:dyDescent="0.35">
      <c r="A29" s="3"/>
      <c r="B29" s="27">
        <f t="shared" si="2"/>
        <v>15</v>
      </c>
      <c r="C29" s="25" t="str">
        <f ca="1">IFERROR(IF($D$11="All Position",OFFSET(database!J$1,MATCH($B29,database!$V$2:$V$2028,0),0),
IF($D$11="Salesman",OFFSET(database!J$1,MATCH($B29,database!$X$2:$X$2028,0),0),
IF($D$11="Salesgirl",OFFSET(database!J$1,MATCH($B29,database!$Z$2:$Z$2028,0),0),
IF($D$11="Mekanik",OFFSET(database!J$1,MATCH($B29,database!$AB$2:$AB$2028,0),0),
IF($D$11="Admin",OFFSET(database!J$1,MATCH($B29,database!$AD$2:$AD$2028,0),0),""))))),"")</f>
        <v/>
      </c>
      <c r="D29" s="166" t="str">
        <f ca="1">IFERROR(IF($D$11="All Position",OFFSET(database!D$1,MATCH($B29,database!$V$2:$V$2028,0),0),
IF($D$11="Salesman",OFFSET(database!D$1,MATCH($B29,database!$X$2:$X$2028,0),0),
IF($D$11="Salesgirl",OFFSET(database!D$1,MATCH($B29,database!$Z$2:$Z$2028,0),0),
IF($D$11="Mekanik",OFFSET(database!D$1,MATCH($B29,database!$AB$2:$AB$2028,0),0),
IF($D$11="Admin",OFFSET(database!D$1,MATCH($B29,database!$AD$2:$AD$2028,0),0),""))))),"")</f>
        <v/>
      </c>
      <c r="E29" s="166"/>
      <c r="F29" s="166"/>
      <c r="G29" s="26" t="str">
        <f ca="1">IFERROR(IF($D$11="All Position",OFFSET(database!H$1,MATCH($B29,database!$V$2:$V$2028,0),0),
IF($D$11="Salesman",OFFSET(database!H$1,MATCH($B29,database!$X$2:$X$2028,0),0),
IF($D$11="Salesgirl",OFFSET(database!H$1,MATCH($B29,database!$Z$2:$Z$2028,0),0),
IF($D$11="Mekanik",OFFSET(database!H$1,MATCH($B29,database!$AB$2:$AB$2028,0),0),
IF($D$11="Admin",OFFSET(database!H$1,MATCH($B29,database!$AD$2:$AD$2028,0),0),""))))),"")</f>
        <v/>
      </c>
      <c r="H29" s="26" t="str">
        <f ca="1">IFERROR(IF($D$11="All Position",OFFSET(database!I$1,MATCH($B29,database!$V$2:$V$2028,0),0),
IF($D$11="Salesman",OFFSET(database!I$1,MATCH($B29,database!$X$2:$X$2028,0),0),
IF($D$11="Salesgirl",OFFSET(database!I$1,MATCH($B29,database!$Z$2:$Z$2028,0),0),
IF($D$11="Mekanik",OFFSET(database!I$1,MATCH($B29,database!$AB$2:$AB$2028,0),0),
IF($D$11="Admin",OFFSET(database!I$1,MATCH($B29,database!$AD$2:$AD$2028,0),0),""))))),"")</f>
        <v/>
      </c>
      <c r="I29" s="167" t="str">
        <f ca="1">IFERROR(IF($D$11="All Position",OFFSET(database!L$1,MATCH($B29,database!$V$2:$V$2028,0),0),
IF($D$11="Salesman",OFFSET(database!L$1,MATCH($B29,database!$X$2:$X$2028,0),0),
IF($D$11="Salesgirl",OFFSET(database!L$1,MATCH($B29,database!$Z$2:$Z$2028,0),0),
IF($D$11="Mekanik",OFFSET(database!L$1,MATCH($B29,database!$AB$2:$AB$2028,0),0),
IF($D$11="Admin",OFFSET(database!L$1,MATCH($B29,database!$AD$2:$AD$2028,0),0),""))))),"")</f>
        <v/>
      </c>
      <c r="J29" s="167" t="str">
        <f ca="1">IFERROR(IF($D$11="All Position",OFFSET(database!K$1,MATCH($B29,database!$V$2:$V$2028,0),0),
IF($D$11="Salesman",OFFSET(database!K$1,MATCH($B29,database!$X$2:$X$2028,0),0),
IF($D$11="Salesgirl",OFFSET(database!K$1,MATCH($B29,database!$Z$2:$Z$2028,0),0),
IF($D$11="Mekanik",OFFSET(database!K$1,MATCH($B29,database!$AB$2:$AB$2028,0),0),
IF($D$11="Admin",OFFSET(database!K$1,MATCH($B29,database!$AD$2:$AD$2028,0),0),""))))),"")</f>
        <v/>
      </c>
      <c r="K29" s="167" t="str">
        <f ca="1">IFERROR(IF($D$11="All Position",OFFSET(database!L$1,MATCH($B29,database!$V$2:$V$2028,0),0),
IF($D$11="Salesman",OFFSET(database!L$1,MATCH($B29,database!$X$2:$X$2028,0),0),
IF($D$11="Salesgirl",OFFSET(database!L$1,MATCH($B29,database!$Z$2:$Z$2028,0),0),
IF($D$11="Mekanik",OFFSET(database!L$1,MATCH($B29,database!$AB$2:$AB$2028,0),0),
IF($D$11="Admin",OFFSET(database!L$1,MATCH($B29,database!$AD$2:$AD$2028,0),0),""))))),"")</f>
        <v/>
      </c>
      <c r="L29" s="167" t="str">
        <f ca="1">IFERROR(IF($D$11="All Position",OFFSET(database!M$1,MATCH($B29,database!$V$2:$V$2028,0),0),
IF($D$11="Salesman",OFFSET(database!M$1,MATCH($B29,database!$X$2:$X$2028,0),0),
IF($D$11="Salesgirl",OFFSET(database!M$1,MATCH($B29,database!$Z$2:$Z$2028,0),0),
IF($D$11="Mekanik",OFFSET(database!M$1,MATCH($B29,database!$AB$2:$AB$2028,0),0),
IF($D$11="Admin",OFFSET(database!M$1,MATCH($B29,database!$AD$2:$AD$2028,0),0),""))))),"")</f>
        <v/>
      </c>
      <c r="M29" s="167" t="str">
        <f ca="1">IFERROR(IF($D$11="All Position",OFFSET(database!M$1,MATCH($B29,database!$V$2:$V$2028,0),0),
IF($D$11="Salesman",OFFSET(database!M$1,MATCH($B29,database!$X$2:$X$2028,0),0),
IF($D$11="Salesgirl",OFFSET(database!M$1,MATCH($B29,database!$Z$2:$Z$2028,0),0),
IF($D$11="Mekanik",OFFSET(database!M$1,MATCH($B29,database!$AB$2:$AB$2028,0),0),
IF($D$11="Admin",OFFSET(database!M$1,MATCH($B29,database!$AD$2:$AD$2028,0),0),""))))),"")</f>
        <v/>
      </c>
      <c r="N29" s="167" t="str">
        <f ca="1">IFERROR(IF($D$11="All Position",OFFSET(database!O$1,MATCH($B29,database!$V$2:$V$2028,0),0),
IF($D$11="Salesman",OFFSET(database!O$1,MATCH($B29,database!$X$2:$X$2028,0),0),
IF($D$11="Salesgirl",OFFSET(database!O$1,MATCH($B29,database!$Z$2:$Z$2028,0),0),
IF($D$11="Mekanik",OFFSET(database!O$1,MATCH($B29,database!$AB$2:$AB$2028,0),0),
IF($D$11="Admin",OFFSET(database!O$1,MATCH($B29,database!$AD$2:$AD$2028,0),0),""))))),"")</f>
        <v/>
      </c>
      <c r="O29" s="168" t="str">
        <f t="shared" ca="1" si="0"/>
        <v/>
      </c>
      <c r="P29" s="168" t="str">
        <f t="shared" ca="1" si="1"/>
        <v/>
      </c>
      <c r="Q29" s="168" t="str">
        <f t="shared" ca="1" si="1"/>
        <v/>
      </c>
      <c r="R29" s="168" t="str">
        <f t="shared" ca="1" si="1"/>
        <v/>
      </c>
      <c r="S29" s="3"/>
      <c r="T29" s="3"/>
      <c r="U29" s="3"/>
      <c r="V29" s="3"/>
    </row>
    <row r="30" spans="1:22" x14ac:dyDescent="0.35">
      <c r="A30" s="3"/>
      <c r="B30" s="27">
        <f t="shared" si="2"/>
        <v>16</v>
      </c>
      <c r="C30" s="25" t="str">
        <f ca="1">IFERROR(IF($D$11="All Position",OFFSET(database!J$1,MATCH($B30,database!$V$2:$V$2028,0),0),
IF($D$11="Salesman",OFFSET(database!J$1,MATCH($B30,database!$X$2:$X$2028,0),0),
IF($D$11="Salesgirl",OFFSET(database!J$1,MATCH($B30,database!$Z$2:$Z$2028,0),0),
IF($D$11="Mekanik",OFFSET(database!J$1,MATCH($B30,database!$AB$2:$AB$2028,0),0),
IF($D$11="Admin",OFFSET(database!J$1,MATCH($B30,database!$AD$2:$AD$2028,0),0),""))))),"")</f>
        <v/>
      </c>
      <c r="D30" s="166" t="str">
        <f ca="1">IFERROR(IF($D$11="All Position",OFFSET(database!D$1,MATCH($B30,database!$V$2:$V$2028,0),0),
IF($D$11="Salesman",OFFSET(database!D$1,MATCH($B30,database!$X$2:$X$2028,0),0),
IF($D$11="Salesgirl",OFFSET(database!D$1,MATCH($B30,database!$Z$2:$Z$2028,0),0),
IF($D$11="Mekanik",OFFSET(database!D$1,MATCH($B30,database!$AB$2:$AB$2028,0),0),
IF($D$11="Admin",OFFSET(database!D$1,MATCH($B30,database!$AD$2:$AD$2028,0),0),""))))),"")</f>
        <v/>
      </c>
      <c r="E30" s="166"/>
      <c r="F30" s="166"/>
      <c r="G30" s="26" t="str">
        <f ca="1">IFERROR(IF($D$11="All Position",OFFSET(database!H$1,MATCH($B30,database!$V$2:$V$2028,0),0),
IF($D$11="Salesman",OFFSET(database!H$1,MATCH($B30,database!$X$2:$X$2028,0),0),
IF($D$11="Salesgirl",OFFSET(database!H$1,MATCH($B30,database!$Z$2:$Z$2028,0),0),
IF($D$11="Mekanik",OFFSET(database!H$1,MATCH($B30,database!$AB$2:$AB$2028,0),0),
IF($D$11="Admin",OFFSET(database!H$1,MATCH($B30,database!$AD$2:$AD$2028,0),0),""))))),"")</f>
        <v/>
      </c>
      <c r="H30" s="26" t="str">
        <f ca="1">IFERROR(IF($D$11="All Position",OFFSET(database!I$1,MATCH($B30,database!$V$2:$V$2028,0),0),
IF($D$11="Salesman",OFFSET(database!I$1,MATCH($B30,database!$X$2:$X$2028,0),0),
IF($D$11="Salesgirl",OFFSET(database!I$1,MATCH($B30,database!$Z$2:$Z$2028,0),0),
IF($D$11="Mekanik",OFFSET(database!I$1,MATCH($B30,database!$AB$2:$AB$2028,0),0),
IF($D$11="Admin",OFFSET(database!I$1,MATCH($B30,database!$AD$2:$AD$2028,0),0),""))))),"")</f>
        <v/>
      </c>
      <c r="I30" s="167" t="str">
        <f ca="1">IFERROR(IF($D$11="All Position",OFFSET(database!L$1,MATCH($B30,database!$V$2:$V$2028,0),0),
IF($D$11="Salesman",OFFSET(database!L$1,MATCH($B30,database!$X$2:$X$2028,0),0),
IF($D$11="Salesgirl",OFFSET(database!L$1,MATCH($B30,database!$Z$2:$Z$2028,0),0),
IF($D$11="Mekanik",OFFSET(database!L$1,MATCH($B30,database!$AB$2:$AB$2028,0),0),
IF($D$11="Admin",OFFSET(database!L$1,MATCH($B30,database!$AD$2:$AD$2028,0),0),""))))),"")</f>
        <v/>
      </c>
      <c r="J30" s="167" t="str">
        <f ca="1">IFERROR(IF($D$11="All Position",OFFSET(database!K$1,MATCH($B30,database!$V$2:$V$2028,0),0),
IF($D$11="Salesman",OFFSET(database!K$1,MATCH($B30,database!$X$2:$X$2028,0),0),
IF($D$11="Salesgirl",OFFSET(database!K$1,MATCH($B30,database!$Z$2:$Z$2028,0),0),
IF($D$11="Mekanik",OFFSET(database!K$1,MATCH($B30,database!$AB$2:$AB$2028,0),0),
IF($D$11="Admin",OFFSET(database!K$1,MATCH($B30,database!$AD$2:$AD$2028,0),0),""))))),"")</f>
        <v/>
      </c>
      <c r="K30" s="167" t="str">
        <f ca="1">IFERROR(IF($D$11="All Position",OFFSET(database!L$1,MATCH($B30,database!$V$2:$V$2028,0),0),
IF($D$11="Salesman",OFFSET(database!L$1,MATCH($B30,database!$X$2:$X$2028,0),0),
IF($D$11="Salesgirl",OFFSET(database!L$1,MATCH($B30,database!$Z$2:$Z$2028,0),0),
IF($D$11="Mekanik",OFFSET(database!L$1,MATCH($B30,database!$AB$2:$AB$2028,0),0),
IF($D$11="Admin",OFFSET(database!L$1,MATCH($B30,database!$AD$2:$AD$2028,0),0),""))))),"")</f>
        <v/>
      </c>
      <c r="L30" s="167" t="str">
        <f ca="1">IFERROR(IF($D$11="All Position",OFFSET(database!M$1,MATCH($B30,database!$V$2:$V$2028,0),0),
IF($D$11="Salesman",OFFSET(database!M$1,MATCH($B30,database!$X$2:$X$2028,0),0),
IF($D$11="Salesgirl",OFFSET(database!M$1,MATCH($B30,database!$Z$2:$Z$2028,0),0),
IF($D$11="Mekanik",OFFSET(database!M$1,MATCH($B30,database!$AB$2:$AB$2028,0),0),
IF($D$11="Admin",OFFSET(database!M$1,MATCH($B30,database!$AD$2:$AD$2028,0),0),""))))),"")</f>
        <v/>
      </c>
      <c r="M30" s="167" t="str">
        <f ca="1">IFERROR(IF($D$11="All Position",OFFSET(database!M$1,MATCH($B30,database!$V$2:$V$2028,0),0),
IF($D$11="Salesman",OFFSET(database!M$1,MATCH($B30,database!$X$2:$X$2028,0),0),
IF($D$11="Salesgirl",OFFSET(database!M$1,MATCH($B30,database!$Z$2:$Z$2028,0),0),
IF($D$11="Mekanik",OFFSET(database!M$1,MATCH($B30,database!$AB$2:$AB$2028,0),0),
IF($D$11="Admin",OFFSET(database!M$1,MATCH($B30,database!$AD$2:$AD$2028,0),0),""))))),"")</f>
        <v/>
      </c>
      <c r="N30" s="167" t="str">
        <f ca="1">IFERROR(IF($D$11="All Position",OFFSET(database!O$1,MATCH($B30,database!$V$2:$V$2028,0),0),
IF($D$11="Salesman",OFFSET(database!O$1,MATCH($B30,database!$X$2:$X$2028,0),0),
IF($D$11="Salesgirl",OFFSET(database!O$1,MATCH($B30,database!$Z$2:$Z$2028,0),0),
IF($D$11="Mekanik",OFFSET(database!O$1,MATCH($B30,database!$AB$2:$AB$2028,0),0),
IF($D$11="Admin",OFFSET(database!O$1,MATCH($B30,database!$AD$2:$AD$2028,0),0),""))))),"")</f>
        <v/>
      </c>
      <c r="O30" s="168" t="str">
        <f t="shared" ca="1" si="0"/>
        <v/>
      </c>
      <c r="P30" s="168" t="str">
        <f t="shared" ca="1" si="1"/>
        <v/>
      </c>
      <c r="Q30" s="168" t="str">
        <f t="shared" ca="1" si="1"/>
        <v/>
      </c>
      <c r="R30" s="168" t="str">
        <f t="shared" ca="1" si="1"/>
        <v/>
      </c>
      <c r="S30" s="3"/>
      <c r="T30" s="3"/>
      <c r="U30" s="3"/>
      <c r="V30" s="3"/>
    </row>
    <row r="31" spans="1:22" x14ac:dyDescent="0.35">
      <c r="A31" s="3"/>
      <c r="B31" s="27">
        <f t="shared" si="2"/>
        <v>17</v>
      </c>
      <c r="C31" s="25" t="str">
        <f ca="1">IFERROR(IF($D$11="All Position",OFFSET(database!J$1,MATCH($B31,database!$V$2:$V$2028,0),0),
IF($D$11="Salesman",OFFSET(database!J$1,MATCH($B31,database!$X$2:$X$2028,0),0),
IF($D$11="Salesgirl",OFFSET(database!J$1,MATCH($B31,database!$Z$2:$Z$2028,0),0),
IF($D$11="Mekanik",OFFSET(database!J$1,MATCH($B31,database!$AB$2:$AB$2028,0),0),
IF($D$11="Admin",OFFSET(database!J$1,MATCH($B31,database!$AD$2:$AD$2028,0),0),""))))),"")</f>
        <v/>
      </c>
      <c r="D31" s="166" t="str">
        <f ca="1">IFERROR(IF($D$11="All Position",OFFSET(database!D$1,MATCH($B31,database!$V$2:$V$2028,0),0),
IF($D$11="Salesman",OFFSET(database!D$1,MATCH($B31,database!$X$2:$X$2028,0),0),
IF($D$11="Salesgirl",OFFSET(database!D$1,MATCH($B31,database!$Z$2:$Z$2028,0),0),
IF($D$11="Mekanik",OFFSET(database!D$1,MATCH($B31,database!$AB$2:$AB$2028,0),0),
IF($D$11="Admin",OFFSET(database!D$1,MATCH($B31,database!$AD$2:$AD$2028,0),0),""))))),"")</f>
        <v/>
      </c>
      <c r="E31" s="166"/>
      <c r="F31" s="166"/>
      <c r="G31" s="26" t="str">
        <f ca="1">IFERROR(IF($D$11="All Position",OFFSET(database!H$1,MATCH($B31,database!$V$2:$V$2028,0),0),
IF($D$11="Salesman",OFFSET(database!H$1,MATCH($B31,database!$X$2:$X$2028,0),0),
IF($D$11="Salesgirl",OFFSET(database!H$1,MATCH($B31,database!$Z$2:$Z$2028,0),0),
IF($D$11="Mekanik",OFFSET(database!H$1,MATCH($B31,database!$AB$2:$AB$2028,0),0),
IF($D$11="Admin",OFFSET(database!H$1,MATCH($B31,database!$AD$2:$AD$2028,0),0),""))))),"")</f>
        <v/>
      </c>
      <c r="H31" s="26" t="str">
        <f ca="1">IFERROR(IF($D$11="All Position",OFFSET(database!I$1,MATCH($B31,database!$V$2:$V$2028,0),0),
IF($D$11="Salesman",OFFSET(database!I$1,MATCH($B31,database!$X$2:$X$2028,0),0),
IF($D$11="Salesgirl",OFFSET(database!I$1,MATCH($B31,database!$Z$2:$Z$2028,0),0),
IF($D$11="Mekanik",OFFSET(database!I$1,MATCH($B31,database!$AB$2:$AB$2028,0),0),
IF($D$11="Admin",OFFSET(database!I$1,MATCH($B31,database!$AD$2:$AD$2028,0),0),""))))),"")</f>
        <v/>
      </c>
      <c r="I31" s="167" t="str">
        <f ca="1">IFERROR(IF($D$11="All Position",OFFSET(database!L$1,MATCH($B31,database!$V$2:$V$2028,0),0),
IF($D$11="Salesman",OFFSET(database!L$1,MATCH($B31,database!$X$2:$X$2028,0),0),
IF($D$11="Salesgirl",OFFSET(database!L$1,MATCH($B31,database!$Z$2:$Z$2028,0),0),
IF($D$11="Mekanik",OFFSET(database!L$1,MATCH($B31,database!$AB$2:$AB$2028,0),0),
IF($D$11="Admin",OFFSET(database!L$1,MATCH($B31,database!$AD$2:$AD$2028,0),0),""))))),"")</f>
        <v/>
      </c>
      <c r="J31" s="167" t="str">
        <f ca="1">IFERROR(IF($D$11="All Position",OFFSET(database!K$1,MATCH($B31,database!$V$2:$V$2028,0),0),
IF($D$11="Salesman",OFFSET(database!K$1,MATCH($B31,database!$X$2:$X$2028,0),0),
IF($D$11="Salesgirl",OFFSET(database!K$1,MATCH($B31,database!$Z$2:$Z$2028,0),0),
IF($D$11="Mekanik",OFFSET(database!K$1,MATCH($B31,database!$AB$2:$AB$2028,0),0),
IF($D$11="Admin",OFFSET(database!K$1,MATCH($B31,database!$AD$2:$AD$2028,0),0),""))))),"")</f>
        <v/>
      </c>
      <c r="K31" s="167" t="str">
        <f ca="1">IFERROR(IF($D$11="All Position",OFFSET(database!L$1,MATCH($B31,database!$V$2:$V$2028,0),0),
IF($D$11="Salesman",OFFSET(database!L$1,MATCH($B31,database!$X$2:$X$2028,0),0),
IF($D$11="Salesgirl",OFFSET(database!L$1,MATCH($B31,database!$Z$2:$Z$2028,0),0),
IF($D$11="Mekanik",OFFSET(database!L$1,MATCH($B31,database!$AB$2:$AB$2028,0),0),
IF($D$11="Admin",OFFSET(database!L$1,MATCH($B31,database!$AD$2:$AD$2028,0),0),""))))),"")</f>
        <v/>
      </c>
      <c r="L31" s="167" t="str">
        <f ca="1">IFERROR(IF($D$11="All Position",OFFSET(database!M$1,MATCH($B31,database!$V$2:$V$2028,0),0),
IF($D$11="Salesman",OFFSET(database!M$1,MATCH($B31,database!$X$2:$X$2028,0),0),
IF($D$11="Salesgirl",OFFSET(database!M$1,MATCH($B31,database!$Z$2:$Z$2028,0),0),
IF($D$11="Mekanik",OFFSET(database!M$1,MATCH($B31,database!$AB$2:$AB$2028,0),0),
IF($D$11="Admin",OFFSET(database!M$1,MATCH($B31,database!$AD$2:$AD$2028,0),0),""))))),"")</f>
        <v/>
      </c>
      <c r="M31" s="167" t="str">
        <f ca="1">IFERROR(IF($D$11="All Position",OFFSET(database!M$1,MATCH($B31,database!$V$2:$V$2028,0),0),
IF($D$11="Salesman",OFFSET(database!M$1,MATCH($B31,database!$X$2:$X$2028,0),0),
IF($D$11="Salesgirl",OFFSET(database!M$1,MATCH($B31,database!$Z$2:$Z$2028,0),0),
IF($D$11="Mekanik",OFFSET(database!M$1,MATCH($B31,database!$AB$2:$AB$2028,0),0),
IF($D$11="Admin",OFFSET(database!M$1,MATCH($B31,database!$AD$2:$AD$2028,0),0),""))))),"")</f>
        <v/>
      </c>
      <c r="N31" s="167" t="str">
        <f ca="1">IFERROR(IF($D$11="All Position",OFFSET(database!O$1,MATCH($B31,database!$V$2:$V$2028,0),0),
IF($D$11="Salesman",OFFSET(database!O$1,MATCH($B31,database!$X$2:$X$2028,0),0),
IF($D$11="Salesgirl",OFFSET(database!O$1,MATCH($B31,database!$Z$2:$Z$2028,0),0),
IF($D$11="Mekanik",OFFSET(database!O$1,MATCH($B31,database!$AB$2:$AB$2028,0),0),
IF($D$11="Admin",OFFSET(database!O$1,MATCH($B31,database!$AD$2:$AD$2028,0),0),""))))),"")</f>
        <v/>
      </c>
      <c r="O31" s="168" t="str">
        <f t="shared" ca="1" si="0"/>
        <v/>
      </c>
      <c r="P31" s="168" t="str">
        <f t="shared" ca="1" si="1"/>
        <v/>
      </c>
      <c r="Q31" s="168" t="str">
        <f t="shared" ca="1" si="1"/>
        <v/>
      </c>
      <c r="R31" s="168" t="str">
        <f t="shared" ca="1" si="1"/>
        <v/>
      </c>
      <c r="S31" s="3"/>
      <c r="T31" s="3"/>
      <c r="U31" s="3"/>
      <c r="V31" s="3"/>
    </row>
    <row r="32" spans="1:22" x14ac:dyDescent="0.35">
      <c r="A32" s="3"/>
      <c r="B32" s="27">
        <f t="shared" si="2"/>
        <v>18</v>
      </c>
      <c r="C32" s="25" t="str">
        <f ca="1">IFERROR(IF($D$11="All Position",OFFSET(database!J$1,MATCH($B32,database!$V$2:$V$2028,0),0),
IF($D$11="Salesman",OFFSET(database!J$1,MATCH($B32,database!$X$2:$X$2028,0),0),
IF($D$11="Salesgirl",OFFSET(database!J$1,MATCH($B32,database!$Z$2:$Z$2028,0),0),
IF($D$11="Mekanik",OFFSET(database!J$1,MATCH($B32,database!$AB$2:$AB$2028,0),0),
IF($D$11="Admin",OFFSET(database!J$1,MATCH($B32,database!$AD$2:$AD$2028,0),0),""))))),"")</f>
        <v/>
      </c>
      <c r="D32" s="166" t="str">
        <f ca="1">IFERROR(IF($D$11="All Position",OFFSET(database!D$1,MATCH($B32,database!$V$2:$V$2028,0),0),
IF($D$11="Salesman",OFFSET(database!D$1,MATCH($B32,database!$X$2:$X$2028,0),0),
IF($D$11="Salesgirl",OFFSET(database!D$1,MATCH($B32,database!$Z$2:$Z$2028,0),0),
IF($D$11="Mekanik",OFFSET(database!D$1,MATCH($B32,database!$AB$2:$AB$2028,0),0),
IF($D$11="Admin",OFFSET(database!D$1,MATCH($B32,database!$AD$2:$AD$2028,0),0),""))))),"")</f>
        <v/>
      </c>
      <c r="E32" s="166"/>
      <c r="F32" s="166"/>
      <c r="G32" s="26" t="str">
        <f ca="1">IFERROR(IF($D$11="All Position",OFFSET(database!H$1,MATCH($B32,database!$V$2:$V$2028,0),0),
IF($D$11="Salesman",OFFSET(database!H$1,MATCH($B32,database!$X$2:$X$2028,0),0),
IF($D$11="Salesgirl",OFFSET(database!H$1,MATCH($B32,database!$Z$2:$Z$2028,0),0),
IF($D$11="Mekanik",OFFSET(database!H$1,MATCH($B32,database!$AB$2:$AB$2028,0),0),
IF($D$11="Admin",OFFSET(database!H$1,MATCH($B32,database!$AD$2:$AD$2028,0),0),""))))),"")</f>
        <v/>
      </c>
      <c r="H32" s="26" t="str">
        <f ca="1">IFERROR(IF($D$11="All Position",OFFSET(database!I$1,MATCH($B32,database!$V$2:$V$2028,0),0),
IF($D$11="Salesman",OFFSET(database!I$1,MATCH($B32,database!$X$2:$X$2028,0),0),
IF($D$11="Salesgirl",OFFSET(database!I$1,MATCH($B32,database!$Z$2:$Z$2028,0),0),
IF($D$11="Mekanik",OFFSET(database!I$1,MATCH($B32,database!$AB$2:$AB$2028,0),0),
IF($D$11="Admin",OFFSET(database!I$1,MATCH($B32,database!$AD$2:$AD$2028,0),0),""))))),"")</f>
        <v/>
      </c>
      <c r="I32" s="167" t="str">
        <f ca="1">IFERROR(IF($D$11="All Position",OFFSET(database!L$1,MATCH($B32,database!$V$2:$V$2028,0),0),
IF($D$11="Salesman",OFFSET(database!L$1,MATCH($B32,database!$X$2:$X$2028,0),0),
IF($D$11="Salesgirl",OFFSET(database!L$1,MATCH($B32,database!$Z$2:$Z$2028,0),0),
IF($D$11="Mekanik",OFFSET(database!L$1,MATCH($B32,database!$AB$2:$AB$2028,0),0),
IF($D$11="Admin",OFFSET(database!L$1,MATCH($B32,database!$AD$2:$AD$2028,0),0),""))))),"")</f>
        <v/>
      </c>
      <c r="J32" s="167" t="str">
        <f ca="1">IFERROR(IF($D$11="All Position",OFFSET(database!K$1,MATCH($B32,database!$V$2:$V$2028,0),0),
IF($D$11="Salesman",OFFSET(database!K$1,MATCH($B32,database!$X$2:$X$2028,0),0),
IF($D$11="Salesgirl",OFFSET(database!K$1,MATCH($B32,database!$Z$2:$Z$2028,0),0),
IF($D$11="Mekanik",OFFSET(database!K$1,MATCH($B32,database!$AB$2:$AB$2028,0),0),
IF($D$11="Admin",OFFSET(database!K$1,MATCH($B32,database!$AD$2:$AD$2028,0),0),""))))),"")</f>
        <v/>
      </c>
      <c r="K32" s="167" t="str">
        <f ca="1">IFERROR(IF($D$11="All Position",OFFSET(database!L$1,MATCH($B32,database!$V$2:$V$2028,0),0),
IF($D$11="Salesman",OFFSET(database!L$1,MATCH($B32,database!$X$2:$X$2028,0),0),
IF($D$11="Salesgirl",OFFSET(database!L$1,MATCH($B32,database!$Z$2:$Z$2028,0),0),
IF($D$11="Mekanik",OFFSET(database!L$1,MATCH($B32,database!$AB$2:$AB$2028,0),0),
IF($D$11="Admin",OFFSET(database!L$1,MATCH($B32,database!$AD$2:$AD$2028,0),0),""))))),"")</f>
        <v/>
      </c>
      <c r="L32" s="167" t="str">
        <f ca="1">IFERROR(IF($D$11="All Position",OFFSET(database!M$1,MATCH($B32,database!$V$2:$V$2028,0),0),
IF($D$11="Salesman",OFFSET(database!M$1,MATCH($B32,database!$X$2:$X$2028,0),0),
IF($D$11="Salesgirl",OFFSET(database!M$1,MATCH($B32,database!$Z$2:$Z$2028,0),0),
IF($D$11="Mekanik",OFFSET(database!M$1,MATCH($B32,database!$AB$2:$AB$2028,0),0),
IF($D$11="Admin",OFFSET(database!M$1,MATCH($B32,database!$AD$2:$AD$2028,0),0),""))))),"")</f>
        <v/>
      </c>
      <c r="M32" s="167" t="str">
        <f ca="1">IFERROR(IF($D$11="All Position",OFFSET(database!M$1,MATCH($B32,database!$V$2:$V$2028,0),0),
IF($D$11="Salesman",OFFSET(database!M$1,MATCH($B32,database!$X$2:$X$2028,0),0),
IF($D$11="Salesgirl",OFFSET(database!M$1,MATCH($B32,database!$Z$2:$Z$2028,0),0),
IF($D$11="Mekanik",OFFSET(database!M$1,MATCH($B32,database!$AB$2:$AB$2028,0),0),
IF($D$11="Admin",OFFSET(database!M$1,MATCH($B32,database!$AD$2:$AD$2028,0),0),""))))),"")</f>
        <v/>
      </c>
      <c r="N32" s="167" t="str">
        <f ca="1">IFERROR(IF($D$11="All Position",OFFSET(database!O$1,MATCH($B32,database!$V$2:$V$2028,0),0),
IF($D$11="Salesman",OFFSET(database!O$1,MATCH($B32,database!$X$2:$X$2028,0),0),
IF($D$11="Salesgirl",OFFSET(database!O$1,MATCH($B32,database!$Z$2:$Z$2028,0),0),
IF($D$11="Mekanik",OFFSET(database!O$1,MATCH($B32,database!$AB$2:$AB$2028,0),0),
IF($D$11="Admin",OFFSET(database!O$1,MATCH($B32,database!$AD$2:$AD$2028,0),0),""))))),"")</f>
        <v/>
      </c>
      <c r="O32" s="168" t="str">
        <f t="shared" ca="1" si="0"/>
        <v/>
      </c>
      <c r="P32" s="168" t="str">
        <f t="shared" ca="1" si="1"/>
        <v/>
      </c>
      <c r="Q32" s="168" t="str">
        <f t="shared" ca="1" si="1"/>
        <v/>
      </c>
      <c r="R32" s="168" t="str">
        <f t="shared" ca="1" si="1"/>
        <v/>
      </c>
      <c r="S32" s="3"/>
      <c r="T32" s="3"/>
      <c r="U32" s="3"/>
      <c r="V32" s="3"/>
    </row>
    <row r="33" spans="1:22" x14ac:dyDescent="0.35">
      <c r="A33" s="3"/>
      <c r="B33" s="27">
        <f t="shared" si="2"/>
        <v>19</v>
      </c>
      <c r="C33" s="25" t="str">
        <f ca="1">IFERROR(IF($D$11="All Position",OFFSET(database!J$1,MATCH($B33,database!$V$2:$V$2028,0),0),
IF($D$11="Salesman",OFFSET(database!J$1,MATCH($B33,database!$X$2:$X$2028,0),0),
IF($D$11="Salesgirl",OFFSET(database!J$1,MATCH($B33,database!$Z$2:$Z$2028,0),0),
IF($D$11="Mekanik",OFFSET(database!J$1,MATCH($B33,database!$AB$2:$AB$2028,0),0),
IF($D$11="Admin",OFFSET(database!J$1,MATCH($B33,database!$AD$2:$AD$2028,0),0),""))))),"")</f>
        <v/>
      </c>
      <c r="D33" s="166" t="str">
        <f ca="1">IFERROR(IF($D$11="All Position",OFFSET(database!D$1,MATCH($B33,database!$V$2:$V$2028,0),0),
IF($D$11="Salesman",OFFSET(database!D$1,MATCH($B33,database!$X$2:$X$2028,0),0),
IF($D$11="Salesgirl",OFFSET(database!D$1,MATCH($B33,database!$Z$2:$Z$2028,0),0),
IF($D$11="Mekanik",OFFSET(database!D$1,MATCH($B33,database!$AB$2:$AB$2028,0),0),
IF($D$11="Admin",OFFSET(database!D$1,MATCH($B33,database!$AD$2:$AD$2028,0),0),""))))),"")</f>
        <v/>
      </c>
      <c r="E33" s="166"/>
      <c r="F33" s="166"/>
      <c r="G33" s="26" t="str">
        <f ca="1">IFERROR(IF($D$11="All Position",OFFSET(database!H$1,MATCH($B33,database!$V$2:$V$2028,0),0),
IF($D$11="Salesman",OFFSET(database!H$1,MATCH($B33,database!$X$2:$X$2028,0),0),
IF($D$11="Salesgirl",OFFSET(database!H$1,MATCH($B33,database!$Z$2:$Z$2028,0),0),
IF($D$11="Mekanik",OFFSET(database!H$1,MATCH($B33,database!$AB$2:$AB$2028,0),0),
IF($D$11="Admin",OFFSET(database!H$1,MATCH($B33,database!$AD$2:$AD$2028,0),0),""))))),"")</f>
        <v/>
      </c>
      <c r="H33" s="26" t="str">
        <f ca="1">IFERROR(IF($D$11="All Position",OFFSET(database!I$1,MATCH($B33,database!$V$2:$V$2028,0),0),
IF($D$11="Salesman",OFFSET(database!I$1,MATCH($B33,database!$X$2:$X$2028,0),0),
IF($D$11="Salesgirl",OFFSET(database!I$1,MATCH($B33,database!$Z$2:$Z$2028,0),0),
IF($D$11="Mekanik",OFFSET(database!I$1,MATCH($B33,database!$AB$2:$AB$2028,0),0),
IF($D$11="Admin",OFFSET(database!I$1,MATCH($B33,database!$AD$2:$AD$2028,0),0),""))))),"")</f>
        <v/>
      </c>
      <c r="I33" s="167" t="str">
        <f ca="1">IFERROR(IF($D$11="All Position",OFFSET(database!L$1,MATCH($B33,database!$V$2:$V$2028,0),0),
IF($D$11="Salesman",OFFSET(database!L$1,MATCH($B33,database!$X$2:$X$2028,0),0),
IF($D$11="Salesgirl",OFFSET(database!L$1,MATCH($B33,database!$Z$2:$Z$2028,0),0),
IF($D$11="Mekanik",OFFSET(database!L$1,MATCH($B33,database!$AB$2:$AB$2028,0),0),
IF($D$11="Admin",OFFSET(database!L$1,MATCH($B33,database!$AD$2:$AD$2028,0),0),""))))),"")</f>
        <v/>
      </c>
      <c r="J33" s="167" t="str">
        <f ca="1">IFERROR(IF($D$11="All Position",OFFSET(database!K$1,MATCH($B33,database!$V$2:$V$2028,0),0),
IF($D$11="Salesman",OFFSET(database!K$1,MATCH($B33,database!$X$2:$X$2028,0),0),
IF($D$11="Salesgirl",OFFSET(database!K$1,MATCH($B33,database!$Z$2:$Z$2028,0),0),
IF($D$11="Mekanik",OFFSET(database!K$1,MATCH($B33,database!$AB$2:$AB$2028,0),0),
IF($D$11="Admin",OFFSET(database!K$1,MATCH($B33,database!$AD$2:$AD$2028,0),0),""))))),"")</f>
        <v/>
      </c>
      <c r="K33" s="167" t="str">
        <f ca="1">IFERROR(IF($D$11="All Position",OFFSET(database!L$1,MATCH($B33,database!$V$2:$V$2028,0),0),
IF($D$11="Salesman",OFFSET(database!L$1,MATCH($B33,database!$X$2:$X$2028,0),0),
IF($D$11="Salesgirl",OFFSET(database!L$1,MATCH($B33,database!$Z$2:$Z$2028,0),0),
IF($D$11="Mekanik",OFFSET(database!L$1,MATCH($B33,database!$AB$2:$AB$2028,0),0),
IF($D$11="Admin",OFFSET(database!L$1,MATCH($B33,database!$AD$2:$AD$2028,0),0),""))))),"")</f>
        <v/>
      </c>
      <c r="L33" s="167" t="str">
        <f ca="1">IFERROR(IF($D$11="All Position",OFFSET(database!M$1,MATCH($B33,database!$V$2:$V$2028,0),0),
IF($D$11="Salesman",OFFSET(database!M$1,MATCH($B33,database!$X$2:$X$2028,0),0),
IF($D$11="Salesgirl",OFFSET(database!M$1,MATCH($B33,database!$Z$2:$Z$2028,0),0),
IF($D$11="Mekanik",OFFSET(database!M$1,MATCH($B33,database!$AB$2:$AB$2028,0),0),
IF($D$11="Admin",OFFSET(database!M$1,MATCH($B33,database!$AD$2:$AD$2028,0),0),""))))),"")</f>
        <v/>
      </c>
      <c r="M33" s="167" t="str">
        <f ca="1">IFERROR(IF($D$11="All Position",OFFSET(database!M$1,MATCH($B33,database!$V$2:$V$2028,0),0),
IF($D$11="Salesman",OFFSET(database!M$1,MATCH($B33,database!$X$2:$X$2028,0),0),
IF($D$11="Salesgirl",OFFSET(database!M$1,MATCH($B33,database!$Z$2:$Z$2028,0),0),
IF($D$11="Mekanik",OFFSET(database!M$1,MATCH($B33,database!$AB$2:$AB$2028,0),0),
IF($D$11="Admin",OFFSET(database!M$1,MATCH($B33,database!$AD$2:$AD$2028,0),0),""))))),"")</f>
        <v/>
      </c>
      <c r="N33" s="167" t="str">
        <f ca="1">IFERROR(IF($D$11="All Position",OFFSET(database!O$1,MATCH($B33,database!$V$2:$V$2028,0),0),
IF($D$11="Salesman",OFFSET(database!O$1,MATCH($B33,database!$X$2:$X$2028,0),0),
IF($D$11="Salesgirl",OFFSET(database!O$1,MATCH($B33,database!$Z$2:$Z$2028,0),0),
IF($D$11="Mekanik",OFFSET(database!O$1,MATCH($B33,database!$AB$2:$AB$2028,0),0),
IF($D$11="Admin",OFFSET(database!O$1,MATCH($B33,database!$AD$2:$AD$2028,0),0),""))))),"")</f>
        <v/>
      </c>
      <c r="O33" s="168" t="str">
        <f t="shared" ca="1" si="0"/>
        <v/>
      </c>
      <c r="P33" s="168" t="str">
        <f t="shared" ca="1" si="1"/>
        <v/>
      </c>
      <c r="Q33" s="168" t="str">
        <f t="shared" ca="1" si="1"/>
        <v/>
      </c>
      <c r="R33" s="168" t="str">
        <f t="shared" ca="1" si="1"/>
        <v/>
      </c>
      <c r="S33" s="3"/>
      <c r="T33" s="3"/>
      <c r="U33" s="3"/>
      <c r="V33" s="3"/>
    </row>
    <row r="34" spans="1:22" x14ac:dyDescent="0.35">
      <c r="A34" s="3"/>
      <c r="B34" s="27">
        <f t="shared" si="2"/>
        <v>20</v>
      </c>
      <c r="C34" s="25" t="str">
        <f ca="1">IFERROR(IF($D$11="All Position",OFFSET(database!J$1,MATCH($B34,database!$V$2:$V$2028,0),0),
IF($D$11="Salesman",OFFSET(database!J$1,MATCH($B34,database!$X$2:$X$2028,0),0),
IF($D$11="Salesgirl",OFFSET(database!J$1,MATCH($B34,database!$Z$2:$Z$2028,0),0),
IF($D$11="Mekanik",OFFSET(database!J$1,MATCH($B34,database!$AB$2:$AB$2028,0),0),
IF($D$11="Admin",OFFSET(database!J$1,MATCH($B34,database!$AD$2:$AD$2028,0),0),""))))),"")</f>
        <v/>
      </c>
      <c r="D34" s="166" t="str">
        <f ca="1">IFERROR(IF($D$11="All Position",OFFSET(database!D$1,MATCH($B34,database!$V$2:$V$2028,0),0),
IF($D$11="Salesman",OFFSET(database!D$1,MATCH($B34,database!$X$2:$X$2028,0),0),
IF($D$11="Salesgirl",OFFSET(database!D$1,MATCH($B34,database!$Z$2:$Z$2028,0),0),
IF($D$11="Mekanik",OFFSET(database!D$1,MATCH($B34,database!$AB$2:$AB$2028,0),0),
IF($D$11="Admin",OFFSET(database!D$1,MATCH($B34,database!$AD$2:$AD$2028,0),0),""))))),"")</f>
        <v/>
      </c>
      <c r="E34" s="166"/>
      <c r="F34" s="166"/>
      <c r="G34" s="26" t="str">
        <f ca="1">IFERROR(IF($D$11="All Position",OFFSET(database!H$1,MATCH($B34,database!$V$2:$V$2028,0),0),
IF($D$11="Salesman",OFFSET(database!H$1,MATCH($B34,database!$X$2:$X$2028,0),0),
IF($D$11="Salesgirl",OFFSET(database!H$1,MATCH($B34,database!$Z$2:$Z$2028,0),0),
IF($D$11="Mekanik",OFFSET(database!H$1,MATCH($B34,database!$AB$2:$AB$2028,0),0),
IF($D$11="Admin",OFFSET(database!H$1,MATCH($B34,database!$AD$2:$AD$2028,0),0),""))))),"")</f>
        <v/>
      </c>
      <c r="H34" s="26" t="str">
        <f ca="1">IFERROR(IF($D$11="All Position",OFFSET(database!I$1,MATCH($B34,database!$V$2:$V$2028,0),0),
IF($D$11="Salesman",OFFSET(database!I$1,MATCH($B34,database!$X$2:$X$2028,0),0),
IF($D$11="Salesgirl",OFFSET(database!I$1,MATCH($B34,database!$Z$2:$Z$2028,0),0),
IF($D$11="Mekanik",OFFSET(database!I$1,MATCH($B34,database!$AB$2:$AB$2028,0),0),
IF($D$11="Admin",OFFSET(database!I$1,MATCH($B34,database!$AD$2:$AD$2028,0),0),""))))),"")</f>
        <v/>
      </c>
      <c r="I34" s="167" t="str">
        <f ca="1">IFERROR(IF($D$11="All Position",OFFSET(database!L$1,MATCH($B34,database!$V$2:$V$2028,0),0),
IF($D$11="Salesman",OFFSET(database!L$1,MATCH($B34,database!$X$2:$X$2028,0),0),
IF($D$11="Salesgirl",OFFSET(database!L$1,MATCH($B34,database!$Z$2:$Z$2028,0),0),
IF($D$11="Mekanik",OFFSET(database!L$1,MATCH($B34,database!$AB$2:$AB$2028,0),0),
IF($D$11="Admin",OFFSET(database!L$1,MATCH($B34,database!$AD$2:$AD$2028,0),0),""))))),"")</f>
        <v/>
      </c>
      <c r="J34" s="167" t="str">
        <f ca="1">IFERROR(IF($D$11="All Position",OFFSET(database!K$1,MATCH($B34,database!$V$2:$V$2028,0),0),
IF($D$11="Salesman",OFFSET(database!K$1,MATCH($B34,database!$X$2:$X$2028,0),0),
IF($D$11="Salesgirl",OFFSET(database!K$1,MATCH($B34,database!$Z$2:$Z$2028,0),0),
IF($D$11="Mekanik",OFFSET(database!K$1,MATCH($B34,database!$AB$2:$AB$2028,0),0),
IF($D$11="Admin",OFFSET(database!K$1,MATCH($B34,database!$AD$2:$AD$2028,0),0),""))))),"")</f>
        <v/>
      </c>
      <c r="K34" s="167" t="str">
        <f ca="1">IFERROR(IF($D$11="All Position",OFFSET(database!L$1,MATCH($B34,database!$V$2:$V$2028,0),0),
IF($D$11="Salesman",OFFSET(database!L$1,MATCH($B34,database!$X$2:$X$2028,0),0),
IF($D$11="Salesgirl",OFFSET(database!L$1,MATCH($B34,database!$Z$2:$Z$2028,0),0),
IF($D$11="Mekanik",OFFSET(database!L$1,MATCH($B34,database!$AB$2:$AB$2028,0),0),
IF($D$11="Admin",OFFSET(database!L$1,MATCH($B34,database!$AD$2:$AD$2028,0),0),""))))),"")</f>
        <v/>
      </c>
      <c r="L34" s="167" t="str">
        <f ca="1">IFERROR(IF($D$11="All Position",OFFSET(database!M$1,MATCH($B34,database!$V$2:$V$2028,0),0),
IF($D$11="Salesman",OFFSET(database!M$1,MATCH($B34,database!$X$2:$X$2028,0),0),
IF($D$11="Salesgirl",OFFSET(database!M$1,MATCH($B34,database!$Z$2:$Z$2028,0),0),
IF($D$11="Mekanik",OFFSET(database!M$1,MATCH($B34,database!$AB$2:$AB$2028,0),0),
IF($D$11="Admin",OFFSET(database!M$1,MATCH($B34,database!$AD$2:$AD$2028,0),0),""))))),"")</f>
        <v/>
      </c>
      <c r="M34" s="167" t="str">
        <f ca="1">IFERROR(IF($D$11="All Position",OFFSET(database!M$1,MATCH($B34,database!$V$2:$V$2028,0),0),
IF($D$11="Salesman",OFFSET(database!M$1,MATCH($B34,database!$X$2:$X$2028,0),0),
IF($D$11="Salesgirl",OFFSET(database!M$1,MATCH($B34,database!$Z$2:$Z$2028,0),0),
IF($D$11="Mekanik",OFFSET(database!M$1,MATCH($B34,database!$AB$2:$AB$2028,0),0),
IF($D$11="Admin",OFFSET(database!M$1,MATCH($B34,database!$AD$2:$AD$2028,0),0),""))))),"")</f>
        <v/>
      </c>
      <c r="N34" s="167" t="str">
        <f ca="1">IFERROR(IF($D$11="All Position",OFFSET(database!O$1,MATCH($B34,database!$V$2:$V$2028,0),0),
IF($D$11="Salesman",OFFSET(database!O$1,MATCH($B34,database!$X$2:$X$2028,0),0),
IF($D$11="Salesgirl",OFFSET(database!O$1,MATCH($B34,database!$Z$2:$Z$2028,0),0),
IF($D$11="Mekanik",OFFSET(database!O$1,MATCH($B34,database!$AB$2:$AB$2028,0),0),
IF($D$11="Admin",OFFSET(database!O$1,MATCH($B34,database!$AD$2:$AD$2028,0),0),""))))),"")</f>
        <v/>
      </c>
      <c r="O34" s="168" t="str">
        <f t="shared" ca="1" si="0"/>
        <v/>
      </c>
      <c r="P34" s="168" t="str">
        <f t="shared" ca="1" si="1"/>
        <v/>
      </c>
      <c r="Q34" s="168" t="str">
        <f t="shared" ca="1" si="1"/>
        <v/>
      </c>
      <c r="R34" s="168" t="str">
        <f t="shared" ca="1" si="1"/>
        <v/>
      </c>
      <c r="S34" s="3"/>
      <c r="T34" s="3"/>
      <c r="U34" s="3"/>
      <c r="V34" s="3"/>
    </row>
    <row r="35" spans="1:22" x14ac:dyDescent="0.3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6"/>
      <c r="N35" s="3"/>
      <c r="O35" s="3"/>
      <c r="P35" s="3"/>
      <c r="Q35" s="3"/>
      <c r="R35" s="3"/>
      <c r="S35" s="3"/>
      <c r="T35" s="3"/>
      <c r="U35" s="3"/>
      <c r="V35" s="3"/>
    </row>
  </sheetData>
  <sheetProtection algorithmName="SHA-512" hashValue="Bt4xZkv5VHorS66kilEHnVfcIeJPCVr7WxfVzALi1ykduj4bKiNGE5oPOmmYuqbPOIAFG56SWmq3YbWWKjZHnQ==" saltValue="rLQlhoQCkguVfVyrVLUtOw==" spinCount="100000" sheet="1" objects="1" scenarios="1"/>
  <mergeCells count="86">
    <mergeCell ref="D11:E11"/>
    <mergeCell ref="D12:E12"/>
    <mergeCell ref="D14:E14"/>
    <mergeCell ref="I14:L14"/>
    <mergeCell ref="M14:N14"/>
    <mergeCell ref="O14:R14"/>
    <mergeCell ref="D15:F15"/>
    <mergeCell ref="I15:L15"/>
    <mergeCell ref="M15:N15"/>
    <mergeCell ref="O15:R15"/>
    <mergeCell ref="D16:F16"/>
    <mergeCell ref="I16:L16"/>
    <mergeCell ref="M16:N16"/>
    <mergeCell ref="O16:R16"/>
    <mergeCell ref="D17:F17"/>
    <mergeCell ref="I17:L17"/>
    <mergeCell ref="M17:N17"/>
    <mergeCell ref="O17:R17"/>
    <mergeCell ref="D18:F18"/>
    <mergeCell ref="I18:L18"/>
    <mergeCell ref="M18:N18"/>
    <mergeCell ref="O18:R18"/>
    <mergeCell ref="D19:F19"/>
    <mergeCell ref="I19:L19"/>
    <mergeCell ref="M19:N19"/>
    <mergeCell ref="O19:R19"/>
    <mergeCell ref="D20:F20"/>
    <mergeCell ref="I20:L20"/>
    <mergeCell ref="M20:N20"/>
    <mergeCell ref="O20:R20"/>
    <mergeCell ref="D21:F21"/>
    <mergeCell ref="I21:L21"/>
    <mergeCell ref="M21:N21"/>
    <mergeCell ref="O21:R21"/>
    <mergeCell ref="D22:F22"/>
    <mergeCell ref="I22:L22"/>
    <mergeCell ref="M22:N22"/>
    <mergeCell ref="O22:R22"/>
    <mergeCell ref="D23:F23"/>
    <mergeCell ref="I23:L23"/>
    <mergeCell ref="M23:N23"/>
    <mergeCell ref="O23:R23"/>
    <mergeCell ref="D24:F24"/>
    <mergeCell ref="I24:L24"/>
    <mergeCell ref="M24:N24"/>
    <mergeCell ref="O24:R24"/>
    <mergeCell ref="D25:F25"/>
    <mergeCell ref="I25:L25"/>
    <mergeCell ref="M25:N25"/>
    <mergeCell ref="O25:R25"/>
    <mergeCell ref="D26:F26"/>
    <mergeCell ref="I26:L26"/>
    <mergeCell ref="M26:N26"/>
    <mergeCell ref="O26:R26"/>
    <mergeCell ref="D27:F27"/>
    <mergeCell ref="I27:L27"/>
    <mergeCell ref="M27:N27"/>
    <mergeCell ref="O27:R27"/>
    <mergeCell ref="D28:F28"/>
    <mergeCell ref="I28:L28"/>
    <mergeCell ref="M28:N28"/>
    <mergeCell ref="O28:R28"/>
    <mergeCell ref="D29:F29"/>
    <mergeCell ref="I29:L29"/>
    <mergeCell ref="M29:N29"/>
    <mergeCell ref="O29:R29"/>
    <mergeCell ref="D30:F30"/>
    <mergeCell ref="I30:L30"/>
    <mergeCell ref="M30:N30"/>
    <mergeCell ref="O30:R30"/>
    <mergeCell ref="D31:F31"/>
    <mergeCell ref="I31:L31"/>
    <mergeCell ref="M31:N31"/>
    <mergeCell ref="O31:R31"/>
    <mergeCell ref="D34:F34"/>
    <mergeCell ref="I34:L34"/>
    <mergeCell ref="M34:N34"/>
    <mergeCell ref="O34:R34"/>
    <mergeCell ref="D32:F32"/>
    <mergeCell ref="I32:L32"/>
    <mergeCell ref="M32:N32"/>
    <mergeCell ref="O32:R32"/>
    <mergeCell ref="D33:F33"/>
    <mergeCell ref="I33:L33"/>
    <mergeCell ref="M33:N33"/>
    <mergeCell ref="O33:R33"/>
  </mergeCells>
  <dataValidations count="2">
    <dataValidation type="list" allowBlank="1" showInputMessage="1" showErrorMessage="1" sqref="D11" xr:uid="{00000000-0002-0000-0000-000000000000}">
      <formula1>$V$4:$V$8</formula1>
      <formula2>0</formula2>
    </dataValidation>
    <dataValidation type="list" allowBlank="1" showInputMessage="1" showErrorMessage="1" sqref="D12" xr:uid="{00000000-0002-0000-0000-000001000000}">
      <formula1>$T$4:$T$11</formula1>
      <formula2>0</formula2>
    </dataValidation>
  </dataValidations>
  <pageMargins left="0.7" right="0.7" top="0.75" bottom="0.75" header="0.511811023622047" footer="0.511811023622047"/>
  <pageSetup paperSize="9" orientation="portrait" horizontalDpi="300" verticalDpi="30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MJ18"/>
  <sheetViews>
    <sheetView topLeftCell="A7" zoomScale="80" zoomScaleNormal="80" workbookViewId="0">
      <selection activeCell="C10" sqref="C10"/>
    </sheetView>
  </sheetViews>
  <sheetFormatPr defaultColWidth="8.81640625" defaultRowHeight="14.5" zeroHeight="1" x14ac:dyDescent="0.35"/>
  <cols>
    <col min="1" max="1" width="2.7265625" customWidth="1"/>
    <col min="2" max="2" width="28.26953125" customWidth="1"/>
    <col min="3" max="3" width="30.81640625" style="2" customWidth="1"/>
    <col min="4" max="4" width="12.1796875" customWidth="1"/>
    <col min="5" max="1024" width="8.81640625" hidden="1"/>
  </cols>
  <sheetData>
    <row r="1" spans="1:11" ht="33" customHeight="1" x14ac:dyDescent="0.35">
      <c r="A1" s="30" t="s">
        <v>29</v>
      </c>
      <c r="B1" s="3"/>
      <c r="D1" s="3"/>
    </row>
    <row r="2" spans="1:11" ht="30" customHeight="1" x14ac:dyDescent="0.35">
      <c r="A2" s="3"/>
      <c r="B2" s="31" t="s">
        <v>30</v>
      </c>
      <c r="C2" s="32" t="s">
        <v>31</v>
      </c>
      <c r="D2" s="3"/>
      <c r="G2" s="28" t="s">
        <v>32</v>
      </c>
      <c r="H2" s="28" t="s">
        <v>33</v>
      </c>
      <c r="I2" s="28" t="s">
        <v>34</v>
      </c>
      <c r="J2" s="28" t="s">
        <v>35</v>
      </c>
      <c r="K2" s="28" t="s">
        <v>13</v>
      </c>
    </row>
    <row r="3" spans="1:11" ht="19.5" customHeight="1" x14ac:dyDescent="0.35">
      <c r="A3" s="3"/>
      <c r="B3" s="33" t="s">
        <v>0</v>
      </c>
      <c r="C3" s="34" t="s">
        <v>32</v>
      </c>
      <c r="D3" s="3"/>
      <c r="G3" s="28" t="s">
        <v>36</v>
      </c>
      <c r="H3" s="28" t="s">
        <v>37</v>
      </c>
      <c r="I3" s="28"/>
      <c r="J3" s="28" t="s">
        <v>38</v>
      </c>
      <c r="K3" s="28" t="s">
        <v>14</v>
      </c>
    </row>
    <row r="4" spans="1:11" ht="19.5" customHeight="1" x14ac:dyDescent="0.35">
      <c r="A4" s="3"/>
      <c r="B4" s="33" t="s">
        <v>1</v>
      </c>
      <c r="C4" s="34" t="s">
        <v>39</v>
      </c>
      <c r="D4" s="3"/>
      <c r="G4" s="28" t="s">
        <v>40</v>
      </c>
      <c r="H4" s="28" t="s">
        <v>41</v>
      </c>
      <c r="I4" s="28"/>
      <c r="J4" s="28"/>
      <c r="K4" s="28" t="s">
        <v>15</v>
      </c>
    </row>
    <row r="5" spans="1:11" ht="19.5" customHeight="1" x14ac:dyDescent="0.35">
      <c r="A5" s="3"/>
      <c r="B5" s="33" t="s">
        <v>42</v>
      </c>
      <c r="C5" s="34" t="s">
        <v>43</v>
      </c>
      <c r="D5" s="3"/>
      <c r="G5" s="28" t="s">
        <v>44</v>
      </c>
      <c r="H5" s="28" t="s">
        <v>45</v>
      </c>
      <c r="I5" s="28"/>
      <c r="J5" s="28"/>
      <c r="K5" s="28" t="s">
        <v>16</v>
      </c>
    </row>
    <row r="6" spans="1:11" ht="19.5" customHeight="1" x14ac:dyDescent="0.35">
      <c r="A6" s="3"/>
      <c r="B6" s="33" t="s">
        <v>23</v>
      </c>
      <c r="C6" s="34" t="s">
        <v>46</v>
      </c>
      <c r="D6" s="3"/>
      <c r="G6" s="28" t="s">
        <v>47</v>
      </c>
      <c r="H6" s="28" t="s">
        <v>48</v>
      </c>
      <c r="I6" s="28"/>
      <c r="J6" s="28"/>
      <c r="K6" s="28"/>
    </row>
    <row r="7" spans="1:11" ht="19.5" customHeight="1" x14ac:dyDescent="0.35">
      <c r="A7" s="3"/>
      <c r="B7" s="33" t="s">
        <v>49</v>
      </c>
      <c r="C7" s="35" t="s">
        <v>39</v>
      </c>
      <c r="D7" s="3"/>
      <c r="G7" s="28" t="s">
        <v>50</v>
      </c>
      <c r="H7" s="28" t="s">
        <v>51</v>
      </c>
      <c r="I7" s="28"/>
      <c r="J7" s="28"/>
      <c r="K7" s="28"/>
    </row>
    <row r="8" spans="1:11" ht="19.5" customHeight="1" x14ac:dyDescent="0.35">
      <c r="A8" s="3"/>
      <c r="B8" s="33" t="s">
        <v>52</v>
      </c>
      <c r="C8" s="35">
        <v>36995</v>
      </c>
      <c r="D8" s="3"/>
      <c r="G8" s="28" t="s">
        <v>53</v>
      </c>
      <c r="H8" s="28" t="s">
        <v>54</v>
      </c>
      <c r="I8" s="28"/>
      <c r="J8" s="28"/>
      <c r="K8" s="28"/>
    </row>
    <row r="9" spans="1:11" ht="19.5" customHeight="1" x14ac:dyDescent="0.35">
      <c r="A9" s="3"/>
      <c r="B9" s="33" t="s">
        <v>55</v>
      </c>
      <c r="C9" s="35" t="s">
        <v>56</v>
      </c>
      <c r="D9" s="3"/>
      <c r="G9" s="28" t="s">
        <v>57</v>
      </c>
      <c r="H9" s="28" t="s">
        <v>58</v>
      </c>
      <c r="I9" s="28"/>
      <c r="J9" s="28"/>
      <c r="K9" s="28"/>
    </row>
    <row r="10" spans="1:11" ht="19.5" customHeight="1" x14ac:dyDescent="0.35">
      <c r="A10" s="3"/>
      <c r="B10" s="33" t="s">
        <v>59</v>
      </c>
      <c r="C10" s="35">
        <v>45383</v>
      </c>
      <c r="D10" s="3"/>
      <c r="G10" s="28" t="s">
        <v>60</v>
      </c>
      <c r="H10" s="28" t="s">
        <v>61</v>
      </c>
      <c r="I10" s="28"/>
      <c r="J10" s="28"/>
      <c r="K10" s="28"/>
    </row>
    <row r="11" spans="1:11" ht="19.5" customHeight="1" x14ac:dyDescent="0.35">
      <c r="A11" s="3"/>
      <c r="B11" s="33" t="s">
        <v>62</v>
      </c>
      <c r="C11" s="35">
        <v>45565</v>
      </c>
      <c r="D11" s="3"/>
      <c r="G11" s="28" t="s">
        <v>63</v>
      </c>
      <c r="H11" s="28" t="s">
        <v>64</v>
      </c>
      <c r="I11" s="28"/>
      <c r="J11" s="28"/>
      <c r="K11" s="28"/>
    </row>
    <row r="12" spans="1:11" ht="19.5" customHeight="1" x14ac:dyDescent="0.35">
      <c r="A12" s="3"/>
      <c r="B12" s="33" t="s">
        <v>20</v>
      </c>
      <c r="C12" s="34" t="s">
        <v>65</v>
      </c>
      <c r="D12" s="3"/>
    </row>
    <row r="13" spans="1:11" ht="19.5" customHeight="1" x14ac:dyDescent="0.35">
      <c r="A13" s="3"/>
      <c r="B13" s="33" t="s">
        <v>66</v>
      </c>
      <c r="C13" s="34" t="s">
        <v>67</v>
      </c>
      <c r="D13" s="3"/>
    </row>
    <row r="14" spans="1:11" ht="19.5" customHeight="1" x14ac:dyDescent="0.35">
      <c r="A14" s="3"/>
      <c r="B14" s="33" t="s">
        <v>68</v>
      </c>
      <c r="C14" s="34" t="s">
        <v>31</v>
      </c>
      <c r="D14" s="3"/>
    </row>
    <row r="15" spans="1:11" ht="19.5" customHeight="1" x14ac:dyDescent="0.35">
      <c r="A15" s="3"/>
      <c r="B15" s="33" t="s">
        <v>69</v>
      </c>
      <c r="C15" s="36" t="s">
        <v>70</v>
      </c>
      <c r="D15" s="3"/>
    </row>
    <row r="16" spans="1:11" x14ac:dyDescent="0.35">
      <c r="A16" s="3"/>
      <c r="B16" s="3"/>
      <c r="C16" s="6"/>
      <c r="D16" s="3"/>
    </row>
    <row r="17" spans="1:4" x14ac:dyDescent="0.35">
      <c r="A17" s="3"/>
      <c r="B17" s="29" t="s">
        <v>71</v>
      </c>
      <c r="C17" s="6"/>
      <c r="D17" s="3"/>
    </row>
    <row r="18" spans="1:4" x14ac:dyDescent="0.35">
      <c r="A18" s="3"/>
      <c r="B18" s="3"/>
      <c r="C18" s="6"/>
      <c r="D18" s="3"/>
    </row>
  </sheetData>
  <sheetProtection algorithmName="SHA-512" hashValue="q3nivwcUMcnlmhzFiFFOh06v9Jd8RMqG5phUuRQ6/8n9k0SW2RsDHZCqvWbLUZ+8WA1NGegYwu20qw4eOpQjmQ==" saltValue="A8iOK1Ezk90y/QqncdAlrQ==" spinCount="100000" sheet="1" objects="1" scenarios="1"/>
  <dataValidations count="8">
    <dataValidation type="textLength" operator="equal" allowBlank="1" showInputMessage="1" showErrorMessage="1" errorTitle="ID Number" error="Minimum 27 Character Numbers!" sqref="C14" xr:uid="{00000000-0002-0000-0200-000000000000}">
      <formula1>27</formula1>
      <formula2>0</formula2>
    </dataValidation>
    <dataValidation type="textLength" operator="equal" allowBlank="1" showInputMessage="1" showErrorMessage="1" errorTitle="ID Number" error="16 Character Numbers!" sqref="C15" xr:uid="{00000000-0002-0000-0200-000001000000}">
      <formula1>16</formula1>
      <formula2>0</formula2>
    </dataValidation>
    <dataValidation type="date" operator="greaterThan" allowBlank="1" showInputMessage="1" showErrorMessage="1" errorTitle="Only Date Data" error="Fill with Date!" sqref="C8 C10:C11" xr:uid="{00000000-0002-0000-0200-000002000000}">
      <formula1>18264</formula1>
      <formula2>0</formula2>
    </dataValidation>
    <dataValidation type="list" allowBlank="1" showInputMessage="1" showErrorMessage="1" sqref="C12" xr:uid="{00000000-0002-0000-0200-000003000000}">
      <formula1>$K$2:$K$5</formula1>
      <formula2>0</formula2>
    </dataValidation>
    <dataValidation type="list" allowBlank="1" showInputMessage="1" showErrorMessage="1" sqref="C13" xr:uid="{00000000-0002-0000-0200-000004000000}">
      <formula1>$J$2:$J$3</formula1>
      <formula2>0</formula2>
    </dataValidation>
    <dataValidation type="list" allowBlank="1" showInputMessage="1" showErrorMessage="1" sqref="C5" xr:uid="{00000000-0002-0000-0200-000005000000}">
      <formula1>$I$2</formula1>
      <formula2>0</formula2>
    </dataValidation>
    <dataValidation type="list" allowBlank="1" showInputMessage="1" showErrorMessage="1" sqref="C4" xr:uid="{00000000-0002-0000-0200-000006000000}">
      <formula1>$H$2:$H$11</formula1>
      <formula2>0</formula2>
    </dataValidation>
    <dataValidation type="list" allowBlank="1" showInputMessage="1" showErrorMessage="1" sqref="C3" xr:uid="{00000000-0002-0000-0200-000007000000}">
      <formula1>$G$2:$G$11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shape_0">
              <controlPr defaultSize="0" autoPict="0" macro="ThisWorkbook.SearchData">
                <anchor moveWithCells="1" sizeWithCells="1">
                  <from>
                    <xdr:col>3</xdr:col>
                    <xdr:colOff>101600</xdr:colOff>
                    <xdr:row>0</xdr:row>
                    <xdr:rowOff>412750</xdr:rowOff>
                  </from>
                  <to>
                    <xdr:col>4</xdr:col>
                    <xdr:colOff>228600</xdr:colOff>
                    <xdr:row>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" r:id="rId4" name="shape_0">
              <controlPr defaultSize="0" autoPict="0" macro="ThisWorkbook.UpdateData">
                <anchor moveWithCells="1" sizeWithCells="1">
                  <from>
                    <xdr:col>2</xdr:col>
                    <xdr:colOff>762000</xdr:colOff>
                    <xdr:row>15</xdr:row>
                    <xdr:rowOff>101600</xdr:rowOff>
                  </from>
                  <to>
                    <xdr:col>3</xdr:col>
                    <xdr:colOff>692150</xdr:colOff>
                    <xdr:row>17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1" r:id="rId5" name="Button 1">
              <controlPr defaultSize="0" print="0" autoFill="0" autoPict="0" macro="ThisWorkbook.SearchData" altText="Search">
                <anchor moveWithCells="1">
                  <from>
                    <xdr:col>3</xdr:col>
                    <xdr:colOff>101600</xdr:colOff>
                    <xdr:row>0</xdr:row>
                    <xdr:rowOff>412750</xdr:rowOff>
                  </from>
                  <to>
                    <xdr:col>3</xdr:col>
                    <xdr:colOff>584200</xdr:colOff>
                    <xdr:row>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6" name="Button 2">
              <controlPr defaultSize="0" print="0" autoFill="0" autoPict="0" macro="ThisWorkbook.UpdateData" altText="Update">
                <anchor moveWithCells="1">
                  <from>
                    <xdr:col>2</xdr:col>
                    <xdr:colOff>762000</xdr:colOff>
                    <xdr:row>15</xdr:row>
                    <xdr:rowOff>101600</xdr:rowOff>
                  </from>
                  <to>
                    <xdr:col>2</xdr:col>
                    <xdr:colOff>1365250</xdr:colOff>
                    <xdr:row>17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MJ33"/>
  <sheetViews>
    <sheetView zoomScale="90" zoomScaleNormal="90" workbookViewId="0">
      <pane ySplit="17" topLeftCell="A18" activePane="bottomLeft" state="frozen"/>
      <selection pane="bottomLeft" activeCell="G8" sqref="G8"/>
    </sheetView>
  </sheetViews>
  <sheetFormatPr defaultColWidth="8.81640625" defaultRowHeight="14.5" zeroHeight="1" x14ac:dyDescent="0.35"/>
  <cols>
    <col min="1" max="1" width="2.26953125" customWidth="1"/>
    <col min="2" max="2" width="5.1796875" customWidth="1"/>
    <col min="3" max="3" width="13.26953125" customWidth="1"/>
    <col min="4" max="4" width="2.453125" customWidth="1"/>
    <col min="5" max="5" width="13.26953125" customWidth="1"/>
    <col min="6" max="6" width="29.1796875" customWidth="1"/>
    <col min="7" max="7" width="25.1796875" customWidth="1"/>
    <col min="8" max="8" width="5.81640625" customWidth="1"/>
    <col min="9" max="9" width="11.54296875" hidden="1" customWidth="1"/>
    <col min="10" max="1024" width="8.81640625" hidden="1"/>
  </cols>
  <sheetData>
    <row r="1" spans="1:13" s="39" customFormat="1" ht="24.75" customHeight="1" x14ac:dyDescent="0.35">
      <c r="A1" s="37"/>
      <c r="B1" s="38" t="s">
        <v>72</v>
      </c>
      <c r="C1" s="38"/>
      <c r="D1" s="38"/>
      <c r="E1" s="38"/>
      <c r="F1" s="37"/>
      <c r="G1" s="37"/>
      <c r="H1" s="37"/>
    </row>
    <row r="2" spans="1:13" x14ac:dyDescent="0.35">
      <c r="A2" s="3"/>
      <c r="B2" s="33" t="s">
        <v>73</v>
      </c>
      <c r="C2" s="33"/>
      <c r="D2" s="33"/>
      <c r="E2" s="33"/>
      <c r="F2" s="40" t="s">
        <v>70</v>
      </c>
      <c r="G2" s="3"/>
      <c r="H2" s="3"/>
    </row>
    <row r="3" spans="1:13" ht="4.5" customHeight="1" x14ac:dyDescent="0.35">
      <c r="A3" s="3"/>
      <c r="B3" s="3"/>
      <c r="C3" s="3"/>
      <c r="D3" s="3"/>
      <c r="E3" s="3"/>
      <c r="F3" s="3"/>
      <c r="G3" s="3"/>
      <c r="H3" s="3"/>
    </row>
    <row r="4" spans="1:13" x14ac:dyDescent="0.35">
      <c r="A4" s="3"/>
      <c r="B4" s="5" t="str">
        <f ca="1">IF(E6="","Data Not Found, or wrong ID Number !","Identification Found!")</f>
        <v>Data Not Found, or wrong ID Number !</v>
      </c>
      <c r="C4" s="4"/>
      <c r="D4" s="4"/>
      <c r="E4" s="4"/>
      <c r="F4" s="3"/>
      <c r="G4" s="3"/>
      <c r="H4" s="3"/>
    </row>
    <row r="5" spans="1:13" ht="4.5" customHeight="1" x14ac:dyDescent="0.35">
      <c r="A5" s="3"/>
      <c r="B5" s="3"/>
      <c r="C5" s="3"/>
      <c r="D5" s="3"/>
      <c r="E5" s="3"/>
      <c r="F5" s="3"/>
      <c r="G5" s="3"/>
      <c r="H5" s="3"/>
    </row>
    <row r="6" spans="1:13" x14ac:dyDescent="0.35">
      <c r="A6" s="3"/>
      <c r="B6" s="4" t="s">
        <v>23</v>
      </c>
      <c r="C6" s="3"/>
      <c r="D6" s="3" t="s">
        <v>74</v>
      </c>
      <c r="E6" s="41" t="str">
        <f ca="1">IFERROR(OFFSET(database!D$1,MATCH($F$2,database!$M$2:$M$2028,0),0),"")</f>
        <v/>
      </c>
      <c r="F6" s="3"/>
      <c r="G6" s="3"/>
      <c r="H6" s="3"/>
    </row>
    <row r="7" spans="1:13" x14ac:dyDescent="0.35">
      <c r="A7" s="3"/>
      <c r="B7" s="4" t="s">
        <v>49</v>
      </c>
      <c r="C7" s="3"/>
      <c r="D7" s="3" t="s">
        <v>74</v>
      </c>
      <c r="E7" s="41" t="str">
        <f ca="1">IFERROR(OFFSET(database!E$1,MATCH($F$2,database!$M$2:$M$2028,0),0),"")</f>
        <v/>
      </c>
      <c r="F7" s="3"/>
      <c r="G7" s="3"/>
      <c r="H7" s="3"/>
      <c r="J7" s="3"/>
      <c r="K7" s="3"/>
      <c r="L7" s="3"/>
      <c r="M7" s="3"/>
    </row>
    <row r="8" spans="1:13" x14ac:dyDescent="0.35">
      <c r="A8" s="3"/>
      <c r="B8" s="4" t="s">
        <v>52</v>
      </c>
      <c r="C8" s="3"/>
      <c r="D8" s="3" t="s">
        <v>74</v>
      </c>
      <c r="E8" s="42" t="str">
        <f ca="1">IFERROR(OFFSET(database!F$1,MATCH($F$2,database!$M$2:$M$2028,0),0),"")</f>
        <v/>
      </c>
      <c r="F8" s="3"/>
      <c r="G8" s="3"/>
      <c r="H8" s="3"/>
      <c r="J8" s="3"/>
      <c r="K8" s="3"/>
      <c r="L8" s="3"/>
      <c r="M8" s="3"/>
    </row>
    <row r="9" spans="1:13" x14ac:dyDescent="0.35">
      <c r="A9" s="3"/>
      <c r="B9" s="4" t="s">
        <v>66</v>
      </c>
      <c r="C9" s="3"/>
      <c r="D9" s="3" t="s">
        <v>74</v>
      </c>
      <c r="E9" s="41" t="str">
        <f ca="1">IFERROR(OFFSET(database!K$1,MATCH($F$2,database!$M$2:$M$2028,0),0),"")</f>
        <v/>
      </c>
      <c r="F9" s="3"/>
      <c r="G9" s="3"/>
      <c r="H9" s="3"/>
    </row>
    <row r="10" spans="1:13" x14ac:dyDescent="0.35">
      <c r="A10" s="3"/>
      <c r="B10" s="4" t="s">
        <v>55</v>
      </c>
      <c r="C10" s="3"/>
      <c r="D10" s="3" t="s">
        <v>74</v>
      </c>
      <c r="E10" s="42" t="str">
        <f ca="1">IFERROR(OFFSET(database!G$1,MATCH($F$2,database!$M$2:$M$2028,0),0),"")</f>
        <v/>
      </c>
      <c r="F10" s="3"/>
      <c r="G10" s="3"/>
      <c r="H10" s="3"/>
    </row>
    <row r="11" spans="1:13" ht="4.5" customHeight="1" x14ac:dyDescent="0.35">
      <c r="A11" s="3"/>
      <c r="B11" s="4"/>
      <c r="C11" s="3"/>
      <c r="D11" s="3"/>
      <c r="E11" s="41"/>
      <c r="F11" s="3"/>
      <c r="G11" s="3"/>
      <c r="H11" s="3"/>
    </row>
    <row r="12" spans="1:13" x14ac:dyDescent="0.35">
      <c r="A12" s="3"/>
      <c r="B12" s="4" t="s">
        <v>26</v>
      </c>
      <c r="C12" s="3"/>
      <c r="D12" s="3" t="s">
        <v>74</v>
      </c>
      <c r="E12" s="43" t="str">
        <f ca="1">IFERROR(VLOOKUP(MAX(E21:E31),$E$21:$F$31,2,FALSE()),"")</f>
        <v/>
      </c>
      <c r="F12" s="3"/>
      <c r="G12" s="3"/>
      <c r="H12" s="3"/>
    </row>
    <row r="13" spans="1:13" x14ac:dyDescent="0.35">
      <c r="A13" s="3"/>
      <c r="B13" s="4" t="s">
        <v>75</v>
      </c>
      <c r="C13" s="3"/>
      <c r="D13" s="3" t="s">
        <v>74</v>
      </c>
      <c r="E13" s="5" t="str">
        <f ca="1">IF(E6="","",IF(TODAY()-MAX(E21:E31)&gt;0,"Contract Ended "&amp;TODAY()-MAX(E21:E31)&amp;" days ago!","Warning! Contract End in "&amp;(TODAY()-MAX(E21:E31))*-1&amp;" days again!"))</f>
        <v/>
      </c>
      <c r="F13" s="3"/>
      <c r="G13" s="3"/>
      <c r="H13" s="3"/>
    </row>
    <row r="14" spans="1:13" x14ac:dyDescent="0.35">
      <c r="A14" s="3"/>
      <c r="B14" s="4" t="s">
        <v>20</v>
      </c>
      <c r="C14" s="3"/>
      <c r="D14" s="3" t="s">
        <v>74</v>
      </c>
      <c r="E14" s="42" t="str">
        <f ca="1">IFERROR(OFFSET(database!J$1,MATCH($F$2,database!$M$2:$M$2028,0),0),"")</f>
        <v/>
      </c>
      <c r="F14" s="3"/>
      <c r="G14" s="3"/>
      <c r="H14" s="3"/>
    </row>
    <row r="15" spans="1:13" ht="4.5" customHeight="1" x14ac:dyDescent="0.35">
      <c r="A15" s="3"/>
      <c r="B15" s="3"/>
      <c r="C15" s="3"/>
      <c r="D15" s="3"/>
      <c r="E15" s="3"/>
      <c r="F15" s="3"/>
      <c r="G15" s="3"/>
      <c r="H15" s="3"/>
    </row>
    <row r="16" spans="1:13" x14ac:dyDescent="0.35">
      <c r="A16" s="3"/>
      <c r="B16" s="21" t="s">
        <v>76</v>
      </c>
      <c r="C16" s="21"/>
      <c r="D16" s="21"/>
      <c r="E16" s="21"/>
      <c r="F16" s="3"/>
      <c r="G16" s="3"/>
      <c r="H16" s="3"/>
    </row>
    <row r="17" spans="1:8" x14ac:dyDescent="0.35">
      <c r="A17" s="3"/>
      <c r="B17" s="44" t="s">
        <v>77</v>
      </c>
      <c r="C17" s="45" t="s">
        <v>24</v>
      </c>
      <c r="D17" s="45"/>
      <c r="E17" s="45" t="s">
        <v>25</v>
      </c>
      <c r="F17" s="46" t="s">
        <v>68</v>
      </c>
      <c r="G17" s="47" t="s">
        <v>21</v>
      </c>
      <c r="H17" s="3"/>
    </row>
    <row r="18" spans="1:8" x14ac:dyDescent="0.35">
      <c r="A18" s="3"/>
      <c r="B18" s="48">
        <v>1</v>
      </c>
      <c r="C18" s="49" t="str">
        <f ca="1">IFERROR(OFFSET(database!H$1,MATCH(($B18&amp;"-"&amp;$F$2),database!$O$2:$O$2028,0),0),"")</f>
        <v/>
      </c>
      <c r="D18" s="50" t="str">
        <f t="shared" ref="D18:D32" ca="1" si="0">IF(C18="","","to")</f>
        <v/>
      </c>
      <c r="E18" s="49" t="str">
        <f ca="1">IFERROR(OFFSET(database!I$1,MATCH(($B18&amp;"-"&amp;$F$2),database!$O$2:$O$2028,0),0),"")</f>
        <v/>
      </c>
      <c r="F18" s="51" t="str">
        <f ca="1">IFERROR(OFFSET(database!L$1,MATCH(($B18&amp;"-"&amp;$F$2),database!$O$2:$O$2028,0),0),"")</f>
        <v/>
      </c>
      <c r="G18" s="5" t="str">
        <f t="shared" ref="G18:G32" ca="1" si="1">IF(C18="","",IF(C19="",$E$13,"Renewed after "&amp;C19-E18&amp;" days."))</f>
        <v/>
      </c>
      <c r="H18" s="3"/>
    </row>
    <row r="19" spans="1:8" x14ac:dyDescent="0.35">
      <c r="A19" s="3"/>
      <c r="B19" s="48">
        <v>2</v>
      </c>
      <c r="C19" s="49" t="str">
        <f ca="1">IFERROR(OFFSET(database!H$1,MATCH(($B19&amp;"-"&amp;$F$2),database!$O$2:$O$2028,0),0),"")</f>
        <v/>
      </c>
      <c r="D19" s="50" t="str">
        <f t="shared" ca="1" si="0"/>
        <v/>
      </c>
      <c r="E19" s="49" t="str">
        <f ca="1">IFERROR(OFFSET(database!I$1,MATCH(($B19&amp;"-"&amp;$F$2),database!$O$2:$O$2028,0),0),"")</f>
        <v/>
      </c>
      <c r="F19" s="52" t="str">
        <f ca="1">IFERROR(OFFSET(database!L$1,MATCH(($B19&amp;"-"&amp;$F$2),database!$O$2:$O$2028,0),0),"")</f>
        <v/>
      </c>
      <c r="G19" s="5" t="str">
        <f t="shared" ca="1" si="1"/>
        <v/>
      </c>
      <c r="H19" s="3"/>
    </row>
    <row r="20" spans="1:8" x14ac:dyDescent="0.35">
      <c r="A20" s="3"/>
      <c r="B20" s="48">
        <v>3</v>
      </c>
      <c r="C20" s="49" t="str">
        <f ca="1">IFERROR(OFFSET(database!H$1,MATCH(($B20&amp;"-"&amp;$F$2),database!$O$2:$O$2028,0),0),"")</f>
        <v/>
      </c>
      <c r="D20" s="50" t="str">
        <f t="shared" ca="1" si="0"/>
        <v/>
      </c>
      <c r="E20" s="49" t="str">
        <f ca="1">IFERROR(OFFSET(database!I$1,MATCH(($B20&amp;"-"&amp;$F$2),database!$O$2:$O$2028,0),0),"")</f>
        <v/>
      </c>
      <c r="F20" s="52" t="str">
        <f ca="1">IFERROR(OFFSET(database!L$1,MATCH(($B20&amp;"-"&amp;$F$2),database!$O$2:$O$2028,0),0),"")</f>
        <v/>
      </c>
      <c r="G20" s="5" t="str">
        <f t="shared" ca="1" si="1"/>
        <v/>
      </c>
      <c r="H20" s="3"/>
    </row>
    <row r="21" spans="1:8" x14ac:dyDescent="0.35">
      <c r="A21" s="3"/>
      <c r="B21" s="48">
        <v>4</v>
      </c>
      <c r="C21" s="49" t="str">
        <f ca="1">IFERROR(OFFSET(database!H$1,MATCH(($B21&amp;"-"&amp;$F$2),database!$O$2:$O$2028,0),0),"")</f>
        <v/>
      </c>
      <c r="D21" s="50" t="str">
        <f t="shared" ca="1" si="0"/>
        <v/>
      </c>
      <c r="E21" s="49" t="str">
        <f ca="1">IFERROR(OFFSET(database!I$1,MATCH(($B21&amp;"-"&amp;$F$2),database!$O$2:$O$2028,0),0),"")</f>
        <v/>
      </c>
      <c r="F21" s="52" t="str">
        <f ca="1">IFERROR(OFFSET(database!L$1,MATCH(($B21&amp;"-"&amp;$F$2),database!$O$2:$O$2028,0),0),"")</f>
        <v/>
      </c>
      <c r="G21" s="5" t="str">
        <f t="shared" ca="1" si="1"/>
        <v/>
      </c>
      <c r="H21" s="3"/>
    </row>
    <row r="22" spans="1:8" x14ac:dyDescent="0.35">
      <c r="A22" s="3"/>
      <c r="B22" s="48">
        <v>5</v>
      </c>
      <c r="C22" s="49" t="str">
        <f ca="1">IFERROR(OFFSET(database!H$1,MATCH(($B22&amp;"-"&amp;$F$2),database!$O$2:$O$2028,0),0),"")</f>
        <v/>
      </c>
      <c r="D22" s="50" t="str">
        <f t="shared" ca="1" si="0"/>
        <v/>
      </c>
      <c r="E22" s="49" t="str">
        <f ca="1">IFERROR(OFFSET(database!I$1,MATCH(($B22&amp;"-"&amp;$F$2),database!$O$2:$O$2028,0),0),"")</f>
        <v/>
      </c>
      <c r="F22" s="52" t="str">
        <f ca="1">IFERROR(OFFSET(database!L$1,MATCH(($B22&amp;"-"&amp;$F$2),database!$O$2:$O$2028,0),0),"")</f>
        <v/>
      </c>
      <c r="G22" s="5" t="str">
        <f t="shared" ca="1" si="1"/>
        <v/>
      </c>
      <c r="H22" s="3"/>
    </row>
    <row r="23" spans="1:8" x14ac:dyDescent="0.35">
      <c r="A23" s="3"/>
      <c r="B23" s="48">
        <v>6</v>
      </c>
      <c r="C23" s="49" t="str">
        <f ca="1">IFERROR(OFFSET(database!H$1,MATCH(($B23&amp;"-"&amp;$F$2),database!$O$2:$O$2028,0),0),"")</f>
        <v/>
      </c>
      <c r="D23" s="50" t="str">
        <f t="shared" ca="1" si="0"/>
        <v/>
      </c>
      <c r="E23" s="49" t="str">
        <f ca="1">IFERROR(OFFSET(database!I$1,MATCH(($B23&amp;"-"&amp;$F$2),database!$O$2:$O$2028,0),0),"")</f>
        <v/>
      </c>
      <c r="F23" s="52" t="str">
        <f ca="1">IFERROR(OFFSET(database!L$1,MATCH(($B23&amp;"-"&amp;$F$2),database!$O$2:$O$2028,0),0),"")</f>
        <v/>
      </c>
      <c r="G23" s="5" t="str">
        <f t="shared" ca="1" si="1"/>
        <v/>
      </c>
      <c r="H23" s="3"/>
    </row>
    <row r="24" spans="1:8" x14ac:dyDescent="0.35">
      <c r="A24" s="3"/>
      <c r="B24" s="48">
        <v>7</v>
      </c>
      <c r="C24" s="49" t="str">
        <f ca="1">IFERROR(OFFSET(database!H$1,MATCH(($B24&amp;"-"&amp;$F$2),database!$O$2:$O$2028,0),0),"")</f>
        <v/>
      </c>
      <c r="D24" s="50" t="str">
        <f t="shared" ca="1" si="0"/>
        <v/>
      </c>
      <c r="E24" s="49" t="str">
        <f ca="1">IFERROR(OFFSET(database!I$1,MATCH(($B24&amp;"-"&amp;$F$2),database!$O$2:$O$2028,0),0),"")</f>
        <v/>
      </c>
      <c r="F24" s="52" t="str">
        <f ca="1">IFERROR(OFFSET(database!L$1,MATCH(($B24&amp;"-"&amp;$F$2),database!$O$2:$O$2028,0),0),"")</f>
        <v/>
      </c>
      <c r="G24" s="5" t="str">
        <f t="shared" ca="1" si="1"/>
        <v/>
      </c>
      <c r="H24" s="3"/>
    </row>
    <row r="25" spans="1:8" x14ac:dyDescent="0.35">
      <c r="A25" s="3"/>
      <c r="B25" s="48">
        <v>8</v>
      </c>
      <c r="C25" s="49" t="str">
        <f ca="1">IFERROR(OFFSET(database!H$1,MATCH(($B25&amp;"-"&amp;$F$2),database!$O$2:$O$2028,0),0),"")</f>
        <v/>
      </c>
      <c r="D25" s="50" t="str">
        <f t="shared" ca="1" si="0"/>
        <v/>
      </c>
      <c r="E25" s="49" t="str">
        <f ca="1">IFERROR(OFFSET(database!I$1,MATCH(($B25&amp;"-"&amp;$F$2),database!$O$2:$O$2028,0),0),"")</f>
        <v/>
      </c>
      <c r="F25" s="52" t="str">
        <f ca="1">IFERROR(OFFSET(database!L$1,MATCH(($B25&amp;"-"&amp;$F$2),database!$O$2:$O$2028,0),0),"")</f>
        <v/>
      </c>
      <c r="G25" s="5" t="str">
        <f t="shared" ca="1" si="1"/>
        <v/>
      </c>
      <c r="H25" s="3"/>
    </row>
    <row r="26" spans="1:8" x14ac:dyDescent="0.35">
      <c r="A26" s="3"/>
      <c r="B26" s="48">
        <v>9</v>
      </c>
      <c r="C26" s="49" t="str">
        <f ca="1">IFERROR(OFFSET(database!H$1,MATCH(($B26&amp;"-"&amp;$F$2),database!$O$2:$O$2028,0),0),"")</f>
        <v/>
      </c>
      <c r="D26" s="50" t="str">
        <f t="shared" ca="1" si="0"/>
        <v/>
      </c>
      <c r="E26" s="49" t="str">
        <f ca="1">IFERROR(OFFSET(database!I$1,MATCH(($B26&amp;"-"&amp;$F$2),database!$O$2:$O$2028,0),0),"")</f>
        <v/>
      </c>
      <c r="F26" s="41" t="str">
        <f ca="1">IFERROR(OFFSET(database!L$1,MATCH(($B26&amp;"-"&amp;$F$2),database!$O$2:$O$2028,0),0),"")</f>
        <v/>
      </c>
      <c r="G26" s="5" t="str">
        <f t="shared" ca="1" si="1"/>
        <v/>
      </c>
      <c r="H26" s="3"/>
    </row>
    <row r="27" spans="1:8" x14ac:dyDescent="0.35">
      <c r="A27" s="3"/>
      <c r="B27" s="48">
        <v>10</v>
      </c>
      <c r="C27" s="49" t="str">
        <f ca="1">IFERROR(OFFSET(database!H$1,MATCH(($B27&amp;"-"&amp;$F$2),database!$O$2:$O$2028,0),0),"")</f>
        <v/>
      </c>
      <c r="D27" s="50" t="str">
        <f t="shared" ca="1" si="0"/>
        <v/>
      </c>
      <c r="E27" s="49" t="str">
        <f ca="1">IFERROR(OFFSET(database!I$1,MATCH(($B27&amp;"-"&amp;$F$2),database!$O$2:$O$2028,0),0),"")</f>
        <v/>
      </c>
      <c r="F27" s="41" t="str">
        <f ca="1">IFERROR(OFFSET(database!L$1,MATCH(($B27&amp;"-"&amp;$F$2),database!$O$2:$O$2028,0),0),"")</f>
        <v/>
      </c>
      <c r="G27" s="5" t="str">
        <f t="shared" ca="1" si="1"/>
        <v/>
      </c>
      <c r="H27" s="3"/>
    </row>
    <row r="28" spans="1:8" x14ac:dyDescent="0.35">
      <c r="A28" s="3"/>
      <c r="B28" s="48">
        <v>11</v>
      </c>
      <c r="C28" s="49" t="str">
        <f ca="1">IFERROR(OFFSET(database!H$1,MATCH(($B28&amp;"-"&amp;$F$2),database!$O$2:$O$2028,0),0),"")</f>
        <v/>
      </c>
      <c r="D28" s="50" t="str">
        <f t="shared" ca="1" si="0"/>
        <v/>
      </c>
      <c r="E28" s="49" t="str">
        <f ca="1">IFERROR(OFFSET(database!I$1,MATCH(($B28&amp;"-"&amp;$F$2),database!$O$2:$O$2028,0),0),"")</f>
        <v/>
      </c>
      <c r="F28" s="41" t="str">
        <f ca="1">IFERROR(OFFSET(database!L$1,MATCH(($B28&amp;"-"&amp;$F$2),database!$O$2:$O$2028,0),0),"")</f>
        <v/>
      </c>
      <c r="G28" s="5" t="str">
        <f t="shared" ca="1" si="1"/>
        <v/>
      </c>
      <c r="H28" s="3"/>
    </row>
    <row r="29" spans="1:8" x14ac:dyDescent="0.35">
      <c r="A29" s="3"/>
      <c r="B29" s="48">
        <v>12</v>
      </c>
      <c r="C29" s="49" t="str">
        <f ca="1">IFERROR(OFFSET(database!H$1,MATCH(($B29&amp;"-"&amp;$F$2),database!$O$2:$O$2028,0),0),"")</f>
        <v/>
      </c>
      <c r="D29" s="50" t="str">
        <f t="shared" ca="1" si="0"/>
        <v/>
      </c>
      <c r="E29" s="49" t="str">
        <f ca="1">IFERROR(OFFSET(database!I$1,MATCH(($B29&amp;"-"&amp;$F$2),database!$O$2:$O$2028,0),0),"")</f>
        <v/>
      </c>
      <c r="F29" s="41" t="str">
        <f ca="1">IFERROR(OFFSET(database!L$1,MATCH(($B29&amp;"-"&amp;$F$2),database!$O$2:$O$2028,0),0),"")</f>
        <v/>
      </c>
      <c r="G29" s="5" t="str">
        <f t="shared" ca="1" si="1"/>
        <v/>
      </c>
      <c r="H29" s="3"/>
    </row>
    <row r="30" spans="1:8" x14ac:dyDescent="0.35">
      <c r="A30" s="3"/>
      <c r="B30" s="48">
        <v>13</v>
      </c>
      <c r="C30" s="49" t="str">
        <f ca="1">IFERROR(OFFSET(database!H$1,MATCH(($B30&amp;"-"&amp;$F$2),database!$O$2:$O$2028,0),0),"")</f>
        <v/>
      </c>
      <c r="D30" s="50" t="str">
        <f t="shared" ca="1" si="0"/>
        <v/>
      </c>
      <c r="E30" s="49" t="str">
        <f ca="1">IFERROR(OFFSET(database!I$1,MATCH(($B30&amp;"-"&amp;$F$2),database!$O$2:$O$2028,0),0),"")</f>
        <v/>
      </c>
      <c r="F30" s="41" t="str">
        <f ca="1">IFERROR(OFFSET(database!L$1,MATCH(($B30&amp;"-"&amp;$F$2),database!$O$2:$O$2028,0),0),"")</f>
        <v/>
      </c>
      <c r="G30" s="5" t="str">
        <f t="shared" ca="1" si="1"/>
        <v/>
      </c>
      <c r="H30" s="3"/>
    </row>
    <row r="31" spans="1:8" x14ac:dyDescent="0.35">
      <c r="A31" s="3"/>
      <c r="B31" s="48">
        <v>14</v>
      </c>
      <c r="C31" s="49" t="str">
        <f ca="1">IFERROR(OFFSET(database!H$1,MATCH(($B31&amp;"-"&amp;$F$2),database!$O$2:$O$2028,0),0),"")</f>
        <v/>
      </c>
      <c r="D31" s="50" t="str">
        <f t="shared" ca="1" si="0"/>
        <v/>
      </c>
      <c r="E31" s="49" t="str">
        <f ca="1">IFERROR(OFFSET(database!I$1,MATCH(($B31&amp;"-"&amp;$F$2),database!$O$2:$O$2028,0),0),"")</f>
        <v/>
      </c>
      <c r="F31" s="41" t="str">
        <f ca="1">IFERROR(OFFSET(database!L$1,MATCH(($B31&amp;"-"&amp;$F$2),database!$O$2:$O$2028,0),0),"")</f>
        <v/>
      </c>
      <c r="G31" s="5" t="str">
        <f t="shared" ca="1" si="1"/>
        <v/>
      </c>
      <c r="H31" s="3"/>
    </row>
    <row r="32" spans="1:8" x14ac:dyDescent="0.35">
      <c r="A32" s="3"/>
      <c r="B32" s="48">
        <v>15</v>
      </c>
      <c r="C32" s="49" t="str">
        <f ca="1">IFERROR(OFFSET(database!H$1,MATCH(($B32&amp;"-"&amp;$F$2),database!$O$2:$O$2028,0),0),"")</f>
        <v/>
      </c>
      <c r="D32" s="50" t="str">
        <f t="shared" ca="1" si="0"/>
        <v/>
      </c>
      <c r="E32" s="49" t="str">
        <f ca="1">IFERROR(OFFSET(database!I$1,MATCH(($B32&amp;"-"&amp;$F$2),database!$O$2:$O$2028,0),0),"")</f>
        <v/>
      </c>
      <c r="F32" s="41" t="str">
        <f ca="1">IFERROR(OFFSET(database!L$1,MATCH(($B32&amp;"-"&amp;$F$2),database!$O$2:$O$2028,0),0),"")</f>
        <v/>
      </c>
      <c r="G32" s="5" t="str">
        <f t="shared" ca="1" si="1"/>
        <v/>
      </c>
      <c r="H32" s="3"/>
    </row>
    <row r="33" spans="1:8" x14ac:dyDescent="0.35">
      <c r="A33" s="3"/>
      <c r="B33" s="3"/>
      <c r="C33" s="3"/>
      <c r="D33" s="3"/>
      <c r="E33" s="3"/>
      <c r="F33" s="3" t="str">
        <f ca="1">IFERROR(OFFSET(database!L$1,MATCH(($B33&amp;"-"&amp;$F$2),database!$O$2:$O$2028,0),0),"")</f>
        <v/>
      </c>
      <c r="G33" s="3"/>
      <c r="H33" s="3"/>
    </row>
  </sheetData>
  <sheetProtection algorithmName="SHA-512" hashValue="jDeQrwnZ7m+tvHNysOOVqMJvFQL8wE1oktrxPmktDl5kINvSyAR69HmUSKCxCa4nDobKd0ATlhMPgXsH+uCBjg==" saltValue="UFfSmQC7vBJB5csojsj9IA==" spinCount="100000" sheet="1" objects="1" scenarios="1"/>
  <conditionalFormatting sqref="E13">
    <cfRule type="containsText" dxfId="3" priority="2" operator="containsText" text="again">
      <formula>NOT(ISERROR(SEARCH("again",E13)))</formula>
    </cfRule>
  </conditionalFormatting>
  <conditionalFormatting sqref="B4">
    <cfRule type="containsText" dxfId="2" priority="3" operator="containsText" text="Not">
      <formula>NOT(ISERROR(SEARCH("Not",B4)))</formula>
    </cfRule>
    <cfRule type="containsText" dxfId="1" priority="4" operator="containsText" text="Identification">
      <formula>NOT(ISERROR(SEARCH("Identification",B4)))</formula>
    </cfRule>
  </conditionalFormatting>
  <conditionalFormatting sqref="E13 G25">
    <cfRule type="containsText" dxfId="0" priority="5" operator="containsText" text="Ended">
      <formula>NOT(ISERROR(SEARCH("Ended",E13)))</formula>
    </cfRule>
  </conditionalFormatting>
  <pageMargins left="0.7" right="0.7" top="0.75" bottom="0.75" header="0.511811023622047" footer="0.511811023622047"/>
  <pageSetup paperSize="9" orientation="portrait" horizontalDpi="300" verticalDpi="30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F79646"/>
  </sheetPr>
  <dimension ref="A1:AMJ2028"/>
  <sheetViews>
    <sheetView zoomScale="80" zoomScaleNormal="80" workbookViewId="0">
      <pane xSplit="4" ySplit="1" topLeftCell="E42" activePane="bottomRight" state="frozen"/>
      <selection pane="topRight" activeCell="E1" sqref="E1"/>
      <selection pane="bottomLeft" activeCell="A2" sqref="A2"/>
      <selection pane="bottomRight" activeCell="D47" sqref="D47"/>
    </sheetView>
  </sheetViews>
  <sheetFormatPr defaultColWidth="9.1796875" defaultRowHeight="14.5" x14ac:dyDescent="0.35"/>
  <cols>
    <col min="1" max="1" width="7.7265625" style="28" customWidth="1"/>
    <col min="2" max="2" width="13.26953125" style="28" customWidth="1"/>
    <col min="3" max="3" width="13" style="28" customWidth="1"/>
    <col min="4" max="4" width="27.7265625" style="53" customWidth="1"/>
    <col min="5" max="5" width="19.453125" style="28" customWidth="1"/>
    <col min="6" max="6" width="13.1796875" style="54" customWidth="1"/>
    <col min="7" max="7" width="19.7265625" style="28" customWidth="1"/>
    <col min="8" max="9" width="13.1796875" style="54" customWidth="1"/>
    <col min="10" max="10" width="13.81640625" style="28" customWidth="1"/>
    <col min="11" max="11" width="7.1796875" style="28" customWidth="1"/>
    <col min="12" max="12" width="33.7265625" style="55" customWidth="1"/>
    <col min="13" max="13" width="19.1796875" style="56" customWidth="1"/>
    <col min="14" max="14" width="9.453125" style="28" customWidth="1"/>
    <col min="15" max="17" width="4.81640625" style="28" customWidth="1"/>
    <col min="18" max="18" width="4.81640625" style="57" customWidth="1"/>
    <col min="19" max="30" width="4.81640625" style="28" customWidth="1"/>
    <col min="31" max="31" width="4.26953125" style="28" customWidth="1"/>
    <col min="32" max="32" width="5" style="28" customWidth="1"/>
    <col min="33" max="1024" width="9.1796875" style="28"/>
  </cols>
  <sheetData>
    <row r="1" spans="1:32" s="64" customFormat="1" ht="25.5" customHeight="1" x14ac:dyDescent="0.35">
      <c r="A1" s="58" t="s">
        <v>0</v>
      </c>
      <c r="B1" s="58" t="s">
        <v>1</v>
      </c>
      <c r="C1" s="58" t="s">
        <v>42</v>
      </c>
      <c r="D1" s="59" t="s">
        <v>23</v>
      </c>
      <c r="E1" s="58" t="s">
        <v>49</v>
      </c>
      <c r="F1" s="60" t="s">
        <v>52</v>
      </c>
      <c r="G1" s="58" t="s">
        <v>55</v>
      </c>
      <c r="H1" s="60" t="s">
        <v>59</v>
      </c>
      <c r="I1" s="60" t="s">
        <v>62</v>
      </c>
      <c r="J1" s="58" t="s">
        <v>20</v>
      </c>
      <c r="K1" s="58" t="s">
        <v>66</v>
      </c>
      <c r="L1" s="61" t="s">
        <v>68</v>
      </c>
      <c r="M1" s="62" t="s">
        <v>69</v>
      </c>
      <c r="N1" s="63" t="s">
        <v>78</v>
      </c>
      <c r="O1" s="64" t="s">
        <v>79</v>
      </c>
      <c r="P1" s="64" t="s">
        <v>80</v>
      </c>
      <c r="Q1" s="64" t="s">
        <v>81</v>
      </c>
      <c r="R1" s="64" t="s">
        <v>82</v>
      </c>
      <c r="S1" s="64" t="s">
        <v>83</v>
      </c>
      <c r="T1" s="64" t="s">
        <v>84</v>
      </c>
      <c r="U1" s="65" t="s">
        <v>85</v>
      </c>
      <c r="V1" s="66" t="s">
        <v>86</v>
      </c>
      <c r="W1" s="67" t="s">
        <v>13</v>
      </c>
      <c r="X1" s="68" t="s">
        <v>87</v>
      </c>
      <c r="Y1" s="69" t="s">
        <v>14</v>
      </c>
      <c r="Z1" s="69" t="s">
        <v>88</v>
      </c>
      <c r="AA1" s="70" t="s">
        <v>15</v>
      </c>
      <c r="AB1" s="70" t="s">
        <v>89</v>
      </c>
      <c r="AC1" s="71" t="s">
        <v>16</v>
      </c>
      <c r="AD1" s="71" t="s">
        <v>90</v>
      </c>
      <c r="AE1" s="143" t="s">
        <v>91</v>
      </c>
      <c r="AF1" s="143" t="s">
        <v>92</v>
      </c>
    </row>
    <row r="2" spans="1:32" s="57" customFormat="1" x14ac:dyDescent="0.35">
      <c r="A2" s="72" t="s">
        <v>63</v>
      </c>
      <c r="B2" s="73" t="s">
        <v>93</v>
      </c>
      <c r="C2" s="73" t="s">
        <v>43</v>
      </c>
      <c r="D2" s="162" t="s">
        <v>94</v>
      </c>
      <c r="E2" s="74" t="s">
        <v>95</v>
      </c>
      <c r="F2" s="75">
        <v>38111</v>
      </c>
      <c r="G2" s="72" t="s">
        <v>96</v>
      </c>
      <c r="H2" s="76">
        <v>45293</v>
      </c>
      <c r="I2" s="77">
        <v>45473</v>
      </c>
      <c r="J2" s="72" t="s">
        <v>97</v>
      </c>
      <c r="K2" s="78" t="s">
        <v>98</v>
      </c>
      <c r="L2" s="79" t="s">
        <v>99</v>
      </c>
      <c r="M2" s="80" t="s">
        <v>100</v>
      </c>
      <c r="N2" s="81">
        <f t="shared" ref="N2:N65" si="0">IF(A2="","",COUNTIFS(M:M,M2,H:H,"&lt;"&amp;H2)+1)</f>
        <v>1</v>
      </c>
      <c r="O2" s="82" t="str">
        <f t="shared" ref="O2:O36" si="1">IF(A2="","",N2&amp;"-"&amp;M2)</f>
        <v>1-6101034405040002</v>
      </c>
      <c r="P2" s="81">
        <f t="shared" ref="P2:P65" si="2">IF(A2="","",COUNTIFS(M:M,M2,H:H,"&gt;"&amp;H2)+1)</f>
        <v>5</v>
      </c>
      <c r="Q2" s="81" t="str">
        <f t="shared" ref="Q2:Q36" si="3">IF(A2="","",IF(P2=1,M2,""))</f>
        <v/>
      </c>
      <c r="R2" s="83" t="str">
        <f t="shared" ref="R2:R36" ca="1" si="4">IF(Q2="","",I2-TODAY())</f>
        <v/>
      </c>
      <c r="S2" s="81" t="str">
        <f t="shared" ref="S2:S93" ca="1" si="5">IF(R2="","",
IF(R2&lt;-90,"Pass&gt;90",IF(R2&lt;-60,"Pass 61-90",IF(R2&lt;-30,"Pass 31-60",IF(R2&lt;0,"Pass 0-30",IF(R2&lt;31,"Run 0-30",IF(R2&lt;61,"Run 31-60",IF(R2&lt;91,"Run 60-90","Run &gt;90"))))))))</f>
        <v/>
      </c>
      <c r="T2" s="81" t="str">
        <f ca="1">IF(S2=Dashboard!$D$12,S2,"")</f>
        <v/>
      </c>
      <c r="U2" s="81" t="str">
        <f t="shared" ref="U2:U36" ca="1" si="6">IF(T2="","",R2)</f>
        <v/>
      </c>
      <c r="V2" s="83" t="str">
        <f ca="1">IF(U2="","",IFERROR((RANK(U2,$U$2:$U$2028,1)+COUNTIF($U$2:U2,U2))-1,""))</f>
        <v/>
      </c>
      <c r="W2" s="81" t="str">
        <f t="shared" ref="W2:W59" si="7">IF($J2=W$1,$U2,"")</f>
        <v/>
      </c>
      <c r="X2" s="81" t="str">
        <f>IF(W2="","",IFERROR((RANK(W2,$W$2:$W$2028,1)+COUNTIF($W$2:W2,W2))-1,""))</f>
        <v/>
      </c>
      <c r="Y2" s="81" t="str">
        <f t="shared" ref="Y2:Y93" ca="1" si="8">IF($J2=Y$1,$U2,"")</f>
        <v/>
      </c>
      <c r="Z2" s="81" t="str">
        <f ca="1">IF(Y2="","",IFERROR((RANK(Y2,$Y$2:$Y$2028,1)+COUNTIF($Y$2:Y2,Y2))-1,""))</f>
        <v/>
      </c>
      <c r="AA2" s="81" t="str">
        <f t="shared" ref="AA2:AA93" si="9">IF($J2=AA$1,$U2,"")</f>
        <v/>
      </c>
      <c r="AB2" s="81" t="str">
        <f>IF(AA2="","",IFERROR((RANK(AA2,$AA$2:$AA$2028,1)+COUNTIF($AA$2:AA2,AA2))-1,""))</f>
        <v/>
      </c>
      <c r="AC2" s="81" t="str">
        <f t="shared" ref="AC2:AC93" si="10">IF($J2=AC$1,$U2,"")</f>
        <v/>
      </c>
      <c r="AD2" s="81" t="str">
        <f>IF(AC2="","",IFERROR((RANK(AC2,$AC$2:$AC$2028,1)+COUNTIF($AC$2:AC2,AC2))-1,""))</f>
        <v/>
      </c>
      <c r="AE2" s="144" t="str">
        <f t="shared" ref="AE2:AE70" si="11">IF(P2=1,P2,"")</f>
        <v/>
      </c>
      <c r="AF2" s="144" t="str">
        <f>IF(AE2="","",SUM($AE$2:AE2))</f>
        <v/>
      </c>
    </row>
    <row r="3" spans="1:32" s="57" customFormat="1" x14ac:dyDescent="0.35">
      <c r="A3" s="72" t="s">
        <v>63</v>
      </c>
      <c r="B3" s="73" t="s">
        <v>93</v>
      </c>
      <c r="C3" s="73" t="s">
        <v>43</v>
      </c>
      <c r="D3" s="162" t="s">
        <v>94</v>
      </c>
      <c r="E3" s="74" t="s">
        <v>95</v>
      </c>
      <c r="F3" s="75">
        <v>38111</v>
      </c>
      <c r="G3" s="72" t="s">
        <v>96</v>
      </c>
      <c r="H3" s="76">
        <v>45474</v>
      </c>
      <c r="I3" s="77">
        <v>45657</v>
      </c>
      <c r="J3" s="72" t="s">
        <v>97</v>
      </c>
      <c r="K3" s="78" t="s">
        <v>98</v>
      </c>
      <c r="L3" s="79" t="s">
        <v>99</v>
      </c>
      <c r="M3" s="80" t="s">
        <v>100</v>
      </c>
      <c r="N3" s="81">
        <f t="shared" si="0"/>
        <v>2</v>
      </c>
      <c r="O3" s="82" t="str">
        <f t="shared" si="1"/>
        <v>2-6101034405040002</v>
      </c>
      <c r="P3" s="81">
        <f t="shared" si="2"/>
        <v>4</v>
      </c>
      <c r="Q3" s="81" t="str">
        <f t="shared" si="3"/>
        <v/>
      </c>
      <c r="R3" s="83" t="str">
        <f t="shared" ca="1" si="4"/>
        <v/>
      </c>
      <c r="S3" s="81" t="str">
        <f t="shared" ca="1" si="5"/>
        <v/>
      </c>
      <c r="T3" s="81" t="str">
        <f ca="1">IF(S3=Dashboard!$D$12,S3,"")</f>
        <v/>
      </c>
      <c r="U3" s="81" t="str">
        <f t="shared" ca="1" si="6"/>
        <v/>
      </c>
      <c r="V3" s="83" t="str">
        <f ca="1">IF(U3="","",IFERROR((RANK(U3,$U$2:$U$2028,1)+COUNTIF($U$2:U3,U3))-1,""))</f>
        <v/>
      </c>
      <c r="W3" s="81" t="str">
        <f t="shared" si="7"/>
        <v/>
      </c>
      <c r="X3" s="81" t="str">
        <f>IF(W3="","",IFERROR((RANK(W3,$W$2:$W$2028,1)+COUNTIF($W$2:W3,W3))-1,""))</f>
        <v/>
      </c>
      <c r="Y3" s="81" t="str">
        <f t="shared" ca="1" si="8"/>
        <v/>
      </c>
      <c r="Z3" s="81" t="str">
        <f ca="1">IF(Y3="","",IFERROR((RANK(Y3,$Y$2:$Y$2028,1)+COUNTIF($Y$2:Y3,Y3))-1,""))</f>
        <v/>
      </c>
      <c r="AA3" s="81" t="str">
        <f t="shared" si="9"/>
        <v/>
      </c>
      <c r="AB3" s="81" t="str">
        <f>IF(AA3="","",IFERROR((RANK(AA3,$AA$2:$AA$2028,1)+COUNTIF($AA$2:AA3,AA3))-1,""))</f>
        <v/>
      </c>
      <c r="AC3" s="81" t="str">
        <f t="shared" si="10"/>
        <v/>
      </c>
      <c r="AD3" s="81" t="str">
        <f>IF(AC3="","",IFERROR((RANK(AC3,$AC$2:$AC$2028,1)+COUNTIF($AC$2:AC3,AC3))-1,""))</f>
        <v/>
      </c>
      <c r="AE3" s="144" t="str">
        <f t="shared" si="11"/>
        <v/>
      </c>
      <c r="AF3" s="144" t="str">
        <f>IF(AE3="","",SUM($AE$2:AE3))</f>
        <v/>
      </c>
    </row>
    <row r="4" spans="1:32" s="57" customFormat="1" x14ac:dyDescent="0.35">
      <c r="A4" s="72" t="s">
        <v>63</v>
      </c>
      <c r="B4" s="73" t="s">
        <v>93</v>
      </c>
      <c r="C4" s="73" t="s">
        <v>43</v>
      </c>
      <c r="D4" s="162" t="s">
        <v>94</v>
      </c>
      <c r="E4" s="74" t="s">
        <v>95</v>
      </c>
      <c r="F4" s="75">
        <v>38111</v>
      </c>
      <c r="G4" s="72" t="s">
        <v>96</v>
      </c>
      <c r="H4" s="76">
        <v>45689</v>
      </c>
      <c r="I4" s="77">
        <v>45869</v>
      </c>
      <c r="J4" s="72" t="s">
        <v>97</v>
      </c>
      <c r="K4" s="78" t="s">
        <v>98</v>
      </c>
      <c r="L4" s="79" t="s">
        <v>101</v>
      </c>
      <c r="M4" s="80" t="s">
        <v>100</v>
      </c>
      <c r="N4" s="81">
        <f t="shared" si="0"/>
        <v>3</v>
      </c>
      <c r="O4" s="82" t="str">
        <f t="shared" ref="O4" si="12">IF(A4="","",N4&amp;"-"&amp;M4)</f>
        <v>3-6101034405040002</v>
      </c>
      <c r="P4" s="81">
        <f t="shared" si="2"/>
        <v>3</v>
      </c>
      <c r="Q4" s="81" t="str">
        <f t="shared" ref="Q4" si="13">IF(A4="","",IF(P4=1,M4,""))</f>
        <v/>
      </c>
      <c r="R4" s="83" t="str">
        <f t="shared" ref="R4" ca="1" si="14">IF(Q4="","",I4-TODAY())</f>
        <v/>
      </c>
      <c r="S4" s="81" t="str">
        <f t="shared" ref="S4" ca="1" si="15">IF(R4="","",
IF(R4&lt;-90,"Pass&gt;90",IF(R4&lt;-60,"Pass 61-90",IF(R4&lt;-30,"Pass 31-60",IF(R4&lt;0,"Pass 0-30",IF(R4&lt;31,"Run 0-30",IF(R4&lt;61,"Run 31-60",IF(R4&lt;91,"Run 60-90","Run &gt;90"))))))))</f>
        <v/>
      </c>
      <c r="T4" s="81" t="str">
        <f ca="1">IF(S4=Dashboard!$D$12,S4,"")</f>
        <v/>
      </c>
      <c r="U4" s="81" t="str">
        <f t="shared" ref="U4" ca="1" si="16">IF(T4="","",R4)</f>
        <v/>
      </c>
      <c r="V4" s="83" t="str">
        <f ca="1">IF(U4="","",IFERROR((RANK(U4,$U$2:$U$2028,1)+COUNTIF($U$2:U4,U4))-1,""))</f>
        <v/>
      </c>
      <c r="W4" s="81" t="str">
        <f t="shared" si="7"/>
        <v/>
      </c>
      <c r="X4" s="81" t="str">
        <f>IF(W4="","",IFERROR((RANK(W4,$W$2:$W$2028,1)+COUNTIF($W$2:W4,W4))-1,""))</f>
        <v/>
      </c>
      <c r="Y4" s="81" t="str">
        <f t="shared" ca="1" si="8"/>
        <v/>
      </c>
      <c r="Z4" s="81" t="str">
        <f ca="1">IF(Y4="","",IFERROR((RANK(Y4,$Y$2:$Y$2028,1)+COUNTIF($Y$2:Y4,Y4))-1,""))</f>
        <v/>
      </c>
      <c r="AA4" s="81" t="str">
        <f t="shared" si="9"/>
        <v/>
      </c>
      <c r="AB4" s="81" t="str">
        <f>IF(AA4="","",IFERROR((RANK(AA4,$AA$2:$AA$2028,1)+COUNTIF($AA$2:AA4,AA4))-1,""))</f>
        <v/>
      </c>
      <c r="AC4" s="81" t="str">
        <f t="shared" si="10"/>
        <v/>
      </c>
      <c r="AD4" s="81" t="str">
        <f>IF(AC4="","",IFERROR((RANK(AC4,$AC$2:$AC$2028,1)+COUNTIF($AC$2:AC4,AC4))-1,""))</f>
        <v/>
      </c>
      <c r="AE4" s="144" t="str">
        <f t="shared" ref="AE4" si="17">IF(P4=1,P4,"")</f>
        <v/>
      </c>
      <c r="AF4" s="144" t="str">
        <f>IF(AE4="","",SUM($AE$2:AE4))</f>
        <v/>
      </c>
    </row>
    <row r="5" spans="1:32" s="57" customFormat="1" x14ac:dyDescent="0.35">
      <c r="A5" s="72" t="s">
        <v>63</v>
      </c>
      <c r="B5" s="73" t="s">
        <v>93</v>
      </c>
      <c r="C5" s="73" t="s">
        <v>43</v>
      </c>
      <c r="D5" s="162" t="s">
        <v>94</v>
      </c>
      <c r="E5" s="74" t="s">
        <v>95</v>
      </c>
      <c r="F5" s="75">
        <v>38111</v>
      </c>
      <c r="G5" s="72" t="s">
        <v>96</v>
      </c>
      <c r="H5" s="76">
        <v>45870</v>
      </c>
      <c r="I5" s="77">
        <v>46053</v>
      </c>
      <c r="J5" s="72" t="s">
        <v>97</v>
      </c>
      <c r="K5" s="78" t="s">
        <v>98</v>
      </c>
      <c r="L5" s="79" t="s">
        <v>102</v>
      </c>
      <c r="M5" s="80" t="s">
        <v>100</v>
      </c>
      <c r="N5" s="81">
        <f t="shared" si="0"/>
        <v>4</v>
      </c>
      <c r="O5" s="82" t="str">
        <f t="shared" ref="O5" si="18">IF(A5="","",N5&amp;"-"&amp;M5)</f>
        <v>4-6101034405040002</v>
      </c>
      <c r="P5" s="81">
        <f t="shared" si="2"/>
        <v>2</v>
      </c>
      <c r="Q5" s="81" t="str">
        <f t="shared" ref="Q5" si="19">IF(A5="","",IF(P5=1,M5,""))</f>
        <v/>
      </c>
      <c r="R5" s="83" t="str">
        <f t="shared" ref="R5" ca="1" si="20">IF(Q5="","",I5-TODAY())</f>
        <v/>
      </c>
      <c r="S5" s="81" t="str">
        <f t="shared" ref="S5" ca="1" si="21">IF(R5="","",
IF(R5&lt;-90,"Pass&gt;90",IF(R5&lt;-60,"Pass 61-90",IF(R5&lt;-30,"Pass 31-60",IF(R5&lt;0,"Pass 0-30",IF(R5&lt;31,"Run 0-30",IF(R5&lt;61,"Run 31-60",IF(R5&lt;91,"Run 60-90","Run &gt;90"))))))))</f>
        <v/>
      </c>
      <c r="T5" s="81" t="str">
        <f ca="1">IF(S5=Dashboard!$D$12,S5,"")</f>
        <v/>
      </c>
      <c r="U5" s="81" t="str">
        <f t="shared" ref="U5" ca="1" si="22">IF(T5="","",R5)</f>
        <v/>
      </c>
      <c r="V5" s="83" t="str">
        <f ca="1">IF(U5="","",IFERROR((RANK(U5,$U$2:$U$2028,1)+COUNTIF($U$2:U5,U5))-1,""))</f>
        <v/>
      </c>
      <c r="W5" s="81" t="str">
        <f t="shared" si="7"/>
        <v/>
      </c>
      <c r="X5" s="81" t="str">
        <f>IF(W5="","",IFERROR((RANK(W5,$W$2:$W$2028,1)+COUNTIF($W$2:W5,W5))-1,""))</f>
        <v/>
      </c>
      <c r="Y5" s="81" t="str">
        <f t="shared" ca="1" si="8"/>
        <v/>
      </c>
      <c r="Z5" s="81" t="str">
        <f ca="1">IF(Y5="","",IFERROR((RANK(Y5,$Y$2:$Y$2028,1)+COUNTIF($Y$2:Y5,Y5))-1,""))</f>
        <v/>
      </c>
      <c r="AA5" s="81" t="str">
        <f t="shared" si="9"/>
        <v/>
      </c>
      <c r="AB5" s="81" t="str">
        <f>IF(AA5="","",IFERROR((RANK(AA5,$AA$2:$AA$2028,1)+COUNTIF($AA$2:AA5,AA5))-1,""))</f>
        <v/>
      </c>
      <c r="AC5" s="81" t="str">
        <f t="shared" si="10"/>
        <v/>
      </c>
      <c r="AD5" s="81" t="str">
        <f>IF(AC5="","",IFERROR((RANK(AC5,$AC$2:$AC$2028,1)+COUNTIF($AC$2:AC5,AC5))-1,""))</f>
        <v/>
      </c>
      <c r="AE5" s="144" t="str">
        <f t="shared" ref="AE5" si="23">IF(P5=1,P5,"")</f>
        <v/>
      </c>
      <c r="AF5" s="144" t="str">
        <f>IF(AE5="","",SUM($AE$2:AE5))</f>
        <v/>
      </c>
    </row>
    <row r="6" spans="1:32" s="57" customFormat="1" x14ac:dyDescent="0.35">
      <c r="A6" s="72" t="s">
        <v>63</v>
      </c>
      <c r="B6" s="73" t="s">
        <v>93</v>
      </c>
      <c r="C6" s="73" t="s">
        <v>43</v>
      </c>
      <c r="D6" s="165" t="s">
        <v>94</v>
      </c>
      <c r="E6" s="74" t="s">
        <v>95</v>
      </c>
      <c r="F6" s="75">
        <v>38111</v>
      </c>
      <c r="G6" s="72" t="s">
        <v>96</v>
      </c>
      <c r="H6" s="76">
        <v>46082</v>
      </c>
      <c r="I6" s="77">
        <v>46265</v>
      </c>
      <c r="J6" s="72" t="s">
        <v>97</v>
      </c>
      <c r="K6" s="78" t="s">
        <v>98</v>
      </c>
      <c r="L6" s="79" t="s">
        <v>103</v>
      </c>
      <c r="M6" s="80" t="s">
        <v>100</v>
      </c>
      <c r="N6" s="81">
        <f t="shared" si="0"/>
        <v>5</v>
      </c>
      <c r="O6" s="82" t="str">
        <f t="shared" ref="O6" si="24">IF(A6="","",N6&amp;"-"&amp;M6)</f>
        <v>5-6101034405040002</v>
      </c>
      <c r="P6" s="81">
        <f t="shared" si="2"/>
        <v>1</v>
      </c>
      <c r="Q6" s="81" t="str">
        <f t="shared" ref="Q6" si="25">IF(A6="","",IF(P6=1,M6,""))</f>
        <v>6101034405040002</v>
      </c>
      <c r="R6" s="83">
        <f t="shared" ref="R6" ca="1" si="26">IF(Q6="","",I6-TODAY())</f>
        <v>149</v>
      </c>
      <c r="S6" s="81" t="str">
        <f t="shared" ref="S6" ca="1" si="27">IF(R6="","",
IF(R6&lt;-90,"Pass&gt;90",IF(R6&lt;-60,"Pass 61-90",IF(R6&lt;-30,"Pass 31-60",IF(R6&lt;0,"Pass 0-30",IF(R6&lt;31,"Run 0-30",IF(R6&lt;61,"Run 31-60",IF(R6&lt;91,"Run 60-90","Run &gt;90"))))))))</f>
        <v>Run &gt;90</v>
      </c>
      <c r="T6" s="81" t="str">
        <f ca="1">IF(S6=Dashboard!$D$12,S6,"")</f>
        <v/>
      </c>
      <c r="U6" s="81" t="str">
        <f t="shared" ref="U6" ca="1" si="28">IF(T6="","",R6)</f>
        <v/>
      </c>
      <c r="V6" s="83" t="str">
        <f ca="1">IF(U6="","",IFERROR((RANK(U6,$U$2:$U$2028,1)+COUNTIF($U$2:U6,U6))-1,""))</f>
        <v/>
      </c>
      <c r="W6" s="81" t="str">
        <f t="shared" si="7"/>
        <v/>
      </c>
      <c r="X6" s="81" t="str">
        <f>IF(W6="","",IFERROR((RANK(W6,$W$2:$W$2028,1)+COUNTIF($W$2:W6,W6))-1,""))</f>
        <v/>
      </c>
      <c r="Y6" s="81" t="str">
        <f t="shared" ca="1" si="8"/>
        <v/>
      </c>
      <c r="Z6" s="81" t="str">
        <f ca="1">IF(Y6="","",IFERROR((RANK(Y6,$Y$2:$Y$2028,1)+COUNTIF($Y$2:Y6,Y6))-1,""))</f>
        <v/>
      </c>
      <c r="AA6" s="81" t="str">
        <f t="shared" si="9"/>
        <v/>
      </c>
      <c r="AB6" s="81" t="str">
        <f>IF(AA6="","",IFERROR((RANK(AA6,$AA$2:$AA$2028,1)+COUNTIF($AA$2:AA6,AA6))-1,""))</f>
        <v/>
      </c>
      <c r="AC6" s="81" t="str">
        <f t="shared" si="10"/>
        <v/>
      </c>
      <c r="AD6" s="81" t="str">
        <f>IF(AC6="","",IFERROR((RANK(AC6,$AC$2:$AC$2028,1)+COUNTIF($AC$2:AC6,AC6))-1,""))</f>
        <v/>
      </c>
      <c r="AE6" s="144">
        <f t="shared" ref="AE6" si="29">IF(P6=1,P6,"")</f>
        <v>1</v>
      </c>
      <c r="AF6" s="144">
        <f>IF(AE6="","",SUM($AE$2:AE6))</f>
        <v>1</v>
      </c>
    </row>
    <row r="7" spans="1:32" s="57" customFormat="1" x14ac:dyDescent="0.35">
      <c r="A7" s="84" t="s">
        <v>63</v>
      </c>
      <c r="B7" s="85" t="s">
        <v>93</v>
      </c>
      <c r="C7" s="73" t="s">
        <v>43</v>
      </c>
      <c r="D7" s="162" t="s">
        <v>104</v>
      </c>
      <c r="E7" s="74" t="s">
        <v>105</v>
      </c>
      <c r="F7" s="75">
        <v>37488</v>
      </c>
      <c r="G7" s="72" t="s">
        <v>106</v>
      </c>
      <c r="H7" s="76">
        <v>44958</v>
      </c>
      <c r="I7" s="77">
        <v>45138</v>
      </c>
      <c r="J7" s="72" t="s">
        <v>97</v>
      </c>
      <c r="K7" s="78" t="s">
        <v>98</v>
      </c>
      <c r="L7" s="79" t="s">
        <v>107</v>
      </c>
      <c r="M7" s="80" t="s">
        <v>108</v>
      </c>
      <c r="N7" s="81">
        <f t="shared" si="0"/>
        <v>1</v>
      </c>
      <c r="O7" s="82" t="str">
        <f t="shared" si="1"/>
        <v>1-6101046008020005</v>
      </c>
      <c r="P7" s="81">
        <f t="shared" si="2"/>
        <v>6</v>
      </c>
      <c r="Q7" s="81" t="str">
        <f t="shared" si="3"/>
        <v/>
      </c>
      <c r="R7" s="83" t="str">
        <f t="shared" ca="1" si="4"/>
        <v/>
      </c>
      <c r="S7" s="81" t="str">
        <f t="shared" ca="1" si="5"/>
        <v/>
      </c>
      <c r="T7" s="81" t="str">
        <f ca="1">IF(S7=Dashboard!$D$12,S7,"")</f>
        <v/>
      </c>
      <c r="U7" s="81" t="str">
        <f t="shared" ca="1" si="6"/>
        <v/>
      </c>
      <c r="V7" s="83" t="str">
        <f ca="1">IF(U7="","",IFERROR((RANK(U7,$U$2:$U$2028,1)+COUNTIF($U$2:U7,U7))-1,""))</f>
        <v/>
      </c>
      <c r="W7" s="81" t="str">
        <f t="shared" si="7"/>
        <v/>
      </c>
      <c r="X7" s="81" t="str">
        <f>IF(W7="","",IFERROR((RANK(W7,$W$2:$W$2028,1)+COUNTIF($W$2:W7,W7))-1,""))</f>
        <v/>
      </c>
      <c r="Y7" s="81" t="str">
        <f t="shared" ca="1" si="8"/>
        <v/>
      </c>
      <c r="Z7" s="81" t="str">
        <f ca="1">IF(Y7="","",IFERROR((RANK(Y7,$Y$2:$Y$2028,1)+COUNTIF($Y$2:Y7,Y7))-1,""))</f>
        <v/>
      </c>
      <c r="AA7" s="81" t="str">
        <f t="shared" si="9"/>
        <v/>
      </c>
      <c r="AB7" s="81" t="str">
        <f>IF(AA7="","",IFERROR((RANK(AA7,$AA$2:$AA$2028,1)+COUNTIF($AA$2:AA7,AA7))-1,""))</f>
        <v/>
      </c>
      <c r="AC7" s="81" t="str">
        <f t="shared" si="10"/>
        <v/>
      </c>
      <c r="AD7" s="81" t="str">
        <f>IF(AC7="","",IFERROR((RANK(AC7,$AC$2:$AC$2028,1)+COUNTIF($AC$2:AC7,AC7))-1,""))</f>
        <v/>
      </c>
      <c r="AE7" s="144" t="str">
        <f t="shared" si="11"/>
        <v/>
      </c>
      <c r="AF7" s="144" t="str">
        <f>IF(AE7="","",SUM($AE$2:AE7))</f>
        <v/>
      </c>
    </row>
    <row r="8" spans="1:32" s="57" customFormat="1" x14ac:dyDescent="0.35">
      <c r="A8" s="84" t="s">
        <v>63</v>
      </c>
      <c r="B8" s="85" t="s">
        <v>93</v>
      </c>
      <c r="C8" s="73" t="s">
        <v>43</v>
      </c>
      <c r="D8" s="162" t="s">
        <v>104</v>
      </c>
      <c r="E8" s="74" t="s">
        <v>105</v>
      </c>
      <c r="F8" s="75">
        <v>37488</v>
      </c>
      <c r="G8" s="72" t="s">
        <v>106</v>
      </c>
      <c r="H8" s="76">
        <v>45139</v>
      </c>
      <c r="I8" s="77">
        <v>45322</v>
      </c>
      <c r="J8" s="72" t="s">
        <v>97</v>
      </c>
      <c r="K8" s="78" t="s">
        <v>98</v>
      </c>
      <c r="L8" s="79" t="s">
        <v>107</v>
      </c>
      <c r="M8" s="80" t="s">
        <v>108</v>
      </c>
      <c r="N8" s="81">
        <f t="shared" si="0"/>
        <v>2</v>
      </c>
      <c r="O8" s="82" t="str">
        <f t="shared" si="1"/>
        <v>2-6101046008020005</v>
      </c>
      <c r="P8" s="81">
        <f t="shared" si="2"/>
        <v>5</v>
      </c>
      <c r="Q8" s="81" t="str">
        <f t="shared" si="3"/>
        <v/>
      </c>
      <c r="R8" s="83" t="str">
        <f t="shared" ca="1" si="4"/>
        <v/>
      </c>
      <c r="S8" s="81" t="str">
        <f t="shared" ca="1" si="5"/>
        <v/>
      </c>
      <c r="T8" s="81" t="str">
        <f ca="1">IF(S8=Dashboard!$D$12,S8,"")</f>
        <v/>
      </c>
      <c r="U8" s="81" t="str">
        <f t="shared" ca="1" si="6"/>
        <v/>
      </c>
      <c r="V8" s="83" t="str">
        <f ca="1">IF(U8="","",IFERROR((RANK(U8,$U$2:$U$2028,1)+COUNTIF($U$2:U8,U8))-1,""))</f>
        <v/>
      </c>
      <c r="W8" s="81" t="str">
        <f t="shared" si="7"/>
        <v/>
      </c>
      <c r="X8" s="81" t="str">
        <f>IF(W8="","",IFERROR((RANK(W8,$W$2:$W$2028,1)+COUNTIF($W$2:W8,W8))-1,""))</f>
        <v/>
      </c>
      <c r="Y8" s="81" t="str">
        <f t="shared" ca="1" si="8"/>
        <v/>
      </c>
      <c r="Z8" s="81" t="str">
        <f ca="1">IF(Y8="","",IFERROR((RANK(Y8,$Y$2:$Y$2028,1)+COUNTIF($Y$2:Y8,Y8))-1,""))</f>
        <v/>
      </c>
      <c r="AA8" s="81" t="str">
        <f t="shared" si="9"/>
        <v/>
      </c>
      <c r="AB8" s="81" t="str">
        <f>IF(AA8="","",IFERROR((RANK(AA8,$AA$2:$AA$2028,1)+COUNTIF($AA$2:AA8,AA8))-1,""))</f>
        <v/>
      </c>
      <c r="AC8" s="81" t="str">
        <f t="shared" si="10"/>
        <v/>
      </c>
      <c r="AD8" s="81" t="str">
        <f>IF(AC8="","",IFERROR((RANK(AC8,$AC$2:$AC$2028,1)+COUNTIF($AC$2:AC8,AC8))-1,""))</f>
        <v/>
      </c>
      <c r="AE8" s="144" t="str">
        <f t="shared" si="11"/>
        <v/>
      </c>
      <c r="AF8" s="144" t="str">
        <f>IF(AE8="","",SUM($AE$2:AE8))</f>
        <v/>
      </c>
    </row>
    <row r="9" spans="1:32" s="57" customFormat="1" x14ac:dyDescent="0.35">
      <c r="A9" s="84" t="s">
        <v>63</v>
      </c>
      <c r="B9" s="85" t="s">
        <v>93</v>
      </c>
      <c r="C9" s="73" t="s">
        <v>43</v>
      </c>
      <c r="D9" s="162" t="s">
        <v>104</v>
      </c>
      <c r="E9" s="74" t="s">
        <v>105</v>
      </c>
      <c r="F9" s="75">
        <v>37488</v>
      </c>
      <c r="G9" s="72" t="s">
        <v>106</v>
      </c>
      <c r="H9" s="76">
        <v>45352</v>
      </c>
      <c r="I9" s="77">
        <v>45535</v>
      </c>
      <c r="J9" s="72" t="s">
        <v>97</v>
      </c>
      <c r="K9" s="78" t="s">
        <v>98</v>
      </c>
      <c r="L9" s="79" t="s">
        <v>107</v>
      </c>
      <c r="M9" s="80" t="s">
        <v>108</v>
      </c>
      <c r="N9" s="81">
        <f t="shared" si="0"/>
        <v>3</v>
      </c>
      <c r="O9" s="82" t="str">
        <f t="shared" si="1"/>
        <v>3-6101046008020005</v>
      </c>
      <c r="P9" s="81">
        <f t="shared" si="2"/>
        <v>4</v>
      </c>
      <c r="Q9" s="81" t="str">
        <f t="shared" si="3"/>
        <v/>
      </c>
      <c r="R9" s="83" t="str">
        <f t="shared" ca="1" si="4"/>
        <v/>
      </c>
      <c r="S9" s="81" t="str">
        <f t="shared" ca="1" si="5"/>
        <v/>
      </c>
      <c r="T9" s="81" t="str">
        <f ca="1">IF(S9=Dashboard!$D$12,S9,"")</f>
        <v/>
      </c>
      <c r="U9" s="81" t="str">
        <f t="shared" ca="1" si="6"/>
        <v/>
      </c>
      <c r="V9" s="83" t="str">
        <f ca="1">IF(U9="","",IFERROR((RANK(U9,$U$2:$U$2028,1)+COUNTIF($U$2:U9,U9))-1,""))</f>
        <v/>
      </c>
      <c r="W9" s="81" t="str">
        <f t="shared" si="7"/>
        <v/>
      </c>
      <c r="X9" s="81" t="str">
        <f>IF(W9="","",IFERROR((RANK(W9,$W$2:$W$2028,1)+COUNTIF($W$2:W9,W9))-1,""))</f>
        <v/>
      </c>
      <c r="Y9" s="81" t="str">
        <f t="shared" ca="1" si="8"/>
        <v/>
      </c>
      <c r="Z9" s="81" t="str">
        <f ca="1">IF(Y9="","",IFERROR((RANK(Y9,$Y$2:$Y$2028,1)+COUNTIF($Y$2:Y9,Y9))-1,""))</f>
        <v/>
      </c>
      <c r="AA9" s="81" t="str">
        <f t="shared" si="9"/>
        <v/>
      </c>
      <c r="AB9" s="81" t="str">
        <f>IF(AA9="","",IFERROR((RANK(AA9,$AA$2:$AA$2028,1)+COUNTIF($AA$2:AA9,AA9))-1,""))</f>
        <v/>
      </c>
      <c r="AC9" s="81" t="str">
        <f t="shared" si="10"/>
        <v/>
      </c>
      <c r="AD9" s="81" t="str">
        <f>IF(AC9="","",IFERROR((RANK(AC9,$AC$2:$AC$2028,1)+COUNTIF($AC$2:AC9,AC9))-1,""))</f>
        <v/>
      </c>
      <c r="AE9" s="144" t="str">
        <f t="shared" si="11"/>
        <v/>
      </c>
      <c r="AF9" s="144" t="str">
        <f>IF(AE9="","",SUM($AE$2:AE9))</f>
        <v/>
      </c>
    </row>
    <row r="10" spans="1:32" s="57" customFormat="1" x14ac:dyDescent="0.35">
      <c r="A10" s="84" t="s">
        <v>63</v>
      </c>
      <c r="B10" s="85" t="s">
        <v>93</v>
      </c>
      <c r="C10" s="73" t="s">
        <v>43</v>
      </c>
      <c r="D10" s="162" t="s">
        <v>104</v>
      </c>
      <c r="E10" s="74" t="s">
        <v>105</v>
      </c>
      <c r="F10" s="75">
        <v>37488</v>
      </c>
      <c r="G10" s="72" t="s">
        <v>106</v>
      </c>
      <c r="H10" s="76">
        <v>45536</v>
      </c>
      <c r="I10" s="77">
        <v>45716</v>
      </c>
      <c r="J10" s="72" t="s">
        <v>97</v>
      </c>
      <c r="K10" s="78" t="s">
        <v>98</v>
      </c>
      <c r="L10" s="79" t="s">
        <v>107</v>
      </c>
      <c r="M10" s="80" t="s">
        <v>108</v>
      </c>
      <c r="N10" s="81">
        <f t="shared" si="0"/>
        <v>4</v>
      </c>
      <c r="O10" s="82" t="str">
        <f t="shared" si="1"/>
        <v>4-6101046008020005</v>
      </c>
      <c r="P10" s="81">
        <f t="shared" si="2"/>
        <v>3</v>
      </c>
      <c r="Q10" s="81" t="str">
        <f t="shared" si="3"/>
        <v/>
      </c>
      <c r="R10" s="83" t="str">
        <f t="shared" ca="1" si="4"/>
        <v/>
      </c>
      <c r="S10" s="81" t="str">
        <f t="shared" ca="1" si="5"/>
        <v/>
      </c>
      <c r="T10" s="81" t="str">
        <f ca="1">IF(S10=Dashboard!$D$12,S10,"")</f>
        <v/>
      </c>
      <c r="U10" s="81" t="str">
        <f t="shared" ca="1" si="6"/>
        <v/>
      </c>
      <c r="V10" s="83" t="str">
        <f ca="1">IF(U10="","",IFERROR((RANK(U10,$U$2:$U$2028,1)+COUNTIF($U$2:U10,U10))-1,""))</f>
        <v/>
      </c>
      <c r="W10" s="81" t="str">
        <f t="shared" si="7"/>
        <v/>
      </c>
      <c r="X10" s="81" t="str">
        <f>IF(W10="","",IFERROR((RANK(W10,$W$2:$W$2028,1)+COUNTIF($W$2:W10,W10))-1,""))</f>
        <v/>
      </c>
      <c r="Y10" s="81" t="str">
        <f t="shared" ca="1" si="8"/>
        <v/>
      </c>
      <c r="Z10" s="81" t="str">
        <f ca="1">IF(Y10="","",IFERROR((RANK(Y10,$Y$2:$Y$2028,1)+COUNTIF($Y$2:Y10,Y10))-1,""))</f>
        <v/>
      </c>
      <c r="AA10" s="81" t="str">
        <f t="shared" si="9"/>
        <v/>
      </c>
      <c r="AB10" s="81" t="str">
        <f>IF(AA10="","",IFERROR((RANK(AA10,$AA$2:$AA$2028,1)+COUNTIF($AA$2:AA10,AA10))-1,""))</f>
        <v/>
      </c>
      <c r="AC10" s="81" t="str">
        <f t="shared" si="10"/>
        <v/>
      </c>
      <c r="AD10" s="81" t="str">
        <f>IF(AC10="","",IFERROR((RANK(AC10,$AC$2:$AC$2028,1)+COUNTIF($AC$2:AC10,AC10))-1,""))</f>
        <v/>
      </c>
      <c r="AE10" s="144" t="str">
        <f t="shared" si="11"/>
        <v/>
      </c>
      <c r="AF10" s="144" t="str">
        <f>IF(AE10="","",SUM($AE$2:AE10))</f>
        <v/>
      </c>
    </row>
    <row r="11" spans="1:32" s="57" customFormat="1" x14ac:dyDescent="0.35">
      <c r="A11" s="84" t="s">
        <v>63</v>
      </c>
      <c r="B11" s="85" t="s">
        <v>93</v>
      </c>
      <c r="C11" s="73" t="s">
        <v>43</v>
      </c>
      <c r="D11" s="162" t="s">
        <v>104</v>
      </c>
      <c r="E11" s="74" t="s">
        <v>105</v>
      </c>
      <c r="F11" s="75">
        <v>37488</v>
      </c>
      <c r="G11" s="72" t="s">
        <v>106</v>
      </c>
      <c r="H11" s="76">
        <v>45748</v>
      </c>
      <c r="I11" s="77">
        <v>45930</v>
      </c>
      <c r="J11" s="72" t="s">
        <v>97</v>
      </c>
      <c r="K11" s="78" t="s">
        <v>98</v>
      </c>
      <c r="L11" s="79" t="s">
        <v>109</v>
      </c>
      <c r="M11" s="80" t="s">
        <v>108</v>
      </c>
      <c r="N11" s="81">
        <f t="shared" si="0"/>
        <v>5</v>
      </c>
      <c r="O11" s="82" t="str">
        <f t="shared" ref="O11:O12" si="30">IF(A11="","",N11&amp;"-"&amp;M11)</f>
        <v>5-6101046008020005</v>
      </c>
      <c r="P11" s="81">
        <f t="shared" si="2"/>
        <v>2</v>
      </c>
      <c r="Q11" s="81" t="str">
        <f t="shared" ref="Q11:Q12" si="31">IF(A11="","",IF(P11=1,M11,""))</f>
        <v/>
      </c>
      <c r="R11" s="83" t="str">
        <f t="shared" ref="R11:R12" ca="1" si="32">IF(Q11="","",I11-TODAY())</f>
        <v/>
      </c>
      <c r="S11" s="81" t="str">
        <f t="shared" ref="S11:S12" ca="1" si="33">IF(R11="","",
IF(R11&lt;-90,"Pass&gt;90",IF(R11&lt;-60,"Pass 61-90",IF(R11&lt;-30,"Pass 31-60",IF(R11&lt;0,"Pass 0-30",IF(R11&lt;31,"Run 0-30",IF(R11&lt;61,"Run 31-60",IF(R11&lt;91,"Run 60-90","Run &gt;90"))))))))</f>
        <v/>
      </c>
      <c r="T11" s="81" t="str">
        <f ca="1">IF(S11=Dashboard!$D$12,S11,"")</f>
        <v/>
      </c>
      <c r="U11" s="81" t="str">
        <f t="shared" ref="U11:U12" ca="1" si="34">IF(T11="","",R11)</f>
        <v/>
      </c>
      <c r="V11" s="83" t="str">
        <f ca="1">IF(U11="","",IFERROR((RANK(U11,$U$2:$U$2028,1)+COUNTIF($U$2:U11,U11))-1,""))</f>
        <v/>
      </c>
      <c r="W11" s="81" t="str">
        <f t="shared" si="7"/>
        <v/>
      </c>
      <c r="X11" s="81" t="str">
        <f>IF(W11="","",IFERROR((RANK(W11,$W$2:$W$2028,1)+COUNTIF($W$2:W11,W11))-1,""))</f>
        <v/>
      </c>
      <c r="Y11" s="81" t="str">
        <f t="shared" ca="1" si="8"/>
        <v/>
      </c>
      <c r="Z11" s="81" t="str">
        <f ca="1">IF(Y11="","",IFERROR((RANK(Y11,$Y$2:$Y$2028,1)+COUNTIF($Y$2:Y11,Y11))-1,""))</f>
        <v/>
      </c>
      <c r="AA11" s="81" t="str">
        <f t="shared" si="9"/>
        <v/>
      </c>
      <c r="AB11" s="81" t="str">
        <f>IF(AA11="","",IFERROR((RANK(AA11,$AA$2:$AA$2028,1)+COUNTIF($AA$2:AA11,AA11))-1,""))</f>
        <v/>
      </c>
      <c r="AC11" s="81" t="str">
        <f t="shared" si="10"/>
        <v/>
      </c>
      <c r="AD11" s="81" t="str">
        <f>IF(AC11="","",IFERROR((RANK(AC11,$AC$2:$AC$2028,1)+COUNTIF($AC$2:AC11,AC11))-1,""))</f>
        <v/>
      </c>
      <c r="AE11" s="144" t="str">
        <f t="shared" ref="AE11:AE12" si="35">IF(P11=1,P11,"")</f>
        <v/>
      </c>
      <c r="AF11" s="144" t="str">
        <f>IF(AE11="","",SUM($AE$2:AE11))</f>
        <v/>
      </c>
    </row>
    <row r="12" spans="1:32" x14ac:dyDescent="0.35">
      <c r="A12" s="86" t="s">
        <v>63</v>
      </c>
      <c r="B12" s="84" t="s">
        <v>93</v>
      </c>
      <c r="C12" s="73" t="s">
        <v>43</v>
      </c>
      <c r="D12" s="164" t="s">
        <v>104</v>
      </c>
      <c r="E12" s="160" t="s">
        <v>105</v>
      </c>
      <c r="F12" s="88">
        <v>37488</v>
      </c>
      <c r="G12" s="86" t="s">
        <v>110</v>
      </c>
      <c r="H12" s="141">
        <v>45931</v>
      </c>
      <c r="I12" s="141">
        <v>46112</v>
      </c>
      <c r="J12" s="142" t="s">
        <v>97</v>
      </c>
      <c r="K12" s="142" t="s">
        <v>98</v>
      </c>
      <c r="L12" s="79" t="s">
        <v>111</v>
      </c>
      <c r="M12" s="161" t="s">
        <v>108</v>
      </c>
      <c r="N12" s="81">
        <f t="shared" si="0"/>
        <v>6</v>
      </c>
      <c r="O12" s="82" t="str">
        <f t="shared" si="30"/>
        <v>6-6101046008020005</v>
      </c>
      <c r="P12" s="81">
        <f t="shared" si="2"/>
        <v>1</v>
      </c>
      <c r="Q12" s="81" t="str">
        <f t="shared" si="31"/>
        <v>6101046008020005</v>
      </c>
      <c r="R12" s="83">
        <f t="shared" ca="1" si="32"/>
        <v>-4</v>
      </c>
      <c r="S12" s="81" t="str">
        <f t="shared" ca="1" si="33"/>
        <v>Pass 0-30</v>
      </c>
      <c r="T12" s="81" t="str">
        <f ca="1">IF(S12=Dashboard!$D$12,S12,"")</f>
        <v>Pass 0-30</v>
      </c>
      <c r="U12" s="81">
        <f t="shared" ca="1" si="34"/>
        <v>-4</v>
      </c>
      <c r="V12" s="83">
        <f ca="1">IF(U12="","",IFERROR((RANK(U12,$U$2:$U$2028,1)+COUNTIF($U$2:U12,U12))-1,""))</f>
        <v>1</v>
      </c>
      <c r="W12" s="81" t="str">
        <f t="shared" si="7"/>
        <v/>
      </c>
      <c r="X12" s="81" t="str">
        <f>IF(W12="","",IFERROR((RANK(W12,$W$2:$W$2028,1)+COUNTIF($W$2:W12,W12))-1,""))</f>
        <v/>
      </c>
      <c r="Y12" s="81">
        <f t="shared" ca="1" si="8"/>
        <v>-4</v>
      </c>
      <c r="Z12" s="81">
        <f ca="1">IF(Y12="","",IFERROR((RANK(Y12,$Y$2:$Y$2028,1)+COUNTIF($Y$2:Y12,Y12))-1,""))</f>
        <v>1</v>
      </c>
      <c r="AA12" s="81" t="str">
        <f t="shared" si="9"/>
        <v/>
      </c>
      <c r="AB12" s="81" t="str">
        <f>IF(AA12="","",IFERROR((RANK(AA12,$AA$2:$AA$2028,1)+COUNTIF($AA$2:AA12,AA12))-1,""))</f>
        <v/>
      </c>
      <c r="AC12" s="81" t="str">
        <f t="shared" si="10"/>
        <v/>
      </c>
      <c r="AD12" s="81" t="str">
        <f>IF(AC12="","",IFERROR((RANK(AC12,$AC$2:$AC$2028,1)+COUNTIF($AC$2:AC12,AC12))-1,""))</f>
        <v/>
      </c>
      <c r="AE12" s="144">
        <f t="shared" si="35"/>
        <v>1</v>
      </c>
      <c r="AF12" s="144">
        <f>IF(AE12="","",SUM($AE$2:AE12))</f>
        <v>2</v>
      </c>
    </row>
    <row r="13" spans="1:32" x14ac:dyDescent="0.35">
      <c r="A13" s="84" t="s">
        <v>63</v>
      </c>
      <c r="B13" s="85" t="s">
        <v>93</v>
      </c>
      <c r="C13" s="73" t="s">
        <v>43</v>
      </c>
      <c r="D13" s="162" t="s">
        <v>112</v>
      </c>
      <c r="E13" s="74" t="s">
        <v>113</v>
      </c>
      <c r="F13" s="75">
        <v>36780</v>
      </c>
      <c r="G13" s="72" t="s">
        <v>114</v>
      </c>
      <c r="H13" s="76">
        <v>45566</v>
      </c>
      <c r="I13" s="77">
        <v>45747</v>
      </c>
      <c r="J13" s="72" t="s">
        <v>97</v>
      </c>
      <c r="K13" s="78" t="s">
        <v>98</v>
      </c>
      <c r="L13" s="79" t="s">
        <v>115</v>
      </c>
      <c r="M13" s="80" t="s">
        <v>116</v>
      </c>
      <c r="N13" s="81">
        <f t="shared" si="0"/>
        <v>1</v>
      </c>
      <c r="O13" s="82" t="str">
        <f t="shared" si="1"/>
        <v>1-6101165109000001</v>
      </c>
      <c r="P13" s="81">
        <f t="shared" si="2"/>
        <v>3</v>
      </c>
      <c r="Q13" s="81" t="str">
        <f t="shared" si="3"/>
        <v/>
      </c>
      <c r="R13" s="83" t="str">
        <f t="shared" ca="1" si="4"/>
        <v/>
      </c>
      <c r="S13" s="81" t="str">
        <f t="shared" ca="1" si="5"/>
        <v/>
      </c>
      <c r="T13" s="81" t="str">
        <f ca="1">IF(S13=Dashboard!$D$12,S13,"")</f>
        <v/>
      </c>
      <c r="U13" s="81" t="str">
        <f t="shared" ca="1" si="6"/>
        <v/>
      </c>
      <c r="V13" s="83" t="str">
        <f ca="1">IF(U13="","",IFERROR((RANK(U13,$U$2:$U$2028,1)+COUNTIF($U$2:U13,U13))-1,""))</f>
        <v/>
      </c>
      <c r="W13" s="81" t="str">
        <f t="shared" si="7"/>
        <v/>
      </c>
      <c r="X13" s="81" t="str">
        <f>IF(W13="","",IFERROR((RANK(W13,$W$2:$W$2028,1)+COUNTIF($W$2:W13,W13))-1,""))</f>
        <v/>
      </c>
      <c r="Y13" s="81" t="str">
        <f t="shared" ca="1" si="8"/>
        <v/>
      </c>
      <c r="Z13" s="81" t="str">
        <f ca="1">IF(Y13="","",IFERROR((RANK(Y13,$Y$2:$Y$2028,1)+COUNTIF($Y$2:Y13,Y13))-1,""))</f>
        <v/>
      </c>
      <c r="AA13" s="81" t="str">
        <f t="shared" si="9"/>
        <v/>
      </c>
      <c r="AB13" s="81" t="str">
        <f>IF(AA13="","",IFERROR((RANK(AA13,$AA$2:$AA$2028,1)+COUNTIF($AA$2:AA13,AA13))-1,""))</f>
        <v/>
      </c>
      <c r="AC13" s="81" t="str">
        <f t="shared" si="10"/>
        <v/>
      </c>
      <c r="AD13" s="81" t="str">
        <f>IF(AC13="","",IFERROR((RANK(AC13,$AC$2:$AC$2028,1)+COUNTIF($AC$2:AC13,AC13))-1,""))</f>
        <v/>
      </c>
      <c r="AE13" s="144" t="str">
        <f t="shared" si="11"/>
        <v/>
      </c>
      <c r="AF13" s="144" t="str">
        <f>IF(AE13="","",SUM($AE$2:AE13))</f>
        <v/>
      </c>
    </row>
    <row r="14" spans="1:32" x14ac:dyDescent="0.35">
      <c r="A14" s="84" t="s">
        <v>63</v>
      </c>
      <c r="B14" s="85" t="s">
        <v>93</v>
      </c>
      <c r="C14" s="73" t="s">
        <v>43</v>
      </c>
      <c r="D14" s="162" t="s">
        <v>112</v>
      </c>
      <c r="E14" s="74" t="s">
        <v>113</v>
      </c>
      <c r="F14" s="75">
        <v>36780</v>
      </c>
      <c r="G14" s="72" t="s">
        <v>114</v>
      </c>
      <c r="H14" s="76">
        <v>45748</v>
      </c>
      <c r="I14" s="77">
        <v>45930</v>
      </c>
      <c r="J14" s="72" t="s">
        <v>97</v>
      </c>
      <c r="K14" s="78" t="s">
        <v>98</v>
      </c>
      <c r="L14" s="79" t="s">
        <v>117</v>
      </c>
      <c r="M14" s="80" t="s">
        <v>116</v>
      </c>
      <c r="N14" s="81">
        <f t="shared" si="0"/>
        <v>2</v>
      </c>
      <c r="O14" s="82" t="str">
        <f t="shared" ref="O14" si="36">IF(A14="","",N14&amp;"-"&amp;M14)</f>
        <v>2-6101165109000001</v>
      </c>
      <c r="P14" s="81">
        <f t="shared" si="2"/>
        <v>2</v>
      </c>
      <c r="Q14" s="81" t="str">
        <f t="shared" ref="Q14" si="37">IF(A14="","",IF(P14=1,M14,""))</f>
        <v/>
      </c>
      <c r="R14" s="83" t="str">
        <f t="shared" ref="R14" ca="1" si="38">IF(Q14="","",I14-TODAY())</f>
        <v/>
      </c>
      <c r="S14" s="81" t="str">
        <f t="shared" ref="S14" ca="1" si="39">IF(R14="","",
IF(R14&lt;-90,"Pass&gt;90",IF(R14&lt;-60,"Pass 61-90",IF(R14&lt;-30,"Pass 31-60",IF(R14&lt;0,"Pass 0-30",IF(R14&lt;31,"Run 0-30",IF(R14&lt;61,"Run 31-60",IF(R14&lt;91,"Run 60-90","Run &gt;90"))))))))</f>
        <v/>
      </c>
      <c r="T14" s="81" t="str">
        <f ca="1">IF(S14=Dashboard!$D$12,S14,"")</f>
        <v/>
      </c>
      <c r="U14" s="81" t="str">
        <f t="shared" ref="U14" ca="1" si="40">IF(T14="","",R14)</f>
        <v/>
      </c>
      <c r="V14" s="83" t="str">
        <f ca="1">IF(U14="","",IFERROR((RANK(U14,$U$2:$U$2028,1)+COUNTIF($U$2:U14,U14))-1,""))</f>
        <v/>
      </c>
      <c r="W14" s="81" t="str">
        <f t="shared" si="7"/>
        <v/>
      </c>
      <c r="X14" s="81" t="str">
        <f>IF(W14="","",IFERROR((RANK(W14,$W$2:$W$2028,1)+COUNTIF($W$2:W14,W14))-1,""))</f>
        <v/>
      </c>
      <c r="Y14" s="81" t="str">
        <f t="shared" ca="1" si="8"/>
        <v/>
      </c>
      <c r="Z14" s="81" t="str">
        <f ca="1">IF(Y14="","",IFERROR((RANK(Y14,$Y$2:$Y$2028,1)+COUNTIF($Y$2:Y14,Y14))-1,""))</f>
        <v/>
      </c>
      <c r="AA14" s="81" t="str">
        <f t="shared" si="9"/>
        <v/>
      </c>
      <c r="AB14" s="81" t="str">
        <f>IF(AA14="","",IFERROR((RANK(AA14,$AA$2:$AA$2028,1)+COUNTIF($AA$2:AA14,AA14))-1,""))</f>
        <v/>
      </c>
      <c r="AC14" s="81" t="str">
        <f t="shared" si="10"/>
        <v/>
      </c>
      <c r="AD14" s="81" t="str">
        <f>IF(AC14="","",IFERROR((RANK(AC14,$AC$2:$AC$2028,1)+COUNTIF($AC$2:AC14,AC14))-1,""))</f>
        <v/>
      </c>
      <c r="AE14" s="144" t="str">
        <f t="shared" ref="AE14" si="41">IF(P14=1,P14,"")</f>
        <v/>
      </c>
      <c r="AF14" s="144" t="str">
        <f>IF(AE14="","",SUM($AE$2:AE14))</f>
        <v/>
      </c>
    </row>
    <row r="15" spans="1:32" x14ac:dyDescent="0.35">
      <c r="A15" s="84" t="s">
        <v>63</v>
      </c>
      <c r="B15" s="85" t="s">
        <v>93</v>
      </c>
      <c r="C15" s="73" t="s">
        <v>43</v>
      </c>
      <c r="D15" s="165" t="s">
        <v>112</v>
      </c>
      <c r="E15" s="74" t="s">
        <v>113</v>
      </c>
      <c r="F15" s="75">
        <v>36780</v>
      </c>
      <c r="G15" s="72" t="s">
        <v>114</v>
      </c>
      <c r="H15" s="76">
        <v>45962</v>
      </c>
      <c r="I15" s="77">
        <v>46142</v>
      </c>
      <c r="J15" s="72" t="s">
        <v>97</v>
      </c>
      <c r="K15" s="78" t="s">
        <v>98</v>
      </c>
      <c r="L15" s="79" t="s">
        <v>118</v>
      </c>
      <c r="M15" s="80" t="s">
        <v>116</v>
      </c>
      <c r="N15" s="81">
        <f t="shared" si="0"/>
        <v>3</v>
      </c>
      <c r="O15" s="82" t="str">
        <f t="shared" ref="O15" si="42">IF(A15="","",N15&amp;"-"&amp;M15)</f>
        <v>3-6101165109000001</v>
      </c>
      <c r="P15" s="81">
        <f t="shared" si="2"/>
        <v>1</v>
      </c>
      <c r="Q15" s="81" t="str">
        <f t="shared" ref="Q15" si="43">IF(A15="","",IF(P15=1,M15,""))</f>
        <v>6101165109000001</v>
      </c>
      <c r="R15" s="83">
        <f t="shared" ref="R15" ca="1" si="44">IF(Q15="","",I15-TODAY())</f>
        <v>26</v>
      </c>
      <c r="S15" s="81" t="str">
        <f t="shared" ref="S15" ca="1" si="45">IF(R15="","",
IF(R15&lt;-90,"Pass&gt;90",IF(R15&lt;-60,"Pass 61-90",IF(R15&lt;-30,"Pass 31-60",IF(R15&lt;0,"Pass 0-30",IF(R15&lt;31,"Run 0-30",IF(R15&lt;61,"Run 31-60",IF(R15&lt;91,"Run 60-90","Run &gt;90"))))))))</f>
        <v>Run 0-30</v>
      </c>
      <c r="T15" s="81" t="str">
        <f ca="1">IF(S15=Dashboard!$D$12,S15,"")</f>
        <v/>
      </c>
      <c r="U15" s="81" t="str">
        <f t="shared" ref="U15" ca="1" si="46">IF(T15="","",R15)</f>
        <v/>
      </c>
      <c r="V15" s="83" t="str">
        <f ca="1">IF(U15="","",IFERROR((RANK(U15,$U$2:$U$2028,1)+COUNTIF($U$2:U15,U15))-1,""))</f>
        <v/>
      </c>
      <c r="W15" s="81" t="str">
        <f t="shared" si="7"/>
        <v/>
      </c>
      <c r="X15" s="81" t="str">
        <f>IF(W15="","",IFERROR((RANK(W15,$W$2:$W$2028,1)+COUNTIF($W$2:W15,W15))-1,""))</f>
        <v/>
      </c>
      <c r="Y15" s="81" t="str">
        <f t="shared" ca="1" si="8"/>
        <v/>
      </c>
      <c r="Z15" s="81" t="str">
        <f ca="1">IF(Y15="","",IFERROR((RANK(Y15,$Y$2:$Y$2028,1)+COUNTIF($Y$2:Y15,Y15))-1,""))</f>
        <v/>
      </c>
      <c r="AA15" s="81" t="str">
        <f t="shared" si="9"/>
        <v/>
      </c>
      <c r="AB15" s="81" t="str">
        <f>IF(AA15="","",IFERROR((RANK(AA15,$AA$2:$AA$2028,1)+COUNTIF($AA$2:AA15,AA15))-1,""))</f>
        <v/>
      </c>
      <c r="AC15" s="81" t="str">
        <f t="shared" si="10"/>
        <v/>
      </c>
      <c r="AD15" s="81" t="str">
        <f>IF(AC15="","",IFERROR((RANK(AC15,$AC$2:$AC$2028,1)+COUNTIF($AC$2:AC15,AC15))-1,""))</f>
        <v/>
      </c>
      <c r="AE15" s="144">
        <f t="shared" ref="AE15" si="47">IF(P15=1,P15,"")</f>
        <v>1</v>
      </c>
      <c r="AF15" s="144">
        <f>IF(AE15="","",SUM($AE$2:AE15))</f>
        <v>3</v>
      </c>
    </row>
    <row r="16" spans="1:32" x14ac:dyDescent="0.35">
      <c r="A16" s="72" t="s">
        <v>63</v>
      </c>
      <c r="B16" s="73" t="s">
        <v>93</v>
      </c>
      <c r="C16" s="73" t="s">
        <v>43</v>
      </c>
      <c r="D16" s="162" t="s">
        <v>119</v>
      </c>
      <c r="E16" s="74" t="s">
        <v>120</v>
      </c>
      <c r="F16" s="75">
        <v>36993</v>
      </c>
      <c r="G16" s="72" t="s">
        <v>121</v>
      </c>
      <c r="H16" s="76">
        <v>45566</v>
      </c>
      <c r="I16" s="77">
        <v>45747</v>
      </c>
      <c r="J16" s="72" t="s">
        <v>97</v>
      </c>
      <c r="K16" s="78" t="s">
        <v>98</v>
      </c>
      <c r="L16" s="79" t="s">
        <v>122</v>
      </c>
      <c r="M16" s="80" t="s">
        <v>123</v>
      </c>
      <c r="N16" s="81">
        <f t="shared" si="0"/>
        <v>1</v>
      </c>
      <c r="O16" s="82" t="str">
        <f t="shared" si="1"/>
        <v>1-6101165204010001</v>
      </c>
      <c r="P16" s="81">
        <f t="shared" si="2"/>
        <v>3</v>
      </c>
      <c r="Q16" s="81" t="str">
        <f t="shared" si="3"/>
        <v/>
      </c>
      <c r="R16" s="83" t="str">
        <f t="shared" ca="1" si="4"/>
        <v/>
      </c>
      <c r="S16" s="81" t="str">
        <f t="shared" ca="1" si="5"/>
        <v/>
      </c>
      <c r="T16" s="81" t="str">
        <f ca="1">IF(S16=Dashboard!$D$12,S16,"")</f>
        <v/>
      </c>
      <c r="U16" s="81" t="str">
        <f t="shared" ca="1" si="6"/>
        <v/>
      </c>
      <c r="V16" s="83" t="str">
        <f ca="1">IF(U16="","",IFERROR((RANK(U16,$U$2:$U$2028,1)+COUNTIF($U$2:U16,U16))-1,""))</f>
        <v/>
      </c>
      <c r="W16" s="81" t="str">
        <f t="shared" si="7"/>
        <v/>
      </c>
      <c r="X16" s="81" t="str">
        <f>IF(W16="","",IFERROR((RANK(W16,$W$2:$W$2028,1)+COUNTIF($W$2:W16,W16))-1,""))</f>
        <v/>
      </c>
      <c r="Y16" s="81" t="str">
        <f t="shared" ca="1" si="8"/>
        <v/>
      </c>
      <c r="Z16" s="81" t="str">
        <f ca="1">IF(Y16="","",IFERROR((RANK(Y16,$Y$2:$Y$2028,1)+COUNTIF($Y$2:Y16,Y16))-1,""))</f>
        <v/>
      </c>
      <c r="AA16" s="81" t="str">
        <f t="shared" si="9"/>
        <v/>
      </c>
      <c r="AB16" s="81" t="str">
        <f>IF(AA16="","",IFERROR((RANK(AA16,$AA$2:$AA$2028,1)+COUNTIF($AA$2:AA16,AA16))-1,""))</f>
        <v/>
      </c>
      <c r="AC16" s="81" t="str">
        <f t="shared" si="10"/>
        <v/>
      </c>
      <c r="AD16" s="81" t="str">
        <f>IF(AC16="","",IFERROR((RANK(AC16,$AC$2:$AC$2028,1)+COUNTIF($AC$2:AC16,AC16))-1,""))</f>
        <v/>
      </c>
      <c r="AE16" s="144" t="str">
        <f t="shared" si="11"/>
        <v/>
      </c>
      <c r="AF16" s="144" t="str">
        <f>IF(AE16="","",SUM($AE$2:AE16))</f>
        <v/>
      </c>
    </row>
    <row r="17" spans="1:32" x14ac:dyDescent="0.35">
      <c r="A17" s="72" t="s">
        <v>63</v>
      </c>
      <c r="B17" s="73" t="s">
        <v>93</v>
      </c>
      <c r="C17" s="73" t="s">
        <v>43</v>
      </c>
      <c r="D17" s="162" t="s">
        <v>119</v>
      </c>
      <c r="E17" s="74" t="s">
        <v>120</v>
      </c>
      <c r="F17" s="75">
        <v>36993</v>
      </c>
      <c r="G17" s="72" t="s">
        <v>121</v>
      </c>
      <c r="H17" s="76">
        <v>45748</v>
      </c>
      <c r="I17" s="77">
        <v>45930</v>
      </c>
      <c r="J17" s="72" t="s">
        <v>97</v>
      </c>
      <c r="K17" s="78" t="s">
        <v>98</v>
      </c>
      <c r="L17" s="79" t="s">
        <v>124</v>
      </c>
      <c r="M17" s="80" t="s">
        <v>123</v>
      </c>
      <c r="N17" s="81">
        <f t="shared" si="0"/>
        <v>2</v>
      </c>
      <c r="O17" s="82" t="str">
        <f t="shared" ref="O17" si="48">IF(A17="","",N17&amp;"-"&amp;M17)</f>
        <v>2-6101165204010001</v>
      </c>
      <c r="P17" s="81">
        <f t="shared" si="2"/>
        <v>2</v>
      </c>
      <c r="Q17" s="81" t="str">
        <f t="shared" ref="Q17" si="49">IF(A17="","",IF(P17=1,M17,""))</f>
        <v/>
      </c>
      <c r="R17" s="83" t="str">
        <f t="shared" ref="R17" ca="1" si="50">IF(Q17="","",I17-TODAY())</f>
        <v/>
      </c>
      <c r="S17" s="81" t="str">
        <f t="shared" ref="S17" ca="1" si="51">IF(R17="","",
IF(R17&lt;-90,"Pass&gt;90",IF(R17&lt;-60,"Pass 61-90",IF(R17&lt;-30,"Pass 31-60",IF(R17&lt;0,"Pass 0-30",IF(R17&lt;31,"Run 0-30",IF(R17&lt;61,"Run 31-60",IF(R17&lt;91,"Run 60-90","Run &gt;90"))))))))</f>
        <v/>
      </c>
      <c r="T17" s="81" t="str">
        <f ca="1">IF(S17=Dashboard!$D$12,S17,"")</f>
        <v/>
      </c>
      <c r="U17" s="81" t="str">
        <f t="shared" ref="U17" ca="1" si="52">IF(T17="","",R17)</f>
        <v/>
      </c>
      <c r="V17" s="83" t="str">
        <f ca="1">IF(U17="","",IFERROR((RANK(U17,$U$2:$U$2028,1)+COUNTIF($U$2:U17,U17))-1,""))</f>
        <v/>
      </c>
      <c r="W17" s="81" t="str">
        <f t="shared" si="7"/>
        <v/>
      </c>
      <c r="X17" s="81" t="str">
        <f>IF(W17="","",IFERROR((RANK(W17,$W$2:$W$2028,1)+COUNTIF($W$2:W17,W17))-1,""))</f>
        <v/>
      </c>
      <c r="Y17" s="81" t="str">
        <f t="shared" ca="1" si="8"/>
        <v/>
      </c>
      <c r="Z17" s="81" t="str">
        <f ca="1">IF(Y17="","",IFERROR((RANK(Y17,$Y$2:$Y$2028,1)+COUNTIF($Y$2:Y17,Y17))-1,""))</f>
        <v/>
      </c>
      <c r="AA17" s="81" t="str">
        <f t="shared" si="9"/>
        <v/>
      </c>
      <c r="AB17" s="81" t="str">
        <f>IF(AA17="","",IFERROR((RANK(AA17,$AA$2:$AA$2028,1)+COUNTIF($AA$2:AA17,AA17))-1,""))</f>
        <v/>
      </c>
      <c r="AC17" s="81" t="str">
        <f t="shared" si="10"/>
        <v/>
      </c>
      <c r="AD17" s="81" t="str">
        <f>IF(AC17="","",IFERROR((RANK(AC17,$AC$2:$AC$2028,1)+COUNTIF($AC$2:AC17,AC17))-1,""))</f>
        <v/>
      </c>
      <c r="AE17" s="144" t="str">
        <f t="shared" ref="AE17" si="53">IF(P17=1,P17,"")</f>
        <v/>
      </c>
      <c r="AF17" s="144" t="str">
        <f>IF(AE17="","",SUM($AE$2:AE17))</f>
        <v/>
      </c>
    </row>
    <row r="18" spans="1:32" x14ac:dyDescent="0.35">
      <c r="A18" s="72" t="s">
        <v>63</v>
      </c>
      <c r="B18" s="73" t="s">
        <v>93</v>
      </c>
      <c r="C18" s="73" t="s">
        <v>43</v>
      </c>
      <c r="D18" s="165" t="s">
        <v>119</v>
      </c>
      <c r="E18" s="74" t="s">
        <v>120</v>
      </c>
      <c r="F18" s="75">
        <v>36993</v>
      </c>
      <c r="G18" s="72" t="s">
        <v>121</v>
      </c>
      <c r="H18" s="76">
        <v>45962</v>
      </c>
      <c r="I18" s="77">
        <v>46142</v>
      </c>
      <c r="J18" s="72" t="s">
        <v>97</v>
      </c>
      <c r="K18" s="78" t="s">
        <v>98</v>
      </c>
      <c r="L18" s="79" t="s">
        <v>125</v>
      </c>
      <c r="M18" s="80" t="s">
        <v>123</v>
      </c>
      <c r="N18" s="81">
        <f t="shared" si="0"/>
        <v>3</v>
      </c>
      <c r="O18" s="82" t="str">
        <f t="shared" ref="O18" si="54">IF(A18="","",N18&amp;"-"&amp;M18)</f>
        <v>3-6101165204010001</v>
      </c>
      <c r="P18" s="81">
        <f t="shared" si="2"/>
        <v>1</v>
      </c>
      <c r="Q18" s="81" t="str">
        <f t="shared" ref="Q18" si="55">IF(A18="","",IF(P18=1,M18,""))</f>
        <v>6101165204010001</v>
      </c>
      <c r="R18" s="83">
        <f t="shared" ref="R18" ca="1" si="56">IF(Q18="","",I18-TODAY())</f>
        <v>26</v>
      </c>
      <c r="S18" s="81" t="str">
        <f t="shared" ref="S18" ca="1" si="57">IF(R18="","",
IF(R18&lt;-90,"Pass&gt;90",IF(R18&lt;-60,"Pass 61-90",IF(R18&lt;-30,"Pass 31-60",IF(R18&lt;0,"Pass 0-30",IF(R18&lt;31,"Run 0-30",IF(R18&lt;61,"Run 31-60",IF(R18&lt;91,"Run 60-90","Run &gt;90"))))))))</f>
        <v>Run 0-30</v>
      </c>
      <c r="T18" s="81" t="str">
        <f ca="1">IF(S18=Dashboard!$D$12,S18,"")</f>
        <v/>
      </c>
      <c r="U18" s="81" t="str">
        <f t="shared" ref="U18" ca="1" si="58">IF(T18="","",R18)</f>
        <v/>
      </c>
      <c r="V18" s="83" t="str">
        <f ca="1">IF(U18="","",IFERROR((RANK(U18,$U$2:$U$2028,1)+COUNTIF($U$2:U18,U18))-1,""))</f>
        <v/>
      </c>
      <c r="W18" s="81" t="str">
        <f t="shared" si="7"/>
        <v/>
      </c>
      <c r="X18" s="81" t="str">
        <f>IF(W18="","",IFERROR((RANK(W18,$W$2:$W$2028,1)+COUNTIF($W$2:W18,W18))-1,""))</f>
        <v/>
      </c>
      <c r="Y18" s="81" t="str">
        <f t="shared" ca="1" si="8"/>
        <v/>
      </c>
      <c r="Z18" s="81" t="str">
        <f ca="1">IF(Y18="","",IFERROR((RANK(Y18,$Y$2:$Y$2028,1)+COUNTIF($Y$2:Y18,Y18))-1,""))</f>
        <v/>
      </c>
      <c r="AA18" s="81" t="str">
        <f t="shared" si="9"/>
        <v/>
      </c>
      <c r="AB18" s="81" t="str">
        <f>IF(AA18="","",IFERROR((RANK(AA18,$AA$2:$AA$2028,1)+COUNTIF($AA$2:AA18,AA18))-1,""))</f>
        <v/>
      </c>
      <c r="AC18" s="81" t="str">
        <f t="shared" si="10"/>
        <v/>
      </c>
      <c r="AD18" s="81" t="str">
        <f>IF(AC18="","",IFERROR((RANK(AC18,$AC$2:$AC$2028,1)+COUNTIF($AC$2:AC18,AC18))-1,""))</f>
        <v/>
      </c>
      <c r="AE18" s="144">
        <f t="shared" ref="AE18" si="59">IF(P18=1,P18,"")</f>
        <v>1</v>
      </c>
      <c r="AF18" s="144">
        <f>IF(AE18="","",SUM($AE$2:AE18))</f>
        <v>4</v>
      </c>
    </row>
    <row r="19" spans="1:32" x14ac:dyDescent="0.35">
      <c r="A19" s="86" t="s">
        <v>63</v>
      </c>
      <c r="B19" s="84" t="s">
        <v>93</v>
      </c>
      <c r="C19" s="73" t="s">
        <v>43</v>
      </c>
      <c r="D19" s="163" t="s">
        <v>126</v>
      </c>
      <c r="E19" s="74" t="s">
        <v>127</v>
      </c>
      <c r="F19" s="88">
        <v>37308</v>
      </c>
      <c r="G19" s="86" t="s">
        <v>128</v>
      </c>
      <c r="H19" s="141">
        <v>44440</v>
      </c>
      <c r="I19" s="141">
        <v>44620</v>
      </c>
      <c r="J19" s="142" t="s">
        <v>65</v>
      </c>
      <c r="K19" s="142" t="s">
        <v>67</v>
      </c>
      <c r="L19" s="89" t="s">
        <v>129</v>
      </c>
      <c r="M19" s="90" t="s">
        <v>130</v>
      </c>
      <c r="N19" s="81">
        <f t="shared" si="0"/>
        <v>1</v>
      </c>
      <c r="O19" s="82" t="str">
        <f t="shared" si="1"/>
        <v>1-6101132102020001</v>
      </c>
      <c r="P19" s="81">
        <f t="shared" si="2"/>
        <v>9</v>
      </c>
      <c r="Q19" s="81" t="str">
        <f t="shared" si="3"/>
        <v/>
      </c>
      <c r="R19" s="83" t="str">
        <f t="shared" ca="1" si="4"/>
        <v/>
      </c>
      <c r="S19" s="81" t="str">
        <f t="shared" ca="1" si="5"/>
        <v/>
      </c>
      <c r="T19" s="81" t="str">
        <f ca="1">IF(S19=Dashboard!$D$12,S19,"")</f>
        <v/>
      </c>
      <c r="U19" s="81" t="str">
        <f t="shared" ca="1" si="6"/>
        <v/>
      </c>
      <c r="V19" s="83" t="str">
        <f ca="1">IF(U19="","",IFERROR((RANK(U19,$U$2:$U$2028,1)+COUNTIF($U$2:U19,U19))-1,""))</f>
        <v/>
      </c>
      <c r="W19" s="81" t="str">
        <f t="shared" si="7"/>
        <v/>
      </c>
      <c r="X19" s="81" t="str">
        <f>IF(W19="","",IFERROR((RANK(W19,$W$2:$W$2028,1)+COUNTIF($W$2:W19,W19))-1,""))</f>
        <v/>
      </c>
      <c r="Y19" s="81" t="str">
        <f t="shared" si="8"/>
        <v/>
      </c>
      <c r="Z19" s="81" t="str">
        <f>IF(Y19="","",IFERROR((RANK(Y19,$Y$2:$Y$2028,1)+COUNTIF($Y$2:Y19,Y19))-1,""))</f>
        <v/>
      </c>
      <c r="AA19" s="81" t="str">
        <f t="shared" ca="1" si="9"/>
        <v/>
      </c>
      <c r="AB19" s="81" t="str">
        <f ca="1">IF(AA19="","",IFERROR((RANK(AA19,$AA$2:$AA$2028,1)+COUNTIF($AA$2:AA19,AA19))-1,""))</f>
        <v/>
      </c>
      <c r="AC19" s="81" t="str">
        <f t="shared" si="10"/>
        <v/>
      </c>
      <c r="AD19" s="81" t="str">
        <f>IF(AC19="","",IFERROR((RANK(AC19,$AC$2:$AC$2028,1)+COUNTIF($AC$2:AC19,AC19))-1,""))</f>
        <v/>
      </c>
      <c r="AE19" s="144" t="str">
        <f t="shared" si="11"/>
        <v/>
      </c>
      <c r="AF19" s="144" t="str">
        <f>IF(AE19="","",SUM($AE$2:AE19))</f>
        <v/>
      </c>
    </row>
    <row r="20" spans="1:32" x14ac:dyDescent="0.35">
      <c r="A20" s="86" t="s">
        <v>63</v>
      </c>
      <c r="B20" s="84" t="s">
        <v>93</v>
      </c>
      <c r="C20" s="73" t="s">
        <v>43</v>
      </c>
      <c r="D20" s="163" t="s">
        <v>126</v>
      </c>
      <c r="E20" s="74" t="s">
        <v>127</v>
      </c>
      <c r="F20" s="88">
        <v>37308</v>
      </c>
      <c r="G20" s="86" t="s">
        <v>128</v>
      </c>
      <c r="H20" s="141">
        <v>44621</v>
      </c>
      <c r="I20" s="141">
        <v>44804</v>
      </c>
      <c r="J20" s="142" t="s">
        <v>65</v>
      </c>
      <c r="K20" s="142" t="s">
        <v>67</v>
      </c>
      <c r="L20" s="89" t="s">
        <v>131</v>
      </c>
      <c r="M20" s="90" t="s">
        <v>130</v>
      </c>
      <c r="N20" s="81">
        <f t="shared" si="0"/>
        <v>2</v>
      </c>
      <c r="O20" s="82" t="str">
        <f t="shared" si="1"/>
        <v>2-6101132102020001</v>
      </c>
      <c r="P20" s="81">
        <f t="shared" si="2"/>
        <v>8</v>
      </c>
      <c r="Q20" s="81" t="str">
        <f t="shared" si="3"/>
        <v/>
      </c>
      <c r="R20" s="83" t="str">
        <f t="shared" ca="1" si="4"/>
        <v/>
      </c>
      <c r="S20" s="81" t="str">
        <f t="shared" ca="1" si="5"/>
        <v/>
      </c>
      <c r="T20" s="81" t="str">
        <f ca="1">IF(S20=Dashboard!$D$12,S20,"")</f>
        <v/>
      </c>
      <c r="U20" s="81" t="str">
        <f t="shared" ca="1" si="6"/>
        <v/>
      </c>
      <c r="V20" s="83" t="str">
        <f ca="1">IF(U20="","",IFERROR((RANK(U20,$U$2:$U$2028,1)+COUNTIF($U$2:U20,U20))-1,""))</f>
        <v/>
      </c>
      <c r="W20" s="81" t="str">
        <f t="shared" si="7"/>
        <v/>
      </c>
      <c r="X20" s="81" t="str">
        <f>IF(W20="","",IFERROR((RANK(W20,$W$2:$W$2028,1)+COUNTIF($W$2:W20,W20))-1,""))</f>
        <v/>
      </c>
      <c r="Y20" s="81" t="str">
        <f t="shared" si="8"/>
        <v/>
      </c>
      <c r="Z20" s="81" t="str">
        <f>IF(Y20="","",IFERROR((RANK(Y20,$Y$2:$Y$2028,1)+COUNTIF($Y$2:Y20,Y20))-1,""))</f>
        <v/>
      </c>
      <c r="AA20" s="81" t="str">
        <f t="shared" ca="1" si="9"/>
        <v/>
      </c>
      <c r="AB20" s="81" t="str">
        <f ca="1">IF(AA20="","",IFERROR((RANK(AA20,$AA$2:$AA$2028,1)+COUNTIF($AA$2:AA20,AA20))-1,""))</f>
        <v/>
      </c>
      <c r="AC20" s="81" t="str">
        <f t="shared" si="10"/>
        <v/>
      </c>
      <c r="AD20" s="81" t="str">
        <f>IF(AC20="","",IFERROR((RANK(AC20,$AC$2:$AC$2028,1)+COUNTIF($AC$2:AC20,AC20))-1,""))</f>
        <v/>
      </c>
      <c r="AE20" s="144" t="str">
        <f t="shared" si="11"/>
        <v/>
      </c>
      <c r="AF20" s="144" t="str">
        <f>IF(AE20="","",SUM($AE$2:AE20))</f>
        <v/>
      </c>
    </row>
    <row r="21" spans="1:32" x14ac:dyDescent="0.35">
      <c r="A21" s="86" t="s">
        <v>63</v>
      </c>
      <c r="B21" s="84" t="s">
        <v>93</v>
      </c>
      <c r="C21" s="73" t="s">
        <v>43</v>
      </c>
      <c r="D21" s="163" t="s">
        <v>126</v>
      </c>
      <c r="E21" s="74" t="s">
        <v>127</v>
      </c>
      <c r="F21" s="88">
        <v>37308</v>
      </c>
      <c r="G21" s="86" t="s">
        <v>128</v>
      </c>
      <c r="H21" s="141">
        <v>44835</v>
      </c>
      <c r="I21" s="141">
        <v>45016</v>
      </c>
      <c r="J21" s="142" t="s">
        <v>65</v>
      </c>
      <c r="K21" s="142" t="s">
        <v>67</v>
      </c>
      <c r="L21" s="89" t="s">
        <v>132</v>
      </c>
      <c r="M21" s="90" t="s">
        <v>130</v>
      </c>
      <c r="N21" s="81">
        <f t="shared" si="0"/>
        <v>3</v>
      </c>
      <c r="O21" s="82" t="str">
        <f t="shared" si="1"/>
        <v>3-6101132102020001</v>
      </c>
      <c r="P21" s="81">
        <f t="shared" si="2"/>
        <v>7</v>
      </c>
      <c r="Q21" s="81" t="str">
        <f t="shared" si="3"/>
        <v/>
      </c>
      <c r="R21" s="83" t="str">
        <f t="shared" ca="1" si="4"/>
        <v/>
      </c>
      <c r="S21" s="81" t="str">
        <f t="shared" ca="1" si="5"/>
        <v/>
      </c>
      <c r="T21" s="81" t="str">
        <f ca="1">IF(S21=Dashboard!$D$12,S21,"")</f>
        <v/>
      </c>
      <c r="U21" s="81" t="str">
        <f t="shared" ca="1" si="6"/>
        <v/>
      </c>
      <c r="V21" s="83" t="str">
        <f ca="1">IF(U21="","",IFERROR((RANK(U21,$U$2:$U$2028,1)+COUNTIF($U$2:U21,U21))-1,""))</f>
        <v/>
      </c>
      <c r="W21" s="81" t="str">
        <f t="shared" si="7"/>
        <v/>
      </c>
      <c r="X21" s="81" t="str">
        <f>IF(W21="","",IFERROR((RANK(W21,$W$2:$W$2028,1)+COUNTIF($W$2:W21,W21))-1,""))</f>
        <v/>
      </c>
      <c r="Y21" s="81" t="str">
        <f t="shared" si="8"/>
        <v/>
      </c>
      <c r="Z21" s="81" t="str">
        <f>IF(Y21="","",IFERROR((RANK(Y21,$Y$2:$Y$2028,1)+COUNTIF($Y$2:Y21,Y21))-1,""))</f>
        <v/>
      </c>
      <c r="AA21" s="81" t="str">
        <f t="shared" ca="1" si="9"/>
        <v/>
      </c>
      <c r="AB21" s="81" t="str">
        <f ca="1">IF(AA21="","",IFERROR((RANK(AA21,$AA$2:$AA$2028,1)+COUNTIF($AA$2:AA21,AA21))-1,""))</f>
        <v/>
      </c>
      <c r="AC21" s="81" t="str">
        <f t="shared" si="10"/>
        <v/>
      </c>
      <c r="AD21" s="81" t="str">
        <f>IF(AC21="","",IFERROR((RANK(AC21,$AC$2:$AC$2028,1)+COUNTIF($AC$2:AC21,AC21))-1,""))</f>
        <v/>
      </c>
      <c r="AE21" s="144" t="str">
        <f t="shared" si="11"/>
        <v/>
      </c>
      <c r="AF21" s="144" t="str">
        <f>IF(AE21="","",SUM($AE$2:AE21))</f>
        <v/>
      </c>
    </row>
    <row r="22" spans="1:32" x14ac:dyDescent="0.35">
      <c r="A22" s="86" t="s">
        <v>63</v>
      </c>
      <c r="B22" s="84" t="s">
        <v>93</v>
      </c>
      <c r="C22" s="73" t="s">
        <v>43</v>
      </c>
      <c r="D22" s="163" t="s">
        <v>126</v>
      </c>
      <c r="E22" s="74" t="s">
        <v>127</v>
      </c>
      <c r="F22" s="88">
        <v>37308</v>
      </c>
      <c r="G22" s="86" t="s">
        <v>128</v>
      </c>
      <c r="H22" s="141">
        <v>45017</v>
      </c>
      <c r="I22" s="141">
        <v>45199</v>
      </c>
      <c r="J22" s="142" t="s">
        <v>65</v>
      </c>
      <c r="K22" s="142" t="s">
        <v>67</v>
      </c>
      <c r="L22" s="89" t="s">
        <v>133</v>
      </c>
      <c r="M22" s="90" t="s">
        <v>130</v>
      </c>
      <c r="N22" s="81">
        <f t="shared" si="0"/>
        <v>4</v>
      </c>
      <c r="O22" s="82" t="str">
        <f t="shared" si="1"/>
        <v>4-6101132102020001</v>
      </c>
      <c r="P22" s="81">
        <f t="shared" si="2"/>
        <v>6</v>
      </c>
      <c r="Q22" s="81" t="str">
        <f t="shared" si="3"/>
        <v/>
      </c>
      <c r="R22" s="83" t="str">
        <f t="shared" ca="1" si="4"/>
        <v/>
      </c>
      <c r="S22" s="81" t="str">
        <f t="shared" ca="1" si="5"/>
        <v/>
      </c>
      <c r="T22" s="81" t="str">
        <f ca="1">IF(S22=Dashboard!$D$12,S22,"")</f>
        <v/>
      </c>
      <c r="U22" s="81" t="str">
        <f t="shared" ca="1" si="6"/>
        <v/>
      </c>
      <c r="V22" s="83" t="str">
        <f ca="1">IF(U22="","",IFERROR((RANK(U22,$U$2:$U$2028,1)+COUNTIF($U$2:U22,U22))-1,""))</f>
        <v/>
      </c>
      <c r="W22" s="81" t="str">
        <f t="shared" si="7"/>
        <v/>
      </c>
      <c r="X22" s="81" t="str">
        <f>IF(W22="","",IFERROR((RANK(W22,$W$2:$W$2028,1)+COUNTIF($W$2:W22,W22))-1,""))</f>
        <v/>
      </c>
      <c r="Y22" s="81" t="str">
        <f t="shared" si="8"/>
        <v/>
      </c>
      <c r="Z22" s="81" t="str">
        <f>IF(Y22="","",IFERROR((RANK(Y22,$Y$2:$Y$2028,1)+COUNTIF($Y$2:Y22,Y22))-1,""))</f>
        <v/>
      </c>
      <c r="AA22" s="81" t="str">
        <f t="shared" ca="1" si="9"/>
        <v/>
      </c>
      <c r="AB22" s="81" t="str">
        <f ca="1">IF(AA22="","",IFERROR((RANK(AA22,$AA$2:$AA$2028,1)+COUNTIF($AA$2:AA22,AA22))-1,""))</f>
        <v/>
      </c>
      <c r="AC22" s="81" t="str">
        <f t="shared" si="10"/>
        <v/>
      </c>
      <c r="AD22" s="81" t="str">
        <f>IF(AC22="","",IFERROR((RANK(AC22,$AC$2:$AC$2028,1)+COUNTIF($AC$2:AC22,AC22))-1,""))</f>
        <v/>
      </c>
      <c r="AE22" s="144" t="str">
        <f t="shared" si="11"/>
        <v/>
      </c>
      <c r="AF22" s="144" t="str">
        <f>IF(AE22="","",SUM($AE$2:AE22))</f>
        <v/>
      </c>
    </row>
    <row r="23" spans="1:32" x14ac:dyDescent="0.35">
      <c r="A23" s="86" t="s">
        <v>63</v>
      </c>
      <c r="B23" s="84" t="s">
        <v>93</v>
      </c>
      <c r="C23" s="73" t="s">
        <v>43</v>
      </c>
      <c r="D23" s="163" t="s">
        <v>126</v>
      </c>
      <c r="E23" s="74" t="s">
        <v>127</v>
      </c>
      <c r="F23" s="88">
        <v>37308</v>
      </c>
      <c r="G23" s="86" t="s">
        <v>128</v>
      </c>
      <c r="H23" s="141">
        <v>45231</v>
      </c>
      <c r="I23" s="141">
        <v>45412</v>
      </c>
      <c r="J23" s="142" t="s">
        <v>65</v>
      </c>
      <c r="K23" s="142" t="s">
        <v>67</v>
      </c>
      <c r="L23" s="89" t="s">
        <v>134</v>
      </c>
      <c r="M23" s="90" t="s">
        <v>130</v>
      </c>
      <c r="N23" s="81">
        <f t="shared" si="0"/>
        <v>5</v>
      </c>
      <c r="O23" s="82" t="str">
        <f t="shared" si="1"/>
        <v>5-6101132102020001</v>
      </c>
      <c r="P23" s="81">
        <f t="shared" si="2"/>
        <v>5</v>
      </c>
      <c r="Q23" s="81" t="str">
        <f t="shared" si="3"/>
        <v/>
      </c>
      <c r="R23" s="83" t="str">
        <f t="shared" ca="1" si="4"/>
        <v/>
      </c>
      <c r="S23" s="81" t="str">
        <f t="shared" ca="1" si="5"/>
        <v/>
      </c>
      <c r="T23" s="81" t="str">
        <f ca="1">IF(S23=Dashboard!$D$12,S23,"")</f>
        <v/>
      </c>
      <c r="U23" s="81" t="str">
        <f t="shared" ca="1" si="6"/>
        <v/>
      </c>
      <c r="V23" s="83" t="str">
        <f ca="1">IF(U23="","",IFERROR((RANK(U23,$U$2:$U$2028,1)+COUNTIF($U$2:U23,U23))-1,""))</f>
        <v/>
      </c>
      <c r="W23" s="81" t="str">
        <f t="shared" si="7"/>
        <v/>
      </c>
      <c r="X23" s="81" t="str">
        <f>IF(W23="","",IFERROR((RANK(W23,$W$2:$W$2028,1)+COUNTIF($W$2:W23,W23))-1,""))</f>
        <v/>
      </c>
      <c r="Y23" s="81" t="str">
        <f t="shared" si="8"/>
        <v/>
      </c>
      <c r="Z23" s="81" t="str">
        <f>IF(Y23="","",IFERROR((RANK(Y23,$Y$2:$Y$2028,1)+COUNTIF($Y$2:Y23,Y23))-1,""))</f>
        <v/>
      </c>
      <c r="AA23" s="81" t="str">
        <f t="shared" ca="1" si="9"/>
        <v/>
      </c>
      <c r="AB23" s="81" t="str">
        <f ca="1">IF(AA23="","",IFERROR((RANK(AA23,$AA$2:$AA$2028,1)+COUNTIF($AA$2:AA23,AA23))-1,""))</f>
        <v/>
      </c>
      <c r="AC23" s="81" t="str">
        <f t="shared" si="10"/>
        <v/>
      </c>
      <c r="AD23" s="81" t="str">
        <f>IF(AC23="","",IFERROR((RANK(AC23,$AC$2:$AC$2028,1)+COUNTIF($AC$2:AC23,AC23))-1,""))</f>
        <v/>
      </c>
      <c r="AE23" s="144" t="str">
        <f t="shared" si="11"/>
        <v/>
      </c>
      <c r="AF23" s="144" t="str">
        <f>IF(AE23="","",SUM($AE$2:AE23))</f>
        <v/>
      </c>
    </row>
    <row r="24" spans="1:32" x14ac:dyDescent="0.35">
      <c r="A24" s="86" t="s">
        <v>63</v>
      </c>
      <c r="B24" s="84" t="s">
        <v>93</v>
      </c>
      <c r="C24" s="73" t="s">
        <v>43</v>
      </c>
      <c r="D24" s="163" t="s">
        <v>126</v>
      </c>
      <c r="E24" s="74" t="s">
        <v>127</v>
      </c>
      <c r="F24" s="88">
        <v>37308</v>
      </c>
      <c r="G24" s="86" t="s">
        <v>128</v>
      </c>
      <c r="H24" s="141">
        <v>45413</v>
      </c>
      <c r="I24" s="141">
        <v>45596</v>
      </c>
      <c r="J24" s="142" t="s">
        <v>65</v>
      </c>
      <c r="K24" s="142" t="s">
        <v>67</v>
      </c>
      <c r="L24" s="89" t="s">
        <v>135</v>
      </c>
      <c r="M24" s="90" t="s">
        <v>130</v>
      </c>
      <c r="N24" s="81">
        <f t="shared" si="0"/>
        <v>6</v>
      </c>
      <c r="O24" s="82" t="str">
        <f t="shared" si="1"/>
        <v>6-6101132102020001</v>
      </c>
      <c r="P24" s="81">
        <f t="shared" si="2"/>
        <v>4</v>
      </c>
      <c r="Q24" s="81" t="str">
        <f t="shared" si="3"/>
        <v/>
      </c>
      <c r="R24" s="83" t="str">
        <f t="shared" ca="1" si="4"/>
        <v/>
      </c>
      <c r="S24" s="81" t="str">
        <f t="shared" ca="1" si="5"/>
        <v/>
      </c>
      <c r="T24" s="81" t="str">
        <f ca="1">IF(S24=Dashboard!$D$12,S24,"")</f>
        <v/>
      </c>
      <c r="U24" s="81" t="str">
        <f t="shared" ca="1" si="6"/>
        <v/>
      </c>
      <c r="V24" s="83" t="str">
        <f ca="1">IF(U24="","",IFERROR((RANK(U24,$U$2:$U$2028,1)+COUNTIF($U$2:U24,U24))-1,""))</f>
        <v/>
      </c>
      <c r="W24" s="81" t="str">
        <f t="shared" si="7"/>
        <v/>
      </c>
      <c r="X24" s="81" t="str">
        <f>IF(W24="","",IFERROR((RANK(W24,$W$2:$W$2028,1)+COUNTIF($W$2:W24,W24))-1,""))</f>
        <v/>
      </c>
      <c r="Y24" s="81" t="str">
        <f t="shared" si="8"/>
        <v/>
      </c>
      <c r="Z24" s="81" t="str">
        <f>IF(Y24="","",IFERROR((RANK(Y24,$Y$2:$Y$2028,1)+COUNTIF($Y$2:Y24,Y24))-1,""))</f>
        <v/>
      </c>
      <c r="AA24" s="81" t="str">
        <f t="shared" ca="1" si="9"/>
        <v/>
      </c>
      <c r="AB24" s="81" t="str">
        <f ca="1">IF(AA24="","",IFERROR((RANK(AA24,$AA$2:$AA$2028,1)+COUNTIF($AA$2:AA24,AA24))-1,""))</f>
        <v/>
      </c>
      <c r="AC24" s="81" t="str">
        <f t="shared" si="10"/>
        <v/>
      </c>
      <c r="AD24" s="81" t="str">
        <f>IF(AC24="","",IFERROR((RANK(AC24,$AC$2:$AC$2028,1)+COUNTIF($AC$2:AC24,AC24))-1,""))</f>
        <v/>
      </c>
      <c r="AE24" s="144" t="str">
        <f t="shared" si="11"/>
        <v/>
      </c>
      <c r="AF24" s="144" t="str">
        <f>IF(AE24="","",SUM($AE$2:AE24))</f>
        <v/>
      </c>
    </row>
    <row r="25" spans="1:32" x14ac:dyDescent="0.35">
      <c r="A25" s="86" t="s">
        <v>63</v>
      </c>
      <c r="B25" s="84" t="s">
        <v>93</v>
      </c>
      <c r="C25" s="73" t="s">
        <v>43</v>
      </c>
      <c r="D25" s="163" t="s">
        <v>126</v>
      </c>
      <c r="E25" s="74" t="s">
        <v>127</v>
      </c>
      <c r="F25" s="88">
        <v>37308</v>
      </c>
      <c r="G25" s="86" t="s">
        <v>128</v>
      </c>
      <c r="H25" s="141">
        <v>45627</v>
      </c>
      <c r="I25" s="141">
        <v>45808</v>
      </c>
      <c r="J25" s="142" t="s">
        <v>65</v>
      </c>
      <c r="K25" s="142" t="s">
        <v>67</v>
      </c>
      <c r="L25" s="89" t="s">
        <v>136</v>
      </c>
      <c r="M25" s="90" t="s">
        <v>130</v>
      </c>
      <c r="N25" s="81">
        <f t="shared" si="0"/>
        <v>7</v>
      </c>
      <c r="O25" s="82" t="str">
        <f t="shared" si="1"/>
        <v>7-6101132102020001</v>
      </c>
      <c r="P25" s="81">
        <f t="shared" si="2"/>
        <v>3</v>
      </c>
      <c r="Q25" s="81" t="str">
        <f t="shared" si="3"/>
        <v/>
      </c>
      <c r="R25" s="83" t="str">
        <f t="shared" ca="1" si="4"/>
        <v/>
      </c>
      <c r="S25" s="81" t="str">
        <f t="shared" ca="1" si="5"/>
        <v/>
      </c>
      <c r="T25" s="81" t="str">
        <f ca="1">IF(S25=Dashboard!$D$12,S25,"")</f>
        <v/>
      </c>
      <c r="U25" s="81" t="str">
        <f t="shared" ca="1" si="6"/>
        <v/>
      </c>
      <c r="V25" s="83" t="str">
        <f ca="1">IF(U25="","",IFERROR((RANK(U25,$U$2:$U$2028,1)+COUNTIF($U$2:U25,U25))-1,""))</f>
        <v/>
      </c>
      <c r="W25" s="81" t="str">
        <f t="shared" si="7"/>
        <v/>
      </c>
      <c r="X25" s="81" t="str">
        <f>IF(W25="","",IFERROR((RANK(W25,$W$2:$W$2028,1)+COUNTIF($W$2:W25,W25))-1,""))</f>
        <v/>
      </c>
      <c r="Y25" s="81" t="str">
        <f t="shared" si="8"/>
        <v/>
      </c>
      <c r="Z25" s="81" t="str">
        <f>IF(Y25="","",IFERROR((RANK(Y25,$Y$2:$Y$2028,1)+COUNTIF($Y$2:Y25,Y25))-1,""))</f>
        <v/>
      </c>
      <c r="AA25" s="81" t="str">
        <f t="shared" ca="1" si="9"/>
        <v/>
      </c>
      <c r="AB25" s="81" t="str">
        <f ca="1">IF(AA25="","",IFERROR((RANK(AA25,$AA$2:$AA$2028,1)+COUNTIF($AA$2:AA25,AA25))-1,""))</f>
        <v/>
      </c>
      <c r="AC25" s="81" t="str">
        <f t="shared" si="10"/>
        <v/>
      </c>
      <c r="AD25" s="81" t="str">
        <f>IF(AC25="","",IFERROR((RANK(AC25,$AC$2:$AC$2028,1)+COUNTIF($AC$2:AC25,AC25))-1,""))</f>
        <v/>
      </c>
      <c r="AE25" s="144" t="str">
        <f t="shared" si="11"/>
        <v/>
      </c>
      <c r="AF25" s="144" t="str">
        <f>IF(AE25="","",SUM($AE$2:AE25))</f>
        <v/>
      </c>
    </row>
    <row r="26" spans="1:32" x14ac:dyDescent="0.35">
      <c r="A26" s="86" t="s">
        <v>63</v>
      </c>
      <c r="B26" s="84" t="s">
        <v>93</v>
      </c>
      <c r="C26" s="73" t="s">
        <v>43</v>
      </c>
      <c r="D26" s="163" t="s">
        <v>126</v>
      </c>
      <c r="E26" s="74" t="s">
        <v>127</v>
      </c>
      <c r="F26" s="88">
        <v>37308</v>
      </c>
      <c r="G26" s="86" t="s">
        <v>128</v>
      </c>
      <c r="H26" s="141">
        <v>45809</v>
      </c>
      <c r="I26" s="141">
        <v>45991</v>
      </c>
      <c r="J26" s="142" t="s">
        <v>65</v>
      </c>
      <c r="K26" s="142" t="s">
        <v>67</v>
      </c>
      <c r="L26" s="89" t="s">
        <v>137</v>
      </c>
      <c r="M26" s="90" t="s">
        <v>130</v>
      </c>
      <c r="N26" s="81">
        <f t="shared" si="0"/>
        <v>8</v>
      </c>
      <c r="O26" s="82" t="str">
        <f t="shared" ref="O26" si="60">IF(A26="","",N26&amp;"-"&amp;M26)</f>
        <v>8-6101132102020001</v>
      </c>
      <c r="P26" s="81">
        <f t="shared" si="2"/>
        <v>2</v>
      </c>
      <c r="Q26" s="81" t="str">
        <f t="shared" ref="Q26" si="61">IF(A26="","",IF(P26=1,M26,""))</f>
        <v/>
      </c>
      <c r="R26" s="83" t="str">
        <f t="shared" ref="R26" ca="1" si="62">IF(Q26="","",I26-TODAY())</f>
        <v/>
      </c>
      <c r="S26" s="81" t="str">
        <f t="shared" ref="S26" ca="1" si="63">IF(R26="","",
IF(R26&lt;-90,"Pass&gt;90",IF(R26&lt;-60,"Pass 61-90",IF(R26&lt;-30,"Pass 31-60",IF(R26&lt;0,"Pass 0-30",IF(R26&lt;31,"Run 0-30",IF(R26&lt;61,"Run 31-60",IF(R26&lt;91,"Run 60-90","Run &gt;90"))))))))</f>
        <v/>
      </c>
      <c r="T26" s="81" t="str">
        <f ca="1">IF(S26=Dashboard!$D$12,S26,"")</f>
        <v/>
      </c>
      <c r="U26" s="81" t="str">
        <f t="shared" ref="U26" ca="1" si="64">IF(T26="","",R26)</f>
        <v/>
      </c>
      <c r="V26" s="83" t="str">
        <f ca="1">IF(U26="","",IFERROR((RANK(U26,$U$2:$U$2028,1)+COUNTIF($U$2:U26,U26))-1,""))</f>
        <v/>
      </c>
      <c r="W26" s="81" t="str">
        <f t="shared" si="7"/>
        <v/>
      </c>
      <c r="X26" s="81" t="str">
        <f>IF(W26="","",IFERROR((RANK(W26,$W$2:$W$2028,1)+COUNTIF($W$2:W26,W26))-1,""))</f>
        <v/>
      </c>
      <c r="Y26" s="81" t="str">
        <f t="shared" si="8"/>
        <v/>
      </c>
      <c r="Z26" s="81" t="str">
        <f>IF(Y26="","",IFERROR((RANK(Y26,$Y$2:$Y$2028,1)+COUNTIF($Y$2:Y26,Y26))-1,""))</f>
        <v/>
      </c>
      <c r="AA26" s="81" t="str">
        <f t="shared" ca="1" si="9"/>
        <v/>
      </c>
      <c r="AB26" s="81" t="str">
        <f ca="1">IF(AA26="","",IFERROR((RANK(AA26,$AA$2:$AA$2028,1)+COUNTIF($AA$2:AA26,AA26))-1,""))</f>
        <v/>
      </c>
      <c r="AC26" s="81" t="str">
        <f t="shared" si="10"/>
        <v/>
      </c>
      <c r="AD26" s="81" t="str">
        <f>IF(AC26="","",IFERROR((RANK(AC26,$AC$2:$AC$2028,1)+COUNTIF($AC$2:AC26,AC26))-1,""))</f>
        <v/>
      </c>
      <c r="AE26" s="144" t="str">
        <f t="shared" ref="AE26" si="65">IF(P26=1,P26,"")</f>
        <v/>
      </c>
      <c r="AF26" s="144" t="str">
        <f>IF(AE26="","",SUM($AE$2:AE26))</f>
        <v/>
      </c>
    </row>
    <row r="27" spans="1:32" x14ac:dyDescent="0.35">
      <c r="A27" s="86" t="s">
        <v>63</v>
      </c>
      <c r="B27" s="84" t="s">
        <v>93</v>
      </c>
      <c r="C27" s="73" t="s">
        <v>43</v>
      </c>
      <c r="D27" s="164" t="s">
        <v>126</v>
      </c>
      <c r="E27" s="74" t="s">
        <v>127</v>
      </c>
      <c r="F27" s="88">
        <v>37308</v>
      </c>
      <c r="G27" s="86" t="s">
        <v>128</v>
      </c>
      <c r="H27" s="141">
        <v>46023</v>
      </c>
      <c r="I27" s="141">
        <v>46203</v>
      </c>
      <c r="J27" s="142" t="s">
        <v>65</v>
      </c>
      <c r="K27" s="142" t="s">
        <v>67</v>
      </c>
      <c r="L27" s="89" t="s">
        <v>138</v>
      </c>
      <c r="M27" s="90" t="s">
        <v>130</v>
      </c>
      <c r="N27" s="81">
        <f t="shared" si="0"/>
        <v>9</v>
      </c>
      <c r="O27" s="82" t="str">
        <f t="shared" ref="O27" si="66">IF(A27="","",N27&amp;"-"&amp;M27)</f>
        <v>9-6101132102020001</v>
      </c>
      <c r="P27" s="81">
        <f t="shared" si="2"/>
        <v>1</v>
      </c>
      <c r="Q27" s="81" t="str">
        <f t="shared" ref="Q27" si="67">IF(A27="","",IF(P27=1,M27,""))</f>
        <v>6101132102020001</v>
      </c>
      <c r="R27" s="83">
        <f t="shared" ref="R27" ca="1" si="68">IF(Q27="","",I27-TODAY())</f>
        <v>87</v>
      </c>
      <c r="S27" s="81" t="str">
        <f t="shared" ref="S27" ca="1" si="69">IF(R27="","",
IF(R27&lt;-90,"Pass&gt;90",IF(R27&lt;-60,"Pass 61-90",IF(R27&lt;-30,"Pass 31-60",IF(R27&lt;0,"Pass 0-30",IF(R27&lt;31,"Run 0-30",IF(R27&lt;61,"Run 31-60",IF(R27&lt;91,"Run 60-90","Run &gt;90"))))))))</f>
        <v>Run 60-90</v>
      </c>
      <c r="T27" s="81" t="str">
        <f ca="1">IF(S27=Dashboard!$D$12,S27,"")</f>
        <v/>
      </c>
      <c r="U27" s="81" t="str">
        <f t="shared" ref="U27" ca="1" si="70">IF(T27="","",R27)</f>
        <v/>
      </c>
      <c r="V27" s="83" t="str">
        <f ca="1">IF(U27="","",IFERROR((RANK(U27,$U$2:$U$2028,1)+COUNTIF($U$2:U27,U27))-1,""))</f>
        <v/>
      </c>
      <c r="W27" s="81" t="str">
        <f t="shared" si="7"/>
        <v/>
      </c>
      <c r="X27" s="81" t="str">
        <f>IF(W27="","",IFERROR((RANK(W27,$W$2:$W$2028,1)+COUNTIF($W$2:W27,W27))-1,""))</f>
        <v/>
      </c>
      <c r="Y27" s="81" t="str">
        <f t="shared" si="8"/>
        <v/>
      </c>
      <c r="Z27" s="81" t="str">
        <f>IF(Y27="","",IFERROR((RANK(Y27,$Y$2:$Y$2028,1)+COUNTIF($Y$2:Y27,Y27))-1,""))</f>
        <v/>
      </c>
      <c r="AA27" s="81" t="str">
        <f t="shared" ca="1" si="9"/>
        <v/>
      </c>
      <c r="AB27" s="81" t="str">
        <f ca="1">IF(AA27="","",IFERROR((RANK(AA27,$AA$2:$AA$2028,1)+COUNTIF($AA$2:AA27,AA27))-1,""))</f>
        <v/>
      </c>
      <c r="AC27" s="81" t="str">
        <f t="shared" si="10"/>
        <v/>
      </c>
      <c r="AD27" s="81" t="str">
        <f>IF(AC27="","",IFERROR((RANK(AC27,$AC$2:$AC$2028,1)+COUNTIF($AC$2:AC27,AC27))-1,""))</f>
        <v/>
      </c>
      <c r="AE27" s="144">
        <f t="shared" ref="AE27" si="71">IF(P27=1,P27,"")</f>
        <v>1</v>
      </c>
      <c r="AF27" s="144">
        <f>IF(AE27="","",SUM($AE$2:AE27))</f>
        <v>5</v>
      </c>
    </row>
    <row r="28" spans="1:32" x14ac:dyDescent="0.35">
      <c r="A28" s="86" t="s">
        <v>63</v>
      </c>
      <c r="B28" s="84" t="s">
        <v>93</v>
      </c>
      <c r="C28" s="73" t="s">
        <v>43</v>
      </c>
      <c r="D28" s="87" t="s">
        <v>139</v>
      </c>
      <c r="E28" s="74" t="s">
        <v>140</v>
      </c>
      <c r="F28" s="88">
        <v>37745</v>
      </c>
      <c r="G28" s="86" t="s">
        <v>141</v>
      </c>
      <c r="H28" s="141">
        <v>45047</v>
      </c>
      <c r="I28" s="141">
        <v>45230</v>
      </c>
      <c r="J28" s="142" t="s">
        <v>65</v>
      </c>
      <c r="K28" s="142" t="s">
        <v>67</v>
      </c>
      <c r="L28" s="89" t="s">
        <v>142</v>
      </c>
      <c r="M28" s="90" t="s">
        <v>143</v>
      </c>
      <c r="N28" s="81">
        <f t="shared" si="0"/>
        <v>1</v>
      </c>
      <c r="O28" s="82" t="str">
        <f t="shared" si="1"/>
        <v>1-6101040405030001</v>
      </c>
      <c r="P28" s="81">
        <f t="shared" si="2"/>
        <v>6</v>
      </c>
      <c r="Q28" s="81" t="str">
        <f t="shared" si="3"/>
        <v/>
      </c>
      <c r="R28" s="83" t="str">
        <f t="shared" ca="1" si="4"/>
        <v/>
      </c>
      <c r="S28" s="81" t="str">
        <f t="shared" ca="1" si="5"/>
        <v/>
      </c>
      <c r="T28" s="81" t="str">
        <f ca="1">IF(S28=Dashboard!$D$12,S28,"")</f>
        <v/>
      </c>
      <c r="U28" s="81" t="str">
        <f t="shared" ca="1" si="6"/>
        <v/>
      </c>
      <c r="V28" s="83" t="str">
        <f ca="1">IF(U28="","",IFERROR((RANK(U28,$U$2:$U$2028,1)+COUNTIF($U$2:U28,U28))-1,""))</f>
        <v/>
      </c>
      <c r="W28" s="81" t="str">
        <f t="shared" si="7"/>
        <v/>
      </c>
      <c r="X28" s="81" t="str">
        <f>IF(W28="","",IFERROR((RANK(W28,$W$2:$W$2028,1)+COUNTIF($W$2:W28,W28))-1,""))</f>
        <v/>
      </c>
      <c r="Y28" s="81" t="str">
        <f t="shared" si="8"/>
        <v/>
      </c>
      <c r="Z28" s="81" t="str">
        <f>IF(Y28="","",IFERROR((RANK(Y28,$Y$2:$Y$2028,1)+COUNTIF($Y$2:Y28,Y28))-1,""))</f>
        <v/>
      </c>
      <c r="AA28" s="81" t="str">
        <f t="shared" ca="1" si="9"/>
        <v/>
      </c>
      <c r="AB28" s="81" t="str">
        <f ca="1">IF(AA28="","",IFERROR((RANK(AA28,$AA$2:$AA$2028,1)+COUNTIF($AA$2:AA28,AA28))-1,""))</f>
        <v/>
      </c>
      <c r="AC28" s="81" t="str">
        <f t="shared" si="10"/>
        <v/>
      </c>
      <c r="AD28" s="81" t="str">
        <f>IF(AC28="","",IFERROR((RANK(AC28,$AC$2:$AC$2028,1)+COUNTIF($AC$2:AC28,AC28))-1,""))</f>
        <v/>
      </c>
      <c r="AE28" s="144" t="str">
        <f t="shared" si="11"/>
        <v/>
      </c>
      <c r="AF28" s="144" t="str">
        <f>IF(AE28="","",SUM($AE$2:AE28))</f>
        <v/>
      </c>
    </row>
    <row r="29" spans="1:32" x14ac:dyDescent="0.35">
      <c r="A29" s="86" t="s">
        <v>63</v>
      </c>
      <c r="B29" s="84" t="s">
        <v>93</v>
      </c>
      <c r="C29" s="73" t="s">
        <v>43</v>
      </c>
      <c r="D29" s="87" t="s">
        <v>139</v>
      </c>
      <c r="E29" s="74" t="s">
        <v>140</v>
      </c>
      <c r="F29" s="88">
        <v>37745</v>
      </c>
      <c r="G29" s="86" t="s">
        <v>141</v>
      </c>
      <c r="H29" s="141">
        <v>45231</v>
      </c>
      <c r="I29" s="141">
        <v>45412</v>
      </c>
      <c r="J29" s="142" t="s">
        <v>65</v>
      </c>
      <c r="K29" s="142" t="s">
        <v>67</v>
      </c>
      <c r="L29" s="89" t="s">
        <v>144</v>
      </c>
      <c r="M29" s="90" t="s">
        <v>143</v>
      </c>
      <c r="N29" s="81">
        <f t="shared" si="0"/>
        <v>2</v>
      </c>
      <c r="O29" s="82" t="str">
        <f t="shared" si="1"/>
        <v>2-6101040405030001</v>
      </c>
      <c r="P29" s="81">
        <f t="shared" si="2"/>
        <v>5</v>
      </c>
      <c r="Q29" s="81" t="str">
        <f t="shared" si="3"/>
        <v/>
      </c>
      <c r="R29" s="83" t="str">
        <f t="shared" ca="1" si="4"/>
        <v/>
      </c>
      <c r="S29" s="81" t="str">
        <f t="shared" ca="1" si="5"/>
        <v/>
      </c>
      <c r="T29" s="81" t="str">
        <f ca="1">IF(S29=Dashboard!$D$12,S29,"")</f>
        <v/>
      </c>
      <c r="U29" s="81" t="str">
        <f t="shared" ca="1" si="6"/>
        <v/>
      </c>
      <c r="V29" s="83" t="str">
        <f ca="1">IF(U29="","",IFERROR((RANK(U29,$U$2:$U$2028,1)+COUNTIF($U$2:U29,U29))-1,""))</f>
        <v/>
      </c>
      <c r="W29" s="81" t="str">
        <f t="shared" si="7"/>
        <v/>
      </c>
      <c r="X29" s="81" t="str">
        <f>IF(W29="","",IFERROR((RANK(W29,$W$2:$W$2028,1)+COUNTIF($W$2:W29,W29))-1,""))</f>
        <v/>
      </c>
      <c r="Y29" s="81" t="str">
        <f t="shared" si="8"/>
        <v/>
      </c>
      <c r="Z29" s="81" t="str">
        <f>IF(Y29="","",IFERROR((RANK(Y29,$Y$2:$Y$2028,1)+COUNTIF($Y$2:Y29,Y29))-1,""))</f>
        <v/>
      </c>
      <c r="AA29" s="81" t="str">
        <f t="shared" ca="1" si="9"/>
        <v/>
      </c>
      <c r="AB29" s="81" t="str">
        <f ca="1">IF(AA29="","",IFERROR((RANK(AA29,$AA$2:$AA$2028,1)+COUNTIF($AA$2:AA29,AA29))-1,""))</f>
        <v/>
      </c>
      <c r="AC29" s="81" t="str">
        <f t="shared" si="10"/>
        <v/>
      </c>
      <c r="AD29" s="81" t="str">
        <f>IF(AC29="","",IFERROR((RANK(AC29,$AC$2:$AC$2028,1)+COUNTIF($AC$2:AC29,AC29))-1,""))</f>
        <v/>
      </c>
      <c r="AE29" s="144" t="str">
        <f t="shared" si="11"/>
        <v/>
      </c>
      <c r="AF29" s="144" t="str">
        <f>IF(AE29="","",SUM($AE$2:AE29))</f>
        <v/>
      </c>
    </row>
    <row r="30" spans="1:32" x14ac:dyDescent="0.35">
      <c r="A30" s="86" t="s">
        <v>63</v>
      </c>
      <c r="B30" s="84" t="s">
        <v>93</v>
      </c>
      <c r="C30" s="73" t="s">
        <v>43</v>
      </c>
      <c r="D30" s="87" t="s">
        <v>139</v>
      </c>
      <c r="E30" s="74" t="s">
        <v>140</v>
      </c>
      <c r="F30" s="88">
        <v>37745</v>
      </c>
      <c r="G30" s="86" t="s">
        <v>141</v>
      </c>
      <c r="H30" s="141">
        <v>45444</v>
      </c>
      <c r="I30" s="141">
        <v>45626</v>
      </c>
      <c r="J30" s="142" t="s">
        <v>65</v>
      </c>
      <c r="K30" s="142" t="s">
        <v>67</v>
      </c>
      <c r="L30" s="89" t="s">
        <v>145</v>
      </c>
      <c r="M30" s="90" t="s">
        <v>143</v>
      </c>
      <c r="N30" s="81">
        <f t="shared" si="0"/>
        <v>3</v>
      </c>
      <c r="O30" s="82" t="str">
        <f t="shared" si="1"/>
        <v>3-6101040405030001</v>
      </c>
      <c r="P30" s="81">
        <f t="shared" si="2"/>
        <v>4</v>
      </c>
      <c r="Q30" s="81" t="str">
        <f t="shared" si="3"/>
        <v/>
      </c>
      <c r="R30" s="83" t="str">
        <f t="shared" ca="1" si="4"/>
        <v/>
      </c>
      <c r="S30" s="81" t="str">
        <f t="shared" ca="1" si="5"/>
        <v/>
      </c>
      <c r="T30" s="81" t="str">
        <f ca="1">IF(S30=Dashboard!$D$12,S30,"")</f>
        <v/>
      </c>
      <c r="U30" s="81" t="str">
        <f t="shared" ca="1" si="6"/>
        <v/>
      </c>
      <c r="V30" s="83" t="str">
        <f ca="1">IF(U30="","",IFERROR((RANK(U30,$U$2:$U$2028,1)+COUNTIF($U$2:U30,U30))-1,""))</f>
        <v/>
      </c>
      <c r="W30" s="81" t="str">
        <f t="shared" si="7"/>
        <v/>
      </c>
      <c r="X30" s="81" t="str">
        <f>IF(W30="","",IFERROR((RANK(W30,$W$2:$W$2028,1)+COUNTIF($W$2:W30,W30))-1,""))</f>
        <v/>
      </c>
      <c r="Y30" s="81" t="str">
        <f t="shared" si="8"/>
        <v/>
      </c>
      <c r="Z30" s="81" t="str">
        <f>IF(Y30="","",IFERROR((RANK(Y30,$Y$2:$Y$2028,1)+COUNTIF($Y$2:Y30,Y30))-1,""))</f>
        <v/>
      </c>
      <c r="AA30" s="81" t="str">
        <f t="shared" ca="1" si="9"/>
        <v/>
      </c>
      <c r="AB30" s="81" t="str">
        <f ca="1">IF(AA30="","",IFERROR((RANK(AA30,$AA$2:$AA$2028,1)+COUNTIF($AA$2:AA30,AA30))-1,""))</f>
        <v/>
      </c>
      <c r="AC30" s="81" t="str">
        <f t="shared" si="10"/>
        <v/>
      </c>
      <c r="AD30" s="81" t="str">
        <f>IF(AC30="","",IFERROR((RANK(AC30,$AC$2:$AC$2028,1)+COUNTIF($AC$2:AC30,AC30))-1,""))</f>
        <v/>
      </c>
      <c r="AE30" s="144" t="str">
        <f t="shared" si="11"/>
        <v/>
      </c>
      <c r="AF30" s="144" t="str">
        <f>IF(AE30="","",SUM($AE$2:AE30))</f>
        <v/>
      </c>
    </row>
    <row r="31" spans="1:32" x14ac:dyDescent="0.35">
      <c r="A31" s="86" t="s">
        <v>63</v>
      </c>
      <c r="B31" s="84" t="s">
        <v>93</v>
      </c>
      <c r="C31" s="73" t="s">
        <v>43</v>
      </c>
      <c r="D31" s="87" t="s">
        <v>139</v>
      </c>
      <c r="E31" s="74" t="s">
        <v>140</v>
      </c>
      <c r="F31" s="88">
        <v>37745</v>
      </c>
      <c r="G31" s="86" t="s">
        <v>141</v>
      </c>
      <c r="H31" s="141">
        <v>45627</v>
      </c>
      <c r="I31" s="141">
        <v>45808</v>
      </c>
      <c r="J31" s="142" t="s">
        <v>65</v>
      </c>
      <c r="K31" s="142" t="s">
        <v>67</v>
      </c>
      <c r="L31" s="89" t="s">
        <v>146</v>
      </c>
      <c r="M31" s="90" t="s">
        <v>143</v>
      </c>
      <c r="N31" s="81">
        <f t="shared" si="0"/>
        <v>4</v>
      </c>
      <c r="O31" s="82" t="str">
        <f t="shared" ref="O31" si="72">IF(A31="","",N31&amp;"-"&amp;M31)</f>
        <v>4-6101040405030001</v>
      </c>
      <c r="P31" s="81">
        <f t="shared" si="2"/>
        <v>3</v>
      </c>
      <c r="Q31" s="81" t="str">
        <f t="shared" ref="Q31" si="73">IF(A31="","",IF(P31=1,M31,""))</f>
        <v/>
      </c>
      <c r="R31" s="83" t="str">
        <f t="shared" ref="R31" ca="1" si="74">IF(Q31="","",I31-TODAY())</f>
        <v/>
      </c>
      <c r="S31" s="81" t="str">
        <f t="shared" ref="S31" ca="1" si="75">IF(R31="","",
IF(R31&lt;-90,"Pass&gt;90",IF(R31&lt;-60,"Pass 61-90",IF(R31&lt;-30,"Pass 31-60",IF(R31&lt;0,"Pass 0-30",IF(R31&lt;31,"Run 0-30",IF(R31&lt;61,"Run 31-60",IF(R31&lt;91,"Run 60-90","Run &gt;90"))))))))</f>
        <v/>
      </c>
      <c r="T31" s="81" t="str">
        <f ca="1">IF(S31=Dashboard!$D$12,S31,"")</f>
        <v/>
      </c>
      <c r="U31" s="81" t="str">
        <f t="shared" ref="U31" ca="1" si="76">IF(T31="","",R31)</f>
        <v/>
      </c>
      <c r="V31" s="83" t="str">
        <f ca="1">IF(U31="","",IFERROR((RANK(U31,$U$2:$U$2028,1)+COUNTIF($U$2:U31,U31))-1,""))</f>
        <v/>
      </c>
      <c r="W31" s="81" t="str">
        <f t="shared" si="7"/>
        <v/>
      </c>
      <c r="X31" s="81" t="str">
        <f>IF(W31="","",IFERROR((RANK(W31,$W$2:$W$2028,1)+COUNTIF($W$2:W31,W31))-1,""))</f>
        <v/>
      </c>
      <c r="Y31" s="81" t="str">
        <f t="shared" si="8"/>
        <v/>
      </c>
      <c r="Z31" s="81" t="str">
        <f>IF(Y31="","",IFERROR((RANK(Y31,$Y$2:$Y$2028,1)+COUNTIF($Y$2:Y31,Y31))-1,""))</f>
        <v/>
      </c>
      <c r="AA31" s="81" t="str">
        <f t="shared" ca="1" si="9"/>
        <v/>
      </c>
      <c r="AB31" s="81" t="str">
        <f ca="1">IF(AA31="","",IFERROR((RANK(AA31,$AA$2:$AA$2028,1)+COUNTIF($AA$2:AA31,AA31))-1,""))</f>
        <v/>
      </c>
      <c r="AC31" s="81" t="str">
        <f t="shared" si="10"/>
        <v/>
      </c>
      <c r="AD31" s="81" t="str">
        <f>IF(AC31="","",IFERROR((RANK(AC31,$AC$2:$AC$2028,1)+COUNTIF($AC$2:AC31,AC31))-1,""))</f>
        <v/>
      </c>
      <c r="AE31" s="144" t="str">
        <f t="shared" ref="AE31" si="77">IF(P31=1,P31,"")</f>
        <v/>
      </c>
      <c r="AF31" s="144" t="str">
        <f>IF(AE31="","",SUM($AE$2:AE31))</f>
        <v/>
      </c>
    </row>
    <row r="32" spans="1:32" x14ac:dyDescent="0.35">
      <c r="A32" s="86" t="s">
        <v>63</v>
      </c>
      <c r="B32" s="84" t="s">
        <v>93</v>
      </c>
      <c r="C32" s="73" t="s">
        <v>43</v>
      </c>
      <c r="D32" s="87" t="s">
        <v>139</v>
      </c>
      <c r="E32" s="74" t="s">
        <v>140</v>
      </c>
      <c r="F32" s="88">
        <v>37745</v>
      </c>
      <c r="G32" s="86" t="s">
        <v>141</v>
      </c>
      <c r="H32" s="141">
        <v>45839</v>
      </c>
      <c r="I32" s="141">
        <v>46022</v>
      </c>
      <c r="J32" s="142" t="s">
        <v>65</v>
      </c>
      <c r="K32" s="142" t="s">
        <v>67</v>
      </c>
      <c r="L32" s="89" t="s">
        <v>147</v>
      </c>
      <c r="M32" s="90" t="s">
        <v>143</v>
      </c>
      <c r="N32" s="81">
        <f t="shared" si="0"/>
        <v>5</v>
      </c>
      <c r="O32" s="82" t="str">
        <f t="shared" ref="O32" si="78">IF(A32="","",N32&amp;"-"&amp;M32)</f>
        <v>5-6101040405030001</v>
      </c>
      <c r="P32" s="81">
        <f t="shared" si="2"/>
        <v>2</v>
      </c>
      <c r="Q32" s="81" t="str">
        <f t="shared" ref="Q32" si="79">IF(A32="","",IF(P32=1,M32,""))</f>
        <v/>
      </c>
      <c r="R32" s="83" t="str">
        <f t="shared" ref="R32" ca="1" si="80">IF(Q32="","",I32-TODAY())</f>
        <v/>
      </c>
      <c r="S32" s="81" t="str">
        <f t="shared" ref="S32" ca="1" si="81">IF(R32="","",
IF(R32&lt;-90,"Pass&gt;90",IF(R32&lt;-60,"Pass 61-90",IF(R32&lt;-30,"Pass 31-60",IF(R32&lt;0,"Pass 0-30",IF(R32&lt;31,"Run 0-30",IF(R32&lt;61,"Run 31-60",IF(R32&lt;91,"Run 60-90","Run &gt;90"))))))))</f>
        <v/>
      </c>
      <c r="T32" s="81" t="str">
        <f ca="1">IF(S32=Dashboard!$D$12,S32,"")</f>
        <v/>
      </c>
      <c r="U32" s="81" t="str">
        <f t="shared" ref="U32" ca="1" si="82">IF(T32="","",R32)</f>
        <v/>
      </c>
      <c r="V32" s="83" t="str">
        <f ca="1">IF(U32="","",IFERROR((RANK(U32,$U$2:$U$2028,1)+COUNTIF($U$2:U32,U32))-1,""))</f>
        <v/>
      </c>
      <c r="W32" s="81" t="str">
        <f t="shared" si="7"/>
        <v/>
      </c>
      <c r="X32" s="81" t="str">
        <f>IF(W32="","",IFERROR((RANK(W32,$W$2:$W$2028,1)+COUNTIF($W$2:W32,W32))-1,""))</f>
        <v/>
      </c>
      <c r="Y32" s="81" t="str">
        <f t="shared" si="8"/>
        <v/>
      </c>
      <c r="Z32" s="81" t="str">
        <f>IF(Y32="","",IFERROR((RANK(Y32,$Y$2:$Y$2028,1)+COUNTIF($Y$2:Y32,Y32))-1,""))</f>
        <v/>
      </c>
      <c r="AA32" s="81" t="str">
        <f t="shared" ca="1" si="9"/>
        <v/>
      </c>
      <c r="AB32" s="81" t="str">
        <f ca="1">IF(AA32="","",IFERROR((RANK(AA32,$AA$2:$AA$2028,1)+COUNTIF($AA$2:AA32,AA32))-1,""))</f>
        <v/>
      </c>
      <c r="AC32" s="81" t="str">
        <f t="shared" si="10"/>
        <v/>
      </c>
      <c r="AD32" s="81" t="str">
        <f>IF(AC32="","",IFERROR((RANK(AC32,$AC$2:$AC$2028,1)+COUNTIF($AC$2:AC32,AC32))-1,""))</f>
        <v/>
      </c>
      <c r="AE32" s="144" t="str">
        <f t="shared" ref="AE32" si="83">IF(P32=1,P32,"")</f>
        <v/>
      </c>
      <c r="AF32" s="144" t="str">
        <f>IF(AE32="","",SUM($AE$2:AE32))</f>
        <v/>
      </c>
    </row>
    <row r="33" spans="1:32" x14ac:dyDescent="0.35">
      <c r="A33" s="86" t="s">
        <v>63</v>
      </c>
      <c r="B33" s="84" t="s">
        <v>93</v>
      </c>
      <c r="C33" s="73" t="s">
        <v>43</v>
      </c>
      <c r="D33" s="164" t="s">
        <v>139</v>
      </c>
      <c r="E33" s="74" t="s">
        <v>140</v>
      </c>
      <c r="F33" s="88">
        <v>37745</v>
      </c>
      <c r="G33" s="86" t="s">
        <v>141</v>
      </c>
      <c r="H33" s="141">
        <v>46023</v>
      </c>
      <c r="I33" s="141">
        <v>46203</v>
      </c>
      <c r="J33" s="142" t="s">
        <v>65</v>
      </c>
      <c r="K33" s="142" t="s">
        <v>67</v>
      </c>
      <c r="L33" s="89" t="s">
        <v>148</v>
      </c>
      <c r="M33" s="90" t="s">
        <v>143</v>
      </c>
      <c r="N33" s="81">
        <f t="shared" si="0"/>
        <v>6</v>
      </c>
      <c r="O33" s="82" t="str">
        <f t="shared" ref="O33" si="84">IF(A33="","",N33&amp;"-"&amp;M33)</f>
        <v>6-6101040405030001</v>
      </c>
      <c r="P33" s="81">
        <f t="shared" si="2"/>
        <v>1</v>
      </c>
      <c r="Q33" s="81" t="str">
        <f t="shared" ref="Q33" si="85">IF(A33="","",IF(P33=1,M33,""))</f>
        <v>6101040405030001</v>
      </c>
      <c r="R33" s="83">
        <f t="shared" ref="R33" ca="1" si="86">IF(Q33="","",I33-TODAY())</f>
        <v>87</v>
      </c>
      <c r="S33" s="81" t="str">
        <f t="shared" ref="S33" ca="1" si="87">IF(R33="","",
IF(R33&lt;-90,"Pass&gt;90",IF(R33&lt;-60,"Pass 61-90",IF(R33&lt;-30,"Pass 31-60",IF(R33&lt;0,"Pass 0-30",IF(R33&lt;31,"Run 0-30",IF(R33&lt;61,"Run 31-60",IF(R33&lt;91,"Run 60-90","Run &gt;90"))))))))</f>
        <v>Run 60-90</v>
      </c>
      <c r="T33" s="81" t="str">
        <f ca="1">IF(S33=Dashboard!$D$12,S33,"")</f>
        <v/>
      </c>
      <c r="U33" s="81" t="str">
        <f t="shared" ref="U33" ca="1" si="88">IF(T33="","",R33)</f>
        <v/>
      </c>
      <c r="V33" s="83" t="str">
        <f ca="1">IF(U33="","",IFERROR((RANK(U33,$U$2:$U$2028,1)+COUNTIF($U$2:U33,U33))-1,""))</f>
        <v/>
      </c>
      <c r="W33" s="81" t="str">
        <f t="shared" si="7"/>
        <v/>
      </c>
      <c r="X33" s="81" t="str">
        <f>IF(W33="","",IFERROR((RANK(W33,$W$2:$W$2028,1)+COUNTIF($W$2:W33,W33))-1,""))</f>
        <v/>
      </c>
      <c r="Y33" s="81" t="str">
        <f t="shared" si="8"/>
        <v/>
      </c>
      <c r="Z33" s="81" t="str">
        <f>IF(Y33="","",IFERROR((RANK(Y33,$Y$2:$Y$2028,1)+COUNTIF($Y$2:Y33,Y33))-1,""))</f>
        <v/>
      </c>
      <c r="AA33" s="81" t="str">
        <f t="shared" ca="1" si="9"/>
        <v/>
      </c>
      <c r="AB33" s="81" t="str">
        <f ca="1">IF(AA33="","",IFERROR((RANK(AA33,$AA$2:$AA$2028,1)+COUNTIF($AA$2:AA33,AA33))-1,""))</f>
        <v/>
      </c>
      <c r="AC33" s="81" t="str">
        <f t="shared" si="10"/>
        <v/>
      </c>
      <c r="AD33" s="81" t="str">
        <f>IF(AC33="","",IFERROR((RANK(AC33,$AC$2:$AC$2028,1)+COUNTIF($AC$2:AC33,AC33))-1,""))</f>
        <v/>
      </c>
      <c r="AE33" s="144">
        <f t="shared" ref="AE33" si="89">IF(P33=1,P33,"")</f>
        <v>1</v>
      </c>
      <c r="AF33" s="144">
        <f>IF(AE33="","",SUM($AE$2:AE33))</f>
        <v>6</v>
      </c>
    </row>
    <row r="34" spans="1:32" x14ac:dyDescent="0.35">
      <c r="A34" s="86" t="s">
        <v>63</v>
      </c>
      <c r="B34" s="84" t="s">
        <v>93</v>
      </c>
      <c r="C34" s="73" t="s">
        <v>43</v>
      </c>
      <c r="D34" s="87" t="s">
        <v>149</v>
      </c>
      <c r="E34" s="74" t="s">
        <v>150</v>
      </c>
      <c r="F34" s="88">
        <v>37811</v>
      </c>
      <c r="G34" s="86" t="s">
        <v>151</v>
      </c>
      <c r="H34" s="141">
        <v>45108</v>
      </c>
      <c r="I34" s="141">
        <v>45291</v>
      </c>
      <c r="J34" s="142" t="s">
        <v>65</v>
      </c>
      <c r="K34" s="142" t="s">
        <v>67</v>
      </c>
      <c r="L34" s="89" t="s">
        <v>152</v>
      </c>
      <c r="M34" s="90" t="s">
        <v>153</v>
      </c>
      <c r="N34" s="81">
        <f t="shared" si="0"/>
        <v>1</v>
      </c>
      <c r="O34" s="82" t="str">
        <f t="shared" si="1"/>
        <v>1-6101130907030002</v>
      </c>
      <c r="P34" s="81">
        <f t="shared" si="2"/>
        <v>6</v>
      </c>
      <c r="Q34" s="81" t="str">
        <f t="shared" si="3"/>
        <v/>
      </c>
      <c r="R34" s="83" t="str">
        <f t="shared" ca="1" si="4"/>
        <v/>
      </c>
      <c r="S34" s="81" t="str">
        <f t="shared" ca="1" si="5"/>
        <v/>
      </c>
      <c r="T34" s="81" t="str">
        <f ca="1">IF(S34=Dashboard!$D$12,S34,"")</f>
        <v/>
      </c>
      <c r="U34" s="81" t="str">
        <f t="shared" ca="1" si="6"/>
        <v/>
      </c>
      <c r="V34" s="83" t="str">
        <f ca="1">IF(U34="","",IFERROR((RANK(U34,$U$2:$U$2028,1)+COUNTIF($U$2:U34,U34))-1,""))</f>
        <v/>
      </c>
      <c r="W34" s="81" t="str">
        <f t="shared" si="7"/>
        <v/>
      </c>
      <c r="X34" s="81" t="str">
        <f>IF(W34="","",IFERROR((RANK(W34,$W$2:$W$2028,1)+COUNTIF($W$2:W34,W34))-1,""))</f>
        <v/>
      </c>
      <c r="Y34" s="81" t="str">
        <f t="shared" si="8"/>
        <v/>
      </c>
      <c r="Z34" s="81" t="str">
        <f>IF(Y34="","",IFERROR((RANK(Y34,$Y$2:$Y$2028,1)+COUNTIF($Y$2:Y34,Y34))-1,""))</f>
        <v/>
      </c>
      <c r="AA34" s="81" t="str">
        <f t="shared" ca="1" si="9"/>
        <v/>
      </c>
      <c r="AB34" s="81" t="str">
        <f ca="1">IF(AA34="","",IFERROR((RANK(AA34,$AA$2:$AA$2028,1)+COUNTIF($AA$2:AA34,AA34))-1,""))</f>
        <v/>
      </c>
      <c r="AC34" s="81" t="str">
        <f t="shared" si="10"/>
        <v/>
      </c>
      <c r="AD34" s="81" t="str">
        <f>IF(AC34="","",IFERROR((RANK(AC34,$AC$2:$AC$2028,1)+COUNTIF($AC$2:AC34,AC34))-1,""))</f>
        <v/>
      </c>
      <c r="AE34" s="144" t="str">
        <f t="shared" si="11"/>
        <v/>
      </c>
      <c r="AF34" s="144" t="str">
        <f>IF(AE34="","",SUM($AE$2:AE34))</f>
        <v/>
      </c>
    </row>
    <row r="35" spans="1:32" x14ac:dyDescent="0.35">
      <c r="A35" s="86" t="s">
        <v>63</v>
      </c>
      <c r="B35" s="84" t="s">
        <v>93</v>
      </c>
      <c r="C35" s="73" t="s">
        <v>43</v>
      </c>
      <c r="D35" s="87" t="s">
        <v>149</v>
      </c>
      <c r="E35" s="74" t="s">
        <v>150</v>
      </c>
      <c r="F35" s="88">
        <v>37811</v>
      </c>
      <c r="G35" s="86" t="s">
        <v>151</v>
      </c>
      <c r="H35" s="141">
        <v>45292</v>
      </c>
      <c r="I35" s="141">
        <v>45473</v>
      </c>
      <c r="J35" s="142" t="s">
        <v>65</v>
      </c>
      <c r="K35" s="142" t="s">
        <v>67</v>
      </c>
      <c r="L35" s="89" t="s">
        <v>154</v>
      </c>
      <c r="M35" s="90" t="s">
        <v>153</v>
      </c>
      <c r="N35" s="81">
        <f t="shared" si="0"/>
        <v>2</v>
      </c>
      <c r="O35" s="82" t="str">
        <f t="shared" si="1"/>
        <v>2-6101130907030002</v>
      </c>
      <c r="P35" s="81">
        <f t="shared" si="2"/>
        <v>5</v>
      </c>
      <c r="Q35" s="81" t="str">
        <f t="shared" si="3"/>
        <v/>
      </c>
      <c r="R35" s="83" t="str">
        <f t="shared" ca="1" si="4"/>
        <v/>
      </c>
      <c r="S35" s="81" t="str">
        <f t="shared" ca="1" si="5"/>
        <v/>
      </c>
      <c r="T35" s="81" t="str">
        <f ca="1">IF(S35=Dashboard!$D$12,S35,"")</f>
        <v/>
      </c>
      <c r="U35" s="81" t="str">
        <f t="shared" ca="1" si="6"/>
        <v/>
      </c>
      <c r="V35" s="83" t="str">
        <f ca="1">IF(U35="","",IFERROR((RANK(U35,$U$2:$U$2028,1)+COUNTIF($U$2:U35,U35))-1,""))</f>
        <v/>
      </c>
      <c r="W35" s="81" t="str">
        <f t="shared" si="7"/>
        <v/>
      </c>
      <c r="X35" s="81" t="str">
        <f>IF(W35="","",IFERROR((RANK(W35,$W$2:$W$2028,1)+COUNTIF($W$2:W35,W35))-1,""))</f>
        <v/>
      </c>
      <c r="Y35" s="81" t="str">
        <f t="shared" si="8"/>
        <v/>
      </c>
      <c r="Z35" s="81" t="str">
        <f>IF(Y35="","",IFERROR((RANK(Y35,$Y$2:$Y$2028,1)+COUNTIF($Y$2:Y35,Y35))-1,""))</f>
        <v/>
      </c>
      <c r="AA35" s="81" t="str">
        <f t="shared" ca="1" si="9"/>
        <v/>
      </c>
      <c r="AB35" s="81" t="str">
        <f ca="1">IF(AA35="","",IFERROR((RANK(AA35,$AA$2:$AA$2028,1)+COUNTIF($AA$2:AA35,AA35))-1,""))</f>
        <v/>
      </c>
      <c r="AC35" s="81" t="str">
        <f t="shared" si="10"/>
        <v/>
      </c>
      <c r="AD35" s="81" t="str">
        <f>IF(AC35="","",IFERROR((RANK(AC35,$AC$2:$AC$2028,1)+COUNTIF($AC$2:AC35,AC35))-1,""))</f>
        <v/>
      </c>
      <c r="AE35" s="144" t="str">
        <f t="shared" si="11"/>
        <v/>
      </c>
      <c r="AF35" s="144" t="str">
        <f>IF(AE35="","",SUM($AE$2:AE35))</f>
        <v/>
      </c>
    </row>
    <row r="36" spans="1:32" x14ac:dyDescent="0.35">
      <c r="A36" s="86" t="s">
        <v>63</v>
      </c>
      <c r="B36" s="84" t="s">
        <v>93</v>
      </c>
      <c r="C36" s="73" t="s">
        <v>43</v>
      </c>
      <c r="D36" s="87" t="s">
        <v>149</v>
      </c>
      <c r="E36" s="74" t="s">
        <v>150</v>
      </c>
      <c r="F36" s="88">
        <v>37811</v>
      </c>
      <c r="G36" s="86" t="s">
        <v>151</v>
      </c>
      <c r="H36" s="141">
        <v>45505</v>
      </c>
      <c r="I36" s="141">
        <v>45687</v>
      </c>
      <c r="J36" s="142" t="s">
        <v>65</v>
      </c>
      <c r="K36" s="142" t="s">
        <v>67</v>
      </c>
      <c r="L36" s="89" t="s">
        <v>155</v>
      </c>
      <c r="M36" s="90" t="s">
        <v>153</v>
      </c>
      <c r="N36" s="81">
        <f t="shared" si="0"/>
        <v>3</v>
      </c>
      <c r="O36" s="82" t="str">
        <f t="shared" si="1"/>
        <v>3-6101130907030002</v>
      </c>
      <c r="P36" s="81">
        <f t="shared" si="2"/>
        <v>4</v>
      </c>
      <c r="Q36" s="81" t="str">
        <f t="shared" si="3"/>
        <v/>
      </c>
      <c r="R36" s="83" t="str">
        <f t="shared" ca="1" si="4"/>
        <v/>
      </c>
      <c r="S36" s="81" t="str">
        <f t="shared" ca="1" si="5"/>
        <v/>
      </c>
      <c r="T36" s="81" t="str">
        <f ca="1">IF(S36=Dashboard!$D$12,S36,"")</f>
        <v/>
      </c>
      <c r="U36" s="81" t="str">
        <f t="shared" ca="1" si="6"/>
        <v/>
      </c>
      <c r="V36" s="83" t="str">
        <f ca="1">IF(U36="","",IFERROR((RANK(U36,$U$2:$U$2028,1)+COUNTIF($U$2:U36,U36))-1,""))</f>
        <v/>
      </c>
      <c r="W36" s="81" t="str">
        <f t="shared" si="7"/>
        <v/>
      </c>
      <c r="X36" s="81" t="str">
        <f>IF(W36="","",IFERROR((RANK(W36,$W$2:$W$2028,1)+COUNTIF($W$2:W36,W36))-1,""))</f>
        <v/>
      </c>
      <c r="Y36" s="81" t="str">
        <f t="shared" si="8"/>
        <v/>
      </c>
      <c r="Z36" s="81" t="str">
        <f>IF(Y36="","",IFERROR((RANK(Y36,$Y$2:$Y$2028,1)+COUNTIF($Y$2:Y36,Y36))-1,""))</f>
        <v/>
      </c>
      <c r="AA36" s="81" t="str">
        <f t="shared" ca="1" si="9"/>
        <v/>
      </c>
      <c r="AB36" s="81" t="str">
        <f ca="1">IF(AA36="","",IFERROR((RANK(AA36,$AA$2:$AA$2028,1)+COUNTIF($AA$2:AA36,AA36))-1,""))</f>
        <v/>
      </c>
      <c r="AC36" s="81" t="str">
        <f t="shared" si="10"/>
        <v/>
      </c>
      <c r="AD36" s="81" t="str">
        <f>IF(AC36="","",IFERROR((RANK(AC36,$AC$2:$AC$2028,1)+COUNTIF($AC$2:AC36,AC36))-1,""))</f>
        <v/>
      </c>
      <c r="AE36" s="144" t="str">
        <f t="shared" si="11"/>
        <v/>
      </c>
      <c r="AF36" s="144" t="str">
        <f>IF(AE36="","",SUM($AE$2:AE36))</f>
        <v/>
      </c>
    </row>
    <row r="37" spans="1:32" x14ac:dyDescent="0.35">
      <c r="A37" s="86" t="s">
        <v>63</v>
      </c>
      <c r="B37" s="84" t="s">
        <v>93</v>
      </c>
      <c r="C37" s="73" t="s">
        <v>43</v>
      </c>
      <c r="D37" s="87" t="s">
        <v>149</v>
      </c>
      <c r="E37" s="74" t="s">
        <v>150</v>
      </c>
      <c r="F37" s="88">
        <v>37811</v>
      </c>
      <c r="G37" s="86" t="s">
        <v>151</v>
      </c>
      <c r="H37" s="141">
        <v>45689</v>
      </c>
      <c r="I37" s="141">
        <v>45869</v>
      </c>
      <c r="J37" s="142" t="s">
        <v>65</v>
      </c>
      <c r="K37" s="142" t="s">
        <v>67</v>
      </c>
      <c r="L37" s="89" t="s">
        <v>156</v>
      </c>
      <c r="M37" s="90" t="s">
        <v>153</v>
      </c>
      <c r="N37" s="81">
        <f t="shared" si="0"/>
        <v>4</v>
      </c>
      <c r="O37" s="82" t="str">
        <f t="shared" ref="O37" si="90">IF(A37="","",N37&amp;"-"&amp;M37)</f>
        <v>4-6101130907030002</v>
      </c>
      <c r="P37" s="81">
        <f t="shared" si="2"/>
        <v>3</v>
      </c>
      <c r="Q37" s="81" t="str">
        <f t="shared" ref="Q37" si="91">IF(A37="","",IF(P37=1,M37,""))</f>
        <v/>
      </c>
      <c r="R37" s="83" t="str">
        <f t="shared" ref="R37" ca="1" si="92">IF(Q37="","",I37-TODAY())</f>
        <v/>
      </c>
      <c r="S37" s="81" t="str">
        <f t="shared" ref="S37" ca="1" si="93">IF(R37="","",
IF(R37&lt;-90,"Pass&gt;90",IF(R37&lt;-60,"Pass 61-90",IF(R37&lt;-30,"Pass 31-60",IF(R37&lt;0,"Pass 0-30",IF(R37&lt;31,"Run 0-30",IF(R37&lt;61,"Run 31-60",IF(R37&lt;91,"Run 60-90","Run &gt;90"))))))))</f>
        <v/>
      </c>
      <c r="T37" s="81" t="str">
        <f ca="1">IF(S37=Dashboard!$D$12,S37,"")</f>
        <v/>
      </c>
      <c r="U37" s="81" t="str">
        <f t="shared" ref="U37" ca="1" si="94">IF(T37="","",R37)</f>
        <v/>
      </c>
      <c r="V37" s="83" t="str">
        <f ca="1">IF(U37="","",IFERROR((RANK(U37,$U$2:$U$2028,1)+COUNTIF($U$2:U37,U37))-1,""))</f>
        <v/>
      </c>
      <c r="W37" s="81" t="str">
        <f t="shared" si="7"/>
        <v/>
      </c>
      <c r="X37" s="81" t="str">
        <f>IF(W37="","",IFERROR((RANK(W37,$W$2:$W$2028,1)+COUNTIF($W$2:W37,W37))-1,""))</f>
        <v/>
      </c>
      <c r="Y37" s="81" t="str">
        <f t="shared" si="8"/>
        <v/>
      </c>
      <c r="Z37" s="81" t="str">
        <f>IF(Y37="","",IFERROR((RANK(Y37,$Y$2:$Y$2028,1)+COUNTIF($Y$2:Y37,Y37))-1,""))</f>
        <v/>
      </c>
      <c r="AA37" s="81" t="str">
        <f t="shared" ca="1" si="9"/>
        <v/>
      </c>
      <c r="AB37" s="81" t="str">
        <f ca="1">IF(AA37="","",IFERROR((RANK(AA37,$AA$2:$AA$2028,1)+COUNTIF($AA$2:AA37,AA37))-1,""))</f>
        <v/>
      </c>
      <c r="AC37" s="81" t="str">
        <f t="shared" si="10"/>
        <v/>
      </c>
      <c r="AD37" s="81" t="str">
        <f>IF(AC37="","",IFERROR((RANK(AC37,$AC$2:$AC$2028,1)+COUNTIF($AC$2:AC37,AC37))-1,""))</f>
        <v/>
      </c>
      <c r="AE37" s="144" t="str">
        <f t="shared" ref="AE37" si="95">IF(P37=1,P37,"")</f>
        <v/>
      </c>
      <c r="AF37" s="144" t="str">
        <f>IF(AE37="","",SUM($AE$2:AE37))</f>
        <v/>
      </c>
    </row>
    <row r="38" spans="1:32" x14ac:dyDescent="0.35">
      <c r="A38" s="86" t="s">
        <v>63</v>
      </c>
      <c r="B38" s="84" t="s">
        <v>93</v>
      </c>
      <c r="C38" s="73" t="s">
        <v>43</v>
      </c>
      <c r="D38" s="87" t="s">
        <v>149</v>
      </c>
      <c r="E38" s="74" t="s">
        <v>150</v>
      </c>
      <c r="F38" s="88">
        <v>37811</v>
      </c>
      <c r="G38" s="86" t="s">
        <v>151</v>
      </c>
      <c r="H38" s="141">
        <v>45901</v>
      </c>
      <c r="I38" s="141">
        <v>46081</v>
      </c>
      <c r="J38" s="142" t="s">
        <v>65</v>
      </c>
      <c r="K38" s="142" t="s">
        <v>67</v>
      </c>
      <c r="L38" s="89" t="s">
        <v>157</v>
      </c>
      <c r="M38" s="90" t="s">
        <v>153</v>
      </c>
      <c r="N38" s="81">
        <f t="shared" si="0"/>
        <v>5</v>
      </c>
      <c r="O38" s="82" t="str">
        <f t="shared" ref="O38" si="96">IF(A38="","",N38&amp;"-"&amp;M38)</f>
        <v>5-6101130907030002</v>
      </c>
      <c r="P38" s="81">
        <f t="shared" si="2"/>
        <v>2</v>
      </c>
      <c r="Q38" s="81" t="str">
        <f t="shared" ref="Q38" si="97">IF(A38="","",IF(P38=1,M38,""))</f>
        <v/>
      </c>
      <c r="R38" s="83" t="str">
        <f t="shared" ref="R38" ca="1" si="98">IF(Q38="","",I38-TODAY())</f>
        <v/>
      </c>
      <c r="S38" s="81" t="str">
        <f t="shared" ref="S38" ca="1" si="99">IF(R38="","",
IF(R38&lt;-90,"Pass&gt;90",IF(R38&lt;-60,"Pass 61-90",IF(R38&lt;-30,"Pass 31-60",IF(R38&lt;0,"Pass 0-30",IF(R38&lt;31,"Run 0-30",IF(R38&lt;61,"Run 31-60",IF(R38&lt;91,"Run 60-90","Run &gt;90"))))))))</f>
        <v/>
      </c>
      <c r="T38" s="81" t="str">
        <f ca="1">IF(S38=Dashboard!$D$12,S38,"")</f>
        <v/>
      </c>
      <c r="U38" s="81" t="str">
        <f t="shared" ref="U38" ca="1" si="100">IF(T38="","",R38)</f>
        <v/>
      </c>
      <c r="V38" s="83" t="str">
        <f ca="1">IF(U38="","",IFERROR((RANK(U38,$U$2:$U$2028,1)+COUNTIF($U$2:U38,U38))-1,""))</f>
        <v/>
      </c>
      <c r="W38" s="81" t="str">
        <f t="shared" si="7"/>
        <v/>
      </c>
      <c r="X38" s="81" t="str">
        <f>IF(W38="","",IFERROR((RANK(W38,$W$2:$W$2028,1)+COUNTIF($W$2:W38,W38))-1,""))</f>
        <v/>
      </c>
      <c r="Y38" s="81" t="str">
        <f t="shared" si="8"/>
        <v/>
      </c>
      <c r="Z38" s="81" t="str">
        <f>IF(Y38="","",IFERROR((RANK(Y38,$Y$2:$Y$2028,1)+COUNTIF($Y$2:Y38,Y38))-1,""))</f>
        <v/>
      </c>
      <c r="AA38" s="81" t="str">
        <f t="shared" ca="1" si="9"/>
        <v/>
      </c>
      <c r="AB38" s="81" t="str">
        <f ca="1">IF(AA38="","",IFERROR((RANK(AA38,$AA$2:$AA$2028,1)+COUNTIF($AA$2:AA38,AA38))-1,""))</f>
        <v/>
      </c>
      <c r="AC38" s="81" t="str">
        <f t="shared" si="10"/>
        <v/>
      </c>
      <c r="AD38" s="81" t="str">
        <f>IF(AC38="","",IFERROR((RANK(AC38,$AC$2:$AC$2028,1)+COUNTIF($AC$2:AC38,AC38))-1,""))</f>
        <v/>
      </c>
      <c r="AE38" s="144" t="str">
        <f t="shared" ref="AE38" si="101">IF(P38=1,P38,"")</f>
        <v/>
      </c>
      <c r="AF38" s="144" t="str">
        <f>IF(AE38="","",SUM($AE$2:AE38))</f>
        <v/>
      </c>
    </row>
    <row r="39" spans="1:32" x14ac:dyDescent="0.35">
      <c r="A39" s="86" t="s">
        <v>63</v>
      </c>
      <c r="B39" s="84" t="s">
        <v>93</v>
      </c>
      <c r="C39" s="73" t="s">
        <v>43</v>
      </c>
      <c r="D39" s="164" t="s">
        <v>149</v>
      </c>
      <c r="E39" s="74" t="s">
        <v>150</v>
      </c>
      <c r="F39" s="88">
        <v>37811</v>
      </c>
      <c r="G39" s="86" t="s">
        <v>151</v>
      </c>
      <c r="H39" s="141">
        <v>46082</v>
      </c>
      <c r="I39" s="141">
        <v>46265</v>
      </c>
      <c r="J39" s="142" t="s">
        <v>65</v>
      </c>
      <c r="K39" s="142" t="s">
        <v>67</v>
      </c>
      <c r="L39" s="89" t="s">
        <v>158</v>
      </c>
      <c r="M39" s="90" t="s">
        <v>153</v>
      </c>
      <c r="N39" s="81">
        <f t="shared" si="0"/>
        <v>6</v>
      </c>
      <c r="O39" s="82" t="str">
        <f t="shared" ref="O39" si="102">IF(A39="","",N39&amp;"-"&amp;M39)</f>
        <v>6-6101130907030002</v>
      </c>
      <c r="P39" s="81">
        <f t="shared" si="2"/>
        <v>1</v>
      </c>
      <c r="Q39" s="81" t="str">
        <f t="shared" ref="Q39" si="103">IF(A39="","",IF(P39=1,M39,""))</f>
        <v>6101130907030002</v>
      </c>
      <c r="R39" s="83">
        <f t="shared" ref="R39" ca="1" si="104">IF(Q39="","",I39-TODAY())</f>
        <v>149</v>
      </c>
      <c r="S39" s="81" t="str">
        <f t="shared" ref="S39" ca="1" si="105">IF(R39="","",
IF(R39&lt;-90,"Pass&gt;90",IF(R39&lt;-60,"Pass 61-90",IF(R39&lt;-30,"Pass 31-60",IF(R39&lt;0,"Pass 0-30",IF(R39&lt;31,"Run 0-30",IF(R39&lt;61,"Run 31-60",IF(R39&lt;91,"Run 60-90","Run &gt;90"))))))))</f>
        <v>Run &gt;90</v>
      </c>
      <c r="T39" s="81" t="str">
        <f ca="1">IF(S39=Dashboard!$D$12,S39,"")</f>
        <v/>
      </c>
      <c r="U39" s="81" t="str">
        <f t="shared" ref="U39" ca="1" si="106">IF(T39="","",R39)</f>
        <v/>
      </c>
      <c r="V39" s="83" t="str">
        <f ca="1">IF(U39="","",IFERROR((RANK(U39,$U$2:$U$2028,1)+COUNTIF($U$2:U39,U39))-1,""))</f>
        <v/>
      </c>
      <c r="W39" s="81" t="str">
        <f t="shared" si="7"/>
        <v/>
      </c>
      <c r="X39" s="81" t="str">
        <f>IF(W39="","",IFERROR((RANK(W39,$W$2:$W$2028,1)+COUNTIF($W$2:W39,W39))-1,""))</f>
        <v/>
      </c>
      <c r="Y39" s="81" t="str">
        <f t="shared" si="8"/>
        <v/>
      </c>
      <c r="Z39" s="81" t="str">
        <f>IF(Y39="","",IFERROR((RANK(Y39,$Y$2:$Y$2028,1)+COUNTIF($Y$2:Y39,Y39))-1,""))</f>
        <v/>
      </c>
      <c r="AA39" s="81" t="str">
        <f t="shared" ca="1" si="9"/>
        <v/>
      </c>
      <c r="AB39" s="81" t="str">
        <f ca="1">IF(AA39="","",IFERROR((RANK(AA39,$AA$2:$AA$2028,1)+COUNTIF($AA$2:AA39,AA39))-1,""))</f>
        <v/>
      </c>
      <c r="AC39" s="81" t="str">
        <f t="shared" si="10"/>
        <v/>
      </c>
      <c r="AD39" s="81" t="str">
        <f>IF(AC39="","",IFERROR((RANK(AC39,$AC$2:$AC$2028,1)+COUNTIF($AC$2:AC39,AC39))-1,""))</f>
        <v/>
      </c>
      <c r="AE39" s="144">
        <f t="shared" ref="AE39" si="107">IF(P39=1,P39,"")</f>
        <v>1</v>
      </c>
      <c r="AF39" s="144">
        <f>IF(AE39="","",SUM($AE$2:AE39))</f>
        <v>7</v>
      </c>
    </row>
    <row r="40" spans="1:32" x14ac:dyDescent="0.35">
      <c r="A40" s="86" t="s">
        <v>63</v>
      </c>
      <c r="B40" s="84" t="s">
        <v>93</v>
      </c>
      <c r="C40" s="73" t="s">
        <v>43</v>
      </c>
      <c r="D40" s="87" t="s">
        <v>159</v>
      </c>
      <c r="E40" s="160" t="s">
        <v>160</v>
      </c>
      <c r="F40" s="88">
        <v>32986</v>
      </c>
      <c r="G40" s="86" t="s">
        <v>161</v>
      </c>
      <c r="H40" s="141">
        <v>45748</v>
      </c>
      <c r="I40" s="141">
        <v>45930</v>
      </c>
      <c r="J40" s="72" t="s">
        <v>97</v>
      </c>
      <c r="K40" s="78" t="s">
        <v>98</v>
      </c>
      <c r="L40" s="79" t="s">
        <v>162</v>
      </c>
      <c r="M40" s="161" t="s">
        <v>163</v>
      </c>
      <c r="N40" s="81">
        <f t="shared" si="0"/>
        <v>1</v>
      </c>
      <c r="O40" s="82" t="str">
        <f t="shared" ref="O40" si="108">IF(A40="","",N40&amp;"-"&amp;M40)</f>
        <v>1-6101032004900002</v>
      </c>
      <c r="P40" s="81">
        <f t="shared" si="2"/>
        <v>2</v>
      </c>
      <c r="Q40" s="81" t="str">
        <f t="shared" ref="Q40" si="109">IF(A40="","",IF(P40=1,M40,""))</f>
        <v/>
      </c>
      <c r="R40" s="83" t="str">
        <f t="shared" ref="R40" ca="1" si="110">IF(Q40="","",I40-TODAY())</f>
        <v/>
      </c>
      <c r="S40" s="81" t="str">
        <f t="shared" ref="S40" ca="1" si="111">IF(R40="","",
IF(R40&lt;-90,"Pass&gt;90",IF(R40&lt;-60,"Pass 61-90",IF(R40&lt;-30,"Pass 31-60",IF(R40&lt;0,"Pass 0-30",IF(R40&lt;31,"Run 0-30",IF(R40&lt;61,"Run 31-60",IF(R40&lt;91,"Run 60-90","Run &gt;90"))))))))</f>
        <v/>
      </c>
      <c r="T40" s="81" t="str">
        <f ca="1">IF(S40=Dashboard!$D$12,S40,"")</f>
        <v/>
      </c>
      <c r="U40" s="81" t="str">
        <f t="shared" ref="U40" ca="1" si="112">IF(T40="","",R40)</f>
        <v/>
      </c>
      <c r="V40" s="83" t="str">
        <f ca="1">IF(U40="","",IFERROR((RANK(U40,$U$2:$U$2028,1)+COUNTIF($U$2:U40,U40))-1,""))</f>
        <v/>
      </c>
      <c r="W40" s="81" t="str">
        <f t="shared" si="7"/>
        <v/>
      </c>
      <c r="X40" s="81" t="str">
        <f>IF(W40="","",IFERROR((RANK(W40,$W$2:$W$2028,1)+COUNTIF($W$2:W40,W40))-1,""))</f>
        <v/>
      </c>
      <c r="Y40" s="81" t="str">
        <f t="shared" ca="1" si="8"/>
        <v/>
      </c>
      <c r="Z40" s="81" t="str">
        <f ca="1">IF(Y40="","",IFERROR((RANK(Y40,$Y$2:$Y$2028,1)+COUNTIF($Y$2:Y40,Y40))-1,""))</f>
        <v/>
      </c>
      <c r="AA40" s="81" t="str">
        <f t="shared" si="9"/>
        <v/>
      </c>
      <c r="AB40" s="81" t="str">
        <f>IF(AA40="","",IFERROR((RANK(AA40,$AA$2:$AA$2028,1)+COUNTIF($AA$2:AA40,AA40))-1,""))</f>
        <v/>
      </c>
      <c r="AC40" s="81" t="str">
        <f t="shared" si="10"/>
        <v/>
      </c>
      <c r="AD40" s="81" t="str">
        <f>IF(AC40="","",IFERROR((RANK(AC40,$AC$2:$AC$2028,1)+COUNTIF($AC$2:AC40,AC40))-1,""))</f>
        <v/>
      </c>
      <c r="AE40" s="144" t="str">
        <f t="shared" ref="AE40" si="113">IF(P40=1,P40,"")</f>
        <v/>
      </c>
      <c r="AF40" s="144" t="str">
        <f>IF(AE40="","",SUM($AE$2:AE40))</f>
        <v/>
      </c>
    </row>
    <row r="41" spans="1:32" x14ac:dyDescent="0.35">
      <c r="A41" s="86" t="s">
        <v>63</v>
      </c>
      <c r="B41" s="84" t="s">
        <v>93</v>
      </c>
      <c r="C41" s="73" t="s">
        <v>43</v>
      </c>
      <c r="D41" s="164" t="s">
        <v>159</v>
      </c>
      <c r="E41" s="160" t="s">
        <v>160</v>
      </c>
      <c r="F41" s="88">
        <v>32986</v>
      </c>
      <c r="G41" s="86" t="s">
        <v>161</v>
      </c>
      <c r="H41" s="141">
        <v>45931</v>
      </c>
      <c r="I41" s="141">
        <v>46112</v>
      </c>
      <c r="J41" s="72" t="s">
        <v>97</v>
      </c>
      <c r="K41" s="78" t="s">
        <v>98</v>
      </c>
      <c r="L41" s="79" t="s">
        <v>164</v>
      </c>
      <c r="M41" s="161" t="s">
        <v>163</v>
      </c>
      <c r="N41" s="81">
        <f t="shared" si="0"/>
        <v>2</v>
      </c>
      <c r="O41" s="82" t="str">
        <f t="shared" ref="O41" si="114">IF(A41="","",N41&amp;"-"&amp;M41)</f>
        <v>2-6101032004900002</v>
      </c>
      <c r="P41" s="81">
        <f t="shared" si="2"/>
        <v>1</v>
      </c>
      <c r="Q41" s="81" t="str">
        <f t="shared" ref="Q41" si="115">IF(A41="","",IF(P41=1,M41,""))</f>
        <v>6101032004900002</v>
      </c>
      <c r="R41" s="83">
        <f t="shared" ref="R41" ca="1" si="116">IF(Q41="","",I41-TODAY())</f>
        <v>-4</v>
      </c>
      <c r="S41" s="81" t="str">
        <f t="shared" ref="S41" ca="1" si="117">IF(R41="","",
IF(R41&lt;-90,"Pass&gt;90",IF(R41&lt;-60,"Pass 61-90",IF(R41&lt;-30,"Pass 31-60",IF(R41&lt;0,"Pass 0-30",IF(R41&lt;31,"Run 0-30",IF(R41&lt;61,"Run 31-60",IF(R41&lt;91,"Run 60-90","Run &gt;90"))))))))</f>
        <v>Pass 0-30</v>
      </c>
      <c r="T41" s="81" t="str">
        <f ca="1">IF(S41=Dashboard!$D$12,S41,"")</f>
        <v>Pass 0-30</v>
      </c>
      <c r="U41" s="81">
        <f t="shared" ref="U41" ca="1" si="118">IF(T41="","",R41)</f>
        <v>-4</v>
      </c>
      <c r="V41" s="83">
        <f ca="1">IF(U41="","",IFERROR((RANK(U41,$U$2:$U$2028,1)+COUNTIF($U$2:U41,U41))-1,""))</f>
        <v>2</v>
      </c>
      <c r="W41" s="81" t="str">
        <f t="shared" si="7"/>
        <v/>
      </c>
      <c r="X41" s="81" t="str">
        <f>IF(W41="","",IFERROR((RANK(W41,$W$2:$W$2028,1)+COUNTIF($W$2:W41,W41))-1,""))</f>
        <v/>
      </c>
      <c r="Y41" s="81">
        <f t="shared" ca="1" si="8"/>
        <v>-4</v>
      </c>
      <c r="Z41" s="81">
        <f ca="1">IF(Y41="","",IFERROR((RANK(Y41,$Y$2:$Y$2028,1)+COUNTIF($Y$2:Y41,Y41))-1,""))</f>
        <v>2</v>
      </c>
      <c r="AA41" s="81" t="str">
        <f t="shared" si="9"/>
        <v/>
      </c>
      <c r="AB41" s="81" t="str">
        <f>IF(AA41="","",IFERROR((RANK(AA41,$AA$2:$AA$2028,1)+COUNTIF($AA$2:AA41,AA41))-1,""))</f>
        <v/>
      </c>
      <c r="AC41" s="81" t="str">
        <f t="shared" si="10"/>
        <v/>
      </c>
      <c r="AD41" s="81" t="str">
        <f>IF(AC41="","",IFERROR((RANK(AC41,$AC$2:$AC$2028,1)+COUNTIF($AC$2:AC41,AC41))-1,""))</f>
        <v/>
      </c>
      <c r="AE41" s="144">
        <f t="shared" ref="AE41" si="119">IF(P41=1,P41,"")</f>
        <v>1</v>
      </c>
      <c r="AF41" s="144">
        <f>IF(AE41="","",SUM($AE$2:AE41))</f>
        <v>8</v>
      </c>
    </row>
    <row r="42" spans="1:32" x14ac:dyDescent="0.35">
      <c r="A42" s="86" t="s">
        <v>63</v>
      </c>
      <c r="B42" s="84" t="s">
        <v>93</v>
      </c>
      <c r="C42" s="73" t="s">
        <v>43</v>
      </c>
      <c r="D42" s="87" t="s">
        <v>165</v>
      </c>
      <c r="E42" s="160" t="s">
        <v>166</v>
      </c>
      <c r="F42" s="88">
        <v>38829</v>
      </c>
      <c r="G42" s="86" t="s">
        <v>167</v>
      </c>
      <c r="H42" s="141">
        <v>45870</v>
      </c>
      <c r="I42" s="141">
        <v>46053</v>
      </c>
      <c r="J42" s="142" t="s">
        <v>65</v>
      </c>
      <c r="K42" s="142" t="s">
        <v>67</v>
      </c>
      <c r="L42" s="89" t="s">
        <v>168</v>
      </c>
      <c r="M42" s="161" t="s">
        <v>169</v>
      </c>
      <c r="N42" s="81">
        <f t="shared" si="0"/>
        <v>1</v>
      </c>
      <c r="O42" s="82" t="str">
        <f t="shared" ref="O42" si="120">IF(A42="","",N42&amp;"-"&amp;M42)</f>
        <v>1-6101122204060001</v>
      </c>
      <c r="P42" s="81">
        <f t="shared" si="2"/>
        <v>2</v>
      </c>
      <c r="Q42" s="81" t="str">
        <f t="shared" ref="Q42" si="121">IF(A42="","",IF(P42=1,M42,""))</f>
        <v/>
      </c>
      <c r="R42" s="83" t="str">
        <f t="shared" ref="R42" ca="1" si="122">IF(Q42="","",I42-TODAY())</f>
        <v/>
      </c>
      <c r="S42" s="81" t="str">
        <f t="shared" ref="S42" ca="1" si="123">IF(R42="","",
IF(R42&lt;-90,"Pass&gt;90",IF(R42&lt;-60,"Pass 61-90",IF(R42&lt;-30,"Pass 31-60",IF(R42&lt;0,"Pass 0-30",IF(R42&lt;31,"Run 0-30",IF(R42&lt;61,"Run 31-60",IF(R42&lt;91,"Run 60-90","Run &gt;90"))))))))</f>
        <v/>
      </c>
      <c r="T42" s="81" t="str">
        <f ca="1">IF(S42=Dashboard!$D$12,S42,"")</f>
        <v/>
      </c>
      <c r="U42" s="81" t="str">
        <f t="shared" ref="U42" ca="1" si="124">IF(T42="","",R42)</f>
        <v/>
      </c>
      <c r="V42" s="83" t="str">
        <f ca="1">IF(U42="","",IFERROR((RANK(U42,$U$2:$U$2028,1)+COUNTIF($U$2:U42,U42))-1,""))</f>
        <v/>
      </c>
      <c r="W42" s="81" t="str">
        <f t="shared" si="7"/>
        <v/>
      </c>
      <c r="X42" s="81" t="str">
        <f>IF(W42="","",IFERROR((RANK(W42,$W$2:$W$2028,1)+COUNTIF($W$2:W42,W42))-1,""))</f>
        <v/>
      </c>
      <c r="Y42" s="81" t="str">
        <f t="shared" si="8"/>
        <v/>
      </c>
      <c r="Z42" s="81" t="str">
        <f>IF(Y42="","",IFERROR((RANK(Y42,$Y$2:$Y$2028,1)+COUNTIF($Y$2:Y42,Y42))-1,""))</f>
        <v/>
      </c>
      <c r="AA42" s="81" t="str">
        <f t="shared" ca="1" si="9"/>
        <v/>
      </c>
      <c r="AB42" s="81" t="str">
        <f ca="1">IF(AA42="","",IFERROR((RANK(AA42,$AA$2:$AA$2028,1)+COUNTIF($AA$2:AA42,AA42))-1,""))</f>
        <v/>
      </c>
      <c r="AC42" s="81" t="str">
        <f t="shared" si="10"/>
        <v/>
      </c>
      <c r="AD42" s="81" t="str">
        <f>IF(AC42="","",IFERROR((RANK(AC42,$AC$2:$AC$2028,1)+COUNTIF($AC$2:AC42,AC42))-1,""))</f>
        <v/>
      </c>
      <c r="AE42" s="144" t="str">
        <f t="shared" ref="AE42" si="125">IF(P42=1,P42,"")</f>
        <v/>
      </c>
      <c r="AF42" s="144" t="str">
        <f>IF(AE42="","",SUM($AE$2:AE42))</f>
        <v/>
      </c>
    </row>
    <row r="43" spans="1:32" x14ac:dyDescent="0.35">
      <c r="A43" s="86" t="s">
        <v>63</v>
      </c>
      <c r="B43" s="84" t="s">
        <v>93</v>
      </c>
      <c r="C43" s="73" t="s">
        <v>43</v>
      </c>
      <c r="D43" s="164" t="s">
        <v>165</v>
      </c>
      <c r="E43" s="160" t="s">
        <v>166</v>
      </c>
      <c r="F43" s="88">
        <v>38829</v>
      </c>
      <c r="G43" s="86" t="s">
        <v>167</v>
      </c>
      <c r="H43" s="141">
        <v>46054</v>
      </c>
      <c r="I43" s="141">
        <v>46234</v>
      </c>
      <c r="J43" s="142" t="s">
        <v>65</v>
      </c>
      <c r="K43" s="142" t="s">
        <v>67</v>
      </c>
      <c r="L43" s="89" t="s">
        <v>170</v>
      </c>
      <c r="M43" s="161" t="s">
        <v>169</v>
      </c>
      <c r="N43" s="81">
        <f t="shared" si="0"/>
        <v>2</v>
      </c>
      <c r="O43" s="82" t="str">
        <f t="shared" ref="O43" si="126">IF(A43="","",N43&amp;"-"&amp;M43)</f>
        <v>2-6101122204060001</v>
      </c>
      <c r="P43" s="81">
        <f t="shared" si="2"/>
        <v>1</v>
      </c>
      <c r="Q43" s="81" t="str">
        <f t="shared" ref="Q43" si="127">IF(A43="","",IF(P43=1,M43,""))</f>
        <v>6101122204060001</v>
      </c>
      <c r="R43" s="83">
        <f t="shared" ref="R43" ca="1" si="128">IF(Q43="","",I43-TODAY())</f>
        <v>118</v>
      </c>
      <c r="S43" s="81" t="str">
        <f t="shared" ref="S43" ca="1" si="129">IF(R43="","",
IF(R43&lt;-90,"Pass&gt;90",IF(R43&lt;-60,"Pass 61-90",IF(R43&lt;-30,"Pass 31-60",IF(R43&lt;0,"Pass 0-30",IF(R43&lt;31,"Run 0-30",IF(R43&lt;61,"Run 31-60",IF(R43&lt;91,"Run 60-90","Run &gt;90"))))))))</f>
        <v>Run &gt;90</v>
      </c>
      <c r="T43" s="81" t="str">
        <f ca="1">IF(S43=Dashboard!$D$12,S43,"")</f>
        <v/>
      </c>
      <c r="U43" s="81" t="str">
        <f t="shared" ref="U43" ca="1" si="130">IF(T43="","",R43)</f>
        <v/>
      </c>
      <c r="V43" s="83" t="str">
        <f ca="1">IF(U43="","",IFERROR((RANK(U43,$U$2:$U$2028,1)+COUNTIF($U$2:U43,U43))-1,""))</f>
        <v/>
      </c>
      <c r="W43" s="81" t="str">
        <f t="shared" si="7"/>
        <v/>
      </c>
      <c r="X43" s="81" t="str">
        <f>IF(W43="","",IFERROR((RANK(W43,$W$2:$W$2028,1)+COUNTIF($W$2:W43,W43))-1,""))</f>
        <v/>
      </c>
      <c r="Y43" s="81" t="str">
        <f t="shared" si="8"/>
        <v/>
      </c>
      <c r="Z43" s="81" t="str">
        <f>IF(Y43="","",IFERROR((RANK(Y43,$Y$2:$Y$2028,1)+COUNTIF($Y$2:Y43,Y43))-1,""))</f>
        <v/>
      </c>
      <c r="AA43" s="81" t="str">
        <f t="shared" ca="1" si="9"/>
        <v/>
      </c>
      <c r="AB43" s="81" t="str">
        <f ca="1">IF(AA43="","",IFERROR((RANK(AA43,$AA$2:$AA$2028,1)+COUNTIF($AA$2:AA43,AA43))-1,""))</f>
        <v/>
      </c>
      <c r="AC43" s="81" t="str">
        <f t="shared" si="10"/>
        <v/>
      </c>
      <c r="AD43" s="81" t="str">
        <f>IF(AC43="","",IFERROR((RANK(AC43,$AC$2:$AC$2028,1)+COUNTIF($AC$2:AC43,AC43))-1,""))</f>
        <v/>
      </c>
      <c r="AE43" s="144">
        <f t="shared" ref="AE43" si="131">IF(P43=1,P43,"")</f>
        <v>1</v>
      </c>
      <c r="AF43" s="144">
        <f>IF(AE43="","",SUM($AE$2:AE43))</f>
        <v>9</v>
      </c>
    </row>
    <row r="44" spans="1:32" x14ac:dyDescent="0.35">
      <c r="A44" s="86" t="s">
        <v>63</v>
      </c>
      <c r="B44" s="84" t="s">
        <v>93</v>
      </c>
      <c r="C44" s="73" t="s">
        <v>43</v>
      </c>
      <c r="D44" s="87" t="s">
        <v>171</v>
      </c>
      <c r="E44" s="160" t="s">
        <v>172</v>
      </c>
      <c r="F44" s="88">
        <v>33278</v>
      </c>
      <c r="G44" s="86" t="s">
        <v>173</v>
      </c>
      <c r="H44" s="141">
        <v>45870</v>
      </c>
      <c r="I44" s="141">
        <v>46053</v>
      </c>
      <c r="J44" s="142" t="s">
        <v>174</v>
      </c>
      <c r="K44" s="142" t="s">
        <v>67</v>
      </c>
      <c r="L44" s="79" t="s">
        <v>175</v>
      </c>
      <c r="M44" s="161" t="s">
        <v>176</v>
      </c>
      <c r="N44" s="81">
        <f t="shared" si="0"/>
        <v>1</v>
      </c>
      <c r="O44" s="82" t="str">
        <f t="shared" ref="O44" si="132">IF(A44="","",N44&amp;"-"&amp;M44)</f>
        <v>1-6101180902910000</v>
      </c>
      <c r="P44" s="81">
        <f t="shared" si="2"/>
        <v>2</v>
      </c>
      <c r="Q44" s="81" t="str">
        <f t="shared" ref="Q44" si="133">IF(A44="","",IF(P44=1,M44,""))</f>
        <v/>
      </c>
      <c r="R44" s="83" t="str">
        <f t="shared" ref="R44" ca="1" si="134">IF(Q44="","",I44-TODAY())</f>
        <v/>
      </c>
      <c r="S44" s="81" t="str">
        <f t="shared" ref="S44" ca="1" si="135">IF(R44="","",
IF(R44&lt;-90,"Pass&gt;90",IF(R44&lt;-60,"Pass 61-90",IF(R44&lt;-30,"Pass 31-60",IF(R44&lt;0,"Pass 0-30",IF(R44&lt;31,"Run 0-30",IF(R44&lt;61,"Run 31-60",IF(R44&lt;91,"Run 60-90","Run &gt;90"))))))))</f>
        <v/>
      </c>
      <c r="T44" s="81" t="str">
        <f ca="1">IF(S44=Dashboard!$D$12,S44,"")</f>
        <v/>
      </c>
      <c r="U44" s="81" t="str">
        <f t="shared" ref="U44" ca="1" si="136">IF(T44="","",R44)</f>
        <v/>
      </c>
      <c r="V44" s="83" t="str">
        <f ca="1">IF(U44="","",IFERROR((RANK(U44,$U$2:$U$2028,1)+COUNTIF($U$2:U44,U44))-1,""))</f>
        <v/>
      </c>
      <c r="W44" s="81" t="str">
        <f t="shared" ca="1" si="7"/>
        <v/>
      </c>
      <c r="X44" s="81" t="str">
        <f ca="1">IF(W44="","",IFERROR((RANK(W44,$W$2:$W$2028,1)+COUNTIF($W$2:W44,W44))-1,""))</f>
        <v/>
      </c>
      <c r="Y44" s="81" t="str">
        <f t="shared" si="8"/>
        <v/>
      </c>
      <c r="Z44" s="81" t="str">
        <f>IF(Y44="","",IFERROR((RANK(Y44,$Y$2:$Y$2028,1)+COUNTIF($Y$2:Y44,Y44))-1,""))</f>
        <v/>
      </c>
      <c r="AA44" s="81" t="str">
        <f t="shared" si="9"/>
        <v/>
      </c>
      <c r="AB44" s="81" t="str">
        <f>IF(AA44="","",IFERROR((RANK(AA44,$AA$2:$AA$2028,1)+COUNTIF($AA$2:AA44,AA44))-1,""))</f>
        <v/>
      </c>
      <c r="AC44" s="81" t="str">
        <f t="shared" si="10"/>
        <v/>
      </c>
      <c r="AD44" s="81" t="str">
        <f>IF(AC44="","",IFERROR((RANK(AC44,$AC$2:$AC$2028,1)+COUNTIF($AC$2:AC44,AC44))-1,""))</f>
        <v/>
      </c>
      <c r="AE44" s="144" t="str">
        <f t="shared" ref="AE44" si="137">IF(P44=1,P44,"")</f>
        <v/>
      </c>
      <c r="AF44" s="144" t="str">
        <f>IF(AE44="","",SUM($AE$2:AE44))</f>
        <v/>
      </c>
    </row>
    <row r="45" spans="1:32" x14ac:dyDescent="0.35">
      <c r="A45" s="86" t="s">
        <v>63</v>
      </c>
      <c r="B45" s="84" t="s">
        <v>93</v>
      </c>
      <c r="C45" s="73" t="s">
        <v>43</v>
      </c>
      <c r="D45" s="164" t="s">
        <v>171</v>
      </c>
      <c r="E45" s="160" t="s">
        <v>172</v>
      </c>
      <c r="F45" s="88">
        <v>33278</v>
      </c>
      <c r="G45" s="86" t="s">
        <v>173</v>
      </c>
      <c r="H45" s="141">
        <v>46054</v>
      </c>
      <c r="I45" s="141">
        <v>46234</v>
      </c>
      <c r="J45" s="142" t="s">
        <v>174</v>
      </c>
      <c r="K45" s="142" t="s">
        <v>67</v>
      </c>
      <c r="L45" s="79" t="s">
        <v>177</v>
      </c>
      <c r="M45" s="161" t="s">
        <v>176</v>
      </c>
      <c r="N45" s="81">
        <f t="shared" si="0"/>
        <v>2</v>
      </c>
      <c r="O45" s="82" t="str">
        <f t="shared" ref="O45" si="138">IF(A45="","",N45&amp;"-"&amp;M45)</f>
        <v>2-6101180902910000</v>
      </c>
      <c r="P45" s="81">
        <f t="shared" si="2"/>
        <v>1</v>
      </c>
      <c r="Q45" s="81" t="str">
        <f t="shared" ref="Q45" si="139">IF(A45="","",IF(P45=1,M45,""))</f>
        <v>6101180902910000</v>
      </c>
      <c r="R45" s="83">
        <f t="shared" ref="R45" ca="1" si="140">IF(Q45="","",I45-TODAY())</f>
        <v>118</v>
      </c>
      <c r="S45" s="81" t="str">
        <f t="shared" ref="S45" ca="1" si="141">IF(R45="","",
IF(R45&lt;-90,"Pass&gt;90",IF(R45&lt;-60,"Pass 61-90",IF(R45&lt;-30,"Pass 31-60",IF(R45&lt;0,"Pass 0-30",IF(R45&lt;31,"Run 0-30",IF(R45&lt;61,"Run 31-60",IF(R45&lt;91,"Run 60-90","Run &gt;90"))))))))</f>
        <v>Run &gt;90</v>
      </c>
      <c r="T45" s="81" t="str">
        <f ca="1">IF(S45=Dashboard!$D$12,S45,"")</f>
        <v/>
      </c>
      <c r="U45" s="81" t="str">
        <f t="shared" ref="U45" ca="1" si="142">IF(T45="","",R45)</f>
        <v/>
      </c>
      <c r="V45" s="83" t="str">
        <f ca="1">IF(U45="","",IFERROR((RANK(U45,$U$2:$U$2028,1)+COUNTIF($U$2:U45,U45))-1,""))</f>
        <v/>
      </c>
      <c r="W45" s="81" t="str">
        <f t="shared" ca="1" si="7"/>
        <v/>
      </c>
      <c r="X45" s="81" t="str">
        <f ca="1">IF(W45="","",IFERROR((RANK(W45,$W$2:$W$2028,1)+COUNTIF($W$2:W45,W45))-1,""))</f>
        <v/>
      </c>
      <c r="Y45" s="81" t="str">
        <f t="shared" si="8"/>
        <v/>
      </c>
      <c r="Z45" s="81" t="str">
        <f>IF(Y45="","",IFERROR((RANK(Y45,$Y$2:$Y$2028,1)+COUNTIF($Y$2:Y45,Y45))-1,""))</f>
        <v/>
      </c>
      <c r="AA45" s="81" t="str">
        <f t="shared" si="9"/>
        <v/>
      </c>
      <c r="AB45" s="81" t="str">
        <f>IF(AA45="","",IFERROR((RANK(AA45,$AA$2:$AA$2028,1)+COUNTIF($AA$2:AA45,AA45))-1,""))</f>
        <v/>
      </c>
      <c r="AC45" s="81" t="str">
        <f t="shared" si="10"/>
        <v/>
      </c>
      <c r="AD45" s="81" t="str">
        <f>IF(AC45="","",IFERROR((RANK(AC45,$AC$2:$AC$2028,1)+COUNTIF($AC$2:AC45,AC45))-1,""))</f>
        <v/>
      </c>
      <c r="AE45" s="144">
        <f t="shared" ref="AE45" si="143">IF(P45=1,P45,"")</f>
        <v>1</v>
      </c>
      <c r="AF45" s="144">
        <f>IF(AE45="","",SUM($AE$2:AE45))</f>
        <v>10</v>
      </c>
    </row>
    <row r="46" spans="1:32" x14ac:dyDescent="0.35">
      <c r="A46" s="86" t="s">
        <v>63</v>
      </c>
      <c r="B46" s="84" t="s">
        <v>93</v>
      </c>
      <c r="C46" s="73" t="s">
        <v>43</v>
      </c>
      <c r="D46" s="87" t="s">
        <v>178</v>
      </c>
      <c r="E46" s="160" t="s">
        <v>179</v>
      </c>
      <c r="F46" s="88">
        <v>32696</v>
      </c>
      <c r="G46" s="86" t="s">
        <v>180</v>
      </c>
      <c r="H46" s="141">
        <v>45870</v>
      </c>
      <c r="I46" s="141">
        <v>46053</v>
      </c>
      <c r="J46" s="142" t="s">
        <v>97</v>
      </c>
      <c r="K46" s="142" t="s">
        <v>98</v>
      </c>
      <c r="L46" s="79" t="s">
        <v>181</v>
      </c>
      <c r="M46" s="161" t="s">
        <v>182</v>
      </c>
      <c r="N46" s="81">
        <f t="shared" si="0"/>
        <v>1</v>
      </c>
      <c r="O46" s="82" t="str">
        <f t="shared" ref="O46" si="144">IF(A46="","",N46&amp;"-"&amp;M46)</f>
        <v>1-6101024707890005</v>
      </c>
      <c r="P46" s="81">
        <f t="shared" si="2"/>
        <v>2</v>
      </c>
      <c r="Q46" s="81" t="str">
        <f t="shared" ref="Q46" si="145">IF(A46="","",IF(P46=1,M46,""))</f>
        <v/>
      </c>
      <c r="R46" s="83" t="str">
        <f t="shared" ref="R46" ca="1" si="146">IF(Q46="","",I46-TODAY())</f>
        <v/>
      </c>
      <c r="S46" s="81" t="str">
        <f t="shared" ref="S46" ca="1" si="147">IF(R46="","",
IF(R46&lt;-90,"Pass&gt;90",IF(R46&lt;-60,"Pass 61-90",IF(R46&lt;-30,"Pass 31-60",IF(R46&lt;0,"Pass 0-30",IF(R46&lt;31,"Run 0-30",IF(R46&lt;61,"Run 31-60",IF(R46&lt;91,"Run 60-90","Run &gt;90"))))))))</f>
        <v/>
      </c>
      <c r="T46" s="81" t="str">
        <f ca="1">IF(S46=Dashboard!$D$12,S46,"")</f>
        <v/>
      </c>
      <c r="U46" s="81" t="str">
        <f t="shared" ref="U46" ca="1" si="148">IF(T46="","",R46)</f>
        <v/>
      </c>
      <c r="V46" s="83" t="str">
        <f ca="1">IF(U46="","",IFERROR((RANK(U46,$U$2:$U$2028,1)+COUNTIF($U$2:U46,U46))-1,""))</f>
        <v/>
      </c>
      <c r="W46" s="81" t="str">
        <f t="shared" si="7"/>
        <v/>
      </c>
      <c r="X46" s="81" t="str">
        <f>IF(W46="","",IFERROR((RANK(W46,$W$2:$W$2028,1)+COUNTIF($W$2:W46,W46))-1,""))</f>
        <v/>
      </c>
      <c r="Y46" s="81" t="str">
        <f t="shared" ca="1" si="8"/>
        <v/>
      </c>
      <c r="Z46" s="81" t="str">
        <f ca="1">IF(Y46="","",IFERROR((RANK(Y46,$Y$2:$Y$2028,1)+COUNTIF($Y$2:Y46,Y46))-1,""))</f>
        <v/>
      </c>
      <c r="AA46" s="81" t="str">
        <f t="shared" si="9"/>
        <v/>
      </c>
      <c r="AB46" s="81" t="str">
        <f>IF(AA46="","",IFERROR((RANK(AA46,$AA$2:$AA$2028,1)+COUNTIF($AA$2:AA46,AA46))-1,""))</f>
        <v/>
      </c>
      <c r="AC46" s="81" t="str">
        <f t="shared" si="10"/>
        <v/>
      </c>
      <c r="AD46" s="81" t="str">
        <f>IF(AC46="","",IFERROR((RANK(AC46,$AC$2:$AC$2028,1)+COUNTIF($AC$2:AC46,AC46))-1,""))</f>
        <v/>
      </c>
      <c r="AE46" s="144" t="str">
        <f t="shared" ref="AE46" si="149">IF(P46=1,P46,"")</f>
        <v/>
      </c>
      <c r="AF46" s="144" t="str">
        <f>IF(AE46="","",SUM($AE$2:AE46))</f>
        <v/>
      </c>
    </row>
    <row r="47" spans="1:32" x14ac:dyDescent="0.35">
      <c r="A47" s="86" t="s">
        <v>63</v>
      </c>
      <c r="B47" s="84" t="s">
        <v>93</v>
      </c>
      <c r="C47" s="73" t="s">
        <v>43</v>
      </c>
      <c r="D47" s="164" t="s">
        <v>178</v>
      </c>
      <c r="E47" s="160" t="s">
        <v>179</v>
      </c>
      <c r="F47" s="88">
        <v>32696</v>
      </c>
      <c r="G47" s="86" t="s">
        <v>180</v>
      </c>
      <c r="H47" s="141">
        <v>46054</v>
      </c>
      <c r="I47" s="141">
        <v>46234</v>
      </c>
      <c r="J47" s="142" t="s">
        <v>97</v>
      </c>
      <c r="K47" s="142" t="s">
        <v>98</v>
      </c>
      <c r="L47" s="79" t="s">
        <v>183</v>
      </c>
      <c r="M47" s="161" t="s">
        <v>182</v>
      </c>
      <c r="N47" s="81">
        <f t="shared" si="0"/>
        <v>2</v>
      </c>
      <c r="O47" s="82" t="str">
        <f t="shared" ref="O47" si="150">IF(A47="","",N47&amp;"-"&amp;M47)</f>
        <v>2-6101024707890005</v>
      </c>
      <c r="P47" s="81">
        <f t="shared" si="2"/>
        <v>1</v>
      </c>
      <c r="Q47" s="81" t="str">
        <f t="shared" ref="Q47" si="151">IF(A47="","",IF(P47=1,M47,""))</f>
        <v>6101024707890005</v>
      </c>
      <c r="R47" s="83">
        <f t="shared" ref="R47" ca="1" si="152">IF(Q47="","",I47-TODAY())</f>
        <v>118</v>
      </c>
      <c r="S47" s="81" t="str">
        <f t="shared" ref="S47" ca="1" si="153">IF(R47="","",
IF(R47&lt;-90,"Pass&gt;90",IF(R47&lt;-60,"Pass 61-90",IF(R47&lt;-30,"Pass 31-60",IF(R47&lt;0,"Pass 0-30",IF(R47&lt;31,"Run 0-30",IF(R47&lt;61,"Run 31-60",IF(R47&lt;91,"Run 60-90","Run &gt;90"))))))))</f>
        <v>Run &gt;90</v>
      </c>
      <c r="T47" s="81" t="str">
        <f ca="1">IF(S47=Dashboard!$D$12,S47,"")</f>
        <v/>
      </c>
      <c r="U47" s="81" t="str">
        <f t="shared" ref="U47" ca="1" si="154">IF(T47="","",R47)</f>
        <v/>
      </c>
      <c r="V47" s="83" t="str">
        <f ca="1">IF(U47="","",IFERROR((RANK(U47,$U$2:$U$2028,1)+COUNTIF($U$2:U47,U47))-1,""))</f>
        <v/>
      </c>
      <c r="W47" s="81" t="str">
        <f t="shared" si="7"/>
        <v/>
      </c>
      <c r="X47" s="81" t="str">
        <f>IF(W47="","",IFERROR((RANK(W47,$W$2:$W$2028,1)+COUNTIF($W$2:W47,W47))-1,""))</f>
        <v/>
      </c>
      <c r="Y47" s="81" t="str">
        <f t="shared" ca="1" si="8"/>
        <v/>
      </c>
      <c r="Z47" s="81" t="str">
        <f ca="1">IF(Y47="","",IFERROR((RANK(Y47,$Y$2:$Y$2028,1)+COUNTIF($Y$2:Y47,Y47))-1,""))</f>
        <v/>
      </c>
      <c r="AA47" s="81" t="str">
        <f t="shared" si="9"/>
        <v/>
      </c>
      <c r="AB47" s="81" t="str">
        <f>IF(AA47="","",IFERROR((RANK(AA47,$AA$2:$AA$2028,1)+COUNTIF($AA$2:AA47,AA47))-1,""))</f>
        <v/>
      </c>
      <c r="AC47" s="81" t="str">
        <f t="shared" si="10"/>
        <v/>
      </c>
      <c r="AD47" s="81" t="str">
        <f>IF(AC47="","",IFERROR((RANK(AC47,$AC$2:$AC$2028,1)+COUNTIF($AC$2:AC47,AC47))-1,""))</f>
        <v/>
      </c>
      <c r="AE47" s="144">
        <f t="shared" ref="AE47" si="155">IF(P47=1,P47,"")</f>
        <v>1</v>
      </c>
      <c r="AF47" s="144">
        <f>IF(AE47="","",SUM($AE$2:AE47))</f>
        <v>11</v>
      </c>
    </row>
    <row r="48" spans="1:32" x14ac:dyDescent="0.35">
      <c r="A48" s="86" t="s">
        <v>63</v>
      </c>
      <c r="B48" s="84" t="s">
        <v>93</v>
      </c>
      <c r="C48" s="73" t="s">
        <v>43</v>
      </c>
      <c r="D48" s="87" t="s">
        <v>184</v>
      </c>
      <c r="E48" s="160" t="s">
        <v>185</v>
      </c>
      <c r="F48" s="88">
        <v>38527</v>
      </c>
      <c r="G48" s="86" t="s">
        <v>186</v>
      </c>
      <c r="H48" s="141">
        <v>45870</v>
      </c>
      <c r="I48" s="141">
        <v>46053</v>
      </c>
      <c r="J48" s="142" t="s">
        <v>97</v>
      </c>
      <c r="K48" s="142" t="s">
        <v>98</v>
      </c>
      <c r="L48" s="79" t="s">
        <v>187</v>
      </c>
      <c r="M48" s="161" t="s">
        <v>188</v>
      </c>
      <c r="N48" s="81">
        <f t="shared" si="0"/>
        <v>1</v>
      </c>
      <c r="O48" s="82" t="str">
        <f t="shared" ref="O48" si="156">IF(A48="","",N48&amp;"-"&amp;M48)</f>
        <v>1-6101036406050002</v>
      </c>
      <c r="P48" s="81">
        <f t="shared" si="2"/>
        <v>2</v>
      </c>
      <c r="Q48" s="81" t="str">
        <f t="shared" ref="Q48" si="157">IF(A48="","",IF(P48=1,M48,""))</f>
        <v/>
      </c>
      <c r="R48" s="83" t="str">
        <f t="shared" ref="R48" ca="1" si="158">IF(Q48="","",I48-TODAY())</f>
        <v/>
      </c>
      <c r="S48" s="81" t="str">
        <f t="shared" ref="S48" ca="1" si="159">IF(R48="","",
IF(R48&lt;-90,"Pass&gt;90",IF(R48&lt;-60,"Pass 61-90",IF(R48&lt;-30,"Pass 31-60",IF(R48&lt;0,"Pass 0-30",IF(R48&lt;31,"Run 0-30",IF(R48&lt;61,"Run 31-60",IF(R48&lt;91,"Run 60-90","Run &gt;90"))))))))</f>
        <v/>
      </c>
      <c r="T48" s="81" t="str">
        <f ca="1">IF(S48=Dashboard!$D$12,S48,"")</f>
        <v/>
      </c>
      <c r="U48" s="81" t="str">
        <f t="shared" ref="U48" ca="1" si="160">IF(T48="","",R48)</f>
        <v/>
      </c>
      <c r="V48" s="83" t="str">
        <f ca="1">IF(U48="","",IFERROR((RANK(U48,$U$2:$U$2028,1)+COUNTIF($U$2:U48,U48))-1,""))</f>
        <v/>
      </c>
      <c r="W48" s="81" t="str">
        <f t="shared" si="7"/>
        <v/>
      </c>
      <c r="X48" s="81" t="str">
        <f>IF(W48="","",IFERROR((RANK(W48,$W$2:$W$2028,1)+COUNTIF($W$2:W48,W48))-1,""))</f>
        <v/>
      </c>
      <c r="Y48" s="81" t="str">
        <f t="shared" ca="1" si="8"/>
        <v/>
      </c>
      <c r="Z48" s="81" t="str">
        <f ca="1">IF(Y48="","",IFERROR((RANK(Y48,$Y$2:$Y$2028,1)+COUNTIF($Y$2:Y48,Y48))-1,""))</f>
        <v/>
      </c>
      <c r="AA48" s="81" t="str">
        <f t="shared" si="9"/>
        <v/>
      </c>
      <c r="AB48" s="81" t="str">
        <f>IF(AA48="","",IFERROR((RANK(AA48,$AA$2:$AA$2028,1)+COUNTIF($AA$2:AA48,AA48))-1,""))</f>
        <v/>
      </c>
      <c r="AC48" s="81" t="str">
        <f t="shared" si="10"/>
        <v/>
      </c>
      <c r="AD48" s="81" t="str">
        <f>IF(AC48="","",IFERROR((RANK(AC48,$AC$2:$AC$2028,1)+COUNTIF($AC$2:AC48,AC48))-1,""))</f>
        <v/>
      </c>
      <c r="AE48" s="144" t="str">
        <f t="shared" ref="AE48" si="161">IF(P48=1,P48,"")</f>
        <v/>
      </c>
      <c r="AF48" s="144" t="str">
        <f>IF(AE48="","",SUM($AE$2:AE48))</f>
        <v/>
      </c>
    </row>
    <row r="49" spans="1:32" x14ac:dyDescent="0.35">
      <c r="A49" s="86" t="s">
        <v>63</v>
      </c>
      <c r="B49" s="84" t="s">
        <v>93</v>
      </c>
      <c r="C49" s="73" t="s">
        <v>43</v>
      </c>
      <c r="D49" s="164" t="s">
        <v>184</v>
      </c>
      <c r="E49" s="160" t="s">
        <v>185</v>
      </c>
      <c r="F49" s="88">
        <v>38527</v>
      </c>
      <c r="G49" s="86" t="s">
        <v>186</v>
      </c>
      <c r="H49" s="141">
        <v>46054</v>
      </c>
      <c r="I49" s="141">
        <v>46234</v>
      </c>
      <c r="J49" s="142" t="s">
        <v>97</v>
      </c>
      <c r="K49" s="142" t="s">
        <v>98</v>
      </c>
      <c r="L49" s="79" t="s">
        <v>189</v>
      </c>
      <c r="M49" s="161" t="s">
        <v>188</v>
      </c>
      <c r="N49" s="81">
        <f t="shared" si="0"/>
        <v>2</v>
      </c>
      <c r="O49" s="82" t="str">
        <f t="shared" ref="O49" si="162">IF(A49="","",N49&amp;"-"&amp;M49)</f>
        <v>2-6101036406050002</v>
      </c>
      <c r="P49" s="81">
        <f t="shared" si="2"/>
        <v>1</v>
      </c>
      <c r="Q49" s="81" t="str">
        <f t="shared" ref="Q49" si="163">IF(A49="","",IF(P49=1,M49,""))</f>
        <v>6101036406050002</v>
      </c>
      <c r="R49" s="83">
        <f t="shared" ref="R49" ca="1" si="164">IF(Q49="","",I49-TODAY())</f>
        <v>118</v>
      </c>
      <c r="S49" s="81" t="str">
        <f t="shared" ref="S49" ca="1" si="165">IF(R49="","",
IF(R49&lt;-90,"Pass&gt;90",IF(R49&lt;-60,"Pass 61-90",IF(R49&lt;-30,"Pass 31-60",IF(R49&lt;0,"Pass 0-30",IF(R49&lt;31,"Run 0-30",IF(R49&lt;61,"Run 31-60",IF(R49&lt;91,"Run 60-90","Run &gt;90"))))))))</f>
        <v>Run &gt;90</v>
      </c>
      <c r="T49" s="81" t="str">
        <f ca="1">IF(S49=Dashboard!$D$12,S49,"")</f>
        <v/>
      </c>
      <c r="U49" s="81" t="str">
        <f t="shared" ref="U49" ca="1" si="166">IF(T49="","",R49)</f>
        <v/>
      </c>
      <c r="V49" s="83" t="str">
        <f ca="1">IF(U49="","",IFERROR((RANK(U49,$U$2:$U$2028,1)+COUNTIF($U$2:U49,U49))-1,""))</f>
        <v/>
      </c>
      <c r="W49" s="81" t="str">
        <f t="shared" si="7"/>
        <v/>
      </c>
      <c r="X49" s="81" t="str">
        <f>IF(W49="","",IFERROR((RANK(W49,$W$2:$W$2028,1)+COUNTIF($W$2:W49,W49))-1,""))</f>
        <v/>
      </c>
      <c r="Y49" s="81" t="str">
        <f t="shared" ca="1" si="8"/>
        <v/>
      </c>
      <c r="Z49" s="81" t="str">
        <f ca="1">IF(Y49="","",IFERROR((RANK(Y49,$Y$2:$Y$2028,1)+COUNTIF($Y$2:Y49,Y49))-1,""))</f>
        <v/>
      </c>
      <c r="AA49" s="81" t="str">
        <f t="shared" si="9"/>
        <v/>
      </c>
      <c r="AB49" s="81" t="str">
        <f>IF(AA49="","",IFERROR((RANK(AA49,$AA$2:$AA$2028,1)+COUNTIF($AA$2:AA49,AA49))-1,""))</f>
        <v/>
      </c>
      <c r="AC49" s="81" t="str">
        <f t="shared" si="10"/>
        <v/>
      </c>
      <c r="AD49" s="81" t="str">
        <f>IF(AC49="","",IFERROR((RANK(AC49,$AC$2:$AC$2028,1)+COUNTIF($AC$2:AC49,AC49))-1,""))</f>
        <v/>
      </c>
      <c r="AE49" s="144">
        <f t="shared" ref="AE49" si="167">IF(P49=1,P49,"")</f>
        <v>1</v>
      </c>
      <c r="AF49" s="144">
        <f>IF(AE49="","",SUM($AE$2:AE49))</f>
        <v>12</v>
      </c>
    </row>
    <row r="50" spans="1:32" x14ac:dyDescent="0.35">
      <c r="A50" s="86" t="s">
        <v>63</v>
      </c>
      <c r="B50" s="84" t="s">
        <v>93</v>
      </c>
      <c r="C50" s="73" t="s">
        <v>43</v>
      </c>
      <c r="D50" s="87" t="s">
        <v>190</v>
      </c>
      <c r="E50" s="160" t="s">
        <v>93</v>
      </c>
      <c r="F50" s="88">
        <v>31545</v>
      </c>
      <c r="G50" s="86" t="s">
        <v>191</v>
      </c>
      <c r="H50" s="141">
        <v>45870</v>
      </c>
      <c r="I50" s="141">
        <v>46053</v>
      </c>
      <c r="J50" s="142" t="s">
        <v>174</v>
      </c>
      <c r="K50" s="142" t="s">
        <v>67</v>
      </c>
      <c r="L50" s="79" t="s">
        <v>192</v>
      </c>
      <c r="M50" s="161" t="s">
        <v>193</v>
      </c>
      <c r="N50" s="81">
        <f t="shared" si="0"/>
        <v>1</v>
      </c>
      <c r="O50" s="82" t="str">
        <f t="shared" ref="O50" si="168">IF(A50="","",N50&amp;"-"&amp;M50)</f>
        <v>1-6101101312860002</v>
      </c>
      <c r="P50" s="81">
        <f t="shared" si="2"/>
        <v>2</v>
      </c>
      <c r="Q50" s="81" t="str">
        <f t="shared" ref="Q50" si="169">IF(A50="","",IF(P50=1,M50,""))</f>
        <v/>
      </c>
      <c r="R50" s="83" t="str">
        <f t="shared" ref="R50" ca="1" si="170">IF(Q50="","",I50-TODAY())</f>
        <v/>
      </c>
      <c r="S50" s="81" t="str">
        <f t="shared" ref="S50" ca="1" si="171">IF(R50="","",
IF(R50&lt;-90,"Pass&gt;90",IF(R50&lt;-60,"Pass 61-90",IF(R50&lt;-30,"Pass 31-60",IF(R50&lt;0,"Pass 0-30",IF(R50&lt;31,"Run 0-30",IF(R50&lt;61,"Run 31-60",IF(R50&lt;91,"Run 60-90","Run &gt;90"))))))))</f>
        <v/>
      </c>
      <c r="T50" s="81" t="str">
        <f ca="1">IF(S50=Dashboard!$D$12,S50,"")</f>
        <v/>
      </c>
      <c r="U50" s="81" t="str">
        <f t="shared" ref="U50" ca="1" si="172">IF(T50="","",R50)</f>
        <v/>
      </c>
      <c r="V50" s="83" t="str">
        <f ca="1">IF(U50="","",IFERROR((RANK(U50,$U$2:$U$2028,1)+COUNTIF($U$2:U50,U50))-1,""))</f>
        <v/>
      </c>
      <c r="W50" s="81" t="str">
        <f t="shared" ca="1" si="7"/>
        <v/>
      </c>
      <c r="X50" s="81" t="str">
        <f ca="1">IF(W50="","",IFERROR((RANK(W50,$W$2:$W$2028,1)+COUNTIF($W$2:W50,W50))-1,""))</f>
        <v/>
      </c>
      <c r="Y50" s="81" t="str">
        <f t="shared" si="8"/>
        <v/>
      </c>
      <c r="Z50" s="81" t="str">
        <f>IF(Y50="","",IFERROR((RANK(Y50,$Y$2:$Y$2028,1)+COUNTIF($Y$2:Y50,Y50))-1,""))</f>
        <v/>
      </c>
      <c r="AA50" s="81" t="str">
        <f t="shared" si="9"/>
        <v/>
      </c>
      <c r="AB50" s="81" t="str">
        <f>IF(AA50="","",IFERROR((RANK(AA50,$AA$2:$AA$2028,1)+COUNTIF($AA$2:AA50,AA50))-1,""))</f>
        <v/>
      </c>
      <c r="AC50" s="81" t="str">
        <f t="shared" si="10"/>
        <v/>
      </c>
      <c r="AD50" s="81" t="str">
        <f>IF(AC50="","",IFERROR((RANK(AC50,$AC$2:$AC$2028,1)+COUNTIF($AC$2:AC50,AC50))-1,""))</f>
        <v/>
      </c>
      <c r="AE50" s="144" t="str">
        <f t="shared" ref="AE50" si="173">IF(P50=1,P50,"")</f>
        <v/>
      </c>
      <c r="AF50" s="144" t="str">
        <f>IF(AE50="","",SUM($AE$2:AE50))</f>
        <v/>
      </c>
    </row>
    <row r="51" spans="1:32" x14ac:dyDescent="0.35">
      <c r="A51" s="86" t="s">
        <v>63</v>
      </c>
      <c r="B51" s="84" t="s">
        <v>93</v>
      </c>
      <c r="C51" s="73" t="s">
        <v>43</v>
      </c>
      <c r="D51" s="164" t="s">
        <v>190</v>
      </c>
      <c r="E51" s="160" t="s">
        <v>93</v>
      </c>
      <c r="F51" s="88">
        <v>31545</v>
      </c>
      <c r="G51" s="86" t="s">
        <v>191</v>
      </c>
      <c r="H51" s="141">
        <v>46054</v>
      </c>
      <c r="I51" s="141">
        <v>46234</v>
      </c>
      <c r="J51" s="142" t="s">
        <v>174</v>
      </c>
      <c r="K51" s="142" t="s">
        <v>67</v>
      </c>
      <c r="L51" s="79" t="s">
        <v>194</v>
      </c>
      <c r="M51" s="161" t="s">
        <v>193</v>
      </c>
      <c r="N51" s="81">
        <f t="shared" si="0"/>
        <v>2</v>
      </c>
      <c r="O51" s="82" t="str">
        <f t="shared" ref="O51" si="174">IF(A51="","",N51&amp;"-"&amp;M51)</f>
        <v>2-6101101312860002</v>
      </c>
      <c r="P51" s="81">
        <f t="shared" si="2"/>
        <v>1</v>
      </c>
      <c r="Q51" s="81" t="str">
        <f t="shared" ref="Q51" si="175">IF(A51="","",IF(P51=1,M51,""))</f>
        <v>6101101312860002</v>
      </c>
      <c r="R51" s="83">
        <f t="shared" ref="R51" ca="1" si="176">IF(Q51="","",I51-TODAY())</f>
        <v>118</v>
      </c>
      <c r="S51" s="81" t="str">
        <f t="shared" ref="S51" ca="1" si="177">IF(R51="","",
IF(R51&lt;-90,"Pass&gt;90",IF(R51&lt;-60,"Pass 61-90",IF(R51&lt;-30,"Pass 31-60",IF(R51&lt;0,"Pass 0-30",IF(R51&lt;31,"Run 0-30",IF(R51&lt;61,"Run 31-60",IF(R51&lt;91,"Run 60-90","Run &gt;90"))))))))</f>
        <v>Run &gt;90</v>
      </c>
      <c r="T51" s="81" t="str">
        <f ca="1">IF(S51=Dashboard!$D$12,S51,"")</f>
        <v/>
      </c>
      <c r="U51" s="81" t="str">
        <f t="shared" ref="U51" ca="1" si="178">IF(T51="","",R51)</f>
        <v/>
      </c>
      <c r="V51" s="83" t="str">
        <f ca="1">IF(U51="","",IFERROR((RANK(U51,$U$2:$U$2028,1)+COUNTIF($U$2:U51,U51))-1,""))</f>
        <v/>
      </c>
      <c r="W51" s="81" t="str">
        <f t="shared" ca="1" si="7"/>
        <v/>
      </c>
      <c r="X51" s="81" t="str">
        <f ca="1">IF(W51="","",IFERROR((RANK(W51,$W$2:$W$2028,1)+COUNTIF($W$2:W51,W51))-1,""))</f>
        <v/>
      </c>
      <c r="Y51" s="81" t="str">
        <f t="shared" si="8"/>
        <v/>
      </c>
      <c r="Z51" s="81" t="str">
        <f>IF(Y51="","",IFERROR((RANK(Y51,$Y$2:$Y$2028,1)+COUNTIF($Y$2:Y51,Y51))-1,""))</f>
        <v/>
      </c>
      <c r="AA51" s="81" t="str">
        <f t="shared" si="9"/>
        <v/>
      </c>
      <c r="AB51" s="81" t="str">
        <f>IF(AA51="","",IFERROR((RANK(AA51,$AA$2:$AA$2028,1)+COUNTIF($AA$2:AA51,AA51))-1,""))</f>
        <v/>
      </c>
      <c r="AC51" s="81" t="str">
        <f t="shared" si="10"/>
        <v/>
      </c>
      <c r="AD51" s="81" t="str">
        <f>IF(AC51="","",IFERROR((RANK(AC51,$AC$2:$AC$2028,1)+COUNTIF($AC$2:AC51,AC51))-1,""))</f>
        <v/>
      </c>
      <c r="AE51" s="144">
        <f t="shared" ref="AE51" si="179">IF(P51=1,P51,"")</f>
        <v>1</v>
      </c>
      <c r="AF51" s="144">
        <f>IF(AE51="","",SUM($AE$2:AE51))</f>
        <v>13</v>
      </c>
    </row>
    <row r="52" spans="1:32" x14ac:dyDescent="0.35">
      <c r="A52" s="86" t="s">
        <v>63</v>
      </c>
      <c r="B52" s="84" t="s">
        <v>93</v>
      </c>
      <c r="C52" s="73" t="s">
        <v>43</v>
      </c>
      <c r="D52" s="87" t="s">
        <v>195</v>
      </c>
      <c r="E52" s="160" t="s">
        <v>185</v>
      </c>
      <c r="F52" s="88">
        <v>37570</v>
      </c>
      <c r="G52" s="86" t="s">
        <v>196</v>
      </c>
      <c r="H52" s="141">
        <v>45901</v>
      </c>
      <c r="I52" s="141">
        <v>46081</v>
      </c>
      <c r="J52" s="142" t="s">
        <v>97</v>
      </c>
      <c r="K52" s="142" t="s">
        <v>98</v>
      </c>
      <c r="L52" s="79" t="s">
        <v>197</v>
      </c>
      <c r="M52" s="161" t="s">
        <v>198</v>
      </c>
      <c r="N52" s="81">
        <f t="shared" si="0"/>
        <v>1</v>
      </c>
      <c r="O52" s="82" t="str">
        <f t="shared" ref="O52" si="180">IF(A52="","",N52&amp;"-"&amp;M52)</f>
        <v>1-6101034911030001</v>
      </c>
      <c r="P52" s="81">
        <f t="shared" si="2"/>
        <v>2</v>
      </c>
      <c r="Q52" s="81" t="str">
        <f t="shared" ref="Q52" si="181">IF(A52="","",IF(P52=1,M52,""))</f>
        <v/>
      </c>
      <c r="R52" s="83" t="str">
        <f t="shared" ref="R52" ca="1" si="182">IF(Q52="","",I52-TODAY())</f>
        <v/>
      </c>
      <c r="S52" s="81" t="str">
        <f t="shared" ref="S52" ca="1" si="183">IF(R52="","",
IF(R52&lt;-90,"Pass&gt;90",IF(R52&lt;-60,"Pass 61-90",IF(R52&lt;-30,"Pass 31-60",IF(R52&lt;0,"Pass 0-30",IF(R52&lt;31,"Run 0-30",IF(R52&lt;61,"Run 31-60",IF(R52&lt;91,"Run 60-90","Run &gt;90"))))))))</f>
        <v/>
      </c>
      <c r="T52" s="81" t="str">
        <f ca="1">IF(S52=Dashboard!$D$12,S52,"")</f>
        <v/>
      </c>
      <c r="U52" s="81" t="str">
        <f t="shared" ref="U52" ca="1" si="184">IF(T52="","",R52)</f>
        <v/>
      </c>
      <c r="V52" s="83" t="str">
        <f ca="1">IF(U52="","",IFERROR((RANK(U52,$U$2:$U$2028,1)+COUNTIF($U$2:U52,U52))-1,""))</f>
        <v/>
      </c>
      <c r="W52" s="81" t="str">
        <f t="shared" si="7"/>
        <v/>
      </c>
      <c r="X52" s="81" t="str">
        <f>IF(W52="","",IFERROR((RANK(W52,$W$2:$W$2028,1)+COUNTIF($W$2:W52,W52))-1,""))</f>
        <v/>
      </c>
      <c r="Y52" s="81" t="str">
        <f t="shared" ca="1" si="8"/>
        <v/>
      </c>
      <c r="Z52" s="81" t="str">
        <f ca="1">IF(Y52="","",IFERROR((RANK(Y52,$Y$2:$Y$2028,1)+COUNTIF($Y$2:Y52,Y52))-1,""))</f>
        <v/>
      </c>
      <c r="AA52" s="81" t="str">
        <f t="shared" si="9"/>
        <v/>
      </c>
      <c r="AB52" s="81" t="str">
        <f>IF(AA52="","",IFERROR((RANK(AA52,$AA$2:$AA$2028,1)+COUNTIF($AA$2:AA52,AA52))-1,""))</f>
        <v/>
      </c>
      <c r="AC52" s="81" t="str">
        <f t="shared" si="10"/>
        <v/>
      </c>
      <c r="AD52" s="81" t="str">
        <f>IF(AC52="","",IFERROR((RANK(AC52,$AC$2:$AC$2028,1)+COUNTIF($AC$2:AC52,AC52))-1,""))</f>
        <v/>
      </c>
      <c r="AE52" s="144" t="str">
        <f t="shared" ref="AE52" si="185">IF(P52=1,P52,"")</f>
        <v/>
      </c>
      <c r="AF52" s="144" t="str">
        <f>IF(AE52="","",SUM($AE$2:AE52))</f>
        <v/>
      </c>
    </row>
    <row r="53" spans="1:32" x14ac:dyDescent="0.35">
      <c r="A53" s="86" t="s">
        <v>63</v>
      </c>
      <c r="B53" s="84" t="s">
        <v>93</v>
      </c>
      <c r="C53" s="73" t="s">
        <v>43</v>
      </c>
      <c r="D53" s="164" t="s">
        <v>195</v>
      </c>
      <c r="E53" s="160" t="s">
        <v>185</v>
      </c>
      <c r="F53" s="88">
        <v>37570</v>
      </c>
      <c r="G53" s="86" t="s">
        <v>196</v>
      </c>
      <c r="H53" s="141">
        <v>46082</v>
      </c>
      <c r="I53" s="141">
        <v>46265</v>
      </c>
      <c r="J53" s="142" t="s">
        <v>97</v>
      </c>
      <c r="K53" s="142" t="s">
        <v>98</v>
      </c>
      <c r="L53" s="79" t="s">
        <v>199</v>
      </c>
      <c r="M53" s="161" t="s">
        <v>198</v>
      </c>
      <c r="N53" s="81">
        <f t="shared" si="0"/>
        <v>2</v>
      </c>
      <c r="O53" s="82" t="str">
        <f t="shared" ref="O53" si="186">IF(A53="","",N53&amp;"-"&amp;M53)</f>
        <v>2-6101034911030001</v>
      </c>
      <c r="P53" s="81">
        <f t="shared" si="2"/>
        <v>1</v>
      </c>
      <c r="Q53" s="81" t="str">
        <f t="shared" ref="Q53" si="187">IF(A53="","",IF(P53=1,M53,""))</f>
        <v>6101034911030001</v>
      </c>
      <c r="R53" s="83">
        <f t="shared" ref="R53" ca="1" si="188">IF(Q53="","",I53-TODAY())</f>
        <v>149</v>
      </c>
      <c r="S53" s="81" t="str">
        <f t="shared" ref="S53" ca="1" si="189">IF(R53="","",
IF(R53&lt;-90,"Pass&gt;90",IF(R53&lt;-60,"Pass 61-90",IF(R53&lt;-30,"Pass 31-60",IF(R53&lt;0,"Pass 0-30",IF(R53&lt;31,"Run 0-30",IF(R53&lt;61,"Run 31-60",IF(R53&lt;91,"Run 60-90","Run &gt;90"))))))))</f>
        <v>Run &gt;90</v>
      </c>
      <c r="T53" s="81" t="str">
        <f ca="1">IF(S53=Dashboard!$D$12,S53,"")</f>
        <v/>
      </c>
      <c r="U53" s="81" t="str">
        <f t="shared" ref="U53" ca="1" si="190">IF(T53="","",R53)</f>
        <v/>
      </c>
      <c r="V53" s="83" t="str">
        <f ca="1">IF(U53="","",IFERROR((RANK(U53,$U$2:$U$2028,1)+COUNTIF($U$2:U53,U53))-1,""))</f>
        <v/>
      </c>
      <c r="W53" s="81" t="str">
        <f t="shared" si="7"/>
        <v/>
      </c>
      <c r="X53" s="81" t="str">
        <f>IF(W53="","",IFERROR((RANK(W53,$W$2:$W$2028,1)+COUNTIF($W$2:W53,W53))-1,""))</f>
        <v/>
      </c>
      <c r="Y53" s="81" t="str">
        <f t="shared" ca="1" si="8"/>
        <v/>
      </c>
      <c r="Z53" s="81" t="str">
        <f ca="1">IF(Y53="","",IFERROR((RANK(Y53,$Y$2:$Y$2028,1)+COUNTIF($Y$2:Y53,Y53))-1,""))</f>
        <v/>
      </c>
      <c r="AA53" s="81" t="str">
        <f t="shared" si="9"/>
        <v/>
      </c>
      <c r="AB53" s="81" t="str">
        <f>IF(AA53="","",IFERROR((RANK(AA53,$AA$2:$AA$2028,1)+COUNTIF($AA$2:AA53,AA53))-1,""))</f>
        <v/>
      </c>
      <c r="AC53" s="81" t="str">
        <f t="shared" si="10"/>
        <v/>
      </c>
      <c r="AD53" s="81" t="str">
        <f>IF(AC53="","",IFERROR((RANK(AC53,$AC$2:$AC$2028,1)+COUNTIF($AC$2:AC53,AC53))-1,""))</f>
        <v/>
      </c>
      <c r="AE53" s="144">
        <f t="shared" ref="AE53" si="191">IF(P53=1,P53,"")</f>
        <v>1</v>
      </c>
      <c r="AF53" s="144">
        <f>IF(AE53="","",SUM($AE$2:AE53))</f>
        <v>14</v>
      </c>
    </row>
    <row r="54" spans="1:32" x14ac:dyDescent="0.35">
      <c r="A54" s="86" t="s">
        <v>63</v>
      </c>
      <c r="B54" s="84" t="s">
        <v>93</v>
      </c>
      <c r="C54" s="73" t="s">
        <v>43</v>
      </c>
      <c r="D54" s="87" t="s">
        <v>200</v>
      </c>
      <c r="E54" s="160" t="s">
        <v>201</v>
      </c>
      <c r="F54" s="88">
        <v>37288</v>
      </c>
      <c r="G54" s="86" t="s">
        <v>202</v>
      </c>
      <c r="H54" s="141">
        <v>45901</v>
      </c>
      <c r="I54" s="141">
        <v>46081</v>
      </c>
      <c r="J54" s="142" t="s">
        <v>97</v>
      </c>
      <c r="K54" s="142" t="s">
        <v>98</v>
      </c>
      <c r="L54" s="79" t="s">
        <v>203</v>
      </c>
      <c r="M54" s="161" t="s">
        <v>204</v>
      </c>
      <c r="N54" s="81">
        <f t="shared" si="0"/>
        <v>1</v>
      </c>
      <c r="O54" s="82" t="str">
        <f t="shared" ref="O54" si="192">IF(A54="","",N54&amp;"-"&amp;M54)</f>
        <v>1-6101134102060001</v>
      </c>
      <c r="P54" s="81">
        <f t="shared" si="2"/>
        <v>2</v>
      </c>
      <c r="Q54" s="81" t="str">
        <f t="shared" ref="Q54" si="193">IF(A54="","",IF(P54=1,M54,""))</f>
        <v/>
      </c>
      <c r="R54" s="83" t="str">
        <f t="shared" ref="R54" ca="1" si="194">IF(Q54="","",I54-TODAY())</f>
        <v/>
      </c>
      <c r="S54" s="81" t="str">
        <f t="shared" ref="S54" ca="1" si="195">IF(R54="","",
IF(R54&lt;-90,"Pass&gt;90",IF(R54&lt;-60,"Pass 61-90",IF(R54&lt;-30,"Pass 31-60",IF(R54&lt;0,"Pass 0-30",IF(R54&lt;31,"Run 0-30",IF(R54&lt;61,"Run 31-60",IF(R54&lt;91,"Run 60-90","Run &gt;90"))))))))</f>
        <v/>
      </c>
      <c r="T54" s="81" t="str">
        <f ca="1">IF(S54=Dashboard!$D$12,S54,"")</f>
        <v/>
      </c>
      <c r="U54" s="81" t="str">
        <f t="shared" ref="U54" ca="1" si="196">IF(T54="","",R54)</f>
        <v/>
      </c>
      <c r="V54" s="83" t="str">
        <f ca="1">IF(U54="","",IFERROR((RANK(U54,$U$2:$U$2028,1)+COUNTIF($U$2:U54,U54))-1,""))</f>
        <v/>
      </c>
      <c r="W54" s="81" t="str">
        <f t="shared" si="7"/>
        <v/>
      </c>
      <c r="X54" s="81" t="str">
        <f>IF(W54="","",IFERROR((RANK(W54,$W$2:$W$2028,1)+COUNTIF($W$2:W54,W54))-1,""))</f>
        <v/>
      </c>
      <c r="Y54" s="81" t="str">
        <f t="shared" ca="1" si="8"/>
        <v/>
      </c>
      <c r="Z54" s="81" t="str">
        <f ca="1">IF(Y54="","",IFERROR((RANK(Y54,$Y$2:$Y$2028,1)+COUNTIF($Y$2:Y54,Y54))-1,""))</f>
        <v/>
      </c>
      <c r="AA54" s="81" t="str">
        <f t="shared" si="9"/>
        <v/>
      </c>
      <c r="AB54" s="81" t="str">
        <f>IF(AA54="","",IFERROR((RANK(AA54,$AA$2:$AA$2028,1)+COUNTIF($AA$2:AA54,AA54))-1,""))</f>
        <v/>
      </c>
      <c r="AC54" s="81" t="str">
        <f t="shared" si="10"/>
        <v/>
      </c>
      <c r="AD54" s="81" t="str">
        <f>IF(AC54="","",IFERROR((RANK(AC54,$AC$2:$AC$2028,1)+COUNTIF($AC$2:AC54,AC54))-1,""))</f>
        <v/>
      </c>
      <c r="AE54" s="144" t="str">
        <f t="shared" ref="AE54" si="197">IF(P54=1,P54,"")</f>
        <v/>
      </c>
      <c r="AF54" s="144" t="str">
        <f>IF(AE54="","",SUM($AE$2:AE54))</f>
        <v/>
      </c>
    </row>
    <row r="55" spans="1:32" x14ac:dyDescent="0.35">
      <c r="A55" s="86" t="s">
        <v>63</v>
      </c>
      <c r="B55" s="84" t="s">
        <v>93</v>
      </c>
      <c r="C55" s="73" t="s">
        <v>43</v>
      </c>
      <c r="D55" s="164" t="s">
        <v>200</v>
      </c>
      <c r="E55" s="160" t="s">
        <v>201</v>
      </c>
      <c r="F55" s="88">
        <v>37288</v>
      </c>
      <c r="G55" s="86" t="s">
        <v>202</v>
      </c>
      <c r="H55" s="141">
        <v>46082</v>
      </c>
      <c r="I55" s="141">
        <v>46265</v>
      </c>
      <c r="J55" s="142" t="s">
        <v>97</v>
      </c>
      <c r="K55" s="142" t="s">
        <v>98</v>
      </c>
      <c r="L55" s="79" t="s">
        <v>205</v>
      </c>
      <c r="M55" s="161" t="s">
        <v>204</v>
      </c>
      <c r="N55" s="81">
        <f t="shared" si="0"/>
        <v>2</v>
      </c>
      <c r="O55" s="82" t="str">
        <f t="shared" ref="O55" si="198">IF(A55="","",N55&amp;"-"&amp;M55)</f>
        <v>2-6101134102060001</v>
      </c>
      <c r="P55" s="81">
        <f t="shared" si="2"/>
        <v>1</v>
      </c>
      <c r="Q55" s="81" t="str">
        <f t="shared" ref="Q55" si="199">IF(A55="","",IF(P55=1,M55,""))</f>
        <v>6101134102060001</v>
      </c>
      <c r="R55" s="83">
        <f t="shared" ref="R55" ca="1" si="200">IF(Q55="","",I55-TODAY())</f>
        <v>149</v>
      </c>
      <c r="S55" s="81" t="str">
        <f t="shared" ref="S55" ca="1" si="201">IF(R55="","",
IF(R55&lt;-90,"Pass&gt;90",IF(R55&lt;-60,"Pass 61-90",IF(R55&lt;-30,"Pass 31-60",IF(R55&lt;0,"Pass 0-30",IF(R55&lt;31,"Run 0-30",IF(R55&lt;61,"Run 31-60",IF(R55&lt;91,"Run 60-90","Run &gt;90"))))))))</f>
        <v>Run &gt;90</v>
      </c>
      <c r="T55" s="81" t="str">
        <f ca="1">IF(S55=Dashboard!$D$12,S55,"")</f>
        <v/>
      </c>
      <c r="U55" s="81" t="str">
        <f t="shared" ref="U55" ca="1" si="202">IF(T55="","",R55)</f>
        <v/>
      </c>
      <c r="V55" s="83" t="str">
        <f ca="1">IF(U55="","",IFERROR((RANK(U55,$U$2:$U$2028,1)+COUNTIF($U$2:U55,U55))-1,""))</f>
        <v/>
      </c>
      <c r="W55" s="81" t="str">
        <f t="shared" si="7"/>
        <v/>
      </c>
      <c r="X55" s="81" t="str">
        <f>IF(W55="","",IFERROR((RANK(W55,$W$2:$W$2028,1)+COUNTIF($W$2:W55,W55))-1,""))</f>
        <v/>
      </c>
      <c r="Y55" s="81" t="str">
        <f t="shared" ca="1" si="8"/>
        <v/>
      </c>
      <c r="Z55" s="81" t="str">
        <f ca="1">IF(Y55="","",IFERROR((RANK(Y55,$Y$2:$Y$2028,1)+COUNTIF($Y$2:Y55,Y55))-1,""))</f>
        <v/>
      </c>
      <c r="AA55" s="81" t="str">
        <f t="shared" si="9"/>
        <v/>
      </c>
      <c r="AB55" s="81" t="str">
        <f>IF(AA55="","",IFERROR((RANK(AA55,$AA$2:$AA$2028,1)+COUNTIF($AA$2:AA55,AA55))-1,""))</f>
        <v/>
      </c>
      <c r="AC55" s="81" t="str">
        <f t="shared" si="10"/>
        <v/>
      </c>
      <c r="AD55" s="81" t="str">
        <f>IF(AC55="","",IFERROR((RANK(AC55,$AC$2:$AC$2028,1)+COUNTIF($AC$2:AC55,AC55))-1,""))</f>
        <v/>
      </c>
      <c r="AE55" s="144">
        <f t="shared" ref="AE55" si="203">IF(P55=1,P55,"")</f>
        <v>1</v>
      </c>
      <c r="AF55" s="144">
        <f>IF(AE55="","",SUM($AE$2:AE55))</f>
        <v>15</v>
      </c>
    </row>
    <row r="56" spans="1:32" x14ac:dyDescent="0.35">
      <c r="A56" s="86" t="s">
        <v>63</v>
      </c>
      <c r="B56" s="84" t="s">
        <v>93</v>
      </c>
      <c r="C56" s="73" t="s">
        <v>43</v>
      </c>
      <c r="D56" s="87" t="s">
        <v>206</v>
      </c>
      <c r="E56" s="160" t="s">
        <v>105</v>
      </c>
      <c r="F56" s="88">
        <v>34519</v>
      </c>
      <c r="G56" s="86" t="s">
        <v>207</v>
      </c>
      <c r="H56" s="141">
        <v>45901</v>
      </c>
      <c r="I56" s="141">
        <v>46081</v>
      </c>
      <c r="J56" s="142" t="s">
        <v>97</v>
      </c>
      <c r="K56" s="142" t="s">
        <v>98</v>
      </c>
      <c r="L56" s="79" t="s">
        <v>208</v>
      </c>
      <c r="M56" s="161" t="s">
        <v>209</v>
      </c>
      <c r="N56" s="81">
        <f t="shared" si="0"/>
        <v>1</v>
      </c>
      <c r="O56" s="82" t="str">
        <f t="shared" ref="O56" si="204">IF(A56="","",N56&amp;"-"&amp;M56)</f>
        <v>1-6101044908950003</v>
      </c>
      <c r="P56" s="81">
        <f t="shared" si="2"/>
        <v>2</v>
      </c>
      <c r="Q56" s="81" t="str">
        <f t="shared" ref="Q56" si="205">IF(A56="","",IF(P56=1,M56,""))</f>
        <v/>
      </c>
      <c r="R56" s="83" t="str">
        <f t="shared" ref="R56" ca="1" si="206">IF(Q56="","",I56-TODAY())</f>
        <v/>
      </c>
      <c r="S56" s="81" t="str">
        <f t="shared" ref="S56" ca="1" si="207">IF(R56="","",
IF(R56&lt;-90,"Pass&gt;90",IF(R56&lt;-60,"Pass 61-90",IF(R56&lt;-30,"Pass 31-60",IF(R56&lt;0,"Pass 0-30",IF(R56&lt;31,"Run 0-30",IF(R56&lt;61,"Run 31-60",IF(R56&lt;91,"Run 60-90","Run &gt;90"))))))))</f>
        <v/>
      </c>
      <c r="T56" s="81" t="str">
        <f ca="1">IF(S56=Dashboard!$D$12,S56,"")</f>
        <v/>
      </c>
      <c r="U56" s="81" t="str">
        <f t="shared" ref="U56" ca="1" si="208">IF(T56="","",R56)</f>
        <v/>
      </c>
      <c r="V56" s="83" t="str">
        <f ca="1">IF(U56="","",IFERROR((RANK(U56,$U$2:$U$2028,1)+COUNTIF($U$2:U56,U56))-1,""))</f>
        <v/>
      </c>
      <c r="W56" s="81" t="str">
        <f t="shared" si="7"/>
        <v/>
      </c>
      <c r="X56" s="81" t="str">
        <f>IF(W56="","",IFERROR((RANK(W56,$W$2:$W$2028,1)+COUNTIF($W$2:W56,W56))-1,""))</f>
        <v/>
      </c>
      <c r="Y56" s="81" t="str">
        <f t="shared" ca="1" si="8"/>
        <v/>
      </c>
      <c r="Z56" s="81" t="str">
        <f ca="1">IF(Y56="","",IFERROR((RANK(Y56,$Y$2:$Y$2028,1)+COUNTIF($Y$2:Y56,Y56))-1,""))</f>
        <v/>
      </c>
      <c r="AA56" s="81" t="str">
        <f t="shared" si="9"/>
        <v/>
      </c>
      <c r="AB56" s="81" t="str">
        <f>IF(AA56="","",IFERROR((RANK(AA56,$AA$2:$AA$2028,1)+COUNTIF($AA$2:AA56,AA56))-1,""))</f>
        <v/>
      </c>
      <c r="AC56" s="81" t="str">
        <f t="shared" si="10"/>
        <v/>
      </c>
      <c r="AD56" s="81" t="str">
        <f>IF(AC56="","",IFERROR((RANK(AC56,$AC$2:$AC$2028,1)+COUNTIF($AC$2:AC56,AC56))-1,""))</f>
        <v/>
      </c>
      <c r="AE56" s="144" t="str">
        <f t="shared" ref="AE56" si="209">IF(P56=1,P56,"")</f>
        <v/>
      </c>
      <c r="AF56" s="144" t="str">
        <f>IF(AE56="","",SUM($AE$2:AE56))</f>
        <v/>
      </c>
    </row>
    <row r="57" spans="1:32" x14ac:dyDescent="0.35">
      <c r="A57" s="86" t="s">
        <v>63</v>
      </c>
      <c r="B57" s="84" t="s">
        <v>93</v>
      </c>
      <c r="C57" s="73" t="s">
        <v>43</v>
      </c>
      <c r="D57" s="164" t="s">
        <v>206</v>
      </c>
      <c r="E57" s="160" t="s">
        <v>105</v>
      </c>
      <c r="F57" s="88">
        <v>34519</v>
      </c>
      <c r="G57" s="86" t="s">
        <v>207</v>
      </c>
      <c r="H57" s="141">
        <v>46082</v>
      </c>
      <c r="I57" s="141">
        <v>46265</v>
      </c>
      <c r="J57" s="142" t="s">
        <v>97</v>
      </c>
      <c r="K57" s="142" t="s">
        <v>98</v>
      </c>
      <c r="L57" s="79" t="s">
        <v>210</v>
      </c>
      <c r="M57" s="161" t="s">
        <v>209</v>
      </c>
      <c r="N57" s="81">
        <f t="shared" si="0"/>
        <v>2</v>
      </c>
      <c r="O57" s="82" t="str">
        <f t="shared" ref="O57" si="210">IF(A57="","",N57&amp;"-"&amp;M57)</f>
        <v>2-6101044908950003</v>
      </c>
      <c r="P57" s="81">
        <f t="shared" si="2"/>
        <v>1</v>
      </c>
      <c r="Q57" s="81" t="str">
        <f t="shared" ref="Q57" si="211">IF(A57="","",IF(P57=1,M57,""))</f>
        <v>6101044908950003</v>
      </c>
      <c r="R57" s="83">
        <f t="shared" ref="R57" ca="1" si="212">IF(Q57="","",I57-TODAY())</f>
        <v>149</v>
      </c>
      <c r="S57" s="81" t="str">
        <f t="shared" ref="S57" ca="1" si="213">IF(R57="","",
IF(R57&lt;-90,"Pass&gt;90",IF(R57&lt;-60,"Pass 61-90",IF(R57&lt;-30,"Pass 31-60",IF(R57&lt;0,"Pass 0-30",IF(R57&lt;31,"Run 0-30",IF(R57&lt;61,"Run 31-60",IF(R57&lt;91,"Run 60-90","Run &gt;90"))))))))</f>
        <v>Run &gt;90</v>
      </c>
      <c r="T57" s="81" t="str">
        <f ca="1">IF(S57=Dashboard!$D$12,S57,"")</f>
        <v/>
      </c>
      <c r="U57" s="81" t="str">
        <f t="shared" ref="U57" ca="1" si="214">IF(T57="","",R57)</f>
        <v/>
      </c>
      <c r="V57" s="83" t="str">
        <f ca="1">IF(U57="","",IFERROR((RANK(U57,$U$2:$U$2028,1)+COUNTIF($U$2:U57,U57))-1,""))</f>
        <v/>
      </c>
      <c r="W57" s="81" t="str">
        <f t="shared" si="7"/>
        <v/>
      </c>
      <c r="X57" s="81" t="str">
        <f>IF(W57="","",IFERROR((RANK(W57,$W$2:$W$2028,1)+COUNTIF($W$2:W57,W57))-1,""))</f>
        <v/>
      </c>
      <c r="Y57" s="81" t="str">
        <f t="shared" ca="1" si="8"/>
        <v/>
      </c>
      <c r="Z57" s="81" t="str">
        <f ca="1">IF(Y57="","",IFERROR((RANK(Y57,$Y$2:$Y$2028,1)+COUNTIF($Y$2:Y57,Y57))-1,""))</f>
        <v/>
      </c>
      <c r="AA57" s="81" t="str">
        <f t="shared" si="9"/>
        <v/>
      </c>
      <c r="AB57" s="81" t="str">
        <f>IF(AA57="","",IFERROR((RANK(AA57,$AA$2:$AA$2028,1)+COUNTIF($AA$2:AA57,AA57))-1,""))</f>
        <v/>
      </c>
      <c r="AC57" s="81" t="str">
        <f t="shared" si="10"/>
        <v/>
      </c>
      <c r="AD57" s="81" t="str">
        <f>IF(AC57="","",IFERROR((RANK(AC57,$AC$2:$AC$2028,1)+COUNTIF($AC$2:AC57,AC57))-1,""))</f>
        <v/>
      </c>
      <c r="AE57" s="144">
        <f t="shared" ref="AE57" si="215">IF(P57=1,P57,"")</f>
        <v>1</v>
      </c>
      <c r="AF57" s="144">
        <f>IF(AE57="","",SUM($AE$2:AE57))</f>
        <v>16</v>
      </c>
    </row>
    <row r="58" spans="1:32" x14ac:dyDescent="0.35">
      <c r="A58" s="86" t="s">
        <v>63</v>
      </c>
      <c r="B58" s="84" t="s">
        <v>93</v>
      </c>
      <c r="C58" s="73" t="s">
        <v>43</v>
      </c>
      <c r="D58" s="164" t="s">
        <v>211</v>
      </c>
      <c r="E58" s="160" t="s">
        <v>212</v>
      </c>
      <c r="F58" s="88">
        <v>34064</v>
      </c>
      <c r="G58" s="86" t="s">
        <v>213</v>
      </c>
      <c r="H58" s="141">
        <v>45901</v>
      </c>
      <c r="I58" s="141">
        <v>46081</v>
      </c>
      <c r="J58" s="142" t="s">
        <v>214</v>
      </c>
      <c r="K58" s="142" t="s">
        <v>98</v>
      </c>
      <c r="L58" s="79" t="s">
        <v>215</v>
      </c>
      <c r="M58" s="161" t="s">
        <v>216</v>
      </c>
      <c r="N58" s="81">
        <f t="shared" si="0"/>
        <v>1</v>
      </c>
      <c r="O58" s="82" t="str">
        <f t="shared" ref="O58" si="216">IF(A58="","",N58&amp;"-"&amp;M58)</f>
        <v>1-6172020504930002</v>
      </c>
      <c r="P58" s="81">
        <f t="shared" si="2"/>
        <v>1</v>
      </c>
      <c r="Q58" s="81" t="str">
        <f t="shared" ref="Q58" si="217">IF(A58="","",IF(P58=1,M58,""))</f>
        <v>6172020504930002</v>
      </c>
      <c r="R58" s="83">
        <f t="shared" ref="R58" ca="1" si="218">IF(Q58="","",I58-TODAY())</f>
        <v>-35</v>
      </c>
      <c r="S58" s="81" t="str">
        <f t="shared" ref="S58" ca="1" si="219">IF(R58="","",
IF(R58&lt;-90,"Pass&gt;90",IF(R58&lt;-60,"Pass 61-90",IF(R58&lt;-30,"Pass 31-60",IF(R58&lt;0,"Pass 0-30",IF(R58&lt;31,"Run 0-30",IF(R58&lt;61,"Run 31-60",IF(R58&lt;91,"Run 60-90","Run &gt;90"))))))))</f>
        <v>Pass 31-60</v>
      </c>
      <c r="T58" s="81" t="str">
        <f ca="1">IF(S58=Dashboard!$D$12,S58,"")</f>
        <v/>
      </c>
      <c r="U58" s="81" t="str">
        <f t="shared" ref="U58" ca="1" si="220">IF(T58="","",R58)</f>
        <v/>
      </c>
      <c r="V58" s="83" t="str">
        <f ca="1">IF(U58="","",IFERROR((RANK(U58,$U$2:$U$2028,1)+COUNTIF($U$2:U58,U58))-1,""))</f>
        <v/>
      </c>
      <c r="W58" s="81" t="str">
        <f t="shared" si="7"/>
        <v/>
      </c>
      <c r="X58" s="81" t="str">
        <f>IF(W58="","",IFERROR((RANK(W58,$W$2:$W$2028,1)+COUNTIF($W$2:W58,W58))-1,""))</f>
        <v/>
      </c>
      <c r="Y58" s="81" t="str">
        <f t="shared" si="8"/>
        <v/>
      </c>
      <c r="Z58" s="81" t="str">
        <f>IF(Y58="","",IFERROR((RANK(Y58,$Y$2:$Y$2028,1)+COUNTIF($Y$2:Y58,Y58))-1,""))</f>
        <v/>
      </c>
      <c r="AA58" s="81" t="str">
        <f t="shared" si="9"/>
        <v/>
      </c>
      <c r="AB58" s="81" t="str">
        <f>IF(AA58="","",IFERROR((RANK(AA58,$AA$2:$AA$2028,1)+COUNTIF($AA$2:AA58,AA58))-1,""))</f>
        <v/>
      </c>
      <c r="AC58" s="81" t="str">
        <f t="shared" si="10"/>
        <v/>
      </c>
      <c r="AD58" s="81" t="str">
        <f>IF(AC58="","",IFERROR((RANK(AC58,$AC$2:$AC$2028,1)+COUNTIF($AC$2:AC58,AC58))-1,""))</f>
        <v/>
      </c>
      <c r="AE58" s="144">
        <f t="shared" ref="AE58" si="221">IF(P58=1,P58,"")</f>
        <v>1</v>
      </c>
      <c r="AF58" s="144">
        <f>IF(AE58="","",SUM($AE$2:AE58))</f>
        <v>17</v>
      </c>
    </row>
    <row r="59" spans="1:32" x14ac:dyDescent="0.35">
      <c r="A59" s="86" t="s">
        <v>63</v>
      </c>
      <c r="B59" s="84" t="s">
        <v>93</v>
      </c>
      <c r="C59" s="73" t="s">
        <v>43</v>
      </c>
      <c r="D59" s="164" t="s">
        <v>217</v>
      </c>
      <c r="E59" s="160" t="s">
        <v>218</v>
      </c>
      <c r="F59" s="88">
        <v>37949</v>
      </c>
      <c r="G59" s="86" t="s">
        <v>219</v>
      </c>
      <c r="H59" s="141">
        <v>46054</v>
      </c>
      <c r="I59" s="141">
        <v>46234</v>
      </c>
      <c r="J59" s="142" t="s">
        <v>97</v>
      </c>
      <c r="K59" s="142" t="s">
        <v>98</v>
      </c>
      <c r="L59" s="79" t="s">
        <v>220</v>
      </c>
      <c r="M59" s="161" t="s">
        <v>221</v>
      </c>
      <c r="N59" s="81">
        <f t="shared" si="0"/>
        <v>1</v>
      </c>
      <c r="O59" s="82" t="str">
        <f t="shared" ref="O59" si="222">IF(A59="","",N59&amp;"-"&amp;M59)</f>
        <v>1-6101125801020001</v>
      </c>
      <c r="P59" s="81">
        <f t="shared" si="2"/>
        <v>1</v>
      </c>
      <c r="Q59" s="81" t="str">
        <f t="shared" ref="Q59" si="223">IF(A59="","",IF(P59=1,M59,""))</f>
        <v>6101125801020001</v>
      </c>
      <c r="R59" s="83">
        <f t="shared" ref="R59" ca="1" si="224">IF(Q59="","",I59-TODAY())</f>
        <v>118</v>
      </c>
      <c r="S59" s="81" t="str">
        <f t="shared" ref="S59" ca="1" si="225">IF(R59="","",
IF(R59&lt;-90,"Pass&gt;90",IF(R59&lt;-60,"Pass 61-90",IF(R59&lt;-30,"Pass 31-60",IF(R59&lt;0,"Pass 0-30",IF(R59&lt;31,"Run 0-30",IF(R59&lt;61,"Run 31-60",IF(R59&lt;91,"Run 60-90","Run &gt;90"))))))))</f>
        <v>Run &gt;90</v>
      </c>
      <c r="T59" s="81" t="str">
        <f ca="1">IF(S59=Dashboard!$D$12,S59,"")</f>
        <v/>
      </c>
      <c r="U59" s="81" t="str">
        <f t="shared" ref="U59" ca="1" si="226">IF(T59="","",R59)</f>
        <v/>
      </c>
      <c r="V59" s="83" t="str">
        <f ca="1">IF(U59="","",IFERROR((RANK(U59,$U$2:$U$2028,1)+COUNTIF($U$2:U59,U59))-1,""))</f>
        <v/>
      </c>
      <c r="W59" s="81" t="str">
        <f t="shared" si="7"/>
        <v/>
      </c>
      <c r="X59" s="81" t="str">
        <f>IF(W59="","",IFERROR((RANK(W59,$W$2:$W$2028,1)+COUNTIF($W$2:W59,W59))-1,""))</f>
        <v/>
      </c>
      <c r="Y59" s="81" t="str">
        <f t="shared" ca="1" si="8"/>
        <v/>
      </c>
      <c r="Z59" s="81" t="str">
        <f ca="1">IF(Y59="","",IFERROR((RANK(Y59,$Y$2:$Y$2028,1)+COUNTIF($Y$2:Y59,Y59))-1,""))</f>
        <v/>
      </c>
      <c r="AA59" s="81" t="str">
        <f t="shared" si="9"/>
        <v/>
      </c>
      <c r="AB59" s="81" t="str">
        <f>IF(AA59="","",IFERROR((RANK(AA59,$AA$2:$AA$2028,1)+COUNTIF($AA$2:AA59,AA59))-1,""))</f>
        <v/>
      </c>
      <c r="AC59" s="81" t="str">
        <f t="shared" si="10"/>
        <v/>
      </c>
      <c r="AD59" s="81" t="str">
        <f>IF(AC59="","",IFERROR((RANK(AC59,$AC$2:$AC$2028,1)+COUNTIF($AC$2:AC59,AC59))-1,""))</f>
        <v/>
      </c>
      <c r="AE59" s="144">
        <f t="shared" ref="AE59" si="227">IF(P59=1,P59,"")</f>
        <v>1</v>
      </c>
      <c r="AF59" s="144">
        <f>IF(AE59="","",SUM($AE$2:AE59))</f>
        <v>18</v>
      </c>
    </row>
    <row r="60" spans="1:32" x14ac:dyDescent="0.35">
      <c r="A60" s="91"/>
      <c r="B60" s="92"/>
      <c r="C60" s="91"/>
      <c r="D60" s="93"/>
      <c r="E60" s="92"/>
      <c r="F60" s="97"/>
      <c r="G60" s="94"/>
      <c r="H60" s="97"/>
      <c r="I60" s="97"/>
      <c r="J60" s="91"/>
      <c r="K60" s="95"/>
      <c r="L60" s="98"/>
      <c r="M60" s="96"/>
      <c r="N60" s="81" t="str">
        <f t="shared" si="0"/>
        <v/>
      </c>
      <c r="O60" s="82" t="str">
        <f t="shared" ref="O60:O93" si="228">IF(A60="","",N60&amp;"-"&amp;M60)</f>
        <v/>
      </c>
      <c r="P60" s="81" t="str">
        <f t="shared" si="2"/>
        <v/>
      </c>
      <c r="Q60" s="81" t="str">
        <f t="shared" ref="Q60:Q93" si="229">IF(A60="","",IF(P60=1,M60,""))</f>
        <v/>
      </c>
      <c r="R60" s="83" t="str">
        <f t="shared" ref="R60:R93" ca="1" si="230">IF(Q60="","",I60-TODAY())</f>
        <v/>
      </c>
      <c r="S60" s="81" t="str">
        <f t="shared" ca="1" si="5"/>
        <v/>
      </c>
      <c r="T60" s="81" t="str">
        <f ca="1">IF(S60=Dashboard!$D$12,S60,"")</f>
        <v/>
      </c>
      <c r="U60" s="81" t="str">
        <f t="shared" ref="U60:U93" ca="1" si="231">IF(T60="","",R60)</f>
        <v/>
      </c>
      <c r="V60" s="83" t="str">
        <f ca="1">IF(U60="","",IFERROR((RANK(U60,$U$2:$U$2028,1)+COUNTIF($U$2:U60,U60))-1,""))</f>
        <v/>
      </c>
      <c r="W60" s="81" t="str">
        <f t="shared" ref="W60:W94" si="232">IF($J60=$W$1,U60,"")</f>
        <v/>
      </c>
      <c r="X60" s="81" t="str">
        <f>IF(W60="","",IFERROR((RANK(W60,$W$2:$W$2028,1)+COUNTIF($W$2:W60,W60))-1,""))</f>
        <v/>
      </c>
      <c r="Y60" s="81" t="str">
        <f t="shared" si="8"/>
        <v/>
      </c>
      <c r="Z60" s="81" t="str">
        <f>IF(Y60="","",IFERROR((RANK(Y60,$Y$2:$Y$2028,1)+COUNTIF($Y$2:Y60,Y60))-1,""))</f>
        <v/>
      </c>
      <c r="AA60" s="81" t="str">
        <f t="shared" si="9"/>
        <v/>
      </c>
      <c r="AB60" s="81" t="str">
        <f>IF(AA60="","",IFERROR((RANK(AA60,$AA$2:$AA$2028,1)+COUNTIF($AA$2:AA60,AA60))-1,""))</f>
        <v/>
      </c>
      <c r="AC60" s="81" t="str">
        <f t="shared" si="10"/>
        <v/>
      </c>
      <c r="AD60" s="81" t="str">
        <f>IF(AC60="","",IFERROR((RANK(AC60,$AC$2:$AC$2028,1)+COUNTIF($AC$2:AC60,AC60))-1,""))</f>
        <v/>
      </c>
      <c r="AE60" s="144" t="str">
        <f t="shared" si="11"/>
        <v/>
      </c>
      <c r="AF60" s="144" t="str">
        <f>IF(AE60="","",SUM($AE$2:AE60))</f>
        <v/>
      </c>
    </row>
    <row r="61" spans="1:32" x14ac:dyDescent="0.35">
      <c r="A61" s="99"/>
      <c r="B61" s="100"/>
      <c r="C61" s="99"/>
      <c r="D61" s="101"/>
      <c r="E61" s="100"/>
      <c r="F61" s="102"/>
      <c r="G61" s="99"/>
      <c r="H61" s="106"/>
      <c r="I61" s="99"/>
      <c r="J61" s="99"/>
      <c r="K61" s="103"/>
      <c r="L61" s="104"/>
      <c r="M61" s="105"/>
      <c r="N61" s="81" t="str">
        <f t="shared" si="0"/>
        <v/>
      </c>
      <c r="O61" s="82" t="str">
        <f t="shared" si="228"/>
        <v/>
      </c>
      <c r="P61" s="81" t="str">
        <f t="shared" si="2"/>
        <v/>
      </c>
      <c r="Q61" s="81" t="str">
        <f t="shared" si="229"/>
        <v/>
      </c>
      <c r="R61" s="83" t="str">
        <f t="shared" ca="1" si="230"/>
        <v/>
      </c>
      <c r="S61" s="81" t="str">
        <f t="shared" ca="1" si="5"/>
        <v/>
      </c>
      <c r="T61" s="81" t="str">
        <f ca="1">IF(S61=Dashboard!$D$12,S61,"")</f>
        <v/>
      </c>
      <c r="U61" s="81" t="str">
        <f t="shared" ca="1" si="231"/>
        <v/>
      </c>
      <c r="V61" s="83" t="str">
        <f ca="1">IF(U61="","",IFERROR((RANK(U61,$U$2:$U$2028,1)+COUNTIF($U$2:U61,U61))-1,""))</f>
        <v/>
      </c>
      <c r="W61" s="81" t="str">
        <f t="shared" si="232"/>
        <v/>
      </c>
      <c r="X61" s="81" t="str">
        <f>IF(W61="","",IFERROR((RANK(W61,$W$2:$W$2028,1)+COUNTIF($W$2:W61,W61))-1,""))</f>
        <v/>
      </c>
      <c r="Y61" s="81" t="str">
        <f t="shared" si="8"/>
        <v/>
      </c>
      <c r="Z61" s="81" t="str">
        <f>IF(Y61="","",IFERROR((RANK(Y61,$Y$2:$Y$2028,1)+COUNTIF($Y$2:Y61,Y61))-1,""))</f>
        <v/>
      </c>
      <c r="AA61" s="81" t="str">
        <f t="shared" si="9"/>
        <v/>
      </c>
      <c r="AB61" s="81" t="str">
        <f>IF(AA61="","",IFERROR((RANK(AA61,$AA$2:$AA$2028,1)+COUNTIF($AA$2:AA61,AA61))-1,""))</f>
        <v/>
      </c>
      <c r="AC61" s="81" t="str">
        <f t="shared" si="10"/>
        <v/>
      </c>
      <c r="AD61" s="81" t="str">
        <f>IF(AC61="","",IFERROR((RANK(AC61,$AC$2:$AC$2028,1)+COUNTIF($AC$2:AC61,AC61))-1,""))</f>
        <v/>
      </c>
      <c r="AE61" s="144" t="str">
        <f t="shared" si="11"/>
        <v/>
      </c>
      <c r="AF61" s="144" t="str">
        <f>IF(AE61="","",SUM($AE$2:AE61))</f>
        <v/>
      </c>
    </row>
    <row r="62" spans="1:32" x14ac:dyDescent="0.35">
      <c r="A62" s="99"/>
      <c r="B62" s="100"/>
      <c r="C62" s="99"/>
      <c r="D62" s="101"/>
      <c r="E62" s="100"/>
      <c r="F62" s="102"/>
      <c r="G62" s="99"/>
      <c r="H62" s="106"/>
      <c r="I62" s="99"/>
      <c r="J62" s="99"/>
      <c r="K62" s="103"/>
      <c r="L62" s="104"/>
      <c r="M62" s="105"/>
      <c r="N62" s="81" t="str">
        <f t="shared" si="0"/>
        <v/>
      </c>
      <c r="O62" s="82" t="str">
        <f t="shared" si="228"/>
        <v/>
      </c>
      <c r="P62" s="81" t="str">
        <f t="shared" si="2"/>
        <v/>
      </c>
      <c r="Q62" s="81" t="str">
        <f t="shared" si="229"/>
        <v/>
      </c>
      <c r="R62" s="83" t="str">
        <f t="shared" ca="1" si="230"/>
        <v/>
      </c>
      <c r="S62" s="81" t="str">
        <f t="shared" ca="1" si="5"/>
        <v/>
      </c>
      <c r="T62" s="81" t="str">
        <f ca="1">IF(S62=Dashboard!$D$12,S62,"")</f>
        <v/>
      </c>
      <c r="U62" s="81" t="str">
        <f t="shared" ca="1" si="231"/>
        <v/>
      </c>
      <c r="V62" s="83" t="str">
        <f ca="1">IF(U62="","",IFERROR((RANK(U62,$U$2:$U$2028,1)+COUNTIF($U$2:U62,U62))-1,""))</f>
        <v/>
      </c>
      <c r="W62" s="81" t="str">
        <f t="shared" si="232"/>
        <v/>
      </c>
      <c r="X62" s="81" t="str">
        <f>IF(W62="","",IFERROR((RANK(W62,$W$2:$W$2028,1)+COUNTIF($W$2:W62,W62))-1,""))</f>
        <v/>
      </c>
      <c r="Y62" s="81" t="str">
        <f t="shared" si="8"/>
        <v/>
      </c>
      <c r="Z62" s="81" t="str">
        <f>IF(Y62="","",IFERROR((RANK(Y62,$Y$2:$Y$2028,1)+COUNTIF($Y$2:Y62,Y62))-1,""))</f>
        <v/>
      </c>
      <c r="AA62" s="81" t="str">
        <f t="shared" si="9"/>
        <v/>
      </c>
      <c r="AB62" s="81" t="str">
        <f>IF(AA62="","",IFERROR((RANK(AA62,$AA$2:$AA$2028,1)+COUNTIF($AA$2:AA62,AA62))-1,""))</f>
        <v/>
      </c>
      <c r="AC62" s="81" t="str">
        <f t="shared" si="10"/>
        <v/>
      </c>
      <c r="AD62" s="81" t="str">
        <f>IF(AC62="","",IFERROR((RANK(AC62,$AC$2:$AC$2028,1)+COUNTIF($AC$2:AC62,AC62))-1,""))</f>
        <v/>
      </c>
      <c r="AE62" s="144" t="str">
        <f t="shared" si="11"/>
        <v/>
      </c>
      <c r="AF62" s="144" t="str">
        <f>IF(AE62="","",SUM($AE$2:AE62))</f>
        <v/>
      </c>
    </row>
    <row r="63" spans="1:32" x14ac:dyDescent="0.35">
      <c r="A63" s="99"/>
      <c r="B63" s="100"/>
      <c r="C63" s="99"/>
      <c r="D63" s="101"/>
      <c r="E63" s="100"/>
      <c r="F63" s="102"/>
      <c r="G63" s="99"/>
      <c r="H63" s="106"/>
      <c r="I63" s="99"/>
      <c r="J63" s="99"/>
      <c r="K63" s="103"/>
      <c r="L63" s="104"/>
      <c r="M63" s="105"/>
      <c r="N63" s="81" t="str">
        <f t="shared" si="0"/>
        <v/>
      </c>
      <c r="O63" s="82" t="str">
        <f t="shared" si="228"/>
        <v/>
      </c>
      <c r="P63" s="81" t="str">
        <f t="shared" si="2"/>
        <v/>
      </c>
      <c r="Q63" s="81" t="str">
        <f t="shared" si="229"/>
        <v/>
      </c>
      <c r="R63" s="83" t="str">
        <f t="shared" ca="1" si="230"/>
        <v/>
      </c>
      <c r="S63" s="81" t="str">
        <f t="shared" ca="1" si="5"/>
        <v/>
      </c>
      <c r="T63" s="81" t="str">
        <f ca="1">IF(S63=Dashboard!$D$12,S63,"")</f>
        <v/>
      </c>
      <c r="U63" s="81" t="str">
        <f t="shared" ca="1" si="231"/>
        <v/>
      </c>
      <c r="V63" s="83" t="str">
        <f ca="1">IF(U63="","",IFERROR((RANK(U63,$U$2:$U$2028,1)+COUNTIF($U$2:U63,U63))-1,""))</f>
        <v/>
      </c>
      <c r="W63" s="81" t="str">
        <f t="shared" si="232"/>
        <v/>
      </c>
      <c r="X63" s="81" t="str">
        <f>IF(W63="","",IFERROR((RANK(W63,$W$2:$W$2028,1)+COUNTIF($W$2:W63,W63))-1,""))</f>
        <v/>
      </c>
      <c r="Y63" s="81" t="str">
        <f t="shared" si="8"/>
        <v/>
      </c>
      <c r="Z63" s="81" t="str">
        <f>IF(Y63="","",IFERROR((RANK(Y63,$Y$2:$Y$2028,1)+COUNTIF($Y$2:Y63,Y63))-1,""))</f>
        <v/>
      </c>
      <c r="AA63" s="81" t="str">
        <f t="shared" si="9"/>
        <v/>
      </c>
      <c r="AB63" s="81" t="str">
        <f>IF(AA63="","",IFERROR((RANK(AA63,$AA$2:$AA$2028,1)+COUNTIF($AA$2:AA63,AA63))-1,""))</f>
        <v/>
      </c>
      <c r="AC63" s="81" t="str">
        <f t="shared" si="10"/>
        <v/>
      </c>
      <c r="AD63" s="81" t="str">
        <f>IF(AC63="","",IFERROR((RANK(AC63,$AC$2:$AC$2028,1)+COUNTIF($AC$2:AC63,AC63))-1,""))</f>
        <v/>
      </c>
      <c r="AE63" s="144" t="str">
        <f t="shared" si="11"/>
        <v/>
      </c>
      <c r="AF63" s="144" t="str">
        <f>IF(AE63="","",SUM($AE$2:AE63))</f>
        <v/>
      </c>
    </row>
    <row r="64" spans="1:32" x14ac:dyDescent="0.35">
      <c r="A64" s="99"/>
      <c r="B64" s="100"/>
      <c r="C64" s="99"/>
      <c r="D64" s="101"/>
      <c r="E64" s="100"/>
      <c r="F64" s="106"/>
      <c r="G64" s="99"/>
      <c r="H64" s="106"/>
      <c r="I64" s="106"/>
      <c r="J64" s="99"/>
      <c r="K64" s="103"/>
      <c r="L64" s="107"/>
      <c r="M64" s="105"/>
      <c r="N64" s="81" t="str">
        <f t="shared" si="0"/>
        <v/>
      </c>
      <c r="O64" s="82" t="str">
        <f t="shared" si="228"/>
        <v/>
      </c>
      <c r="P64" s="81" t="str">
        <f t="shared" si="2"/>
        <v/>
      </c>
      <c r="Q64" s="81" t="str">
        <f t="shared" si="229"/>
        <v/>
      </c>
      <c r="R64" s="83" t="str">
        <f t="shared" ca="1" si="230"/>
        <v/>
      </c>
      <c r="S64" s="81" t="str">
        <f t="shared" ca="1" si="5"/>
        <v/>
      </c>
      <c r="T64" s="81" t="str">
        <f ca="1">IF(S64=Dashboard!$D$12,S64,"")</f>
        <v/>
      </c>
      <c r="U64" s="81" t="str">
        <f t="shared" ca="1" si="231"/>
        <v/>
      </c>
      <c r="V64" s="83" t="str">
        <f ca="1">IF(U64="","",IFERROR((RANK(U64,$U$2:$U$2028,1)+COUNTIF($U$2:U64,U64))-1,""))</f>
        <v/>
      </c>
      <c r="W64" s="81" t="str">
        <f t="shared" si="232"/>
        <v/>
      </c>
      <c r="X64" s="81" t="str">
        <f>IF(W64="","",IFERROR((RANK(W64,$W$2:$W$2028,1)+COUNTIF($W$2:W64,W64))-1,""))</f>
        <v/>
      </c>
      <c r="Y64" s="81" t="str">
        <f t="shared" si="8"/>
        <v/>
      </c>
      <c r="Z64" s="81" t="str">
        <f>IF(Y64="","",IFERROR((RANK(Y64,$Y$2:$Y$2028,1)+COUNTIF($Y$2:Y64,Y64))-1,""))</f>
        <v/>
      </c>
      <c r="AA64" s="81" t="str">
        <f t="shared" si="9"/>
        <v/>
      </c>
      <c r="AB64" s="81" t="str">
        <f>IF(AA64="","",IFERROR((RANK(AA64,$AA$2:$AA$2028,1)+COUNTIF($AA$2:AA64,AA64))-1,""))</f>
        <v/>
      </c>
      <c r="AC64" s="81" t="str">
        <f t="shared" si="10"/>
        <v/>
      </c>
      <c r="AD64" s="81" t="str">
        <f>IF(AC64="","",IFERROR((RANK(AC64,$AC$2:$AC$2028,1)+COUNTIF($AC$2:AC64,AC64))-1,""))</f>
        <v/>
      </c>
      <c r="AE64" s="144" t="str">
        <f t="shared" si="11"/>
        <v/>
      </c>
      <c r="AF64" s="144" t="str">
        <f>IF(AE64="","",SUM($AE$2:AE64))</f>
        <v/>
      </c>
    </row>
    <row r="65" spans="1:32" x14ac:dyDescent="0.35">
      <c r="A65" s="99"/>
      <c r="B65" s="100"/>
      <c r="C65" s="99"/>
      <c r="D65" s="101"/>
      <c r="E65" s="100"/>
      <c r="F65" s="106"/>
      <c r="G65" s="99"/>
      <c r="H65" s="106"/>
      <c r="I65" s="99"/>
      <c r="J65" s="99"/>
      <c r="K65" s="103"/>
      <c r="L65" s="107"/>
      <c r="M65" s="105"/>
      <c r="N65" s="81" t="str">
        <f t="shared" si="0"/>
        <v/>
      </c>
      <c r="O65" s="82" t="str">
        <f t="shared" si="228"/>
        <v/>
      </c>
      <c r="P65" s="81" t="str">
        <f t="shared" si="2"/>
        <v/>
      </c>
      <c r="Q65" s="81" t="str">
        <f t="shared" si="229"/>
        <v/>
      </c>
      <c r="R65" s="83" t="str">
        <f t="shared" ca="1" si="230"/>
        <v/>
      </c>
      <c r="S65" s="81" t="str">
        <f t="shared" ca="1" si="5"/>
        <v/>
      </c>
      <c r="T65" s="81" t="str">
        <f ca="1">IF(S65=Dashboard!$D$12,S65,"")</f>
        <v/>
      </c>
      <c r="U65" s="81" t="str">
        <f t="shared" ca="1" si="231"/>
        <v/>
      </c>
      <c r="V65" s="83" t="str">
        <f ca="1">IF(U65="","",IFERROR((RANK(U65,$U$2:$U$2028,1)+COUNTIF($U$2:U65,U65))-1,""))</f>
        <v/>
      </c>
      <c r="W65" s="81" t="str">
        <f t="shared" si="232"/>
        <v/>
      </c>
      <c r="X65" s="81" t="str">
        <f>IF(W65="","",IFERROR((RANK(W65,$W$2:$W$2028,1)+COUNTIF($W$2:W65,W65))-1,""))</f>
        <v/>
      </c>
      <c r="Y65" s="81" t="str">
        <f t="shared" si="8"/>
        <v/>
      </c>
      <c r="Z65" s="81" t="str">
        <f>IF(Y65="","",IFERROR((RANK(Y65,$Y$2:$Y$2028,1)+COUNTIF($Y$2:Y65,Y65))-1,""))</f>
        <v/>
      </c>
      <c r="AA65" s="81" t="str">
        <f t="shared" si="9"/>
        <v/>
      </c>
      <c r="AB65" s="81" t="str">
        <f>IF(AA65="","",IFERROR((RANK(AA65,$AA$2:$AA$2028,1)+COUNTIF($AA$2:AA65,AA65))-1,""))</f>
        <v/>
      </c>
      <c r="AC65" s="81" t="str">
        <f t="shared" si="10"/>
        <v/>
      </c>
      <c r="AD65" s="81" t="str">
        <f>IF(AC65="","",IFERROR((RANK(AC65,$AC$2:$AC$2028,1)+COUNTIF($AC$2:AC65,AC65))-1,""))</f>
        <v/>
      </c>
      <c r="AE65" s="144" t="str">
        <f t="shared" si="11"/>
        <v/>
      </c>
      <c r="AF65" s="144" t="str">
        <f>IF(AE65="","",SUM($AE$2:AE65))</f>
        <v/>
      </c>
    </row>
    <row r="66" spans="1:32" x14ac:dyDescent="0.35">
      <c r="A66" s="99"/>
      <c r="B66" s="100"/>
      <c r="C66" s="99"/>
      <c r="D66" s="101"/>
      <c r="E66" s="100"/>
      <c r="F66" s="106"/>
      <c r="G66" s="99"/>
      <c r="H66" s="106"/>
      <c r="I66" s="99"/>
      <c r="J66" s="99"/>
      <c r="K66" s="103"/>
      <c r="L66" s="107"/>
      <c r="M66" s="105"/>
      <c r="N66" s="81" t="str">
        <f t="shared" ref="N66:N129" si="233">IF(A66="","",COUNTIFS(M:M,M66,H:H,"&lt;"&amp;H66)+1)</f>
        <v/>
      </c>
      <c r="O66" s="82" t="str">
        <f t="shared" si="228"/>
        <v/>
      </c>
      <c r="P66" s="81" t="str">
        <f t="shared" ref="P66:P129" si="234">IF(A66="","",COUNTIFS(M:M,M66,H:H,"&gt;"&amp;H66)+1)</f>
        <v/>
      </c>
      <c r="Q66" s="81" t="str">
        <f t="shared" si="229"/>
        <v/>
      </c>
      <c r="R66" s="83" t="str">
        <f t="shared" ca="1" si="230"/>
        <v/>
      </c>
      <c r="S66" s="81" t="str">
        <f t="shared" ca="1" si="5"/>
        <v/>
      </c>
      <c r="T66" s="81" t="str">
        <f ca="1">IF(S66=Dashboard!$D$12,S66,"")</f>
        <v/>
      </c>
      <c r="U66" s="81" t="str">
        <f t="shared" ca="1" si="231"/>
        <v/>
      </c>
      <c r="V66" s="83" t="str">
        <f ca="1">IF(U66="","",IFERROR((RANK(U66,$U$2:$U$2028,1)+COUNTIF($U$2:U66,U66))-1,""))</f>
        <v/>
      </c>
      <c r="W66" s="81" t="str">
        <f t="shared" si="232"/>
        <v/>
      </c>
      <c r="X66" s="81" t="str">
        <f>IF(W66="","",IFERROR((RANK(W66,$W$2:$W$2028,1)+COUNTIF($W$2:W66,W66))-1,""))</f>
        <v/>
      </c>
      <c r="Y66" s="81" t="str">
        <f t="shared" si="8"/>
        <v/>
      </c>
      <c r="Z66" s="81" t="str">
        <f>IF(Y66="","",IFERROR((RANK(Y66,$Y$2:$Y$2028,1)+COUNTIF($Y$2:Y66,Y66))-1,""))</f>
        <v/>
      </c>
      <c r="AA66" s="81" t="str">
        <f t="shared" si="9"/>
        <v/>
      </c>
      <c r="AB66" s="81" t="str">
        <f>IF(AA66="","",IFERROR((RANK(AA66,$AA$2:$AA$2028,1)+COUNTIF($AA$2:AA66,AA66))-1,""))</f>
        <v/>
      </c>
      <c r="AC66" s="81" t="str">
        <f t="shared" si="10"/>
        <v/>
      </c>
      <c r="AD66" s="81" t="str">
        <f>IF(AC66="","",IFERROR((RANK(AC66,$AC$2:$AC$2028,1)+COUNTIF($AC$2:AC66,AC66))-1,""))</f>
        <v/>
      </c>
      <c r="AE66" s="144" t="str">
        <f t="shared" si="11"/>
        <v/>
      </c>
      <c r="AF66" s="144" t="str">
        <f>IF(AE66="","",SUM($AE$2:AE66))</f>
        <v/>
      </c>
    </row>
    <row r="67" spans="1:32" x14ac:dyDescent="0.35">
      <c r="A67" s="99"/>
      <c r="B67" s="100"/>
      <c r="C67" s="99"/>
      <c r="D67" s="101"/>
      <c r="E67" s="100"/>
      <c r="F67" s="106"/>
      <c r="G67" s="99"/>
      <c r="H67" s="106"/>
      <c r="I67" s="99"/>
      <c r="J67" s="99"/>
      <c r="K67" s="103"/>
      <c r="L67" s="107"/>
      <c r="M67" s="105"/>
      <c r="N67" s="81" t="str">
        <f t="shared" si="233"/>
        <v/>
      </c>
      <c r="O67" s="82" t="str">
        <f t="shared" si="228"/>
        <v/>
      </c>
      <c r="P67" s="81" t="str">
        <f t="shared" si="234"/>
        <v/>
      </c>
      <c r="Q67" s="81" t="str">
        <f t="shared" si="229"/>
        <v/>
      </c>
      <c r="R67" s="83" t="str">
        <f t="shared" ca="1" si="230"/>
        <v/>
      </c>
      <c r="S67" s="81" t="str">
        <f t="shared" ca="1" si="5"/>
        <v/>
      </c>
      <c r="T67" s="81" t="str">
        <f ca="1">IF(S67=Dashboard!$D$12,S67,"")</f>
        <v/>
      </c>
      <c r="U67" s="81" t="str">
        <f t="shared" ca="1" si="231"/>
        <v/>
      </c>
      <c r="V67" s="83" t="str">
        <f ca="1">IF(U67="","",IFERROR((RANK(U67,$U$2:$U$2028,1)+COUNTIF($U$2:U67,U67))-1,""))</f>
        <v/>
      </c>
      <c r="W67" s="81" t="str">
        <f t="shared" si="232"/>
        <v/>
      </c>
      <c r="X67" s="81" t="str">
        <f>IF(W67="","",IFERROR((RANK(W67,$W$2:$W$2028,1)+COUNTIF($W$2:W67,W67))-1,""))</f>
        <v/>
      </c>
      <c r="Y67" s="81" t="str">
        <f t="shared" si="8"/>
        <v/>
      </c>
      <c r="Z67" s="81" t="str">
        <f>IF(Y67="","",IFERROR((RANK(Y67,$Y$2:$Y$2028,1)+COUNTIF($Y$2:Y67,Y67))-1,""))</f>
        <v/>
      </c>
      <c r="AA67" s="81" t="str">
        <f t="shared" si="9"/>
        <v/>
      </c>
      <c r="AB67" s="81" t="str">
        <f>IF(AA67="","",IFERROR((RANK(AA67,$AA$2:$AA$2028,1)+COUNTIF($AA$2:AA67,AA67))-1,""))</f>
        <v/>
      </c>
      <c r="AC67" s="81" t="str">
        <f t="shared" si="10"/>
        <v/>
      </c>
      <c r="AD67" s="81" t="str">
        <f>IF(AC67="","",IFERROR((RANK(AC67,$AC$2:$AC$2028,1)+COUNTIF($AC$2:AC67,AC67))-1,""))</f>
        <v/>
      </c>
      <c r="AE67" s="144" t="str">
        <f t="shared" si="11"/>
        <v/>
      </c>
      <c r="AF67" s="144" t="str">
        <f>IF(AE67="","",SUM($AE$2:AE67))</f>
        <v/>
      </c>
    </row>
    <row r="68" spans="1:32" x14ac:dyDescent="0.35">
      <c r="A68" s="99"/>
      <c r="B68" s="100"/>
      <c r="C68" s="99"/>
      <c r="D68" s="101"/>
      <c r="E68" s="100"/>
      <c r="F68" s="106"/>
      <c r="G68" s="99"/>
      <c r="H68" s="106"/>
      <c r="I68" s="106"/>
      <c r="J68" s="99"/>
      <c r="K68" s="103"/>
      <c r="L68" s="107"/>
      <c r="M68" s="105"/>
      <c r="N68" s="81" t="str">
        <f t="shared" si="233"/>
        <v/>
      </c>
      <c r="O68" s="82" t="str">
        <f t="shared" si="228"/>
        <v/>
      </c>
      <c r="P68" s="81" t="str">
        <f t="shared" si="234"/>
        <v/>
      </c>
      <c r="Q68" s="81" t="str">
        <f t="shared" si="229"/>
        <v/>
      </c>
      <c r="R68" s="83" t="str">
        <f t="shared" ca="1" si="230"/>
        <v/>
      </c>
      <c r="S68" s="81" t="str">
        <f t="shared" ca="1" si="5"/>
        <v/>
      </c>
      <c r="T68" s="81" t="str">
        <f ca="1">IF(S68=Dashboard!$D$12,S68,"")</f>
        <v/>
      </c>
      <c r="U68" s="81" t="str">
        <f t="shared" ca="1" si="231"/>
        <v/>
      </c>
      <c r="V68" s="83" t="str">
        <f ca="1">IF(U68="","",IFERROR((RANK(U68,$U$2:$U$2028,1)+COUNTIF($U$2:U68,U68))-1,""))</f>
        <v/>
      </c>
      <c r="W68" s="81" t="str">
        <f t="shared" si="232"/>
        <v/>
      </c>
      <c r="X68" s="81" t="str">
        <f>IF(W68="","",IFERROR((RANK(W68,$W$2:$W$2028,1)+COUNTIF($W$2:W68,W68))-1,""))</f>
        <v/>
      </c>
      <c r="Y68" s="81" t="str">
        <f t="shared" si="8"/>
        <v/>
      </c>
      <c r="Z68" s="81" t="str">
        <f>IF(Y68="","",IFERROR((RANK(Y68,$Y$2:$Y$2028,1)+COUNTIF($Y$2:Y68,Y68))-1,""))</f>
        <v/>
      </c>
      <c r="AA68" s="81" t="str">
        <f t="shared" si="9"/>
        <v/>
      </c>
      <c r="AB68" s="81" t="str">
        <f>IF(AA68="","",IFERROR((RANK(AA68,$AA$2:$AA$2028,1)+COUNTIF($AA$2:AA68,AA68))-1,""))</f>
        <v/>
      </c>
      <c r="AC68" s="81" t="str">
        <f t="shared" si="10"/>
        <v/>
      </c>
      <c r="AD68" s="81" t="str">
        <f>IF(AC68="","",IFERROR((RANK(AC68,$AC$2:$AC$2028,1)+COUNTIF($AC$2:AC68,AC68))-1,""))</f>
        <v/>
      </c>
      <c r="AE68" s="144" t="str">
        <f t="shared" si="11"/>
        <v/>
      </c>
      <c r="AF68" s="144" t="str">
        <f>IF(AE68="","",SUM($AE$2:AE68))</f>
        <v/>
      </c>
    </row>
    <row r="69" spans="1:32" x14ac:dyDescent="0.35">
      <c r="A69" s="99"/>
      <c r="B69" s="100"/>
      <c r="C69" s="99"/>
      <c r="D69" s="101"/>
      <c r="E69" s="100"/>
      <c r="F69" s="106"/>
      <c r="G69" s="99"/>
      <c r="H69" s="106"/>
      <c r="I69" s="99"/>
      <c r="J69" s="99"/>
      <c r="K69" s="103"/>
      <c r="L69" s="107"/>
      <c r="M69" s="105"/>
      <c r="N69" s="81" t="str">
        <f t="shared" si="233"/>
        <v/>
      </c>
      <c r="O69" s="82" t="str">
        <f t="shared" si="228"/>
        <v/>
      </c>
      <c r="P69" s="81" t="str">
        <f t="shared" si="234"/>
        <v/>
      </c>
      <c r="Q69" s="81" t="str">
        <f t="shared" si="229"/>
        <v/>
      </c>
      <c r="R69" s="83" t="str">
        <f t="shared" ca="1" si="230"/>
        <v/>
      </c>
      <c r="S69" s="81" t="str">
        <f t="shared" ca="1" si="5"/>
        <v/>
      </c>
      <c r="T69" s="81" t="str">
        <f ca="1">IF(S69=Dashboard!$D$12,S69,"")</f>
        <v/>
      </c>
      <c r="U69" s="81" t="str">
        <f t="shared" ca="1" si="231"/>
        <v/>
      </c>
      <c r="V69" s="83" t="str">
        <f ca="1">IF(U69="","",IFERROR((RANK(U69,$U$2:$U$2028,1)+COUNTIF($U$2:U69,U69))-1,""))</f>
        <v/>
      </c>
      <c r="W69" s="81" t="str">
        <f t="shared" si="232"/>
        <v/>
      </c>
      <c r="X69" s="81" t="str">
        <f>IF(W69="","",IFERROR((RANK(W69,$W$2:$W$2028,1)+COUNTIF($W$2:W69,W69))-1,""))</f>
        <v/>
      </c>
      <c r="Y69" s="81" t="str">
        <f t="shared" si="8"/>
        <v/>
      </c>
      <c r="Z69" s="81" t="str">
        <f>IF(Y69="","",IFERROR((RANK(Y69,$Y$2:$Y$2028,1)+COUNTIF($Y$2:Y69,Y69))-1,""))</f>
        <v/>
      </c>
      <c r="AA69" s="81" t="str">
        <f t="shared" si="9"/>
        <v/>
      </c>
      <c r="AB69" s="81" t="str">
        <f>IF(AA69="","",IFERROR((RANK(AA69,$AA$2:$AA$2028,1)+COUNTIF($AA$2:AA69,AA69))-1,""))</f>
        <v/>
      </c>
      <c r="AC69" s="81" t="str">
        <f t="shared" si="10"/>
        <v/>
      </c>
      <c r="AD69" s="81" t="str">
        <f>IF(AC69="","",IFERROR((RANK(AC69,$AC$2:$AC$2028,1)+COUNTIF($AC$2:AC69,AC69))-1,""))</f>
        <v/>
      </c>
      <c r="AE69" s="144" t="str">
        <f t="shared" si="11"/>
        <v/>
      </c>
      <c r="AF69" s="144" t="str">
        <f>IF(AE69="","",SUM($AE$2:AE69))</f>
        <v/>
      </c>
    </row>
    <row r="70" spans="1:32" x14ac:dyDescent="0.35">
      <c r="A70" s="99"/>
      <c r="B70" s="100"/>
      <c r="C70" s="99"/>
      <c r="D70" s="101"/>
      <c r="E70" s="100"/>
      <c r="F70" s="106"/>
      <c r="G70" s="99"/>
      <c r="H70" s="106"/>
      <c r="I70" s="99"/>
      <c r="J70" s="99"/>
      <c r="K70" s="103"/>
      <c r="L70" s="107"/>
      <c r="M70" s="105"/>
      <c r="N70" s="81" t="str">
        <f t="shared" si="233"/>
        <v/>
      </c>
      <c r="O70" s="82" t="str">
        <f t="shared" si="228"/>
        <v/>
      </c>
      <c r="P70" s="81" t="str">
        <f t="shared" si="234"/>
        <v/>
      </c>
      <c r="Q70" s="81" t="str">
        <f t="shared" si="229"/>
        <v/>
      </c>
      <c r="R70" s="83" t="str">
        <f t="shared" ca="1" si="230"/>
        <v/>
      </c>
      <c r="S70" s="81" t="str">
        <f t="shared" ca="1" si="5"/>
        <v/>
      </c>
      <c r="T70" s="81" t="str">
        <f ca="1">IF(S70=Dashboard!$D$12,S70,"")</f>
        <v/>
      </c>
      <c r="U70" s="81" t="str">
        <f t="shared" ca="1" si="231"/>
        <v/>
      </c>
      <c r="V70" s="83" t="str">
        <f ca="1">IF(U70="","",IFERROR((RANK(U70,$U$2:$U$2028,1)+COUNTIF($U$2:U70,U70))-1,""))</f>
        <v/>
      </c>
      <c r="W70" s="81" t="str">
        <f t="shared" si="232"/>
        <v/>
      </c>
      <c r="X70" s="81" t="str">
        <f>IF(W70="","",IFERROR((RANK(W70,$W$2:$W$2028,1)+COUNTIF($W$2:W70,W70))-1,""))</f>
        <v/>
      </c>
      <c r="Y70" s="81" t="str">
        <f t="shared" si="8"/>
        <v/>
      </c>
      <c r="Z70" s="81" t="str">
        <f>IF(Y70="","",IFERROR((RANK(Y70,$Y$2:$Y$2028,1)+COUNTIF($Y$2:Y70,Y70))-1,""))</f>
        <v/>
      </c>
      <c r="AA70" s="81" t="str">
        <f t="shared" si="9"/>
        <v/>
      </c>
      <c r="AB70" s="81" t="str">
        <f>IF(AA70="","",IFERROR((RANK(AA70,$AA$2:$AA$2028,1)+COUNTIF($AA$2:AA70,AA70))-1,""))</f>
        <v/>
      </c>
      <c r="AC70" s="81" t="str">
        <f t="shared" si="10"/>
        <v/>
      </c>
      <c r="AD70" s="81" t="str">
        <f>IF(AC70="","",IFERROR((RANK(AC70,$AC$2:$AC$2028,1)+COUNTIF($AC$2:AC70,AC70))-1,""))</f>
        <v/>
      </c>
      <c r="AE70" s="144" t="str">
        <f t="shared" si="11"/>
        <v/>
      </c>
      <c r="AF70" s="144" t="str">
        <f>IF(AE70="","",SUM($AE$2:AE70))</f>
        <v/>
      </c>
    </row>
    <row r="71" spans="1:32" x14ac:dyDescent="0.35">
      <c r="A71" s="99"/>
      <c r="B71" s="100"/>
      <c r="C71" s="99"/>
      <c r="D71" s="101"/>
      <c r="E71" s="100"/>
      <c r="F71" s="106"/>
      <c r="G71" s="99"/>
      <c r="H71" s="106"/>
      <c r="I71" s="99"/>
      <c r="J71" s="99"/>
      <c r="K71" s="103"/>
      <c r="L71" s="107"/>
      <c r="M71" s="105"/>
      <c r="N71" s="81" t="str">
        <f t="shared" si="233"/>
        <v/>
      </c>
      <c r="O71" s="82" t="str">
        <f t="shared" si="228"/>
        <v/>
      </c>
      <c r="P71" s="81" t="str">
        <f t="shared" si="234"/>
        <v/>
      </c>
      <c r="Q71" s="81" t="str">
        <f t="shared" si="229"/>
        <v/>
      </c>
      <c r="R71" s="83" t="str">
        <f t="shared" ca="1" si="230"/>
        <v/>
      </c>
      <c r="S71" s="81" t="str">
        <f t="shared" ca="1" si="5"/>
        <v/>
      </c>
      <c r="T71" s="81" t="str">
        <f ca="1">IF(S71=Dashboard!$D$12,S71,"")</f>
        <v/>
      </c>
      <c r="U71" s="81" t="str">
        <f t="shared" ca="1" si="231"/>
        <v/>
      </c>
      <c r="V71" s="83" t="str">
        <f ca="1">IF(U71="","",IFERROR((RANK(U71,$U$2:$U$2028,1)+COUNTIF($U$2:U71,U71))-1,""))</f>
        <v/>
      </c>
      <c r="W71" s="81" t="str">
        <f t="shared" si="232"/>
        <v/>
      </c>
      <c r="X71" s="81" t="str">
        <f>IF(W71="","",IFERROR((RANK(W71,$W$2:$W$2028,1)+COUNTIF($W$2:W71,W71))-1,""))</f>
        <v/>
      </c>
      <c r="Y71" s="81" t="str">
        <f t="shared" si="8"/>
        <v/>
      </c>
      <c r="Z71" s="81" t="str">
        <f>IF(Y71="","",IFERROR((RANK(Y71,$Y$2:$Y$2028,1)+COUNTIF($Y$2:Y71,Y71))-1,""))</f>
        <v/>
      </c>
      <c r="AA71" s="81" t="str">
        <f t="shared" si="9"/>
        <v/>
      </c>
      <c r="AB71" s="81" t="str">
        <f>IF(AA71="","",IFERROR((RANK(AA71,$AA$2:$AA$2028,1)+COUNTIF($AA$2:AA71,AA71))-1,""))</f>
        <v/>
      </c>
      <c r="AC71" s="81" t="str">
        <f t="shared" si="10"/>
        <v/>
      </c>
      <c r="AD71" s="81" t="str">
        <f>IF(AC71="","",IFERROR((RANK(AC71,$AC$2:$AC$2028,1)+COUNTIF($AC$2:AC71,AC71))-1,""))</f>
        <v/>
      </c>
      <c r="AE71" s="144" t="str">
        <f t="shared" ref="AE71:AE134" si="235">IF(P71=1,P71,"")</f>
        <v/>
      </c>
      <c r="AF71" s="144" t="str">
        <f>IF(AE71="","",SUM($AE$2:AE71))</f>
        <v/>
      </c>
    </row>
    <row r="72" spans="1:32" x14ac:dyDescent="0.35">
      <c r="A72" s="99"/>
      <c r="B72" s="100"/>
      <c r="C72" s="99"/>
      <c r="D72" s="101"/>
      <c r="E72" s="100"/>
      <c r="F72" s="106"/>
      <c r="G72" s="99"/>
      <c r="H72" s="106"/>
      <c r="I72" s="106"/>
      <c r="J72" s="99"/>
      <c r="K72" s="103"/>
      <c r="L72" s="107"/>
      <c r="M72" s="105"/>
      <c r="N72" s="81" t="str">
        <f t="shared" si="233"/>
        <v/>
      </c>
      <c r="O72" s="82" t="str">
        <f t="shared" si="228"/>
        <v/>
      </c>
      <c r="P72" s="81" t="str">
        <f t="shared" si="234"/>
        <v/>
      </c>
      <c r="Q72" s="81" t="str">
        <f t="shared" si="229"/>
        <v/>
      </c>
      <c r="R72" s="83" t="str">
        <f t="shared" ca="1" si="230"/>
        <v/>
      </c>
      <c r="S72" s="81" t="str">
        <f t="shared" ca="1" si="5"/>
        <v/>
      </c>
      <c r="T72" s="81" t="str">
        <f ca="1">IF(S72=Dashboard!$D$12,S72,"")</f>
        <v/>
      </c>
      <c r="U72" s="81" t="str">
        <f t="shared" ca="1" si="231"/>
        <v/>
      </c>
      <c r="V72" s="83" t="str">
        <f ca="1">IF(U72="","",IFERROR((RANK(U72,$U$2:$U$2028,1)+COUNTIF($U$2:U72,U72))-1,""))</f>
        <v/>
      </c>
      <c r="W72" s="81" t="str">
        <f t="shared" si="232"/>
        <v/>
      </c>
      <c r="X72" s="81" t="str">
        <f>IF(W72="","",IFERROR((RANK(W72,$W$2:$W$2028,1)+COUNTIF($W$2:W72,W72))-1,""))</f>
        <v/>
      </c>
      <c r="Y72" s="81" t="str">
        <f t="shared" si="8"/>
        <v/>
      </c>
      <c r="Z72" s="81" t="str">
        <f>IF(Y72="","",IFERROR((RANK(Y72,$Y$2:$Y$2028,1)+COUNTIF($Y$2:Y72,Y72))-1,""))</f>
        <v/>
      </c>
      <c r="AA72" s="81" t="str">
        <f t="shared" si="9"/>
        <v/>
      </c>
      <c r="AB72" s="81" t="str">
        <f>IF(AA72="","",IFERROR((RANK(AA72,$AA$2:$AA$2028,1)+COUNTIF($AA$2:AA72,AA72))-1,""))</f>
        <v/>
      </c>
      <c r="AC72" s="81" t="str">
        <f t="shared" si="10"/>
        <v/>
      </c>
      <c r="AD72" s="81" t="str">
        <f>IF(AC72="","",IFERROR((RANK(AC72,$AC$2:$AC$2028,1)+COUNTIF($AC$2:AC72,AC72))-1,""))</f>
        <v/>
      </c>
      <c r="AE72" s="144" t="str">
        <f t="shared" si="235"/>
        <v/>
      </c>
      <c r="AF72" s="144" t="str">
        <f>IF(AE72="","",SUM($AE$2:AE72))</f>
        <v/>
      </c>
    </row>
    <row r="73" spans="1:32" x14ac:dyDescent="0.35">
      <c r="A73" s="99"/>
      <c r="B73" s="100"/>
      <c r="C73" s="99"/>
      <c r="D73" s="101"/>
      <c r="E73" s="100"/>
      <c r="F73" s="106"/>
      <c r="G73" s="99"/>
      <c r="H73" s="106"/>
      <c r="I73" s="99"/>
      <c r="J73" s="99"/>
      <c r="K73" s="103"/>
      <c r="L73" s="107"/>
      <c r="M73" s="105"/>
      <c r="N73" s="81" t="str">
        <f t="shared" si="233"/>
        <v/>
      </c>
      <c r="O73" s="82" t="str">
        <f t="shared" si="228"/>
        <v/>
      </c>
      <c r="P73" s="81" t="str">
        <f t="shared" si="234"/>
        <v/>
      </c>
      <c r="Q73" s="81" t="str">
        <f t="shared" si="229"/>
        <v/>
      </c>
      <c r="R73" s="83" t="str">
        <f t="shared" ca="1" si="230"/>
        <v/>
      </c>
      <c r="S73" s="81" t="str">
        <f t="shared" ca="1" si="5"/>
        <v/>
      </c>
      <c r="T73" s="81" t="str">
        <f ca="1">IF(S73=Dashboard!$D$12,S73,"")</f>
        <v/>
      </c>
      <c r="U73" s="81" t="str">
        <f t="shared" ca="1" si="231"/>
        <v/>
      </c>
      <c r="V73" s="83" t="str">
        <f ca="1">IF(U73="","",IFERROR((RANK(U73,$U$2:$U$2028,1)+COUNTIF($U$2:U73,U73))-1,""))</f>
        <v/>
      </c>
      <c r="W73" s="81" t="str">
        <f t="shared" si="232"/>
        <v/>
      </c>
      <c r="X73" s="81" t="str">
        <f>IF(W73="","",IFERROR((RANK(W73,$W$2:$W$2028,1)+COUNTIF($W$2:W73,W73))-1,""))</f>
        <v/>
      </c>
      <c r="Y73" s="81" t="str">
        <f t="shared" si="8"/>
        <v/>
      </c>
      <c r="Z73" s="81" t="str">
        <f>IF(Y73="","",IFERROR((RANK(Y73,$Y$2:$Y$2028,1)+COUNTIF($Y$2:Y73,Y73))-1,""))</f>
        <v/>
      </c>
      <c r="AA73" s="81" t="str">
        <f t="shared" si="9"/>
        <v/>
      </c>
      <c r="AB73" s="81" t="str">
        <f>IF(AA73="","",IFERROR((RANK(AA73,$AA$2:$AA$2028,1)+COUNTIF($AA$2:AA73,AA73))-1,""))</f>
        <v/>
      </c>
      <c r="AC73" s="81" t="str">
        <f t="shared" si="10"/>
        <v/>
      </c>
      <c r="AD73" s="81" t="str">
        <f>IF(AC73="","",IFERROR((RANK(AC73,$AC$2:$AC$2028,1)+COUNTIF($AC$2:AC73,AC73))-1,""))</f>
        <v/>
      </c>
      <c r="AE73" s="144" t="str">
        <f t="shared" si="235"/>
        <v/>
      </c>
      <c r="AF73" s="144" t="str">
        <f>IF(AE73="","",SUM($AE$2:AE73))</f>
        <v/>
      </c>
    </row>
    <row r="74" spans="1:32" x14ac:dyDescent="0.35">
      <c r="A74" s="99"/>
      <c r="B74" s="100"/>
      <c r="C74" s="99"/>
      <c r="D74" s="101"/>
      <c r="E74" s="100"/>
      <c r="F74" s="106"/>
      <c r="G74" s="99"/>
      <c r="H74" s="106"/>
      <c r="I74" s="99"/>
      <c r="J74" s="99"/>
      <c r="K74" s="103"/>
      <c r="L74" s="107"/>
      <c r="M74" s="105"/>
      <c r="N74" s="81" t="str">
        <f t="shared" si="233"/>
        <v/>
      </c>
      <c r="O74" s="82" t="str">
        <f t="shared" si="228"/>
        <v/>
      </c>
      <c r="P74" s="81" t="str">
        <f t="shared" si="234"/>
        <v/>
      </c>
      <c r="Q74" s="81" t="str">
        <f t="shared" si="229"/>
        <v/>
      </c>
      <c r="R74" s="83" t="str">
        <f t="shared" ca="1" si="230"/>
        <v/>
      </c>
      <c r="S74" s="81" t="str">
        <f t="shared" ca="1" si="5"/>
        <v/>
      </c>
      <c r="T74" s="81" t="str">
        <f ca="1">IF(S74=Dashboard!$D$12,S74,"")</f>
        <v/>
      </c>
      <c r="U74" s="81" t="str">
        <f t="shared" ca="1" si="231"/>
        <v/>
      </c>
      <c r="V74" s="83" t="str">
        <f ca="1">IF(U74="","",IFERROR((RANK(U74,$U$2:$U$2028,1)+COUNTIF($U$2:U74,U74))-1,""))</f>
        <v/>
      </c>
      <c r="W74" s="81" t="str">
        <f t="shared" si="232"/>
        <v/>
      </c>
      <c r="X74" s="81" t="str">
        <f>IF(W74="","",IFERROR((RANK(W74,$W$2:$W$2028,1)+COUNTIF($W$2:W74,W74))-1,""))</f>
        <v/>
      </c>
      <c r="Y74" s="81" t="str">
        <f t="shared" si="8"/>
        <v/>
      </c>
      <c r="Z74" s="81" t="str">
        <f>IF(Y74="","",IFERROR((RANK(Y74,$Y$2:$Y$2028,1)+COUNTIF($Y$2:Y74,Y74))-1,""))</f>
        <v/>
      </c>
      <c r="AA74" s="81" t="str">
        <f t="shared" si="9"/>
        <v/>
      </c>
      <c r="AB74" s="81" t="str">
        <f>IF(AA74="","",IFERROR((RANK(AA74,$AA$2:$AA$2028,1)+COUNTIF($AA$2:AA74,AA74))-1,""))</f>
        <v/>
      </c>
      <c r="AC74" s="81" t="str">
        <f t="shared" si="10"/>
        <v/>
      </c>
      <c r="AD74" s="81" t="str">
        <f>IF(AC74="","",IFERROR((RANK(AC74,$AC$2:$AC$2028,1)+COUNTIF($AC$2:AC74,AC74))-1,""))</f>
        <v/>
      </c>
      <c r="AE74" s="144" t="str">
        <f t="shared" si="235"/>
        <v/>
      </c>
      <c r="AF74" s="144" t="str">
        <f>IF(AE74="","",SUM($AE$2:AE74))</f>
        <v/>
      </c>
    </row>
    <row r="75" spans="1:32" x14ac:dyDescent="0.35">
      <c r="A75" s="99"/>
      <c r="B75" s="100"/>
      <c r="C75" s="99"/>
      <c r="D75" s="101"/>
      <c r="E75" s="100"/>
      <c r="F75" s="106"/>
      <c r="G75" s="99"/>
      <c r="H75" s="106"/>
      <c r="I75" s="99"/>
      <c r="J75" s="99"/>
      <c r="K75" s="103"/>
      <c r="L75" s="107"/>
      <c r="M75" s="105"/>
      <c r="N75" s="81" t="str">
        <f t="shared" si="233"/>
        <v/>
      </c>
      <c r="O75" s="82" t="str">
        <f t="shared" si="228"/>
        <v/>
      </c>
      <c r="P75" s="81" t="str">
        <f t="shared" si="234"/>
        <v/>
      </c>
      <c r="Q75" s="81" t="str">
        <f t="shared" si="229"/>
        <v/>
      </c>
      <c r="R75" s="83" t="str">
        <f t="shared" ca="1" si="230"/>
        <v/>
      </c>
      <c r="S75" s="81" t="str">
        <f t="shared" ca="1" si="5"/>
        <v/>
      </c>
      <c r="T75" s="81" t="str">
        <f ca="1">IF(S75=Dashboard!$D$12,S75,"")</f>
        <v/>
      </c>
      <c r="U75" s="81" t="str">
        <f t="shared" ca="1" si="231"/>
        <v/>
      </c>
      <c r="V75" s="83" t="str">
        <f ca="1">IF(U75="","",IFERROR((RANK(U75,$U$2:$U$2028,1)+COUNTIF($U$2:U75,U75))-1,""))</f>
        <v/>
      </c>
      <c r="W75" s="81" t="str">
        <f t="shared" si="232"/>
        <v/>
      </c>
      <c r="X75" s="81" t="str">
        <f>IF(W75="","",IFERROR((RANK(W75,$W$2:$W$2028,1)+COUNTIF($W$2:W75,W75))-1,""))</f>
        <v/>
      </c>
      <c r="Y75" s="81" t="str">
        <f t="shared" si="8"/>
        <v/>
      </c>
      <c r="Z75" s="81" t="str">
        <f>IF(Y75="","",IFERROR((RANK(Y75,$Y$2:$Y$2028,1)+COUNTIF($Y$2:Y75,Y75))-1,""))</f>
        <v/>
      </c>
      <c r="AA75" s="81" t="str">
        <f t="shared" si="9"/>
        <v/>
      </c>
      <c r="AB75" s="81" t="str">
        <f>IF(AA75="","",IFERROR((RANK(AA75,$AA$2:$AA$2028,1)+COUNTIF($AA$2:AA75,AA75))-1,""))</f>
        <v/>
      </c>
      <c r="AC75" s="81" t="str">
        <f t="shared" si="10"/>
        <v/>
      </c>
      <c r="AD75" s="81" t="str">
        <f>IF(AC75="","",IFERROR((RANK(AC75,$AC$2:$AC$2028,1)+COUNTIF($AC$2:AC75,AC75))-1,""))</f>
        <v/>
      </c>
      <c r="AE75" s="144" t="str">
        <f t="shared" si="235"/>
        <v/>
      </c>
      <c r="AF75" s="144" t="str">
        <f>IF(AE75="","",SUM($AE$2:AE75))</f>
        <v/>
      </c>
    </row>
    <row r="76" spans="1:32" x14ac:dyDescent="0.35">
      <c r="A76" s="99"/>
      <c r="B76" s="100"/>
      <c r="C76" s="99"/>
      <c r="D76" s="101"/>
      <c r="E76" s="100"/>
      <c r="F76" s="106"/>
      <c r="G76" s="99"/>
      <c r="H76" s="106"/>
      <c r="I76" s="106"/>
      <c r="J76" s="99"/>
      <c r="K76" s="103"/>
      <c r="L76" s="107"/>
      <c r="M76" s="105"/>
      <c r="N76" s="81" t="str">
        <f t="shared" si="233"/>
        <v/>
      </c>
      <c r="O76" s="82" t="str">
        <f t="shared" si="228"/>
        <v/>
      </c>
      <c r="P76" s="81" t="str">
        <f t="shared" si="234"/>
        <v/>
      </c>
      <c r="Q76" s="81" t="str">
        <f t="shared" si="229"/>
        <v/>
      </c>
      <c r="R76" s="83" t="str">
        <f t="shared" ca="1" si="230"/>
        <v/>
      </c>
      <c r="S76" s="81" t="str">
        <f t="shared" ca="1" si="5"/>
        <v/>
      </c>
      <c r="T76" s="81" t="str">
        <f ca="1">IF(S76=Dashboard!$D$12,S76,"")</f>
        <v/>
      </c>
      <c r="U76" s="81" t="str">
        <f t="shared" ca="1" si="231"/>
        <v/>
      </c>
      <c r="V76" s="83" t="str">
        <f ca="1">IF(U76="","",IFERROR((RANK(U76,$U$2:$U$2028,1)+COUNTIF($U$2:U76,U76))-1,""))</f>
        <v/>
      </c>
      <c r="W76" s="81" t="str">
        <f t="shared" si="232"/>
        <v/>
      </c>
      <c r="X76" s="81" t="str">
        <f>IF(W76="","",IFERROR((RANK(W76,$W$2:$W$2028,1)+COUNTIF($W$2:W76,W76))-1,""))</f>
        <v/>
      </c>
      <c r="Y76" s="81" t="str">
        <f t="shared" si="8"/>
        <v/>
      </c>
      <c r="Z76" s="81" t="str">
        <f>IF(Y76="","",IFERROR((RANK(Y76,$Y$2:$Y$2028,1)+COUNTIF($Y$2:Y76,Y76))-1,""))</f>
        <v/>
      </c>
      <c r="AA76" s="81" t="str">
        <f t="shared" si="9"/>
        <v/>
      </c>
      <c r="AB76" s="81" t="str">
        <f>IF(AA76="","",IFERROR((RANK(AA76,$AA$2:$AA$2028,1)+COUNTIF($AA$2:AA76,AA76))-1,""))</f>
        <v/>
      </c>
      <c r="AC76" s="81" t="str">
        <f t="shared" si="10"/>
        <v/>
      </c>
      <c r="AD76" s="81" t="str">
        <f>IF(AC76="","",IFERROR((RANK(AC76,$AC$2:$AC$2028,1)+COUNTIF($AC$2:AC76,AC76))-1,""))</f>
        <v/>
      </c>
      <c r="AE76" s="144" t="str">
        <f t="shared" si="235"/>
        <v/>
      </c>
      <c r="AF76" s="144" t="str">
        <f>IF(AE76="","",SUM($AE$2:AE76))</f>
        <v/>
      </c>
    </row>
    <row r="77" spans="1:32" x14ac:dyDescent="0.35">
      <c r="A77" s="99"/>
      <c r="B77" s="100"/>
      <c r="C77" s="99"/>
      <c r="D77" s="101"/>
      <c r="E77" s="100"/>
      <c r="F77" s="106"/>
      <c r="G77" s="99"/>
      <c r="H77" s="106"/>
      <c r="I77" s="99"/>
      <c r="J77" s="99"/>
      <c r="K77" s="103"/>
      <c r="L77" s="107"/>
      <c r="M77" s="105"/>
      <c r="N77" s="81" t="str">
        <f t="shared" si="233"/>
        <v/>
      </c>
      <c r="O77" s="82" t="str">
        <f t="shared" si="228"/>
        <v/>
      </c>
      <c r="P77" s="81" t="str">
        <f t="shared" si="234"/>
        <v/>
      </c>
      <c r="Q77" s="81" t="str">
        <f t="shared" si="229"/>
        <v/>
      </c>
      <c r="R77" s="83" t="str">
        <f t="shared" ca="1" si="230"/>
        <v/>
      </c>
      <c r="S77" s="81" t="str">
        <f t="shared" ca="1" si="5"/>
        <v/>
      </c>
      <c r="T77" s="81" t="str">
        <f ca="1">IF(S77=Dashboard!$D$12,S77,"")</f>
        <v/>
      </c>
      <c r="U77" s="81" t="str">
        <f t="shared" ca="1" si="231"/>
        <v/>
      </c>
      <c r="V77" s="83" t="str">
        <f ca="1">IF(U77="","",IFERROR((RANK(U77,$U$2:$U$2028,1)+COUNTIF($U$2:U77,U77))-1,""))</f>
        <v/>
      </c>
      <c r="W77" s="81" t="str">
        <f t="shared" si="232"/>
        <v/>
      </c>
      <c r="X77" s="81" t="str">
        <f>IF(W77="","",IFERROR((RANK(W77,$W$2:$W$2028,1)+COUNTIF($W$2:W77,W77))-1,""))</f>
        <v/>
      </c>
      <c r="Y77" s="81" t="str">
        <f t="shared" si="8"/>
        <v/>
      </c>
      <c r="Z77" s="81" t="str">
        <f>IF(Y77="","",IFERROR((RANK(Y77,$Y$2:$Y$2028,1)+COUNTIF($Y$2:Y77,Y77))-1,""))</f>
        <v/>
      </c>
      <c r="AA77" s="81" t="str">
        <f t="shared" si="9"/>
        <v/>
      </c>
      <c r="AB77" s="81" t="str">
        <f>IF(AA77="","",IFERROR((RANK(AA77,$AA$2:$AA$2028,1)+COUNTIF($AA$2:AA77,AA77))-1,""))</f>
        <v/>
      </c>
      <c r="AC77" s="81" t="str">
        <f t="shared" si="10"/>
        <v/>
      </c>
      <c r="AD77" s="81" t="str">
        <f>IF(AC77="","",IFERROR((RANK(AC77,$AC$2:$AC$2028,1)+COUNTIF($AC$2:AC77,AC77))-1,""))</f>
        <v/>
      </c>
      <c r="AE77" s="144" t="str">
        <f t="shared" si="235"/>
        <v/>
      </c>
      <c r="AF77" s="144" t="str">
        <f>IF(AE77="","",SUM($AE$2:AE77))</f>
        <v/>
      </c>
    </row>
    <row r="78" spans="1:32" x14ac:dyDescent="0.35">
      <c r="A78" s="99"/>
      <c r="B78" s="100"/>
      <c r="C78" s="99"/>
      <c r="D78" s="101"/>
      <c r="E78" s="100"/>
      <c r="F78" s="106"/>
      <c r="G78" s="99"/>
      <c r="H78" s="106"/>
      <c r="I78" s="99"/>
      <c r="J78" s="99"/>
      <c r="K78" s="103"/>
      <c r="L78" s="107"/>
      <c r="M78" s="105"/>
      <c r="N78" s="81" t="str">
        <f t="shared" si="233"/>
        <v/>
      </c>
      <c r="O78" s="82" t="str">
        <f t="shared" si="228"/>
        <v/>
      </c>
      <c r="P78" s="81" t="str">
        <f t="shared" si="234"/>
        <v/>
      </c>
      <c r="Q78" s="81" t="str">
        <f t="shared" si="229"/>
        <v/>
      </c>
      <c r="R78" s="83" t="str">
        <f t="shared" ca="1" si="230"/>
        <v/>
      </c>
      <c r="S78" s="81" t="str">
        <f t="shared" ca="1" si="5"/>
        <v/>
      </c>
      <c r="T78" s="81" t="str">
        <f ca="1">IF(S78=Dashboard!$D$12,S78,"")</f>
        <v/>
      </c>
      <c r="U78" s="81" t="str">
        <f t="shared" ca="1" si="231"/>
        <v/>
      </c>
      <c r="V78" s="83" t="str">
        <f ca="1">IF(U78="","",IFERROR((RANK(U78,$U$2:$U$2028,1)+COUNTIF($U$2:U78,U78))-1,""))</f>
        <v/>
      </c>
      <c r="W78" s="81" t="str">
        <f t="shared" si="232"/>
        <v/>
      </c>
      <c r="X78" s="81" t="str">
        <f>IF(W78="","",IFERROR((RANK(W78,$W$2:$W$2028,1)+COUNTIF($W$2:W78,W78))-1,""))</f>
        <v/>
      </c>
      <c r="Y78" s="81" t="str">
        <f t="shared" si="8"/>
        <v/>
      </c>
      <c r="Z78" s="81" t="str">
        <f>IF(Y78="","",IFERROR((RANK(Y78,$Y$2:$Y$2028,1)+COUNTIF($Y$2:Y78,Y78))-1,""))</f>
        <v/>
      </c>
      <c r="AA78" s="81" t="str">
        <f t="shared" si="9"/>
        <v/>
      </c>
      <c r="AB78" s="81" t="str">
        <f>IF(AA78="","",IFERROR((RANK(AA78,$AA$2:$AA$2028,1)+COUNTIF($AA$2:AA78,AA78))-1,""))</f>
        <v/>
      </c>
      <c r="AC78" s="81" t="str">
        <f t="shared" si="10"/>
        <v/>
      </c>
      <c r="AD78" s="81" t="str">
        <f>IF(AC78="","",IFERROR((RANK(AC78,$AC$2:$AC$2028,1)+COUNTIF($AC$2:AC78,AC78))-1,""))</f>
        <v/>
      </c>
      <c r="AE78" s="144" t="str">
        <f t="shared" si="235"/>
        <v/>
      </c>
      <c r="AF78" s="144" t="str">
        <f>IF(AE78="","",SUM($AE$2:AE78))</f>
        <v/>
      </c>
    </row>
    <row r="79" spans="1:32" x14ac:dyDescent="0.35">
      <c r="A79" s="99"/>
      <c r="B79" s="100"/>
      <c r="C79" s="99"/>
      <c r="D79" s="101"/>
      <c r="E79" s="100"/>
      <c r="F79" s="106"/>
      <c r="G79" s="99"/>
      <c r="H79" s="106"/>
      <c r="I79" s="99"/>
      <c r="J79" s="99"/>
      <c r="K79" s="103"/>
      <c r="L79" s="107"/>
      <c r="M79" s="105"/>
      <c r="N79" s="81" t="str">
        <f t="shared" si="233"/>
        <v/>
      </c>
      <c r="O79" s="82" t="str">
        <f t="shared" si="228"/>
        <v/>
      </c>
      <c r="P79" s="81" t="str">
        <f t="shared" si="234"/>
        <v/>
      </c>
      <c r="Q79" s="81" t="str">
        <f t="shared" si="229"/>
        <v/>
      </c>
      <c r="R79" s="83" t="str">
        <f t="shared" ca="1" si="230"/>
        <v/>
      </c>
      <c r="S79" s="81" t="str">
        <f t="shared" ca="1" si="5"/>
        <v/>
      </c>
      <c r="T79" s="81" t="str">
        <f ca="1">IF(S79=Dashboard!$D$12,S79,"")</f>
        <v/>
      </c>
      <c r="U79" s="81" t="str">
        <f t="shared" ca="1" si="231"/>
        <v/>
      </c>
      <c r="V79" s="83" t="str">
        <f ca="1">IF(U79="","",IFERROR((RANK(U79,$U$2:$U$2028,1)+COUNTIF($U$2:U79,U79))-1,""))</f>
        <v/>
      </c>
      <c r="W79" s="81" t="str">
        <f t="shared" si="232"/>
        <v/>
      </c>
      <c r="X79" s="81" t="str">
        <f>IF(W79="","",IFERROR((RANK(W79,$W$2:$W$2028,1)+COUNTIF($W$2:W79,W79))-1,""))</f>
        <v/>
      </c>
      <c r="Y79" s="81" t="str">
        <f t="shared" si="8"/>
        <v/>
      </c>
      <c r="Z79" s="81" t="str">
        <f>IF(Y79="","",IFERROR((RANK(Y79,$Y$2:$Y$2028,1)+COUNTIF($Y$2:Y79,Y79))-1,""))</f>
        <v/>
      </c>
      <c r="AA79" s="81" t="str">
        <f t="shared" si="9"/>
        <v/>
      </c>
      <c r="AB79" s="81" t="str">
        <f>IF(AA79="","",IFERROR((RANK(AA79,$AA$2:$AA$2028,1)+COUNTIF($AA$2:AA79,AA79))-1,""))</f>
        <v/>
      </c>
      <c r="AC79" s="81" t="str">
        <f t="shared" si="10"/>
        <v/>
      </c>
      <c r="AD79" s="81" t="str">
        <f>IF(AC79="","",IFERROR((RANK(AC79,$AC$2:$AC$2028,1)+COUNTIF($AC$2:AC79,AC79))-1,""))</f>
        <v/>
      </c>
      <c r="AE79" s="144" t="str">
        <f t="shared" si="235"/>
        <v/>
      </c>
      <c r="AF79" s="144" t="str">
        <f>IF(AE79="","",SUM($AE$2:AE79))</f>
        <v/>
      </c>
    </row>
    <row r="80" spans="1:32" x14ac:dyDescent="0.35">
      <c r="A80" s="99"/>
      <c r="B80" s="100"/>
      <c r="C80" s="99"/>
      <c r="D80" s="101"/>
      <c r="E80" s="100"/>
      <c r="F80" s="106"/>
      <c r="G80" s="99"/>
      <c r="H80" s="106"/>
      <c r="I80" s="106"/>
      <c r="J80" s="99"/>
      <c r="K80" s="103"/>
      <c r="L80" s="107"/>
      <c r="M80" s="105"/>
      <c r="N80" s="81" t="str">
        <f t="shared" si="233"/>
        <v/>
      </c>
      <c r="O80" s="82" t="str">
        <f t="shared" si="228"/>
        <v/>
      </c>
      <c r="P80" s="81" t="str">
        <f t="shared" si="234"/>
        <v/>
      </c>
      <c r="Q80" s="81" t="str">
        <f t="shared" si="229"/>
        <v/>
      </c>
      <c r="R80" s="83" t="str">
        <f t="shared" ca="1" si="230"/>
        <v/>
      </c>
      <c r="S80" s="81" t="str">
        <f t="shared" ca="1" si="5"/>
        <v/>
      </c>
      <c r="T80" s="81" t="str">
        <f ca="1">IF(S80=Dashboard!$D$12,S80,"")</f>
        <v/>
      </c>
      <c r="U80" s="81" t="str">
        <f t="shared" ca="1" si="231"/>
        <v/>
      </c>
      <c r="V80" s="83" t="str">
        <f ca="1">IF(U80="","",IFERROR((RANK(U80,$U$2:$U$2028,1)+COUNTIF($U$2:U80,U80))-1,""))</f>
        <v/>
      </c>
      <c r="W80" s="81" t="str">
        <f t="shared" si="232"/>
        <v/>
      </c>
      <c r="X80" s="81" t="str">
        <f>IF(W80="","",IFERROR((RANK(W80,$W$2:$W$2028,1)+COUNTIF($W$2:W80,W80))-1,""))</f>
        <v/>
      </c>
      <c r="Y80" s="81" t="str">
        <f t="shared" si="8"/>
        <v/>
      </c>
      <c r="Z80" s="81" t="str">
        <f>IF(Y80="","",IFERROR((RANK(Y80,$Y$2:$Y$2028,1)+COUNTIF($Y$2:Y80,Y80))-1,""))</f>
        <v/>
      </c>
      <c r="AA80" s="81" t="str">
        <f t="shared" si="9"/>
        <v/>
      </c>
      <c r="AB80" s="81" t="str">
        <f>IF(AA80="","",IFERROR((RANK(AA80,$AA$2:$AA$2028,1)+COUNTIF($AA$2:AA80,AA80))-1,""))</f>
        <v/>
      </c>
      <c r="AC80" s="81" t="str">
        <f t="shared" si="10"/>
        <v/>
      </c>
      <c r="AD80" s="81" t="str">
        <f>IF(AC80="","",IFERROR((RANK(AC80,$AC$2:$AC$2028,1)+COUNTIF($AC$2:AC80,AC80))-1,""))</f>
        <v/>
      </c>
      <c r="AE80" s="144" t="str">
        <f t="shared" si="235"/>
        <v/>
      </c>
      <c r="AF80" s="144" t="str">
        <f>IF(AE80="","",SUM($AE$2:AE80))</f>
        <v/>
      </c>
    </row>
    <row r="81" spans="1:32" x14ac:dyDescent="0.35">
      <c r="A81" s="99"/>
      <c r="B81" s="100"/>
      <c r="C81" s="99"/>
      <c r="D81" s="101"/>
      <c r="E81" s="100"/>
      <c r="F81" s="106"/>
      <c r="G81" s="99"/>
      <c r="H81" s="106"/>
      <c r="I81" s="99"/>
      <c r="J81" s="99"/>
      <c r="K81" s="103"/>
      <c r="L81" s="107"/>
      <c r="M81" s="105"/>
      <c r="N81" s="81" t="str">
        <f t="shared" si="233"/>
        <v/>
      </c>
      <c r="O81" s="82" t="str">
        <f t="shared" si="228"/>
        <v/>
      </c>
      <c r="P81" s="81" t="str">
        <f t="shared" si="234"/>
        <v/>
      </c>
      <c r="Q81" s="81" t="str">
        <f t="shared" si="229"/>
        <v/>
      </c>
      <c r="R81" s="83" t="str">
        <f t="shared" ca="1" si="230"/>
        <v/>
      </c>
      <c r="S81" s="81" t="str">
        <f t="shared" ca="1" si="5"/>
        <v/>
      </c>
      <c r="T81" s="81" t="str">
        <f ca="1">IF(S81=Dashboard!$D$12,S81,"")</f>
        <v/>
      </c>
      <c r="U81" s="81" t="str">
        <f t="shared" ca="1" si="231"/>
        <v/>
      </c>
      <c r="V81" s="83" t="str">
        <f ca="1">IF(U81="","",IFERROR((RANK(U81,$U$2:$U$2028,1)+COUNTIF($U$2:U81,U81))-1,""))</f>
        <v/>
      </c>
      <c r="W81" s="81" t="str">
        <f t="shared" si="232"/>
        <v/>
      </c>
      <c r="X81" s="81" t="str">
        <f>IF(W81="","",IFERROR((RANK(W81,$W$2:$W$2028,1)+COUNTIF($W$2:W81,W81))-1,""))</f>
        <v/>
      </c>
      <c r="Y81" s="81" t="str">
        <f t="shared" si="8"/>
        <v/>
      </c>
      <c r="Z81" s="81" t="str">
        <f>IF(Y81="","",IFERROR((RANK(Y81,$Y$2:$Y$2028,1)+COUNTIF($Y$2:Y81,Y81))-1,""))</f>
        <v/>
      </c>
      <c r="AA81" s="81" t="str">
        <f t="shared" si="9"/>
        <v/>
      </c>
      <c r="AB81" s="81" t="str">
        <f>IF(AA81="","",IFERROR((RANK(AA81,$AA$2:$AA$2028,1)+COUNTIF($AA$2:AA81,AA81))-1,""))</f>
        <v/>
      </c>
      <c r="AC81" s="81" t="str">
        <f t="shared" si="10"/>
        <v/>
      </c>
      <c r="AD81" s="81" t="str">
        <f>IF(AC81="","",IFERROR((RANK(AC81,$AC$2:$AC$2028,1)+COUNTIF($AC$2:AC81,AC81))-1,""))</f>
        <v/>
      </c>
      <c r="AE81" s="144" t="str">
        <f t="shared" si="235"/>
        <v/>
      </c>
      <c r="AF81" s="144" t="str">
        <f>IF(AE81="","",SUM($AE$2:AE81))</f>
        <v/>
      </c>
    </row>
    <row r="82" spans="1:32" x14ac:dyDescent="0.35">
      <c r="A82" s="99"/>
      <c r="B82" s="100"/>
      <c r="C82" s="99"/>
      <c r="D82" s="101"/>
      <c r="E82" s="100"/>
      <c r="F82" s="106"/>
      <c r="G82" s="99"/>
      <c r="H82" s="106"/>
      <c r="I82" s="99"/>
      <c r="J82" s="99"/>
      <c r="K82" s="103"/>
      <c r="L82" s="107"/>
      <c r="M82" s="105"/>
      <c r="N82" s="81" t="str">
        <f t="shared" si="233"/>
        <v/>
      </c>
      <c r="O82" s="82" t="str">
        <f t="shared" si="228"/>
        <v/>
      </c>
      <c r="P82" s="81" t="str">
        <f t="shared" si="234"/>
        <v/>
      </c>
      <c r="Q82" s="81" t="str">
        <f t="shared" si="229"/>
        <v/>
      </c>
      <c r="R82" s="83" t="str">
        <f t="shared" ca="1" si="230"/>
        <v/>
      </c>
      <c r="S82" s="81" t="str">
        <f t="shared" ca="1" si="5"/>
        <v/>
      </c>
      <c r="T82" s="81" t="str">
        <f ca="1">IF(S82=Dashboard!$D$12,S82,"")</f>
        <v/>
      </c>
      <c r="U82" s="81" t="str">
        <f t="shared" ca="1" si="231"/>
        <v/>
      </c>
      <c r="V82" s="83" t="str">
        <f ca="1">IF(U82="","",IFERROR((RANK(U82,$U$2:$U$2028,1)+COUNTIF($U$2:U82,U82))-1,""))</f>
        <v/>
      </c>
      <c r="W82" s="81" t="str">
        <f t="shared" si="232"/>
        <v/>
      </c>
      <c r="X82" s="81" t="str">
        <f>IF(W82="","",IFERROR((RANK(W82,$W$2:$W$2028,1)+COUNTIF($W$2:W82,W82))-1,""))</f>
        <v/>
      </c>
      <c r="Y82" s="81" t="str">
        <f t="shared" si="8"/>
        <v/>
      </c>
      <c r="Z82" s="81" t="str">
        <f>IF(Y82="","",IFERROR((RANK(Y82,$Y$2:$Y$2028,1)+COUNTIF($Y$2:Y82,Y82))-1,""))</f>
        <v/>
      </c>
      <c r="AA82" s="81" t="str">
        <f t="shared" si="9"/>
        <v/>
      </c>
      <c r="AB82" s="81" t="str">
        <f>IF(AA82="","",IFERROR((RANK(AA82,$AA$2:$AA$2028,1)+COUNTIF($AA$2:AA82,AA82))-1,""))</f>
        <v/>
      </c>
      <c r="AC82" s="81" t="str">
        <f t="shared" si="10"/>
        <v/>
      </c>
      <c r="AD82" s="81" t="str">
        <f>IF(AC82="","",IFERROR((RANK(AC82,$AC$2:$AC$2028,1)+COUNTIF($AC$2:AC82,AC82))-1,""))</f>
        <v/>
      </c>
      <c r="AE82" s="144" t="str">
        <f t="shared" si="235"/>
        <v/>
      </c>
      <c r="AF82" s="144" t="str">
        <f>IF(AE82="","",SUM($AE$2:AE82))</f>
        <v/>
      </c>
    </row>
    <row r="83" spans="1:32" x14ac:dyDescent="0.35">
      <c r="A83" s="99"/>
      <c r="B83" s="100"/>
      <c r="C83" s="99"/>
      <c r="D83" s="101"/>
      <c r="E83" s="100"/>
      <c r="F83" s="106"/>
      <c r="G83" s="99"/>
      <c r="H83" s="106"/>
      <c r="I83" s="99"/>
      <c r="J83" s="99"/>
      <c r="K83" s="103"/>
      <c r="L83" s="107"/>
      <c r="M83" s="105"/>
      <c r="N83" s="81" t="str">
        <f t="shared" si="233"/>
        <v/>
      </c>
      <c r="O83" s="82" t="str">
        <f t="shared" si="228"/>
        <v/>
      </c>
      <c r="P83" s="81" t="str">
        <f t="shared" si="234"/>
        <v/>
      </c>
      <c r="Q83" s="81" t="str">
        <f t="shared" si="229"/>
        <v/>
      </c>
      <c r="R83" s="83" t="str">
        <f t="shared" ca="1" si="230"/>
        <v/>
      </c>
      <c r="S83" s="81" t="str">
        <f t="shared" ca="1" si="5"/>
        <v/>
      </c>
      <c r="T83" s="81" t="str">
        <f ca="1">IF(S83=Dashboard!$D$12,S83,"")</f>
        <v/>
      </c>
      <c r="U83" s="81" t="str">
        <f t="shared" ca="1" si="231"/>
        <v/>
      </c>
      <c r="V83" s="83" t="str">
        <f ca="1">IF(U83="","",IFERROR((RANK(U83,$U$2:$U$2028,1)+COUNTIF($U$2:U83,U83))-1,""))</f>
        <v/>
      </c>
      <c r="W83" s="81" t="str">
        <f t="shared" si="232"/>
        <v/>
      </c>
      <c r="X83" s="81" t="str">
        <f>IF(W83="","",IFERROR((RANK(W83,$W$2:$W$2028,1)+COUNTIF($W$2:W83,W83))-1,""))</f>
        <v/>
      </c>
      <c r="Y83" s="81" t="str">
        <f t="shared" si="8"/>
        <v/>
      </c>
      <c r="Z83" s="81" t="str">
        <f>IF(Y83="","",IFERROR((RANK(Y83,$Y$2:$Y$2028,1)+COUNTIF($Y$2:Y83,Y83))-1,""))</f>
        <v/>
      </c>
      <c r="AA83" s="81" t="str">
        <f t="shared" si="9"/>
        <v/>
      </c>
      <c r="AB83" s="81" t="str">
        <f>IF(AA83="","",IFERROR((RANK(AA83,$AA$2:$AA$2028,1)+COUNTIF($AA$2:AA83,AA83))-1,""))</f>
        <v/>
      </c>
      <c r="AC83" s="81" t="str">
        <f t="shared" si="10"/>
        <v/>
      </c>
      <c r="AD83" s="81" t="str">
        <f>IF(AC83="","",IFERROR((RANK(AC83,$AC$2:$AC$2028,1)+COUNTIF($AC$2:AC83,AC83))-1,""))</f>
        <v/>
      </c>
      <c r="AE83" s="144" t="str">
        <f t="shared" si="235"/>
        <v/>
      </c>
      <c r="AF83" s="144" t="str">
        <f>IF(AE83="","",SUM($AE$2:AE83))</f>
        <v/>
      </c>
    </row>
    <row r="84" spans="1:32" x14ac:dyDescent="0.35">
      <c r="A84" s="99"/>
      <c r="B84" s="100"/>
      <c r="C84" s="99"/>
      <c r="D84" s="101"/>
      <c r="E84" s="100"/>
      <c r="F84" s="108"/>
      <c r="G84" s="99"/>
      <c r="H84" s="108"/>
      <c r="I84" s="108"/>
      <c r="J84" s="99"/>
      <c r="K84" s="103"/>
      <c r="L84" s="104"/>
      <c r="M84" s="105"/>
      <c r="N84" s="81" t="str">
        <f t="shared" si="233"/>
        <v/>
      </c>
      <c r="O84" s="82" t="str">
        <f t="shared" si="228"/>
        <v/>
      </c>
      <c r="P84" s="81" t="str">
        <f t="shared" si="234"/>
        <v/>
      </c>
      <c r="Q84" s="81" t="str">
        <f t="shared" si="229"/>
        <v/>
      </c>
      <c r="R84" s="83" t="str">
        <f t="shared" ca="1" si="230"/>
        <v/>
      </c>
      <c r="S84" s="81" t="str">
        <f t="shared" ca="1" si="5"/>
        <v/>
      </c>
      <c r="T84" s="81" t="str">
        <f ca="1">IF(S84=Dashboard!$D$12,S84,"")</f>
        <v/>
      </c>
      <c r="U84" s="81" t="str">
        <f t="shared" ca="1" si="231"/>
        <v/>
      </c>
      <c r="V84" s="83" t="str">
        <f ca="1">IF(U84="","",IFERROR((RANK(U84,$U$2:$U$2028,1)+COUNTIF($U$2:U84,U84))-1,""))</f>
        <v/>
      </c>
      <c r="W84" s="81" t="str">
        <f t="shared" si="232"/>
        <v/>
      </c>
      <c r="X84" s="81" t="str">
        <f>IF(W84="","",IFERROR((RANK(W84,$W$2:$W$2028,1)+COUNTIF($W$2:W84,W84))-1,""))</f>
        <v/>
      </c>
      <c r="Y84" s="81" t="str">
        <f t="shared" si="8"/>
        <v/>
      </c>
      <c r="Z84" s="81" t="str">
        <f>IF(Y84="","",IFERROR((RANK(Y84,$Y$2:$Y$2028,1)+COUNTIF($Y$2:Y84,Y84))-1,""))</f>
        <v/>
      </c>
      <c r="AA84" s="81" t="str">
        <f t="shared" si="9"/>
        <v/>
      </c>
      <c r="AB84" s="81" t="str">
        <f>IF(AA84="","",IFERROR((RANK(AA84,$AA$2:$AA$2028,1)+COUNTIF($AA$2:AA84,AA84))-1,""))</f>
        <v/>
      </c>
      <c r="AC84" s="81" t="str">
        <f t="shared" si="10"/>
        <v/>
      </c>
      <c r="AD84" s="81" t="str">
        <f>IF(AC84="","",IFERROR((RANK(AC84,$AC$2:$AC$2028,1)+COUNTIF($AC$2:AC84,AC84))-1,""))</f>
        <v/>
      </c>
      <c r="AE84" s="144" t="str">
        <f t="shared" si="235"/>
        <v/>
      </c>
      <c r="AF84" s="144" t="str">
        <f>IF(AE84="","",SUM($AE$2:AE84))</f>
        <v/>
      </c>
    </row>
    <row r="85" spans="1:32" x14ac:dyDescent="0.35">
      <c r="A85" s="109"/>
      <c r="B85" s="110"/>
      <c r="C85" s="109"/>
      <c r="D85" s="111"/>
      <c r="E85" s="110"/>
      <c r="F85" s="112"/>
      <c r="G85" s="109"/>
      <c r="H85" s="109"/>
      <c r="I85" s="109"/>
      <c r="J85" s="109"/>
      <c r="K85" s="113"/>
      <c r="L85" s="114"/>
      <c r="M85" s="115"/>
      <c r="N85" s="81" t="str">
        <f t="shared" si="233"/>
        <v/>
      </c>
      <c r="O85" s="82" t="str">
        <f t="shared" si="228"/>
        <v/>
      </c>
      <c r="P85" s="81" t="str">
        <f t="shared" si="234"/>
        <v/>
      </c>
      <c r="Q85" s="81" t="str">
        <f t="shared" si="229"/>
        <v/>
      </c>
      <c r="R85" s="83" t="str">
        <f t="shared" ca="1" si="230"/>
        <v/>
      </c>
      <c r="S85" s="81" t="str">
        <f t="shared" ca="1" si="5"/>
        <v/>
      </c>
      <c r="T85" s="81" t="str">
        <f ca="1">IF(S85=Dashboard!$D$12,S85,"")</f>
        <v/>
      </c>
      <c r="U85" s="81" t="str">
        <f t="shared" ca="1" si="231"/>
        <v/>
      </c>
      <c r="V85" s="83" t="str">
        <f ca="1">IF(U85="","",IFERROR((RANK(U85,$U$2:$U$2028,1)+COUNTIF($U$2:U85,U85))-1,""))</f>
        <v/>
      </c>
      <c r="W85" s="81" t="str">
        <f t="shared" si="232"/>
        <v/>
      </c>
      <c r="X85" s="81" t="str">
        <f>IF(W85="","",IFERROR((RANK(W85,$W$2:$W$2028,1)+COUNTIF($W$2:W85,W85))-1,""))</f>
        <v/>
      </c>
      <c r="Y85" s="81" t="str">
        <f t="shared" si="8"/>
        <v/>
      </c>
      <c r="Z85" s="81" t="str">
        <f>IF(Y85="","",IFERROR((RANK(Y85,$Y$2:$Y$2028,1)+COUNTIF($Y$2:Y85,Y85))-1,""))</f>
        <v/>
      </c>
      <c r="AA85" s="81" t="str">
        <f t="shared" si="9"/>
        <v/>
      </c>
      <c r="AB85" s="81" t="str">
        <f>IF(AA85="","",IFERROR((RANK(AA85,$AA$2:$AA$2028,1)+COUNTIF($AA$2:AA85,AA85))-1,""))</f>
        <v/>
      </c>
      <c r="AC85" s="81" t="str">
        <f t="shared" si="10"/>
        <v/>
      </c>
      <c r="AD85" s="81" t="str">
        <f>IF(AC85="","",IFERROR((RANK(AC85,$AC$2:$AC$2028,1)+COUNTIF($AC$2:AC85,AC85))-1,""))</f>
        <v/>
      </c>
      <c r="AE85" s="144" t="str">
        <f t="shared" si="235"/>
        <v/>
      </c>
      <c r="AF85" s="144" t="str">
        <f>IF(AE85="","",SUM($AE$2:AE85))</f>
        <v/>
      </c>
    </row>
    <row r="86" spans="1:32" x14ac:dyDescent="0.35">
      <c r="A86" s="109"/>
      <c r="B86" s="110"/>
      <c r="C86" s="109"/>
      <c r="D86" s="111"/>
      <c r="E86" s="110"/>
      <c r="F86" s="112"/>
      <c r="G86" s="109"/>
      <c r="H86" s="109"/>
      <c r="I86" s="109"/>
      <c r="J86" s="109"/>
      <c r="K86" s="113"/>
      <c r="L86" s="114"/>
      <c r="M86" s="115"/>
      <c r="N86" s="81" t="str">
        <f t="shared" si="233"/>
        <v/>
      </c>
      <c r="O86" s="82" t="str">
        <f t="shared" si="228"/>
        <v/>
      </c>
      <c r="P86" s="81" t="str">
        <f t="shared" si="234"/>
        <v/>
      </c>
      <c r="Q86" s="81" t="str">
        <f t="shared" si="229"/>
        <v/>
      </c>
      <c r="R86" s="83" t="str">
        <f t="shared" ca="1" si="230"/>
        <v/>
      </c>
      <c r="S86" s="81" t="str">
        <f t="shared" ca="1" si="5"/>
        <v/>
      </c>
      <c r="T86" s="81" t="str">
        <f ca="1">IF(S86=Dashboard!$D$12,S86,"")</f>
        <v/>
      </c>
      <c r="U86" s="81" t="str">
        <f t="shared" ca="1" si="231"/>
        <v/>
      </c>
      <c r="V86" s="83" t="str">
        <f ca="1">IF(U86="","",IFERROR((RANK(U86,$U$2:$U$2028,1)+COUNTIF($U$2:U86,U86))-1,""))</f>
        <v/>
      </c>
      <c r="W86" s="81" t="str">
        <f t="shared" si="232"/>
        <v/>
      </c>
      <c r="X86" s="81" t="str">
        <f>IF(W86="","",IFERROR((RANK(W86,$W$2:$W$2028,1)+COUNTIF($W$2:W86,W86))-1,""))</f>
        <v/>
      </c>
      <c r="Y86" s="81" t="str">
        <f t="shared" si="8"/>
        <v/>
      </c>
      <c r="Z86" s="81" t="str">
        <f>IF(Y86="","",IFERROR((RANK(Y86,$Y$2:$Y$2028,1)+COUNTIF($Y$2:Y86,Y86))-1,""))</f>
        <v/>
      </c>
      <c r="AA86" s="81" t="str">
        <f t="shared" si="9"/>
        <v/>
      </c>
      <c r="AB86" s="81" t="str">
        <f>IF(AA86="","",IFERROR((RANK(AA86,$AA$2:$AA$2028,1)+COUNTIF($AA$2:AA86,AA86))-1,""))</f>
        <v/>
      </c>
      <c r="AC86" s="81" t="str">
        <f t="shared" si="10"/>
        <v/>
      </c>
      <c r="AD86" s="81" t="str">
        <f>IF(AC86="","",IFERROR((RANK(AC86,$AC$2:$AC$2028,1)+COUNTIF($AC$2:AC86,AC86))-1,""))</f>
        <v/>
      </c>
      <c r="AE86" s="144" t="str">
        <f t="shared" si="235"/>
        <v/>
      </c>
      <c r="AF86" s="144" t="str">
        <f>IF(AE86="","",SUM($AE$2:AE86))</f>
        <v/>
      </c>
    </row>
    <row r="87" spans="1:32" x14ac:dyDescent="0.35">
      <c r="A87" s="109"/>
      <c r="B87" s="110"/>
      <c r="C87" s="109"/>
      <c r="D87" s="111"/>
      <c r="E87" s="110"/>
      <c r="F87" s="116"/>
      <c r="G87" s="109"/>
      <c r="H87" s="109"/>
      <c r="I87" s="109"/>
      <c r="J87" s="109"/>
      <c r="K87" s="113"/>
      <c r="L87" s="117"/>
      <c r="M87" s="115"/>
      <c r="N87" s="81" t="str">
        <f t="shared" si="233"/>
        <v/>
      </c>
      <c r="O87" s="82" t="str">
        <f t="shared" si="228"/>
        <v/>
      </c>
      <c r="P87" s="81" t="str">
        <f t="shared" si="234"/>
        <v/>
      </c>
      <c r="Q87" s="81" t="str">
        <f t="shared" si="229"/>
        <v/>
      </c>
      <c r="R87" s="83" t="str">
        <f t="shared" ca="1" si="230"/>
        <v/>
      </c>
      <c r="S87" s="81" t="str">
        <f t="shared" ca="1" si="5"/>
        <v/>
      </c>
      <c r="T87" s="81" t="str">
        <f ca="1">IF(S87=Dashboard!$D$12,S87,"")</f>
        <v/>
      </c>
      <c r="U87" s="81" t="str">
        <f t="shared" ca="1" si="231"/>
        <v/>
      </c>
      <c r="V87" s="83" t="str">
        <f ca="1">IF(U87="","",IFERROR((RANK(U87,$U$2:$U$2028,1)+COUNTIF($U$2:U87,U87))-1,""))</f>
        <v/>
      </c>
      <c r="W87" s="81" t="str">
        <f t="shared" si="232"/>
        <v/>
      </c>
      <c r="X87" s="81" t="str">
        <f>IF(W87="","",IFERROR((RANK(W87,$W$2:$W$2028,1)+COUNTIF($W$2:W87,W87))-1,""))</f>
        <v/>
      </c>
      <c r="Y87" s="81" t="str">
        <f t="shared" si="8"/>
        <v/>
      </c>
      <c r="Z87" s="81" t="str">
        <f>IF(Y87="","",IFERROR((RANK(Y87,$Y$2:$Y$2028,1)+COUNTIF($Y$2:Y87,Y87))-1,""))</f>
        <v/>
      </c>
      <c r="AA87" s="81" t="str">
        <f t="shared" si="9"/>
        <v/>
      </c>
      <c r="AB87" s="81" t="str">
        <f>IF(AA87="","",IFERROR((RANK(AA87,$AA$2:$AA$2028,1)+COUNTIF($AA$2:AA87,AA87))-1,""))</f>
        <v/>
      </c>
      <c r="AC87" s="81" t="str">
        <f t="shared" si="10"/>
        <v/>
      </c>
      <c r="AD87" s="81" t="str">
        <f>IF(AC87="","",IFERROR((RANK(AC87,$AC$2:$AC$2028,1)+COUNTIF($AC$2:AC87,AC87))-1,""))</f>
        <v/>
      </c>
      <c r="AE87" s="144" t="str">
        <f t="shared" si="235"/>
        <v/>
      </c>
      <c r="AF87" s="144" t="str">
        <f>IF(AE87="","",SUM($AE$2:AE87))</f>
        <v/>
      </c>
    </row>
    <row r="88" spans="1:32" x14ac:dyDescent="0.35">
      <c r="A88" s="109"/>
      <c r="B88" s="110"/>
      <c r="C88" s="109"/>
      <c r="D88" s="111"/>
      <c r="E88" s="110"/>
      <c r="F88" s="116"/>
      <c r="G88" s="109"/>
      <c r="H88" s="109"/>
      <c r="I88" s="109"/>
      <c r="J88" s="109"/>
      <c r="K88" s="113"/>
      <c r="L88" s="117"/>
      <c r="M88" s="115"/>
      <c r="N88" s="81" t="str">
        <f t="shared" si="233"/>
        <v/>
      </c>
      <c r="O88" s="82" t="str">
        <f t="shared" si="228"/>
        <v/>
      </c>
      <c r="P88" s="81" t="str">
        <f t="shared" si="234"/>
        <v/>
      </c>
      <c r="Q88" s="81" t="str">
        <f t="shared" si="229"/>
        <v/>
      </c>
      <c r="R88" s="83" t="str">
        <f t="shared" ca="1" si="230"/>
        <v/>
      </c>
      <c r="S88" s="81" t="str">
        <f t="shared" ca="1" si="5"/>
        <v/>
      </c>
      <c r="T88" s="81" t="str">
        <f ca="1">IF(S88=Dashboard!$D$12,S88,"")</f>
        <v/>
      </c>
      <c r="U88" s="81" t="str">
        <f t="shared" ca="1" si="231"/>
        <v/>
      </c>
      <c r="V88" s="83" t="str">
        <f ca="1">IF(U88="","",IFERROR((RANK(U88,$U$2:$U$2028,1)+COUNTIF($U$2:U88,U88))-1,""))</f>
        <v/>
      </c>
      <c r="W88" s="81" t="str">
        <f t="shared" si="232"/>
        <v/>
      </c>
      <c r="X88" s="81" t="str">
        <f>IF(W88="","",IFERROR((RANK(W88,$W$2:$W$2028,1)+COUNTIF($W$2:W88,W88))-1,""))</f>
        <v/>
      </c>
      <c r="Y88" s="81" t="str">
        <f t="shared" si="8"/>
        <v/>
      </c>
      <c r="Z88" s="81" t="str">
        <f>IF(Y88="","",IFERROR((RANK(Y88,$Y$2:$Y$2028,1)+COUNTIF($Y$2:Y88,Y88))-1,""))</f>
        <v/>
      </c>
      <c r="AA88" s="81" t="str">
        <f t="shared" si="9"/>
        <v/>
      </c>
      <c r="AB88" s="81" t="str">
        <f>IF(AA88="","",IFERROR((RANK(AA88,$AA$2:$AA$2028,1)+COUNTIF($AA$2:AA88,AA88))-1,""))</f>
        <v/>
      </c>
      <c r="AC88" s="81" t="str">
        <f t="shared" si="10"/>
        <v/>
      </c>
      <c r="AD88" s="81" t="str">
        <f>IF(AC88="","",IFERROR((RANK(AC88,$AC$2:$AC$2028,1)+COUNTIF($AC$2:AC88,AC88))-1,""))</f>
        <v/>
      </c>
      <c r="AE88" s="144" t="str">
        <f t="shared" si="235"/>
        <v/>
      </c>
      <c r="AF88" s="144" t="str">
        <f>IF(AE88="","",SUM($AE$2:AE88))</f>
        <v/>
      </c>
    </row>
    <row r="89" spans="1:32" x14ac:dyDescent="0.35">
      <c r="A89" s="109"/>
      <c r="B89" s="110"/>
      <c r="C89" s="109"/>
      <c r="D89" s="111"/>
      <c r="E89" s="110"/>
      <c r="F89" s="116"/>
      <c r="G89" s="109"/>
      <c r="H89" s="109"/>
      <c r="I89" s="109"/>
      <c r="J89" s="109"/>
      <c r="K89" s="113"/>
      <c r="L89" s="117"/>
      <c r="M89" s="115"/>
      <c r="N89" s="81" t="str">
        <f t="shared" si="233"/>
        <v/>
      </c>
      <c r="O89" s="82" t="str">
        <f t="shared" si="228"/>
        <v/>
      </c>
      <c r="P89" s="81" t="str">
        <f t="shared" si="234"/>
        <v/>
      </c>
      <c r="Q89" s="81" t="str">
        <f t="shared" si="229"/>
        <v/>
      </c>
      <c r="R89" s="83" t="str">
        <f t="shared" ca="1" si="230"/>
        <v/>
      </c>
      <c r="S89" s="81" t="str">
        <f t="shared" ca="1" si="5"/>
        <v/>
      </c>
      <c r="T89" s="81" t="str">
        <f ca="1">IF(S89=Dashboard!$D$12,S89,"")</f>
        <v/>
      </c>
      <c r="U89" s="81" t="str">
        <f t="shared" ca="1" si="231"/>
        <v/>
      </c>
      <c r="V89" s="83" t="str">
        <f ca="1">IF(U89="","",IFERROR((RANK(U89,$U$2:$U$2028,1)+COUNTIF($U$2:U89,U89))-1,""))</f>
        <v/>
      </c>
      <c r="W89" s="81" t="str">
        <f t="shared" si="232"/>
        <v/>
      </c>
      <c r="X89" s="81" t="str">
        <f>IF(W89="","",IFERROR((RANK(W89,$W$2:$W$2028,1)+COUNTIF($W$2:W89,W89))-1,""))</f>
        <v/>
      </c>
      <c r="Y89" s="81" t="str">
        <f t="shared" si="8"/>
        <v/>
      </c>
      <c r="Z89" s="81" t="str">
        <f>IF(Y89="","",IFERROR((RANK(Y89,$Y$2:$Y$2028,1)+COUNTIF($Y$2:Y89,Y89))-1,""))</f>
        <v/>
      </c>
      <c r="AA89" s="81" t="str">
        <f t="shared" si="9"/>
        <v/>
      </c>
      <c r="AB89" s="81" t="str">
        <f>IF(AA89="","",IFERROR((RANK(AA89,$AA$2:$AA$2028,1)+COUNTIF($AA$2:AA89,AA89))-1,""))</f>
        <v/>
      </c>
      <c r="AC89" s="81" t="str">
        <f t="shared" si="10"/>
        <v/>
      </c>
      <c r="AD89" s="81" t="str">
        <f>IF(AC89="","",IFERROR((RANK(AC89,$AC$2:$AC$2028,1)+COUNTIF($AC$2:AC89,AC89))-1,""))</f>
        <v/>
      </c>
      <c r="AE89" s="144" t="str">
        <f t="shared" si="235"/>
        <v/>
      </c>
      <c r="AF89" s="144" t="str">
        <f>IF(AE89="","",SUM($AE$2:AE89))</f>
        <v/>
      </c>
    </row>
    <row r="90" spans="1:32" x14ac:dyDescent="0.35">
      <c r="A90" s="109"/>
      <c r="B90" s="110"/>
      <c r="C90" s="109"/>
      <c r="D90" s="111"/>
      <c r="E90" s="110"/>
      <c r="F90" s="116"/>
      <c r="G90" s="109"/>
      <c r="H90" s="109"/>
      <c r="I90" s="109"/>
      <c r="J90" s="109"/>
      <c r="K90" s="113"/>
      <c r="L90" s="117"/>
      <c r="M90" s="115"/>
      <c r="N90" s="81" t="str">
        <f t="shared" si="233"/>
        <v/>
      </c>
      <c r="O90" s="82" t="str">
        <f t="shared" si="228"/>
        <v/>
      </c>
      <c r="P90" s="81" t="str">
        <f t="shared" si="234"/>
        <v/>
      </c>
      <c r="Q90" s="81" t="str">
        <f t="shared" si="229"/>
        <v/>
      </c>
      <c r="R90" s="83" t="str">
        <f t="shared" ca="1" si="230"/>
        <v/>
      </c>
      <c r="S90" s="81" t="str">
        <f t="shared" ca="1" si="5"/>
        <v/>
      </c>
      <c r="T90" s="81" t="str">
        <f ca="1">IF(S90=Dashboard!$D$12,S90,"")</f>
        <v/>
      </c>
      <c r="U90" s="81" t="str">
        <f t="shared" ca="1" si="231"/>
        <v/>
      </c>
      <c r="V90" s="83" t="str">
        <f ca="1">IF(U90="","",IFERROR((RANK(U90,$U$2:$U$2028,1)+COUNTIF($U$2:U90,U90))-1,""))</f>
        <v/>
      </c>
      <c r="W90" s="81" t="str">
        <f t="shared" si="232"/>
        <v/>
      </c>
      <c r="X90" s="81" t="str">
        <f>IF(W90="","",IFERROR((RANK(W90,$W$2:$W$2028,1)+COUNTIF($W$2:W90,W90))-1,""))</f>
        <v/>
      </c>
      <c r="Y90" s="81" t="str">
        <f t="shared" si="8"/>
        <v/>
      </c>
      <c r="Z90" s="81" t="str">
        <f>IF(Y90="","",IFERROR((RANK(Y90,$Y$2:$Y$2028,1)+COUNTIF($Y$2:Y90,Y90))-1,""))</f>
        <v/>
      </c>
      <c r="AA90" s="81" t="str">
        <f t="shared" si="9"/>
        <v/>
      </c>
      <c r="AB90" s="81" t="str">
        <f>IF(AA90="","",IFERROR((RANK(AA90,$AA$2:$AA$2028,1)+COUNTIF($AA$2:AA90,AA90))-1,""))</f>
        <v/>
      </c>
      <c r="AC90" s="81" t="str">
        <f t="shared" si="10"/>
        <v/>
      </c>
      <c r="AD90" s="81" t="str">
        <f>IF(AC90="","",IFERROR((RANK(AC90,$AC$2:$AC$2028,1)+COUNTIF($AC$2:AC90,AC90))-1,""))</f>
        <v/>
      </c>
      <c r="AE90" s="144" t="str">
        <f t="shared" si="235"/>
        <v/>
      </c>
      <c r="AF90" s="144" t="str">
        <f>IF(AE90="","",SUM($AE$2:AE90))</f>
        <v/>
      </c>
    </row>
    <row r="91" spans="1:32" x14ac:dyDescent="0.35">
      <c r="A91" s="109"/>
      <c r="B91" s="110"/>
      <c r="C91" s="109"/>
      <c r="D91" s="111"/>
      <c r="E91" s="110"/>
      <c r="F91" s="116"/>
      <c r="G91" s="109"/>
      <c r="H91" s="109"/>
      <c r="I91" s="109"/>
      <c r="J91" s="109"/>
      <c r="K91" s="113"/>
      <c r="L91" s="117"/>
      <c r="M91" s="115"/>
      <c r="N91" s="81" t="str">
        <f t="shared" si="233"/>
        <v/>
      </c>
      <c r="O91" s="82" t="str">
        <f t="shared" si="228"/>
        <v/>
      </c>
      <c r="P91" s="81" t="str">
        <f t="shared" si="234"/>
        <v/>
      </c>
      <c r="Q91" s="81" t="str">
        <f t="shared" si="229"/>
        <v/>
      </c>
      <c r="R91" s="83" t="str">
        <f t="shared" ca="1" si="230"/>
        <v/>
      </c>
      <c r="S91" s="81" t="str">
        <f t="shared" ca="1" si="5"/>
        <v/>
      </c>
      <c r="T91" s="81" t="str">
        <f ca="1">IF(S91=Dashboard!$D$12,S91,"")</f>
        <v/>
      </c>
      <c r="U91" s="81" t="str">
        <f t="shared" ca="1" si="231"/>
        <v/>
      </c>
      <c r="V91" s="83" t="str">
        <f ca="1">IF(U91="","",IFERROR((RANK(U91,$U$2:$U$2028,1)+COUNTIF($U$2:U91,U91))-1,""))</f>
        <v/>
      </c>
      <c r="W91" s="81" t="str">
        <f t="shared" si="232"/>
        <v/>
      </c>
      <c r="X91" s="81" t="str">
        <f>IF(W91="","",IFERROR((RANK(W91,$W$2:$W$2028,1)+COUNTIF($W$2:W91,W91))-1,""))</f>
        <v/>
      </c>
      <c r="Y91" s="81" t="str">
        <f t="shared" si="8"/>
        <v/>
      </c>
      <c r="Z91" s="81" t="str">
        <f>IF(Y91="","",IFERROR((RANK(Y91,$Y$2:$Y$2028,1)+COUNTIF($Y$2:Y91,Y91))-1,""))</f>
        <v/>
      </c>
      <c r="AA91" s="81" t="str">
        <f t="shared" si="9"/>
        <v/>
      </c>
      <c r="AB91" s="81" t="str">
        <f>IF(AA91="","",IFERROR((RANK(AA91,$AA$2:$AA$2028,1)+COUNTIF($AA$2:AA91,AA91))-1,""))</f>
        <v/>
      </c>
      <c r="AC91" s="81" t="str">
        <f t="shared" si="10"/>
        <v/>
      </c>
      <c r="AD91" s="81" t="str">
        <f>IF(AC91="","",IFERROR((RANK(AC91,$AC$2:$AC$2028,1)+COUNTIF($AC$2:AC91,AC91))-1,""))</f>
        <v/>
      </c>
      <c r="AE91" s="144" t="str">
        <f t="shared" si="235"/>
        <v/>
      </c>
      <c r="AF91" s="144" t="str">
        <f>IF(AE91="","",SUM($AE$2:AE91))</f>
        <v/>
      </c>
    </row>
    <row r="92" spans="1:32" x14ac:dyDescent="0.35">
      <c r="A92" s="109"/>
      <c r="B92" s="110"/>
      <c r="C92" s="109"/>
      <c r="D92" s="111"/>
      <c r="E92" s="110"/>
      <c r="F92" s="116"/>
      <c r="G92" s="109"/>
      <c r="H92" s="109"/>
      <c r="I92" s="109"/>
      <c r="J92" s="109"/>
      <c r="K92" s="113"/>
      <c r="L92" s="117"/>
      <c r="M92" s="115"/>
      <c r="N92" s="81" t="str">
        <f t="shared" si="233"/>
        <v/>
      </c>
      <c r="O92" s="82" t="str">
        <f t="shared" si="228"/>
        <v/>
      </c>
      <c r="P92" s="81" t="str">
        <f t="shared" si="234"/>
        <v/>
      </c>
      <c r="Q92" s="81" t="str">
        <f t="shared" si="229"/>
        <v/>
      </c>
      <c r="R92" s="83" t="str">
        <f t="shared" ca="1" si="230"/>
        <v/>
      </c>
      <c r="S92" s="81" t="str">
        <f t="shared" ca="1" si="5"/>
        <v/>
      </c>
      <c r="T92" s="81" t="str">
        <f ca="1">IF(S92=Dashboard!$D$12,S92,"")</f>
        <v/>
      </c>
      <c r="U92" s="81" t="str">
        <f t="shared" ca="1" si="231"/>
        <v/>
      </c>
      <c r="V92" s="83" t="str">
        <f ca="1">IF(U92="","",IFERROR((RANK(U92,$U$2:$U$2028,1)+COUNTIF($U$2:U92,U92))-1,""))</f>
        <v/>
      </c>
      <c r="W92" s="81" t="str">
        <f t="shared" si="232"/>
        <v/>
      </c>
      <c r="X92" s="81" t="str">
        <f>IF(W92="","",IFERROR((RANK(W92,$W$2:$W$2028,1)+COUNTIF($W$2:W92,W92))-1,""))</f>
        <v/>
      </c>
      <c r="Y92" s="81" t="str">
        <f t="shared" si="8"/>
        <v/>
      </c>
      <c r="Z92" s="81" t="str">
        <f>IF(Y92="","",IFERROR((RANK(Y92,$Y$2:$Y$2028,1)+COUNTIF($Y$2:Y92,Y92))-1,""))</f>
        <v/>
      </c>
      <c r="AA92" s="81" t="str">
        <f t="shared" si="9"/>
        <v/>
      </c>
      <c r="AB92" s="81" t="str">
        <f>IF(AA92="","",IFERROR((RANK(AA92,$AA$2:$AA$2028,1)+COUNTIF($AA$2:AA92,AA92))-1,""))</f>
        <v/>
      </c>
      <c r="AC92" s="81" t="str">
        <f t="shared" si="10"/>
        <v/>
      </c>
      <c r="AD92" s="81" t="str">
        <f>IF(AC92="","",IFERROR((RANK(AC92,$AC$2:$AC$2028,1)+COUNTIF($AC$2:AC92,AC92))-1,""))</f>
        <v/>
      </c>
      <c r="AE92" s="144" t="str">
        <f t="shared" si="235"/>
        <v/>
      </c>
      <c r="AF92" s="144" t="str">
        <f>IF(AE92="","",SUM($AE$2:AE92))</f>
        <v/>
      </c>
    </row>
    <row r="93" spans="1:32" x14ac:dyDescent="0.35">
      <c r="A93" s="109"/>
      <c r="B93" s="110"/>
      <c r="C93" s="109"/>
      <c r="D93" s="111"/>
      <c r="E93" s="110"/>
      <c r="F93" s="116"/>
      <c r="G93" s="109"/>
      <c r="H93" s="109"/>
      <c r="I93" s="109"/>
      <c r="J93" s="109"/>
      <c r="K93" s="113"/>
      <c r="L93" s="117"/>
      <c r="M93" s="115"/>
      <c r="N93" s="81" t="str">
        <f t="shared" si="233"/>
        <v/>
      </c>
      <c r="O93" s="82" t="str">
        <f t="shared" si="228"/>
        <v/>
      </c>
      <c r="P93" s="81" t="str">
        <f t="shared" si="234"/>
        <v/>
      </c>
      <c r="Q93" s="81" t="str">
        <f t="shared" si="229"/>
        <v/>
      </c>
      <c r="R93" s="83" t="str">
        <f t="shared" ca="1" si="230"/>
        <v/>
      </c>
      <c r="S93" s="81" t="str">
        <f t="shared" ca="1" si="5"/>
        <v/>
      </c>
      <c r="T93" s="81" t="str">
        <f ca="1">IF(S93=Dashboard!$D$12,S93,"")</f>
        <v/>
      </c>
      <c r="U93" s="81" t="str">
        <f t="shared" ca="1" si="231"/>
        <v/>
      </c>
      <c r="V93" s="83" t="str">
        <f ca="1">IF(U93="","",IFERROR((RANK(U93,$U$2:$U$2028,1)+COUNTIF($U$2:U93,U93))-1,""))</f>
        <v/>
      </c>
      <c r="W93" s="81" t="str">
        <f t="shared" si="232"/>
        <v/>
      </c>
      <c r="X93" s="81" t="str">
        <f>IF(W93="","",IFERROR((RANK(W93,$W$2:$W$2028,1)+COUNTIF($W$2:W93,W93))-1,""))</f>
        <v/>
      </c>
      <c r="Y93" s="81" t="str">
        <f t="shared" si="8"/>
        <v/>
      </c>
      <c r="Z93" s="81" t="str">
        <f>IF(Y93="","",IFERROR((RANK(Y93,$Y$2:$Y$2028,1)+COUNTIF($Y$2:Y93,Y93))-1,""))</f>
        <v/>
      </c>
      <c r="AA93" s="81" t="str">
        <f t="shared" si="9"/>
        <v/>
      </c>
      <c r="AB93" s="81" t="str">
        <f>IF(AA93="","",IFERROR((RANK(AA93,$AA$2:$AA$2028,1)+COUNTIF($AA$2:AA93,AA93))-1,""))</f>
        <v/>
      </c>
      <c r="AC93" s="81" t="str">
        <f t="shared" si="10"/>
        <v/>
      </c>
      <c r="AD93" s="81" t="str">
        <f>IF(AC93="","",IFERROR((RANK(AC93,$AC$2:$AC$2028,1)+COUNTIF($AC$2:AC93,AC93))-1,""))</f>
        <v/>
      </c>
      <c r="AE93" s="144" t="str">
        <f t="shared" si="235"/>
        <v/>
      </c>
      <c r="AF93" s="144" t="str">
        <f>IF(AE93="","",SUM($AE$2:AE93))</f>
        <v/>
      </c>
    </row>
    <row r="94" spans="1:32" x14ac:dyDescent="0.35">
      <c r="A94" s="109"/>
      <c r="B94" s="110"/>
      <c r="C94" s="109"/>
      <c r="D94" s="111"/>
      <c r="E94" s="110"/>
      <c r="F94" s="116"/>
      <c r="G94" s="109"/>
      <c r="H94" s="109"/>
      <c r="I94" s="109"/>
      <c r="J94" s="109"/>
      <c r="K94" s="113"/>
      <c r="L94" s="117"/>
      <c r="M94" s="115"/>
      <c r="N94" s="81" t="str">
        <f t="shared" si="233"/>
        <v/>
      </c>
      <c r="O94" s="82" t="str">
        <f t="shared" ref="O94:O157" si="236">IF(A94="","",N94&amp;"-"&amp;M94)</f>
        <v/>
      </c>
      <c r="P94" s="81" t="str">
        <f t="shared" si="234"/>
        <v/>
      </c>
      <c r="Q94" s="81" t="str">
        <f t="shared" ref="Q94:Q157" si="237">IF(A94="","",IF(P94=1,M94,""))</f>
        <v/>
      </c>
      <c r="R94" s="83" t="str">
        <f t="shared" ref="R94:R157" ca="1" si="238">IF(Q94="","",I94-TODAY())</f>
        <v/>
      </c>
      <c r="S94" s="81" t="str">
        <f t="shared" ref="S94:S157" ca="1" si="239">IF(R94="","",
IF(R94&lt;-90,"Pass&gt;90",IF(R94&lt;-60,"Pass 61-90",IF(R94&lt;-30,"Pass 31-60",IF(R94&lt;0,"Pass 0-30",IF(R94&lt;31,"Run 0-30",IF(R94&lt;61,"Run 31-60",IF(R94&lt;91,"Run 60-90","Run &gt;90"))))))))</f>
        <v/>
      </c>
      <c r="T94" s="81" t="str">
        <f ca="1">IF(S94=Dashboard!$D$12,S94,"")</f>
        <v/>
      </c>
      <c r="U94" s="81" t="str">
        <f t="shared" ref="U94:U157" ca="1" si="240">IF(T94="","",R94)</f>
        <v/>
      </c>
      <c r="V94" s="83" t="str">
        <f ca="1">IF(U94="","",IFERROR((RANK(U94,$U$2:$U$2028,1)+COUNTIF($U$2:U94,U94))-1,""))</f>
        <v/>
      </c>
      <c r="W94" s="81" t="str">
        <f t="shared" si="232"/>
        <v/>
      </c>
      <c r="X94" s="81" t="str">
        <f>IF(W94="","",IFERROR((RANK(W94,$W$2:$W$2028,1)+COUNTIF($W$2:W94,W94))-1,""))</f>
        <v/>
      </c>
      <c r="Y94" s="81" t="str">
        <f t="shared" ref="Y94:Y157" si="241">IF($J94=Y$1,$U94,"")</f>
        <v/>
      </c>
      <c r="Z94" s="81" t="str">
        <f>IF(Y94="","",IFERROR((RANK(Y94,$Y$2:$Y$2028,1)+COUNTIF($Y$2:Y94,Y94))-1,""))</f>
        <v/>
      </c>
      <c r="AA94" s="81" t="str">
        <f t="shared" ref="AA94:AA157" si="242">IF($J94=AA$1,$U94,"")</f>
        <v/>
      </c>
      <c r="AB94" s="81" t="str">
        <f>IF(AA94="","",IFERROR((RANK(AA94,$AA$2:$AA$2028,1)+COUNTIF($AA$2:AA94,AA94))-1,""))</f>
        <v/>
      </c>
      <c r="AC94" s="81" t="str">
        <f t="shared" ref="AC94:AC157" si="243">IF($J94=AC$1,$U94,"")</f>
        <v/>
      </c>
      <c r="AD94" s="81" t="str">
        <f>IF(AC94="","",IFERROR((RANK(AC94,$AC$2:$AC$2028,1)+COUNTIF($AC$2:AC94,AC94))-1,""))</f>
        <v/>
      </c>
      <c r="AE94" s="144" t="str">
        <f t="shared" si="235"/>
        <v/>
      </c>
      <c r="AF94" s="144" t="str">
        <f>IF(AE94="","",SUM($AE$2:AE94))</f>
        <v/>
      </c>
    </row>
    <row r="95" spans="1:32" x14ac:dyDescent="0.35">
      <c r="A95" s="109"/>
      <c r="B95" s="110"/>
      <c r="C95" s="109"/>
      <c r="D95" s="111"/>
      <c r="E95" s="110"/>
      <c r="F95" s="116"/>
      <c r="G95" s="109"/>
      <c r="H95" s="109"/>
      <c r="I95" s="109"/>
      <c r="J95" s="109"/>
      <c r="K95" s="113" t="s">
        <v>222</v>
      </c>
      <c r="L95" s="117"/>
      <c r="M95" s="115"/>
      <c r="N95" s="81" t="str">
        <f t="shared" si="233"/>
        <v/>
      </c>
      <c r="O95" s="82" t="str">
        <f t="shared" si="236"/>
        <v/>
      </c>
      <c r="P95" s="81" t="str">
        <f t="shared" si="234"/>
        <v/>
      </c>
      <c r="Q95" s="81" t="str">
        <f t="shared" si="237"/>
        <v/>
      </c>
      <c r="R95" s="83" t="str">
        <f t="shared" ca="1" si="238"/>
        <v/>
      </c>
      <c r="S95" s="81" t="str">
        <f t="shared" ca="1" si="239"/>
        <v/>
      </c>
      <c r="T95" s="81" t="str">
        <f ca="1">IF(S95=Dashboard!$D$12,S95,"")</f>
        <v/>
      </c>
      <c r="U95" s="81" t="str">
        <f t="shared" ca="1" si="240"/>
        <v/>
      </c>
      <c r="V95" s="83" t="str">
        <f ca="1">IF(U95="","",IFERROR((RANK(U95,$U$2:$U$2028,1)+COUNTIF($U$2:U95,U95))-1,""))</f>
        <v/>
      </c>
      <c r="W95" s="81" t="str">
        <f t="shared" ref="W95:W158" si="244">IF($J95=$W$1,U95,"")</f>
        <v/>
      </c>
      <c r="X95" s="81" t="str">
        <f>IF(W95="","",IFERROR((RANK(W95,$W$2:$W$2028,1)+COUNTIF($W$2:W95,W95))-1,""))</f>
        <v/>
      </c>
      <c r="Y95" s="81" t="str">
        <f t="shared" si="241"/>
        <v/>
      </c>
      <c r="Z95" s="81" t="str">
        <f>IF(Y95="","",IFERROR((RANK(Y95,$Y$2:$Y$2028,1)+COUNTIF($Y$2:Y95,Y95))-1,""))</f>
        <v/>
      </c>
      <c r="AA95" s="81" t="str">
        <f t="shared" si="242"/>
        <v/>
      </c>
      <c r="AB95" s="81" t="str">
        <f>IF(AA95="","",IFERROR((RANK(AA95,$AA$2:$AA$2028,1)+COUNTIF($AA$2:AA95,AA95))-1,""))</f>
        <v/>
      </c>
      <c r="AC95" s="81" t="str">
        <f t="shared" si="243"/>
        <v/>
      </c>
      <c r="AD95" s="81" t="str">
        <f>IF(AC95="","",IFERROR((RANK(AC95,$AC$2:$AC$2028,1)+COUNTIF($AC$2:AC95,AC95))-1,""))</f>
        <v/>
      </c>
      <c r="AE95" s="144" t="str">
        <f t="shared" si="235"/>
        <v/>
      </c>
      <c r="AF95" s="144" t="str">
        <f>IF(AE95="","",SUM($AE$2:AE95))</f>
        <v/>
      </c>
    </row>
    <row r="96" spans="1:32" x14ac:dyDescent="0.35">
      <c r="A96" s="109"/>
      <c r="B96" s="110"/>
      <c r="C96" s="109"/>
      <c r="D96" s="111"/>
      <c r="E96" s="110"/>
      <c r="F96" s="112"/>
      <c r="G96" s="109"/>
      <c r="H96" s="109"/>
      <c r="I96" s="109"/>
      <c r="J96" s="109"/>
      <c r="K96" s="113"/>
      <c r="L96" s="114"/>
      <c r="M96" s="115"/>
      <c r="N96" s="81" t="str">
        <f t="shared" si="233"/>
        <v/>
      </c>
      <c r="O96" s="82" t="str">
        <f t="shared" si="236"/>
        <v/>
      </c>
      <c r="P96" s="81" t="str">
        <f t="shared" si="234"/>
        <v/>
      </c>
      <c r="Q96" s="81" t="str">
        <f t="shared" si="237"/>
        <v/>
      </c>
      <c r="R96" s="83" t="str">
        <f t="shared" ca="1" si="238"/>
        <v/>
      </c>
      <c r="S96" s="81" t="str">
        <f t="shared" ca="1" si="239"/>
        <v/>
      </c>
      <c r="T96" s="81" t="str">
        <f ca="1">IF(S96=Dashboard!$D$12,S96,"")</f>
        <v/>
      </c>
      <c r="U96" s="81" t="str">
        <f t="shared" ca="1" si="240"/>
        <v/>
      </c>
      <c r="V96" s="83" t="str">
        <f ca="1">IF(U96="","",IFERROR((RANK(U96,$U$2:$U$2028,1)+COUNTIF($U$2:U96,U96))-1,""))</f>
        <v/>
      </c>
      <c r="W96" s="81" t="str">
        <f t="shared" si="244"/>
        <v/>
      </c>
      <c r="X96" s="81" t="str">
        <f>IF(W96="","",IFERROR((RANK(W96,$W$2:$W$2028,1)+COUNTIF($W$2:W96,W96))-1,""))</f>
        <v/>
      </c>
      <c r="Y96" s="81" t="str">
        <f t="shared" si="241"/>
        <v/>
      </c>
      <c r="Z96" s="81" t="str">
        <f>IF(Y96="","",IFERROR((RANK(Y96,$Y$2:$Y$2028,1)+COUNTIF($Y$2:Y96,Y96))-1,""))</f>
        <v/>
      </c>
      <c r="AA96" s="81" t="str">
        <f t="shared" si="242"/>
        <v/>
      </c>
      <c r="AB96" s="81" t="str">
        <f>IF(AA96="","",IFERROR((RANK(AA96,$AA$2:$AA$2028,1)+COUNTIF($AA$2:AA96,AA96))-1,""))</f>
        <v/>
      </c>
      <c r="AC96" s="81" t="str">
        <f t="shared" si="243"/>
        <v/>
      </c>
      <c r="AD96" s="81" t="str">
        <f>IF(AC96="","",IFERROR((RANK(AC96,$AC$2:$AC$2028,1)+COUNTIF($AC$2:AC96,AC96))-1,""))</f>
        <v/>
      </c>
      <c r="AE96" s="144" t="str">
        <f t="shared" si="235"/>
        <v/>
      </c>
      <c r="AF96" s="144" t="str">
        <f>IF(AE96="","",SUM($AE$2:AE96))</f>
        <v/>
      </c>
    </row>
    <row r="97" spans="1:32" x14ac:dyDescent="0.35">
      <c r="A97" s="109"/>
      <c r="B97" s="110"/>
      <c r="C97" s="109"/>
      <c r="D97" s="111"/>
      <c r="E97" s="110"/>
      <c r="F97" s="112"/>
      <c r="G97" s="109"/>
      <c r="H97" s="109"/>
      <c r="I97" s="109"/>
      <c r="J97" s="109"/>
      <c r="K97" s="113"/>
      <c r="L97" s="114"/>
      <c r="M97" s="118"/>
      <c r="N97" s="81" t="str">
        <f t="shared" si="233"/>
        <v/>
      </c>
      <c r="O97" s="82" t="str">
        <f t="shared" si="236"/>
        <v/>
      </c>
      <c r="P97" s="81" t="str">
        <f t="shared" si="234"/>
        <v/>
      </c>
      <c r="Q97" s="81" t="str">
        <f t="shared" si="237"/>
        <v/>
      </c>
      <c r="R97" s="83" t="str">
        <f t="shared" ca="1" si="238"/>
        <v/>
      </c>
      <c r="S97" s="81" t="str">
        <f t="shared" ca="1" si="239"/>
        <v/>
      </c>
      <c r="T97" s="81" t="str">
        <f ca="1">IF(S97=Dashboard!$D$12,S97,"")</f>
        <v/>
      </c>
      <c r="U97" s="81" t="str">
        <f t="shared" ca="1" si="240"/>
        <v/>
      </c>
      <c r="V97" s="83" t="str">
        <f ca="1">IF(U97="","",IFERROR((RANK(U97,$U$2:$U$2028,1)+COUNTIF($U$2:U97,U97))-1,""))</f>
        <v/>
      </c>
      <c r="W97" s="81" t="str">
        <f t="shared" si="244"/>
        <v/>
      </c>
      <c r="X97" s="81" t="str">
        <f>IF(W97="","",IFERROR((RANK(W97,$W$2:$W$2028,1)+COUNTIF($W$2:W97,W97))-1,""))</f>
        <v/>
      </c>
      <c r="Y97" s="81" t="str">
        <f t="shared" si="241"/>
        <v/>
      </c>
      <c r="Z97" s="81" t="str">
        <f>IF(Y97="","",IFERROR((RANK(Y97,$Y$2:$Y$2028,1)+COUNTIF($Y$2:Y97,Y97))-1,""))</f>
        <v/>
      </c>
      <c r="AA97" s="81" t="str">
        <f t="shared" si="242"/>
        <v/>
      </c>
      <c r="AB97" s="81" t="str">
        <f>IF(AA97="","",IFERROR((RANK(AA97,$AA$2:$AA$2028,1)+COUNTIF($AA$2:AA97,AA97))-1,""))</f>
        <v/>
      </c>
      <c r="AC97" s="81" t="str">
        <f t="shared" si="243"/>
        <v/>
      </c>
      <c r="AD97" s="81" t="str">
        <f>IF(AC97="","",IFERROR((RANK(AC97,$AC$2:$AC$2028,1)+COUNTIF($AC$2:AC97,AC97))-1,""))</f>
        <v/>
      </c>
      <c r="AE97" s="144" t="str">
        <f t="shared" si="235"/>
        <v/>
      </c>
      <c r="AF97" s="144" t="str">
        <f>IF(AE97="","",SUM($AE$2:AE97))</f>
        <v/>
      </c>
    </row>
    <row r="98" spans="1:32" x14ac:dyDescent="0.35">
      <c r="A98" s="109"/>
      <c r="B98" s="110"/>
      <c r="C98" s="109"/>
      <c r="D98" s="111"/>
      <c r="E98" s="110"/>
      <c r="F98" s="112"/>
      <c r="G98" s="109"/>
      <c r="H98" s="109"/>
      <c r="I98" s="109"/>
      <c r="J98" s="109"/>
      <c r="K98" s="113"/>
      <c r="L98" s="114"/>
      <c r="M98" s="118"/>
      <c r="N98" s="81" t="str">
        <f t="shared" si="233"/>
        <v/>
      </c>
      <c r="O98" s="82" t="str">
        <f t="shared" si="236"/>
        <v/>
      </c>
      <c r="P98" s="81" t="str">
        <f t="shared" si="234"/>
        <v/>
      </c>
      <c r="Q98" s="81" t="str">
        <f t="shared" si="237"/>
        <v/>
      </c>
      <c r="R98" s="83" t="str">
        <f t="shared" ca="1" si="238"/>
        <v/>
      </c>
      <c r="S98" s="81" t="str">
        <f t="shared" ca="1" si="239"/>
        <v/>
      </c>
      <c r="T98" s="81" t="str">
        <f ca="1">IF(S98=Dashboard!$D$12,S98,"")</f>
        <v/>
      </c>
      <c r="U98" s="81" t="str">
        <f t="shared" ca="1" si="240"/>
        <v/>
      </c>
      <c r="V98" s="83" t="str">
        <f ca="1">IF(U98="","",IFERROR((RANK(U98,$U$2:$U$2028,1)+COUNTIF($U$2:U98,U98))-1,""))</f>
        <v/>
      </c>
      <c r="W98" s="81" t="str">
        <f t="shared" si="244"/>
        <v/>
      </c>
      <c r="X98" s="81" t="str">
        <f>IF(W98="","",IFERROR((RANK(W98,$W$2:$W$2028,1)+COUNTIF($W$2:W98,W98))-1,""))</f>
        <v/>
      </c>
      <c r="Y98" s="81" t="str">
        <f t="shared" si="241"/>
        <v/>
      </c>
      <c r="Z98" s="81" t="str">
        <f>IF(Y98="","",IFERROR((RANK(Y98,$Y$2:$Y$2028,1)+COUNTIF($Y$2:Y98,Y98))-1,""))</f>
        <v/>
      </c>
      <c r="AA98" s="81" t="str">
        <f t="shared" si="242"/>
        <v/>
      </c>
      <c r="AB98" s="81" t="str">
        <f>IF(AA98="","",IFERROR((RANK(AA98,$AA$2:$AA$2028,1)+COUNTIF($AA$2:AA98,AA98))-1,""))</f>
        <v/>
      </c>
      <c r="AC98" s="81" t="str">
        <f t="shared" si="243"/>
        <v/>
      </c>
      <c r="AD98" s="81" t="str">
        <f>IF(AC98="","",IFERROR((RANK(AC98,$AC$2:$AC$2028,1)+COUNTIF($AC$2:AC98,AC98))-1,""))</f>
        <v/>
      </c>
      <c r="AE98" s="144" t="str">
        <f t="shared" si="235"/>
        <v/>
      </c>
      <c r="AF98" s="144" t="str">
        <f>IF(AE98="","",SUM($AE$2:AE98))</f>
        <v/>
      </c>
    </row>
    <row r="99" spans="1:32" x14ac:dyDescent="0.35">
      <c r="A99" s="109"/>
      <c r="B99" s="110"/>
      <c r="C99" s="109"/>
      <c r="D99" s="111"/>
      <c r="E99" s="110"/>
      <c r="F99" s="112"/>
      <c r="G99" s="109"/>
      <c r="H99" s="109"/>
      <c r="I99" s="109"/>
      <c r="J99" s="109"/>
      <c r="K99" s="113"/>
      <c r="L99" s="114"/>
      <c r="M99" s="118"/>
      <c r="N99" s="81" t="str">
        <f t="shared" si="233"/>
        <v/>
      </c>
      <c r="O99" s="82" t="str">
        <f t="shared" si="236"/>
        <v/>
      </c>
      <c r="P99" s="81" t="str">
        <f t="shared" si="234"/>
        <v/>
      </c>
      <c r="Q99" s="81" t="str">
        <f t="shared" si="237"/>
        <v/>
      </c>
      <c r="R99" s="83" t="str">
        <f t="shared" ca="1" si="238"/>
        <v/>
      </c>
      <c r="S99" s="81" t="str">
        <f t="shared" ca="1" si="239"/>
        <v/>
      </c>
      <c r="T99" s="81" t="str">
        <f ca="1">IF(S99=Dashboard!$D$12,S99,"")</f>
        <v/>
      </c>
      <c r="U99" s="81" t="str">
        <f t="shared" ca="1" si="240"/>
        <v/>
      </c>
      <c r="V99" s="83" t="str">
        <f ca="1">IF(U99="","",IFERROR((RANK(U99,$U$2:$U$2028,1)+COUNTIF($U$2:U99,U99))-1,""))</f>
        <v/>
      </c>
      <c r="W99" s="81" t="str">
        <f t="shared" si="244"/>
        <v/>
      </c>
      <c r="X99" s="81" t="str">
        <f>IF(W99="","",IFERROR((RANK(W99,$W$2:$W$2028,1)+COUNTIF($W$2:W99,W99))-1,""))</f>
        <v/>
      </c>
      <c r="Y99" s="81" t="str">
        <f t="shared" si="241"/>
        <v/>
      </c>
      <c r="Z99" s="81" t="str">
        <f>IF(Y99="","",IFERROR((RANK(Y99,$Y$2:$Y$2028,1)+COUNTIF($Y$2:Y99,Y99))-1,""))</f>
        <v/>
      </c>
      <c r="AA99" s="81" t="str">
        <f t="shared" si="242"/>
        <v/>
      </c>
      <c r="AB99" s="81" t="str">
        <f>IF(AA99="","",IFERROR((RANK(AA99,$AA$2:$AA$2028,1)+COUNTIF($AA$2:AA99,AA99))-1,""))</f>
        <v/>
      </c>
      <c r="AC99" s="81" t="str">
        <f t="shared" si="243"/>
        <v/>
      </c>
      <c r="AD99" s="81" t="str">
        <f>IF(AC99="","",IFERROR((RANK(AC99,$AC$2:$AC$2028,1)+COUNTIF($AC$2:AC99,AC99))-1,""))</f>
        <v/>
      </c>
      <c r="AE99" s="144" t="str">
        <f t="shared" si="235"/>
        <v/>
      </c>
      <c r="AF99" s="144" t="str">
        <f>IF(AE99="","",SUM($AE$2:AE99))</f>
        <v/>
      </c>
    </row>
    <row r="100" spans="1:32" x14ac:dyDescent="0.35">
      <c r="A100" s="109"/>
      <c r="B100" s="110"/>
      <c r="C100" s="109"/>
      <c r="D100" s="111"/>
      <c r="E100" s="110"/>
      <c r="F100" s="112"/>
      <c r="G100" s="109"/>
      <c r="H100" s="109"/>
      <c r="I100" s="109"/>
      <c r="J100" s="109"/>
      <c r="K100" s="113"/>
      <c r="L100" s="114"/>
      <c r="M100" s="118"/>
      <c r="N100" s="81" t="str">
        <f t="shared" si="233"/>
        <v/>
      </c>
      <c r="O100" s="82" t="str">
        <f t="shared" si="236"/>
        <v/>
      </c>
      <c r="P100" s="81" t="str">
        <f t="shared" si="234"/>
        <v/>
      </c>
      <c r="Q100" s="81" t="str">
        <f t="shared" si="237"/>
        <v/>
      </c>
      <c r="R100" s="83" t="str">
        <f t="shared" ca="1" si="238"/>
        <v/>
      </c>
      <c r="S100" s="81" t="str">
        <f t="shared" ca="1" si="239"/>
        <v/>
      </c>
      <c r="T100" s="81" t="str">
        <f ca="1">IF(S100=Dashboard!$D$12,S100,"")</f>
        <v/>
      </c>
      <c r="U100" s="81" t="str">
        <f t="shared" ca="1" si="240"/>
        <v/>
      </c>
      <c r="V100" s="83" t="str">
        <f ca="1">IF(U100="","",IFERROR((RANK(U100,$U$2:$U$2028,1)+COUNTIF($U$2:U100,U100))-1,""))</f>
        <v/>
      </c>
      <c r="W100" s="81" t="str">
        <f t="shared" si="244"/>
        <v/>
      </c>
      <c r="X100" s="81" t="str">
        <f>IF(W100="","",IFERROR((RANK(W100,$W$2:$W$2028,1)+COUNTIF($W$2:W100,W100))-1,""))</f>
        <v/>
      </c>
      <c r="Y100" s="81" t="str">
        <f t="shared" si="241"/>
        <v/>
      </c>
      <c r="Z100" s="81" t="str">
        <f>IF(Y100="","",IFERROR((RANK(Y100,$Y$2:$Y$2028,1)+COUNTIF($Y$2:Y100,Y100))-1,""))</f>
        <v/>
      </c>
      <c r="AA100" s="81" t="str">
        <f t="shared" si="242"/>
        <v/>
      </c>
      <c r="AB100" s="81" t="str">
        <f>IF(AA100="","",IFERROR((RANK(AA100,$AA$2:$AA$2028,1)+COUNTIF($AA$2:AA100,AA100))-1,""))</f>
        <v/>
      </c>
      <c r="AC100" s="81" t="str">
        <f t="shared" si="243"/>
        <v/>
      </c>
      <c r="AD100" s="81" t="str">
        <f>IF(AC100="","",IFERROR((RANK(AC100,$AC$2:$AC$2028,1)+COUNTIF($AC$2:AC100,AC100))-1,""))</f>
        <v/>
      </c>
      <c r="AE100" s="144" t="str">
        <f t="shared" si="235"/>
        <v/>
      </c>
      <c r="AF100" s="144" t="str">
        <f>IF(AE100="","",SUM($AE$2:AE100))</f>
        <v/>
      </c>
    </row>
    <row r="101" spans="1:32" x14ac:dyDescent="0.35">
      <c r="A101" s="109"/>
      <c r="B101" s="110"/>
      <c r="C101" s="109"/>
      <c r="D101" s="111"/>
      <c r="E101" s="110"/>
      <c r="F101" s="112"/>
      <c r="G101" s="109"/>
      <c r="H101" s="109"/>
      <c r="I101" s="109"/>
      <c r="J101" s="109"/>
      <c r="K101" s="113"/>
      <c r="L101" s="114"/>
      <c r="M101" s="118"/>
      <c r="N101" s="81" t="str">
        <f t="shared" si="233"/>
        <v/>
      </c>
      <c r="O101" s="82" t="str">
        <f t="shared" si="236"/>
        <v/>
      </c>
      <c r="P101" s="81" t="str">
        <f t="shared" si="234"/>
        <v/>
      </c>
      <c r="Q101" s="81" t="str">
        <f t="shared" si="237"/>
        <v/>
      </c>
      <c r="R101" s="83" t="str">
        <f t="shared" ca="1" si="238"/>
        <v/>
      </c>
      <c r="S101" s="81" t="str">
        <f t="shared" ca="1" si="239"/>
        <v/>
      </c>
      <c r="T101" s="81" t="str">
        <f ca="1">IF(S101=Dashboard!$D$12,S101,"")</f>
        <v/>
      </c>
      <c r="U101" s="81" t="str">
        <f t="shared" ca="1" si="240"/>
        <v/>
      </c>
      <c r="V101" s="83" t="str">
        <f ca="1">IF(U101="","",IFERROR((RANK(U101,$U$2:$U$2028,1)+COUNTIF($U$2:U101,U101))-1,""))</f>
        <v/>
      </c>
      <c r="W101" s="81" t="str">
        <f t="shared" si="244"/>
        <v/>
      </c>
      <c r="X101" s="81" t="str">
        <f>IF(W101="","",IFERROR((RANK(W101,$W$2:$W$2028,1)+COUNTIF($W$2:W101,W101))-1,""))</f>
        <v/>
      </c>
      <c r="Y101" s="81" t="str">
        <f t="shared" si="241"/>
        <v/>
      </c>
      <c r="Z101" s="81" t="str">
        <f>IF(Y101="","",IFERROR((RANK(Y101,$Y$2:$Y$2028,1)+COUNTIF($Y$2:Y101,Y101))-1,""))</f>
        <v/>
      </c>
      <c r="AA101" s="81" t="str">
        <f t="shared" si="242"/>
        <v/>
      </c>
      <c r="AB101" s="81" t="str">
        <f>IF(AA101="","",IFERROR((RANK(AA101,$AA$2:$AA$2028,1)+COUNTIF($AA$2:AA101,AA101))-1,""))</f>
        <v/>
      </c>
      <c r="AC101" s="81" t="str">
        <f t="shared" si="243"/>
        <v/>
      </c>
      <c r="AD101" s="81" t="str">
        <f>IF(AC101="","",IFERROR((RANK(AC101,$AC$2:$AC$2028,1)+COUNTIF($AC$2:AC101,AC101))-1,""))</f>
        <v/>
      </c>
      <c r="AE101" s="144" t="str">
        <f t="shared" si="235"/>
        <v/>
      </c>
      <c r="AF101" s="144" t="str">
        <f>IF(AE101="","",SUM($AE$2:AE101))</f>
        <v/>
      </c>
    </row>
    <row r="102" spans="1:32" x14ac:dyDescent="0.35">
      <c r="A102" s="109"/>
      <c r="B102" s="110"/>
      <c r="C102" s="109"/>
      <c r="D102" s="111"/>
      <c r="E102" s="110"/>
      <c r="F102" s="112"/>
      <c r="G102" s="109"/>
      <c r="H102" s="112"/>
      <c r="I102" s="112"/>
      <c r="J102" s="109"/>
      <c r="K102" s="113"/>
      <c r="L102" s="114"/>
      <c r="M102" s="118"/>
      <c r="N102" s="81" t="str">
        <f t="shared" si="233"/>
        <v/>
      </c>
      <c r="O102" s="82" t="str">
        <f t="shared" si="236"/>
        <v/>
      </c>
      <c r="P102" s="81" t="str">
        <f t="shared" si="234"/>
        <v/>
      </c>
      <c r="Q102" s="81" t="str">
        <f t="shared" si="237"/>
        <v/>
      </c>
      <c r="R102" s="83" t="str">
        <f t="shared" ca="1" si="238"/>
        <v/>
      </c>
      <c r="S102" s="81" t="str">
        <f t="shared" ca="1" si="239"/>
        <v/>
      </c>
      <c r="T102" s="81" t="str">
        <f ca="1">IF(S102=Dashboard!$D$12,S102,"")</f>
        <v/>
      </c>
      <c r="U102" s="81" t="str">
        <f t="shared" ca="1" si="240"/>
        <v/>
      </c>
      <c r="V102" s="83" t="str">
        <f ca="1">IF(U102="","",IFERROR((RANK(U102,$U$2:$U$2028,1)+COUNTIF($U$2:U102,U102))-1,""))</f>
        <v/>
      </c>
      <c r="W102" s="81" t="str">
        <f t="shared" si="244"/>
        <v/>
      </c>
      <c r="X102" s="81" t="str">
        <f>IF(W102="","",IFERROR((RANK(W102,$W$2:$W$2028,1)+COUNTIF($W$2:W102,W102))-1,""))</f>
        <v/>
      </c>
      <c r="Y102" s="81" t="str">
        <f t="shared" si="241"/>
        <v/>
      </c>
      <c r="Z102" s="81" t="str">
        <f>IF(Y102="","",IFERROR((RANK(Y102,$Y$2:$Y$2028,1)+COUNTIF($Y$2:Y102,Y102))-1,""))</f>
        <v/>
      </c>
      <c r="AA102" s="81" t="str">
        <f t="shared" si="242"/>
        <v/>
      </c>
      <c r="AB102" s="81" t="str">
        <f>IF(AA102="","",IFERROR((RANK(AA102,$AA$2:$AA$2028,1)+COUNTIF($AA$2:AA102,AA102))-1,""))</f>
        <v/>
      </c>
      <c r="AC102" s="81" t="str">
        <f t="shared" si="243"/>
        <v/>
      </c>
      <c r="AD102" s="81" t="str">
        <f>IF(AC102="","",IFERROR((RANK(AC102,$AC$2:$AC$2028,1)+COUNTIF($AC$2:AC102,AC102))-1,""))</f>
        <v/>
      </c>
      <c r="AE102" s="144" t="str">
        <f t="shared" si="235"/>
        <v/>
      </c>
      <c r="AF102" s="144" t="str">
        <f>IF(AE102="","",SUM($AE$2:AE102))</f>
        <v/>
      </c>
    </row>
    <row r="103" spans="1:32" x14ac:dyDescent="0.35">
      <c r="A103" s="99"/>
      <c r="B103" s="100"/>
      <c r="C103" s="99"/>
      <c r="D103" s="101"/>
      <c r="E103" s="100"/>
      <c r="F103" s="108"/>
      <c r="G103" s="119"/>
      <c r="H103" s="106"/>
      <c r="I103" s="99"/>
      <c r="J103" s="99"/>
      <c r="K103" s="103"/>
      <c r="L103" s="104"/>
      <c r="M103" s="120"/>
      <c r="N103" s="81" t="str">
        <f t="shared" si="233"/>
        <v/>
      </c>
      <c r="O103" s="82" t="str">
        <f t="shared" si="236"/>
        <v/>
      </c>
      <c r="P103" s="81" t="str">
        <f t="shared" si="234"/>
        <v/>
      </c>
      <c r="Q103" s="81" t="str">
        <f t="shared" si="237"/>
        <v/>
      </c>
      <c r="R103" s="83" t="str">
        <f t="shared" ca="1" si="238"/>
        <v/>
      </c>
      <c r="S103" s="81" t="str">
        <f t="shared" ca="1" si="239"/>
        <v/>
      </c>
      <c r="T103" s="81" t="str">
        <f ca="1">IF(S103=Dashboard!$D$12,S103,"")</f>
        <v/>
      </c>
      <c r="U103" s="81" t="str">
        <f t="shared" ca="1" si="240"/>
        <v/>
      </c>
      <c r="V103" s="83" t="str">
        <f ca="1">IF(U103="","",IFERROR((RANK(U103,$U$2:$U$2028,1)+COUNTIF($U$2:U103,U103))-1,""))</f>
        <v/>
      </c>
      <c r="W103" s="81" t="str">
        <f t="shared" si="244"/>
        <v/>
      </c>
      <c r="X103" s="81" t="str">
        <f>IF(W103="","",IFERROR((RANK(W103,$W$2:$W$2028,1)+COUNTIF($W$2:W103,W103))-1,""))</f>
        <v/>
      </c>
      <c r="Y103" s="81" t="str">
        <f t="shared" si="241"/>
        <v/>
      </c>
      <c r="Z103" s="81" t="str">
        <f>IF(Y103="","",IFERROR((RANK(Y103,$Y$2:$Y$2028,1)+COUNTIF($Y$2:Y103,Y103))-1,""))</f>
        <v/>
      </c>
      <c r="AA103" s="81" t="str">
        <f t="shared" si="242"/>
        <v/>
      </c>
      <c r="AB103" s="81" t="str">
        <f>IF(AA103="","",IFERROR((RANK(AA103,$AA$2:$AA$2028,1)+COUNTIF($AA$2:AA103,AA103))-1,""))</f>
        <v/>
      </c>
      <c r="AC103" s="81" t="str">
        <f t="shared" si="243"/>
        <v/>
      </c>
      <c r="AD103" s="81" t="str">
        <f>IF(AC103="","",IFERROR((RANK(AC103,$AC$2:$AC$2028,1)+COUNTIF($AC$2:AC103,AC103))-1,""))</f>
        <v/>
      </c>
      <c r="AE103" s="144" t="str">
        <f t="shared" si="235"/>
        <v/>
      </c>
      <c r="AF103" s="144" t="str">
        <f>IF(AE103="","",SUM($AE$2:AE103))</f>
        <v/>
      </c>
    </row>
    <row r="104" spans="1:32" x14ac:dyDescent="0.35">
      <c r="A104" s="99"/>
      <c r="B104" s="100"/>
      <c r="C104" s="99"/>
      <c r="D104" s="101"/>
      <c r="E104" s="100"/>
      <c r="F104" s="106"/>
      <c r="G104" s="119"/>
      <c r="H104" s="106"/>
      <c r="I104" s="99"/>
      <c r="J104" s="99"/>
      <c r="K104" s="103"/>
      <c r="L104" s="107"/>
      <c r="M104" s="120"/>
      <c r="N104" s="81" t="str">
        <f t="shared" si="233"/>
        <v/>
      </c>
      <c r="O104" s="82" t="str">
        <f t="shared" si="236"/>
        <v/>
      </c>
      <c r="P104" s="81" t="str">
        <f t="shared" si="234"/>
        <v/>
      </c>
      <c r="Q104" s="81" t="str">
        <f t="shared" si="237"/>
        <v/>
      </c>
      <c r="R104" s="83" t="str">
        <f t="shared" ca="1" si="238"/>
        <v/>
      </c>
      <c r="S104" s="81" t="str">
        <f t="shared" ca="1" si="239"/>
        <v/>
      </c>
      <c r="T104" s="81" t="str">
        <f ca="1">IF(S104=Dashboard!$D$12,S104,"")</f>
        <v/>
      </c>
      <c r="U104" s="81" t="str">
        <f t="shared" ca="1" si="240"/>
        <v/>
      </c>
      <c r="V104" s="83" t="str">
        <f ca="1">IF(U104="","",IFERROR((RANK(U104,$U$2:$U$2028,1)+COUNTIF($U$2:U104,U104))-1,""))</f>
        <v/>
      </c>
      <c r="W104" s="81" t="str">
        <f t="shared" si="244"/>
        <v/>
      </c>
      <c r="X104" s="81" t="str">
        <f>IF(W104="","",IFERROR((RANK(W104,$W$2:$W$2028,1)+COUNTIF($W$2:W104,W104))-1,""))</f>
        <v/>
      </c>
      <c r="Y104" s="81" t="str">
        <f t="shared" si="241"/>
        <v/>
      </c>
      <c r="Z104" s="81" t="str">
        <f>IF(Y104="","",IFERROR((RANK(Y104,$Y$2:$Y$2028,1)+COUNTIF($Y$2:Y104,Y104))-1,""))</f>
        <v/>
      </c>
      <c r="AA104" s="81" t="str">
        <f t="shared" si="242"/>
        <v/>
      </c>
      <c r="AB104" s="81" t="str">
        <f>IF(AA104="","",IFERROR((RANK(AA104,$AA$2:$AA$2028,1)+COUNTIF($AA$2:AA104,AA104))-1,""))</f>
        <v/>
      </c>
      <c r="AC104" s="81" t="str">
        <f t="shared" si="243"/>
        <v/>
      </c>
      <c r="AD104" s="81" t="str">
        <f>IF(AC104="","",IFERROR((RANK(AC104,$AC$2:$AC$2028,1)+COUNTIF($AC$2:AC104,AC104))-1,""))</f>
        <v/>
      </c>
      <c r="AE104" s="144" t="str">
        <f t="shared" si="235"/>
        <v/>
      </c>
      <c r="AF104" s="144" t="str">
        <f>IF(AE104="","",SUM($AE$2:AE104))</f>
        <v/>
      </c>
    </row>
    <row r="105" spans="1:32" x14ac:dyDescent="0.35">
      <c r="A105" s="99"/>
      <c r="B105" s="99"/>
      <c r="C105" s="99"/>
      <c r="D105" s="99"/>
      <c r="E105" s="99"/>
      <c r="F105" s="106"/>
      <c r="G105" s="99"/>
      <c r="H105" s="121"/>
      <c r="I105" s="99"/>
      <c r="J105" s="99"/>
      <c r="K105" s="103"/>
      <c r="L105" s="107"/>
      <c r="M105" s="120"/>
      <c r="N105" s="81" t="str">
        <f t="shared" si="233"/>
        <v/>
      </c>
      <c r="O105" s="82" t="str">
        <f t="shared" si="236"/>
        <v/>
      </c>
      <c r="P105" s="81" t="str">
        <f t="shared" si="234"/>
        <v/>
      </c>
      <c r="Q105" s="81" t="str">
        <f t="shared" si="237"/>
        <v/>
      </c>
      <c r="R105" s="83" t="str">
        <f t="shared" ca="1" si="238"/>
        <v/>
      </c>
      <c r="S105" s="81" t="str">
        <f t="shared" ca="1" si="239"/>
        <v/>
      </c>
      <c r="T105" s="81" t="str">
        <f ca="1">IF(S105=Dashboard!$D$12,S105,"")</f>
        <v/>
      </c>
      <c r="U105" s="81" t="str">
        <f t="shared" ca="1" si="240"/>
        <v/>
      </c>
      <c r="V105" s="83" t="str">
        <f ca="1">IF(U105="","",IFERROR((RANK(U105,$U$2:$U$2028,1)+COUNTIF($U$2:U105,U105))-1,""))</f>
        <v/>
      </c>
      <c r="W105" s="81" t="str">
        <f t="shared" si="244"/>
        <v/>
      </c>
      <c r="X105" s="81" t="str">
        <f>IF(W105="","",IFERROR((RANK(W105,$W$2:$W$2028,1)+COUNTIF($W$2:W105,W105))-1,""))</f>
        <v/>
      </c>
      <c r="Y105" s="81" t="str">
        <f t="shared" si="241"/>
        <v/>
      </c>
      <c r="Z105" s="81" t="str">
        <f>IF(Y105="","",IFERROR((RANK(Y105,$Y$2:$Y$2028,1)+COUNTIF($Y$2:Y105,Y105))-1,""))</f>
        <v/>
      </c>
      <c r="AA105" s="81" t="str">
        <f t="shared" si="242"/>
        <v/>
      </c>
      <c r="AB105" s="81" t="str">
        <f>IF(AA105="","",IFERROR((RANK(AA105,$AA$2:$AA$2028,1)+COUNTIF($AA$2:AA105,AA105))-1,""))</f>
        <v/>
      </c>
      <c r="AC105" s="81" t="str">
        <f t="shared" si="243"/>
        <v/>
      </c>
      <c r="AD105" s="81" t="str">
        <f>IF(AC105="","",IFERROR((RANK(AC105,$AC$2:$AC$2028,1)+COUNTIF($AC$2:AC105,AC105))-1,""))</f>
        <v/>
      </c>
      <c r="AE105" s="144" t="str">
        <f t="shared" si="235"/>
        <v/>
      </c>
      <c r="AF105" s="144" t="str">
        <f>IF(AE105="","",SUM($AE$2:AE105))</f>
        <v/>
      </c>
    </row>
    <row r="106" spans="1:32" x14ac:dyDescent="0.35">
      <c r="A106" s="99"/>
      <c r="B106" s="100"/>
      <c r="C106" s="99"/>
      <c r="D106" s="101"/>
      <c r="E106" s="100"/>
      <c r="F106" s="106"/>
      <c r="G106" s="99"/>
      <c r="H106" s="121"/>
      <c r="I106" s="119"/>
      <c r="J106" s="99"/>
      <c r="K106" s="103"/>
      <c r="L106" s="107"/>
      <c r="M106" s="120"/>
      <c r="N106" s="81" t="str">
        <f t="shared" si="233"/>
        <v/>
      </c>
      <c r="O106" s="82" t="str">
        <f t="shared" si="236"/>
        <v/>
      </c>
      <c r="P106" s="81" t="str">
        <f t="shared" si="234"/>
        <v/>
      </c>
      <c r="Q106" s="81" t="str">
        <f t="shared" si="237"/>
        <v/>
      </c>
      <c r="R106" s="83" t="str">
        <f t="shared" ca="1" si="238"/>
        <v/>
      </c>
      <c r="S106" s="81" t="str">
        <f t="shared" ca="1" si="239"/>
        <v/>
      </c>
      <c r="T106" s="81" t="str">
        <f ca="1">IF(S106=Dashboard!$D$12,S106,"")</f>
        <v/>
      </c>
      <c r="U106" s="81" t="str">
        <f t="shared" ca="1" si="240"/>
        <v/>
      </c>
      <c r="V106" s="83" t="str">
        <f ca="1">IF(U106="","",IFERROR((RANK(U106,$U$2:$U$2028,1)+COUNTIF($U$2:U106,U106))-1,""))</f>
        <v/>
      </c>
      <c r="W106" s="81" t="str">
        <f t="shared" si="244"/>
        <v/>
      </c>
      <c r="X106" s="81" t="str">
        <f>IF(W106="","",IFERROR((RANK(W106,$W$2:$W$2028,1)+COUNTIF($W$2:W106,W106))-1,""))</f>
        <v/>
      </c>
      <c r="Y106" s="81" t="str">
        <f t="shared" si="241"/>
        <v/>
      </c>
      <c r="Z106" s="81" t="str">
        <f>IF(Y106="","",IFERROR((RANK(Y106,$Y$2:$Y$2028,1)+COUNTIF($Y$2:Y106,Y106))-1,""))</f>
        <v/>
      </c>
      <c r="AA106" s="81" t="str">
        <f t="shared" si="242"/>
        <v/>
      </c>
      <c r="AB106" s="81" t="str">
        <f>IF(AA106="","",IFERROR((RANK(AA106,$AA$2:$AA$2028,1)+COUNTIF($AA$2:AA106,AA106))-1,""))</f>
        <v/>
      </c>
      <c r="AC106" s="81" t="str">
        <f t="shared" si="243"/>
        <v/>
      </c>
      <c r="AD106" s="81" t="str">
        <f>IF(AC106="","",IFERROR((RANK(AC106,$AC$2:$AC$2028,1)+COUNTIF($AC$2:AC106,AC106))-1,""))</f>
        <v/>
      </c>
      <c r="AE106" s="144" t="str">
        <f t="shared" si="235"/>
        <v/>
      </c>
      <c r="AF106" s="144" t="str">
        <f>IF(AE106="","",SUM($AE$2:AE106))</f>
        <v/>
      </c>
    </row>
    <row r="107" spans="1:32" x14ac:dyDescent="0.35">
      <c r="A107" s="99"/>
      <c r="B107" s="99"/>
      <c r="C107" s="99"/>
      <c r="D107" s="99"/>
      <c r="E107" s="99"/>
      <c r="F107" s="106"/>
      <c r="G107" s="99"/>
      <c r="H107" s="121"/>
      <c r="I107" s="99"/>
      <c r="J107" s="99"/>
      <c r="K107" s="103"/>
      <c r="L107" s="107"/>
      <c r="M107" s="105"/>
      <c r="N107" s="81" t="str">
        <f t="shared" si="233"/>
        <v/>
      </c>
      <c r="O107" s="82" t="str">
        <f t="shared" si="236"/>
        <v/>
      </c>
      <c r="P107" s="81" t="str">
        <f t="shared" si="234"/>
        <v/>
      </c>
      <c r="Q107" s="81" t="str">
        <f t="shared" si="237"/>
        <v/>
      </c>
      <c r="R107" s="83" t="str">
        <f t="shared" ca="1" si="238"/>
        <v/>
      </c>
      <c r="S107" s="81" t="str">
        <f t="shared" ca="1" si="239"/>
        <v/>
      </c>
      <c r="T107" s="81" t="str">
        <f ca="1">IF(S107=Dashboard!$D$12,S107,"")</f>
        <v/>
      </c>
      <c r="U107" s="81" t="str">
        <f t="shared" ca="1" si="240"/>
        <v/>
      </c>
      <c r="V107" s="83" t="str">
        <f ca="1">IF(U107="","",IFERROR((RANK(U107,$U$2:$U$2028,1)+COUNTIF($U$2:U107,U107))-1,""))</f>
        <v/>
      </c>
      <c r="W107" s="81" t="str">
        <f t="shared" si="244"/>
        <v/>
      </c>
      <c r="X107" s="81" t="str">
        <f>IF(W107="","",IFERROR((RANK(W107,$W$2:$W$2028,1)+COUNTIF($W$2:W107,W107))-1,""))</f>
        <v/>
      </c>
      <c r="Y107" s="81" t="str">
        <f t="shared" si="241"/>
        <v/>
      </c>
      <c r="Z107" s="81" t="str">
        <f>IF(Y107="","",IFERROR((RANK(Y107,$Y$2:$Y$2028,1)+COUNTIF($Y$2:Y107,Y107))-1,""))</f>
        <v/>
      </c>
      <c r="AA107" s="81" t="str">
        <f t="shared" si="242"/>
        <v/>
      </c>
      <c r="AB107" s="81" t="str">
        <f>IF(AA107="","",IFERROR((RANK(AA107,$AA$2:$AA$2028,1)+COUNTIF($AA$2:AA107,AA107))-1,""))</f>
        <v/>
      </c>
      <c r="AC107" s="81" t="str">
        <f t="shared" si="243"/>
        <v/>
      </c>
      <c r="AD107" s="81" t="str">
        <f>IF(AC107="","",IFERROR((RANK(AC107,$AC$2:$AC$2028,1)+COUNTIF($AC$2:AC107,AC107))-1,""))</f>
        <v/>
      </c>
      <c r="AE107" s="144" t="str">
        <f t="shared" si="235"/>
        <v/>
      </c>
      <c r="AF107" s="144" t="str">
        <f>IF(AE107="","",SUM($AE$2:AE107))</f>
        <v/>
      </c>
    </row>
    <row r="108" spans="1:32" x14ac:dyDescent="0.35">
      <c r="A108" s="99"/>
      <c r="B108" s="100"/>
      <c r="C108" s="99"/>
      <c r="D108" s="101"/>
      <c r="E108" s="100"/>
      <c r="F108" s="106"/>
      <c r="G108" s="99"/>
      <c r="H108" s="121"/>
      <c r="I108" s="119"/>
      <c r="J108" s="99"/>
      <c r="K108" s="103"/>
      <c r="L108" s="107"/>
      <c r="M108" s="105"/>
      <c r="N108" s="81" t="str">
        <f t="shared" si="233"/>
        <v/>
      </c>
      <c r="O108" s="82" t="str">
        <f t="shared" si="236"/>
        <v/>
      </c>
      <c r="P108" s="81" t="str">
        <f t="shared" si="234"/>
        <v/>
      </c>
      <c r="Q108" s="81" t="str">
        <f t="shared" si="237"/>
        <v/>
      </c>
      <c r="R108" s="83" t="str">
        <f t="shared" ca="1" si="238"/>
        <v/>
      </c>
      <c r="S108" s="81" t="str">
        <f t="shared" ca="1" si="239"/>
        <v/>
      </c>
      <c r="T108" s="81" t="str">
        <f ca="1">IF(S108=Dashboard!$D$12,S108,"")</f>
        <v/>
      </c>
      <c r="U108" s="81" t="str">
        <f t="shared" ca="1" si="240"/>
        <v/>
      </c>
      <c r="V108" s="83" t="str">
        <f ca="1">IF(U108="","",IFERROR((RANK(U108,$U$2:$U$2028,1)+COUNTIF($U$2:U108,U108))-1,""))</f>
        <v/>
      </c>
      <c r="W108" s="81" t="str">
        <f t="shared" si="244"/>
        <v/>
      </c>
      <c r="X108" s="81" t="str">
        <f>IF(W108="","",IFERROR((RANK(W108,$W$2:$W$2028,1)+COUNTIF($W$2:W108,W108))-1,""))</f>
        <v/>
      </c>
      <c r="Y108" s="81" t="str">
        <f t="shared" si="241"/>
        <v/>
      </c>
      <c r="Z108" s="81" t="str">
        <f>IF(Y108="","",IFERROR((RANK(Y108,$Y$2:$Y$2028,1)+COUNTIF($Y$2:Y108,Y108))-1,""))</f>
        <v/>
      </c>
      <c r="AA108" s="81" t="str">
        <f t="shared" si="242"/>
        <v/>
      </c>
      <c r="AB108" s="81" t="str">
        <f>IF(AA108="","",IFERROR((RANK(AA108,$AA$2:$AA$2028,1)+COUNTIF($AA$2:AA108,AA108))-1,""))</f>
        <v/>
      </c>
      <c r="AC108" s="81" t="str">
        <f t="shared" si="243"/>
        <v/>
      </c>
      <c r="AD108" s="81" t="str">
        <f>IF(AC108="","",IFERROR((RANK(AC108,$AC$2:$AC$2028,1)+COUNTIF($AC$2:AC108,AC108))-1,""))</f>
        <v/>
      </c>
      <c r="AE108" s="144" t="str">
        <f t="shared" si="235"/>
        <v/>
      </c>
      <c r="AF108" s="144" t="str">
        <f>IF(AE108="","",SUM($AE$2:AE108))</f>
        <v/>
      </c>
    </row>
    <row r="109" spans="1:32" x14ac:dyDescent="0.35">
      <c r="A109" s="99"/>
      <c r="B109" s="99"/>
      <c r="C109" s="99"/>
      <c r="D109" s="99"/>
      <c r="E109" s="99"/>
      <c r="F109" s="106"/>
      <c r="G109" s="99"/>
      <c r="H109" s="121"/>
      <c r="I109" s="99"/>
      <c r="J109" s="99"/>
      <c r="K109" s="103"/>
      <c r="L109" s="107"/>
      <c r="M109" s="120"/>
      <c r="N109" s="81" t="str">
        <f t="shared" si="233"/>
        <v/>
      </c>
      <c r="O109" s="82" t="str">
        <f t="shared" si="236"/>
        <v/>
      </c>
      <c r="P109" s="81" t="str">
        <f t="shared" si="234"/>
        <v/>
      </c>
      <c r="Q109" s="81" t="str">
        <f t="shared" si="237"/>
        <v/>
      </c>
      <c r="R109" s="83" t="str">
        <f t="shared" ca="1" si="238"/>
        <v/>
      </c>
      <c r="S109" s="81" t="str">
        <f t="shared" ca="1" si="239"/>
        <v/>
      </c>
      <c r="T109" s="81" t="str">
        <f ca="1">IF(S109=Dashboard!$D$12,S109,"")</f>
        <v/>
      </c>
      <c r="U109" s="81" t="str">
        <f t="shared" ca="1" si="240"/>
        <v/>
      </c>
      <c r="V109" s="83" t="str">
        <f ca="1">IF(U109="","",IFERROR((RANK(U109,$U$2:$U$2028,1)+COUNTIF($U$2:U109,U109))-1,""))</f>
        <v/>
      </c>
      <c r="W109" s="81" t="str">
        <f t="shared" si="244"/>
        <v/>
      </c>
      <c r="X109" s="81" t="str">
        <f>IF(W109="","",IFERROR((RANK(W109,$W$2:$W$2028,1)+COUNTIF($W$2:W109,W109))-1,""))</f>
        <v/>
      </c>
      <c r="Y109" s="81" t="str">
        <f t="shared" si="241"/>
        <v/>
      </c>
      <c r="Z109" s="81" t="str">
        <f>IF(Y109="","",IFERROR((RANK(Y109,$Y$2:$Y$2028,1)+COUNTIF($Y$2:Y109,Y109))-1,""))</f>
        <v/>
      </c>
      <c r="AA109" s="81" t="str">
        <f t="shared" si="242"/>
        <v/>
      </c>
      <c r="AB109" s="81" t="str">
        <f>IF(AA109="","",IFERROR((RANK(AA109,$AA$2:$AA$2028,1)+COUNTIF($AA$2:AA109,AA109))-1,""))</f>
        <v/>
      </c>
      <c r="AC109" s="81" t="str">
        <f t="shared" si="243"/>
        <v/>
      </c>
      <c r="AD109" s="81" t="str">
        <f>IF(AC109="","",IFERROR((RANK(AC109,$AC$2:$AC$2028,1)+COUNTIF($AC$2:AC109,AC109))-1,""))</f>
        <v/>
      </c>
      <c r="AE109" s="144" t="str">
        <f t="shared" si="235"/>
        <v/>
      </c>
      <c r="AF109" s="144" t="str">
        <f>IF(AE109="","",SUM($AE$2:AE109))</f>
        <v/>
      </c>
    </row>
    <row r="110" spans="1:32" x14ac:dyDescent="0.35">
      <c r="A110" s="99"/>
      <c r="B110" s="100"/>
      <c r="C110" s="99"/>
      <c r="D110" s="101"/>
      <c r="E110" s="100"/>
      <c r="F110" s="106"/>
      <c r="G110" s="99"/>
      <c r="H110" s="121"/>
      <c r="I110" s="119"/>
      <c r="J110" s="99"/>
      <c r="K110" s="103"/>
      <c r="L110" s="107"/>
      <c r="M110" s="120"/>
      <c r="N110" s="81" t="str">
        <f t="shared" si="233"/>
        <v/>
      </c>
      <c r="O110" s="82" t="str">
        <f t="shared" si="236"/>
        <v/>
      </c>
      <c r="P110" s="81" t="str">
        <f t="shared" si="234"/>
        <v/>
      </c>
      <c r="Q110" s="81" t="str">
        <f t="shared" si="237"/>
        <v/>
      </c>
      <c r="R110" s="83" t="str">
        <f t="shared" ca="1" si="238"/>
        <v/>
      </c>
      <c r="S110" s="81" t="str">
        <f t="shared" ca="1" si="239"/>
        <v/>
      </c>
      <c r="T110" s="81" t="str">
        <f ca="1">IF(S110=Dashboard!$D$12,S110,"")</f>
        <v/>
      </c>
      <c r="U110" s="81" t="str">
        <f t="shared" ca="1" si="240"/>
        <v/>
      </c>
      <c r="V110" s="83" t="str">
        <f ca="1">IF(U110="","",IFERROR((RANK(U110,$U$2:$U$2028,1)+COUNTIF($U$2:U110,U110))-1,""))</f>
        <v/>
      </c>
      <c r="W110" s="81" t="str">
        <f t="shared" si="244"/>
        <v/>
      </c>
      <c r="X110" s="81" t="str">
        <f>IF(W110="","",IFERROR((RANK(W110,$W$2:$W$2028,1)+COUNTIF($W$2:W110,W110))-1,""))</f>
        <v/>
      </c>
      <c r="Y110" s="81" t="str">
        <f t="shared" si="241"/>
        <v/>
      </c>
      <c r="Z110" s="81" t="str">
        <f>IF(Y110="","",IFERROR((RANK(Y110,$Y$2:$Y$2028,1)+COUNTIF($Y$2:Y110,Y110))-1,""))</f>
        <v/>
      </c>
      <c r="AA110" s="81" t="str">
        <f t="shared" si="242"/>
        <v/>
      </c>
      <c r="AB110" s="81" t="str">
        <f>IF(AA110="","",IFERROR((RANK(AA110,$AA$2:$AA$2028,1)+COUNTIF($AA$2:AA110,AA110))-1,""))</f>
        <v/>
      </c>
      <c r="AC110" s="81" t="str">
        <f t="shared" si="243"/>
        <v/>
      </c>
      <c r="AD110" s="81" t="str">
        <f>IF(AC110="","",IFERROR((RANK(AC110,$AC$2:$AC$2028,1)+COUNTIF($AC$2:AC110,AC110))-1,""))</f>
        <v/>
      </c>
      <c r="AE110" s="144" t="str">
        <f t="shared" si="235"/>
        <v/>
      </c>
      <c r="AF110" s="144" t="str">
        <f>IF(AE110="","",SUM($AE$2:AE110))</f>
        <v/>
      </c>
    </row>
    <row r="111" spans="1:32" x14ac:dyDescent="0.35">
      <c r="A111" s="99"/>
      <c r="B111" s="99"/>
      <c r="C111" s="99"/>
      <c r="D111" s="99"/>
      <c r="E111" s="99"/>
      <c r="F111" s="106"/>
      <c r="G111" s="99"/>
      <c r="H111" s="121"/>
      <c r="I111" s="99"/>
      <c r="J111" s="99"/>
      <c r="K111" s="103"/>
      <c r="L111" s="107"/>
      <c r="M111" s="120"/>
      <c r="N111" s="81" t="str">
        <f t="shared" si="233"/>
        <v/>
      </c>
      <c r="O111" s="82" t="str">
        <f t="shared" si="236"/>
        <v/>
      </c>
      <c r="P111" s="81" t="str">
        <f t="shared" si="234"/>
        <v/>
      </c>
      <c r="Q111" s="81" t="str">
        <f t="shared" si="237"/>
        <v/>
      </c>
      <c r="R111" s="83" t="str">
        <f t="shared" ca="1" si="238"/>
        <v/>
      </c>
      <c r="S111" s="81" t="str">
        <f t="shared" ca="1" si="239"/>
        <v/>
      </c>
      <c r="T111" s="81" t="str">
        <f ca="1">IF(S111=Dashboard!$D$12,S111,"")</f>
        <v/>
      </c>
      <c r="U111" s="81" t="str">
        <f t="shared" ca="1" si="240"/>
        <v/>
      </c>
      <c r="V111" s="83" t="str">
        <f ca="1">IF(U111="","",IFERROR((RANK(U111,$U$2:$U$2028,1)+COUNTIF($U$2:U111,U111))-1,""))</f>
        <v/>
      </c>
      <c r="W111" s="81" t="str">
        <f t="shared" si="244"/>
        <v/>
      </c>
      <c r="X111" s="81" t="str">
        <f>IF(W111="","",IFERROR((RANK(W111,$W$2:$W$2028,1)+COUNTIF($W$2:W111,W111))-1,""))</f>
        <v/>
      </c>
      <c r="Y111" s="81" t="str">
        <f t="shared" si="241"/>
        <v/>
      </c>
      <c r="Z111" s="81" t="str">
        <f>IF(Y111="","",IFERROR((RANK(Y111,$Y$2:$Y$2028,1)+COUNTIF($Y$2:Y111,Y111))-1,""))</f>
        <v/>
      </c>
      <c r="AA111" s="81" t="str">
        <f t="shared" si="242"/>
        <v/>
      </c>
      <c r="AB111" s="81" t="str">
        <f>IF(AA111="","",IFERROR((RANK(AA111,$AA$2:$AA$2028,1)+COUNTIF($AA$2:AA111,AA111))-1,""))</f>
        <v/>
      </c>
      <c r="AC111" s="81" t="str">
        <f t="shared" si="243"/>
        <v/>
      </c>
      <c r="AD111" s="81" t="str">
        <f>IF(AC111="","",IFERROR((RANK(AC111,$AC$2:$AC$2028,1)+COUNTIF($AC$2:AC111,AC111))-1,""))</f>
        <v/>
      </c>
      <c r="AE111" s="144" t="str">
        <f t="shared" si="235"/>
        <v/>
      </c>
      <c r="AF111" s="144" t="str">
        <f>IF(AE111="","",SUM($AE$2:AE111))</f>
        <v/>
      </c>
    </row>
    <row r="112" spans="1:32" x14ac:dyDescent="0.35">
      <c r="A112" s="99"/>
      <c r="B112" s="100"/>
      <c r="C112" s="99"/>
      <c r="D112" s="101"/>
      <c r="E112" s="100"/>
      <c r="F112" s="106"/>
      <c r="G112" s="99"/>
      <c r="H112" s="121"/>
      <c r="I112" s="119"/>
      <c r="J112" s="99"/>
      <c r="K112" s="103"/>
      <c r="L112" s="107"/>
      <c r="M112" s="120"/>
      <c r="N112" s="81" t="str">
        <f t="shared" si="233"/>
        <v/>
      </c>
      <c r="O112" s="82" t="str">
        <f t="shared" si="236"/>
        <v/>
      </c>
      <c r="P112" s="81" t="str">
        <f t="shared" si="234"/>
        <v/>
      </c>
      <c r="Q112" s="81" t="str">
        <f t="shared" si="237"/>
        <v/>
      </c>
      <c r="R112" s="83" t="str">
        <f t="shared" ca="1" si="238"/>
        <v/>
      </c>
      <c r="S112" s="81" t="str">
        <f t="shared" ca="1" si="239"/>
        <v/>
      </c>
      <c r="T112" s="81" t="str">
        <f ca="1">IF(S112=Dashboard!$D$12,S112,"")</f>
        <v/>
      </c>
      <c r="U112" s="81" t="str">
        <f t="shared" ca="1" si="240"/>
        <v/>
      </c>
      <c r="V112" s="83" t="str">
        <f ca="1">IF(U112="","",IFERROR((RANK(U112,$U$2:$U$2028,1)+COUNTIF($U$2:U112,U112))-1,""))</f>
        <v/>
      </c>
      <c r="W112" s="81" t="str">
        <f t="shared" si="244"/>
        <v/>
      </c>
      <c r="X112" s="81" t="str">
        <f>IF(W112="","",IFERROR((RANK(W112,$W$2:$W$2028,1)+COUNTIF($W$2:W112,W112))-1,""))</f>
        <v/>
      </c>
      <c r="Y112" s="81" t="str">
        <f t="shared" si="241"/>
        <v/>
      </c>
      <c r="Z112" s="81" t="str">
        <f>IF(Y112="","",IFERROR((RANK(Y112,$Y$2:$Y$2028,1)+COUNTIF($Y$2:Y112,Y112))-1,""))</f>
        <v/>
      </c>
      <c r="AA112" s="81" t="str">
        <f t="shared" si="242"/>
        <v/>
      </c>
      <c r="AB112" s="81" t="str">
        <f>IF(AA112="","",IFERROR((RANK(AA112,$AA$2:$AA$2028,1)+COUNTIF($AA$2:AA112,AA112))-1,""))</f>
        <v/>
      </c>
      <c r="AC112" s="81" t="str">
        <f t="shared" si="243"/>
        <v/>
      </c>
      <c r="AD112" s="81" t="str">
        <f>IF(AC112="","",IFERROR((RANK(AC112,$AC$2:$AC$2028,1)+COUNTIF($AC$2:AC112,AC112))-1,""))</f>
        <v/>
      </c>
      <c r="AE112" s="144" t="str">
        <f t="shared" si="235"/>
        <v/>
      </c>
      <c r="AF112" s="144" t="str">
        <f>IF(AE112="","",SUM($AE$2:AE112))</f>
        <v/>
      </c>
    </row>
    <row r="113" spans="1:32" x14ac:dyDescent="0.35">
      <c r="A113" s="99"/>
      <c r="B113" s="99"/>
      <c r="C113" s="99"/>
      <c r="D113" s="99"/>
      <c r="E113" s="99"/>
      <c r="F113" s="106"/>
      <c r="G113" s="99"/>
      <c r="H113" s="121"/>
      <c r="I113" s="99"/>
      <c r="J113" s="99"/>
      <c r="K113" s="103"/>
      <c r="L113" s="107"/>
      <c r="M113" s="120"/>
      <c r="N113" s="81" t="str">
        <f t="shared" si="233"/>
        <v/>
      </c>
      <c r="O113" s="82" t="str">
        <f t="shared" si="236"/>
        <v/>
      </c>
      <c r="P113" s="81" t="str">
        <f t="shared" si="234"/>
        <v/>
      </c>
      <c r="Q113" s="81" t="str">
        <f t="shared" si="237"/>
        <v/>
      </c>
      <c r="R113" s="83" t="str">
        <f t="shared" ca="1" si="238"/>
        <v/>
      </c>
      <c r="S113" s="81" t="str">
        <f t="shared" ca="1" si="239"/>
        <v/>
      </c>
      <c r="T113" s="81" t="str">
        <f ca="1">IF(S113=Dashboard!$D$12,S113,"")</f>
        <v/>
      </c>
      <c r="U113" s="81" t="str">
        <f t="shared" ca="1" si="240"/>
        <v/>
      </c>
      <c r="V113" s="83" t="str">
        <f ca="1">IF(U113="","",IFERROR((RANK(U113,$U$2:$U$2028,1)+COUNTIF($U$2:U113,U113))-1,""))</f>
        <v/>
      </c>
      <c r="W113" s="81" t="str">
        <f t="shared" si="244"/>
        <v/>
      </c>
      <c r="X113" s="81" t="str">
        <f>IF(W113="","",IFERROR((RANK(W113,$W$2:$W$2028,1)+COUNTIF($W$2:W113,W113))-1,""))</f>
        <v/>
      </c>
      <c r="Y113" s="81" t="str">
        <f t="shared" si="241"/>
        <v/>
      </c>
      <c r="Z113" s="81" t="str">
        <f>IF(Y113="","",IFERROR((RANK(Y113,$Y$2:$Y$2028,1)+COUNTIF($Y$2:Y113,Y113))-1,""))</f>
        <v/>
      </c>
      <c r="AA113" s="81" t="str">
        <f t="shared" si="242"/>
        <v/>
      </c>
      <c r="AB113" s="81" t="str">
        <f>IF(AA113="","",IFERROR((RANK(AA113,$AA$2:$AA$2028,1)+COUNTIF($AA$2:AA113,AA113))-1,""))</f>
        <v/>
      </c>
      <c r="AC113" s="81" t="str">
        <f t="shared" si="243"/>
        <v/>
      </c>
      <c r="AD113" s="81" t="str">
        <f>IF(AC113="","",IFERROR((RANK(AC113,$AC$2:$AC$2028,1)+COUNTIF($AC$2:AC113,AC113))-1,""))</f>
        <v/>
      </c>
      <c r="AE113" s="144" t="str">
        <f t="shared" si="235"/>
        <v/>
      </c>
      <c r="AF113" s="144" t="str">
        <f>IF(AE113="","",SUM($AE$2:AE113))</f>
        <v/>
      </c>
    </row>
    <row r="114" spans="1:32" x14ac:dyDescent="0.35">
      <c r="A114" s="99"/>
      <c r="B114" s="100"/>
      <c r="C114" s="99"/>
      <c r="D114" s="101"/>
      <c r="E114" s="100"/>
      <c r="F114" s="106"/>
      <c r="G114" s="99"/>
      <c r="H114" s="106"/>
      <c r="I114" s="106"/>
      <c r="J114" s="99"/>
      <c r="K114" s="103"/>
      <c r="L114" s="107"/>
      <c r="M114" s="120"/>
      <c r="N114" s="81" t="str">
        <f t="shared" si="233"/>
        <v/>
      </c>
      <c r="O114" s="82" t="str">
        <f t="shared" si="236"/>
        <v/>
      </c>
      <c r="P114" s="81" t="str">
        <f t="shared" si="234"/>
        <v/>
      </c>
      <c r="Q114" s="81" t="str">
        <f t="shared" si="237"/>
        <v/>
      </c>
      <c r="R114" s="83" t="str">
        <f t="shared" ca="1" si="238"/>
        <v/>
      </c>
      <c r="S114" s="81" t="str">
        <f t="shared" ca="1" si="239"/>
        <v/>
      </c>
      <c r="T114" s="81" t="str">
        <f ca="1">IF(S114=Dashboard!$D$12,S114,"")</f>
        <v/>
      </c>
      <c r="U114" s="81" t="str">
        <f t="shared" ca="1" si="240"/>
        <v/>
      </c>
      <c r="V114" s="83" t="str">
        <f ca="1">IF(U114="","",IFERROR((RANK(U114,$U$2:$U$2028,1)+COUNTIF($U$2:U114,U114))-1,""))</f>
        <v/>
      </c>
      <c r="W114" s="81" t="str">
        <f t="shared" si="244"/>
        <v/>
      </c>
      <c r="X114" s="81" t="str">
        <f>IF(W114="","",IFERROR((RANK(W114,$W$2:$W$2028,1)+COUNTIF($W$2:W114,W114))-1,""))</f>
        <v/>
      </c>
      <c r="Y114" s="81" t="str">
        <f t="shared" si="241"/>
        <v/>
      </c>
      <c r="Z114" s="81" t="str">
        <f>IF(Y114="","",IFERROR((RANK(Y114,$Y$2:$Y$2028,1)+COUNTIF($Y$2:Y114,Y114))-1,""))</f>
        <v/>
      </c>
      <c r="AA114" s="81" t="str">
        <f t="shared" si="242"/>
        <v/>
      </c>
      <c r="AB114" s="81" t="str">
        <f>IF(AA114="","",IFERROR((RANK(AA114,$AA$2:$AA$2028,1)+COUNTIF($AA$2:AA114,AA114))-1,""))</f>
        <v/>
      </c>
      <c r="AC114" s="81" t="str">
        <f t="shared" si="243"/>
        <v/>
      </c>
      <c r="AD114" s="81" t="str">
        <f>IF(AC114="","",IFERROR((RANK(AC114,$AC$2:$AC$2028,1)+COUNTIF($AC$2:AC114,AC114))-1,""))</f>
        <v/>
      </c>
      <c r="AE114" s="144" t="str">
        <f t="shared" si="235"/>
        <v/>
      </c>
      <c r="AF114" s="144" t="str">
        <f>IF(AE114="","",SUM($AE$2:AE114))</f>
        <v/>
      </c>
    </row>
    <row r="115" spans="1:32" x14ac:dyDescent="0.35">
      <c r="A115" s="99"/>
      <c r="B115" s="99"/>
      <c r="C115" s="99"/>
      <c r="D115" s="99"/>
      <c r="E115" s="99"/>
      <c r="F115" s="106"/>
      <c r="G115" s="99"/>
      <c r="H115" s="106"/>
      <c r="I115" s="99"/>
      <c r="J115" s="99"/>
      <c r="K115" s="103"/>
      <c r="L115" s="107"/>
      <c r="M115" s="120"/>
      <c r="N115" s="81" t="str">
        <f t="shared" si="233"/>
        <v/>
      </c>
      <c r="O115" s="82" t="str">
        <f t="shared" si="236"/>
        <v/>
      </c>
      <c r="P115" s="81" t="str">
        <f t="shared" si="234"/>
        <v/>
      </c>
      <c r="Q115" s="81" t="str">
        <f t="shared" si="237"/>
        <v/>
      </c>
      <c r="R115" s="83" t="str">
        <f t="shared" ca="1" si="238"/>
        <v/>
      </c>
      <c r="S115" s="81" t="str">
        <f t="shared" ca="1" si="239"/>
        <v/>
      </c>
      <c r="T115" s="81" t="str">
        <f ca="1">IF(S115=Dashboard!$D$12,S115,"")</f>
        <v/>
      </c>
      <c r="U115" s="81" t="str">
        <f t="shared" ca="1" si="240"/>
        <v/>
      </c>
      <c r="V115" s="83" t="str">
        <f ca="1">IF(U115="","",IFERROR((RANK(U115,$U$2:$U$2028,1)+COUNTIF($U$2:U115,U115))-1,""))</f>
        <v/>
      </c>
      <c r="W115" s="81" t="str">
        <f t="shared" si="244"/>
        <v/>
      </c>
      <c r="X115" s="81" t="str">
        <f>IF(W115="","",IFERROR((RANK(W115,$W$2:$W$2028,1)+COUNTIF($W$2:W115,W115))-1,""))</f>
        <v/>
      </c>
      <c r="Y115" s="81" t="str">
        <f t="shared" si="241"/>
        <v/>
      </c>
      <c r="Z115" s="81" t="str">
        <f>IF(Y115="","",IFERROR((RANK(Y115,$Y$2:$Y$2028,1)+COUNTIF($Y$2:Y115,Y115))-1,""))</f>
        <v/>
      </c>
      <c r="AA115" s="81" t="str">
        <f t="shared" si="242"/>
        <v/>
      </c>
      <c r="AB115" s="81" t="str">
        <f>IF(AA115="","",IFERROR((RANK(AA115,$AA$2:$AA$2028,1)+COUNTIF($AA$2:AA115,AA115))-1,""))</f>
        <v/>
      </c>
      <c r="AC115" s="81" t="str">
        <f t="shared" si="243"/>
        <v/>
      </c>
      <c r="AD115" s="81" t="str">
        <f>IF(AC115="","",IFERROR((RANK(AC115,$AC$2:$AC$2028,1)+COUNTIF($AC$2:AC115,AC115))-1,""))</f>
        <v/>
      </c>
      <c r="AE115" s="144" t="str">
        <f t="shared" si="235"/>
        <v/>
      </c>
      <c r="AF115" s="144" t="str">
        <f>IF(AE115="","",SUM($AE$2:AE115))</f>
        <v/>
      </c>
    </row>
    <row r="116" spans="1:32" x14ac:dyDescent="0.35">
      <c r="A116" s="99"/>
      <c r="B116" s="100"/>
      <c r="C116" s="99"/>
      <c r="D116" s="101"/>
      <c r="E116" s="100"/>
      <c r="F116" s="106"/>
      <c r="G116" s="99"/>
      <c r="H116" s="106"/>
      <c r="I116" s="99"/>
      <c r="J116" s="99"/>
      <c r="K116" s="103"/>
      <c r="L116" s="107"/>
      <c r="M116" s="120"/>
      <c r="N116" s="81" t="str">
        <f t="shared" si="233"/>
        <v/>
      </c>
      <c r="O116" s="82" t="str">
        <f t="shared" si="236"/>
        <v/>
      </c>
      <c r="P116" s="81" t="str">
        <f t="shared" si="234"/>
        <v/>
      </c>
      <c r="Q116" s="81" t="str">
        <f t="shared" si="237"/>
        <v/>
      </c>
      <c r="R116" s="83" t="str">
        <f t="shared" ca="1" si="238"/>
        <v/>
      </c>
      <c r="S116" s="81" t="str">
        <f t="shared" ca="1" si="239"/>
        <v/>
      </c>
      <c r="T116" s="81" t="str">
        <f ca="1">IF(S116=Dashboard!$D$12,S116,"")</f>
        <v/>
      </c>
      <c r="U116" s="81" t="str">
        <f t="shared" ca="1" si="240"/>
        <v/>
      </c>
      <c r="V116" s="83" t="str">
        <f ca="1">IF(U116="","",IFERROR((RANK(U116,$U$2:$U$2028,1)+COUNTIF($U$2:U116,U116))-1,""))</f>
        <v/>
      </c>
      <c r="W116" s="81" t="str">
        <f t="shared" si="244"/>
        <v/>
      </c>
      <c r="X116" s="81" t="str">
        <f>IF(W116="","",IFERROR((RANK(W116,$W$2:$W$2028,1)+COUNTIF($W$2:W116,W116))-1,""))</f>
        <v/>
      </c>
      <c r="Y116" s="81" t="str">
        <f t="shared" si="241"/>
        <v/>
      </c>
      <c r="Z116" s="81" t="str">
        <f>IF(Y116="","",IFERROR((RANK(Y116,$Y$2:$Y$2028,1)+COUNTIF($Y$2:Y116,Y116))-1,""))</f>
        <v/>
      </c>
      <c r="AA116" s="81" t="str">
        <f t="shared" si="242"/>
        <v/>
      </c>
      <c r="AB116" s="81" t="str">
        <f>IF(AA116="","",IFERROR((RANK(AA116,$AA$2:$AA$2028,1)+COUNTIF($AA$2:AA116,AA116))-1,""))</f>
        <v/>
      </c>
      <c r="AC116" s="81" t="str">
        <f t="shared" si="243"/>
        <v/>
      </c>
      <c r="AD116" s="81" t="str">
        <f>IF(AC116="","",IFERROR((RANK(AC116,$AC$2:$AC$2028,1)+COUNTIF($AC$2:AC116,AC116))-1,""))</f>
        <v/>
      </c>
      <c r="AE116" s="144" t="str">
        <f t="shared" si="235"/>
        <v/>
      </c>
      <c r="AF116" s="144" t="str">
        <f>IF(AE116="","",SUM($AE$2:AE116))</f>
        <v/>
      </c>
    </row>
    <row r="117" spans="1:32" x14ac:dyDescent="0.35">
      <c r="A117" s="99"/>
      <c r="B117" s="99"/>
      <c r="C117" s="99"/>
      <c r="D117" s="99"/>
      <c r="E117" s="99"/>
      <c r="F117" s="121"/>
      <c r="G117" s="99"/>
      <c r="H117" s="121"/>
      <c r="I117" s="99"/>
      <c r="J117" s="99"/>
      <c r="K117" s="103"/>
      <c r="L117" s="107"/>
      <c r="M117" s="120"/>
      <c r="N117" s="81" t="str">
        <f t="shared" si="233"/>
        <v/>
      </c>
      <c r="O117" s="82" t="str">
        <f t="shared" si="236"/>
        <v/>
      </c>
      <c r="P117" s="81" t="str">
        <f t="shared" si="234"/>
        <v/>
      </c>
      <c r="Q117" s="81" t="str">
        <f t="shared" si="237"/>
        <v/>
      </c>
      <c r="R117" s="83" t="str">
        <f t="shared" ca="1" si="238"/>
        <v/>
      </c>
      <c r="S117" s="81" t="str">
        <f t="shared" ca="1" si="239"/>
        <v/>
      </c>
      <c r="T117" s="81" t="str">
        <f ca="1">IF(S117=Dashboard!$D$12,S117,"")</f>
        <v/>
      </c>
      <c r="U117" s="81" t="str">
        <f t="shared" ca="1" si="240"/>
        <v/>
      </c>
      <c r="V117" s="83" t="str">
        <f ca="1">IF(U117="","",IFERROR((RANK(U117,$U$2:$U$2028,1)+COUNTIF($U$2:U117,U117))-1,""))</f>
        <v/>
      </c>
      <c r="W117" s="81" t="str">
        <f t="shared" si="244"/>
        <v/>
      </c>
      <c r="X117" s="81" t="str">
        <f>IF(W117="","",IFERROR((RANK(W117,$W$2:$W$2028,1)+COUNTIF($W$2:W117,W117))-1,""))</f>
        <v/>
      </c>
      <c r="Y117" s="81" t="str">
        <f t="shared" si="241"/>
        <v/>
      </c>
      <c r="Z117" s="81" t="str">
        <f>IF(Y117="","",IFERROR((RANK(Y117,$Y$2:$Y$2028,1)+COUNTIF($Y$2:Y117,Y117))-1,""))</f>
        <v/>
      </c>
      <c r="AA117" s="81" t="str">
        <f t="shared" si="242"/>
        <v/>
      </c>
      <c r="AB117" s="81" t="str">
        <f>IF(AA117="","",IFERROR((RANK(AA117,$AA$2:$AA$2028,1)+COUNTIF($AA$2:AA117,AA117))-1,""))</f>
        <v/>
      </c>
      <c r="AC117" s="81" t="str">
        <f t="shared" si="243"/>
        <v/>
      </c>
      <c r="AD117" s="81" t="str">
        <f>IF(AC117="","",IFERROR((RANK(AC117,$AC$2:$AC$2028,1)+COUNTIF($AC$2:AC117,AC117))-1,""))</f>
        <v/>
      </c>
      <c r="AE117" s="144" t="str">
        <f t="shared" si="235"/>
        <v/>
      </c>
      <c r="AF117" s="144" t="str">
        <f>IF(AE117="","",SUM($AE$2:AE117))</f>
        <v/>
      </c>
    </row>
    <row r="118" spans="1:32" x14ac:dyDescent="0.35">
      <c r="A118" s="99"/>
      <c r="B118" s="100"/>
      <c r="C118" s="99"/>
      <c r="D118" s="101"/>
      <c r="E118" s="100"/>
      <c r="F118" s="121"/>
      <c r="G118" s="119"/>
      <c r="H118" s="121"/>
      <c r="I118" s="119"/>
      <c r="J118" s="99"/>
      <c r="K118" s="103"/>
      <c r="L118" s="107"/>
      <c r="M118" s="120"/>
      <c r="N118" s="81" t="str">
        <f t="shared" si="233"/>
        <v/>
      </c>
      <c r="O118" s="82" t="str">
        <f t="shared" si="236"/>
        <v/>
      </c>
      <c r="P118" s="81" t="str">
        <f t="shared" si="234"/>
        <v/>
      </c>
      <c r="Q118" s="81" t="str">
        <f t="shared" si="237"/>
        <v/>
      </c>
      <c r="R118" s="83" t="str">
        <f t="shared" ca="1" si="238"/>
        <v/>
      </c>
      <c r="S118" s="81" t="str">
        <f t="shared" ca="1" si="239"/>
        <v/>
      </c>
      <c r="T118" s="81" t="str">
        <f ca="1">IF(S118=Dashboard!$D$12,S118,"")</f>
        <v/>
      </c>
      <c r="U118" s="81" t="str">
        <f t="shared" ca="1" si="240"/>
        <v/>
      </c>
      <c r="V118" s="83" t="str">
        <f ca="1">IF(U118="","",IFERROR((RANK(U118,$U$2:$U$2028,1)+COUNTIF($U$2:U118,U118))-1,""))</f>
        <v/>
      </c>
      <c r="W118" s="81" t="str">
        <f t="shared" si="244"/>
        <v/>
      </c>
      <c r="X118" s="81" t="str">
        <f>IF(W118="","",IFERROR((RANK(W118,$W$2:$W$2028,1)+COUNTIF($W$2:W118,W118))-1,""))</f>
        <v/>
      </c>
      <c r="Y118" s="81" t="str">
        <f t="shared" si="241"/>
        <v/>
      </c>
      <c r="Z118" s="81" t="str">
        <f>IF(Y118="","",IFERROR((RANK(Y118,$Y$2:$Y$2028,1)+COUNTIF($Y$2:Y118,Y118))-1,""))</f>
        <v/>
      </c>
      <c r="AA118" s="81" t="str">
        <f t="shared" si="242"/>
        <v/>
      </c>
      <c r="AB118" s="81" t="str">
        <f>IF(AA118="","",IFERROR((RANK(AA118,$AA$2:$AA$2028,1)+COUNTIF($AA$2:AA118,AA118))-1,""))</f>
        <v/>
      </c>
      <c r="AC118" s="81" t="str">
        <f t="shared" si="243"/>
        <v/>
      </c>
      <c r="AD118" s="81" t="str">
        <f>IF(AC118="","",IFERROR((RANK(AC118,$AC$2:$AC$2028,1)+COUNTIF($AC$2:AC118,AC118))-1,""))</f>
        <v/>
      </c>
      <c r="AE118" s="144" t="str">
        <f t="shared" si="235"/>
        <v/>
      </c>
      <c r="AF118" s="144" t="str">
        <f>IF(AE118="","",SUM($AE$2:AE118))</f>
        <v/>
      </c>
    </row>
    <row r="119" spans="1:32" x14ac:dyDescent="0.35">
      <c r="A119" s="99"/>
      <c r="B119" s="99"/>
      <c r="C119" s="99"/>
      <c r="D119" s="99"/>
      <c r="E119" s="99"/>
      <c r="F119" s="121"/>
      <c r="G119" s="99"/>
      <c r="H119" s="121"/>
      <c r="I119" s="99"/>
      <c r="J119" s="99"/>
      <c r="K119" s="103"/>
      <c r="L119" s="107"/>
      <c r="M119" s="120"/>
      <c r="N119" s="81" t="str">
        <f t="shared" si="233"/>
        <v/>
      </c>
      <c r="O119" s="82" t="str">
        <f t="shared" si="236"/>
        <v/>
      </c>
      <c r="P119" s="81" t="str">
        <f t="shared" si="234"/>
        <v/>
      </c>
      <c r="Q119" s="81" t="str">
        <f t="shared" si="237"/>
        <v/>
      </c>
      <c r="R119" s="83" t="str">
        <f t="shared" ca="1" si="238"/>
        <v/>
      </c>
      <c r="S119" s="81" t="str">
        <f t="shared" ca="1" si="239"/>
        <v/>
      </c>
      <c r="T119" s="81" t="str">
        <f ca="1">IF(S119=Dashboard!$D$12,S119,"")</f>
        <v/>
      </c>
      <c r="U119" s="81" t="str">
        <f t="shared" ca="1" si="240"/>
        <v/>
      </c>
      <c r="V119" s="83" t="str">
        <f ca="1">IF(U119="","",IFERROR((RANK(U119,$U$2:$U$2028,1)+COUNTIF($U$2:U119,U119))-1,""))</f>
        <v/>
      </c>
      <c r="W119" s="81" t="str">
        <f t="shared" si="244"/>
        <v/>
      </c>
      <c r="X119" s="81" t="str">
        <f>IF(W119="","",IFERROR((RANK(W119,$W$2:$W$2028,1)+COUNTIF($W$2:W119,W119))-1,""))</f>
        <v/>
      </c>
      <c r="Y119" s="81" t="str">
        <f t="shared" si="241"/>
        <v/>
      </c>
      <c r="Z119" s="81" t="str">
        <f>IF(Y119="","",IFERROR((RANK(Y119,$Y$2:$Y$2028,1)+COUNTIF($Y$2:Y119,Y119))-1,""))</f>
        <v/>
      </c>
      <c r="AA119" s="81" t="str">
        <f t="shared" si="242"/>
        <v/>
      </c>
      <c r="AB119" s="81" t="str">
        <f>IF(AA119="","",IFERROR((RANK(AA119,$AA$2:$AA$2028,1)+COUNTIF($AA$2:AA119,AA119))-1,""))</f>
        <v/>
      </c>
      <c r="AC119" s="81" t="str">
        <f t="shared" si="243"/>
        <v/>
      </c>
      <c r="AD119" s="81" t="str">
        <f>IF(AC119="","",IFERROR((RANK(AC119,$AC$2:$AC$2028,1)+COUNTIF($AC$2:AC119,AC119))-1,""))</f>
        <v/>
      </c>
      <c r="AE119" s="144" t="str">
        <f t="shared" si="235"/>
        <v/>
      </c>
      <c r="AF119" s="144" t="str">
        <f>IF(AE119="","",SUM($AE$2:AE119))</f>
        <v/>
      </c>
    </row>
    <row r="120" spans="1:32" x14ac:dyDescent="0.35">
      <c r="A120" s="99"/>
      <c r="B120" s="100"/>
      <c r="C120" s="99"/>
      <c r="D120" s="101"/>
      <c r="E120" s="100"/>
      <c r="F120" s="121"/>
      <c r="G120" s="119"/>
      <c r="H120" s="121"/>
      <c r="I120" s="119"/>
      <c r="J120" s="99"/>
      <c r="K120" s="103"/>
      <c r="L120" s="107"/>
      <c r="M120" s="120"/>
      <c r="N120" s="81" t="str">
        <f t="shared" si="233"/>
        <v/>
      </c>
      <c r="O120" s="82" t="str">
        <f t="shared" si="236"/>
        <v/>
      </c>
      <c r="P120" s="81" t="str">
        <f t="shared" si="234"/>
        <v/>
      </c>
      <c r="Q120" s="81" t="str">
        <f t="shared" si="237"/>
        <v/>
      </c>
      <c r="R120" s="83" t="str">
        <f t="shared" ca="1" si="238"/>
        <v/>
      </c>
      <c r="S120" s="81" t="str">
        <f t="shared" ca="1" si="239"/>
        <v/>
      </c>
      <c r="T120" s="81" t="str">
        <f ca="1">IF(S120=Dashboard!$D$12,S120,"")</f>
        <v/>
      </c>
      <c r="U120" s="81" t="str">
        <f t="shared" ca="1" si="240"/>
        <v/>
      </c>
      <c r="V120" s="83" t="str">
        <f ca="1">IF(U120="","",IFERROR((RANK(U120,$U$2:$U$2028,1)+COUNTIF($U$2:U120,U120))-1,""))</f>
        <v/>
      </c>
      <c r="W120" s="81" t="str">
        <f t="shared" si="244"/>
        <v/>
      </c>
      <c r="X120" s="81" t="str">
        <f>IF(W120="","",IFERROR((RANK(W120,$W$2:$W$2028,1)+COUNTIF($W$2:W120,W120))-1,""))</f>
        <v/>
      </c>
      <c r="Y120" s="81" t="str">
        <f t="shared" si="241"/>
        <v/>
      </c>
      <c r="Z120" s="81" t="str">
        <f>IF(Y120="","",IFERROR((RANK(Y120,$Y$2:$Y$2028,1)+COUNTIF($Y$2:Y120,Y120))-1,""))</f>
        <v/>
      </c>
      <c r="AA120" s="81" t="str">
        <f t="shared" si="242"/>
        <v/>
      </c>
      <c r="AB120" s="81" t="str">
        <f>IF(AA120="","",IFERROR((RANK(AA120,$AA$2:$AA$2028,1)+COUNTIF($AA$2:AA120,AA120))-1,""))</f>
        <v/>
      </c>
      <c r="AC120" s="81" t="str">
        <f t="shared" si="243"/>
        <v/>
      </c>
      <c r="AD120" s="81" t="str">
        <f>IF(AC120="","",IFERROR((RANK(AC120,$AC$2:$AC$2028,1)+COUNTIF($AC$2:AC120,AC120))-1,""))</f>
        <v/>
      </c>
      <c r="AE120" s="144" t="str">
        <f t="shared" si="235"/>
        <v/>
      </c>
      <c r="AF120" s="144" t="str">
        <f>IF(AE120="","",SUM($AE$2:AE120))</f>
        <v/>
      </c>
    </row>
    <row r="121" spans="1:32" x14ac:dyDescent="0.35">
      <c r="A121" s="99"/>
      <c r="B121" s="99"/>
      <c r="C121" s="99"/>
      <c r="D121" s="101"/>
      <c r="E121" s="99"/>
      <c r="F121" s="121"/>
      <c r="G121" s="99"/>
      <c r="H121" s="121"/>
      <c r="I121" s="99"/>
      <c r="J121" s="99"/>
      <c r="K121" s="103"/>
      <c r="L121" s="107"/>
      <c r="M121" s="120"/>
      <c r="N121" s="81" t="str">
        <f t="shared" si="233"/>
        <v/>
      </c>
      <c r="O121" s="82" t="str">
        <f t="shared" si="236"/>
        <v/>
      </c>
      <c r="P121" s="81" t="str">
        <f t="shared" si="234"/>
        <v/>
      </c>
      <c r="Q121" s="81" t="str">
        <f t="shared" si="237"/>
        <v/>
      </c>
      <c r="R121" s="83" t="str">
        <f t="shared" ca="1" si="238"/>
        <v/>
      </c>
      <c r="S121" s="81" t="str">
        <f t="shared" ca="1" si="239"/>
        <v/>
      </c>
      <c r="T121" s="81" t="str">
        <f ca="1">IF(S121=Dashboard!$D$12,S121,"")</f>
        <v/>
      </c>
      <c r="U121" s="81" t="str">
        <f t="shared" ca="1" si="240"/>
        <v/>
      </c>
      <c r="V121" s="83" t="str">
        <f ca="1">IF(U121="","",IFERROR((RANK(U121,$U$2:$U$2028,1)+COUNTIF($U$2:U121,U121))-1,""))</f>
        <v/>
      </c>
      <c r="W121" s="81" t="str">
        <f t="shared" si="244"/>
        <v/>
      </c>
      <c r="X121" s="81" t="str">
        <f>IF(W121="","",IFERROR((RANK(W121,$W$2:$W$2028,1)+COUNTIF($W$2:W121,W121))-1,""))</f>
        <v/>
      </c>
      <c r="Y121" s="81" t="str">
        <f t="shared" si="241"/>
        <v/>
      </c>
      <c r="Z121" s="81" t="str">
        <f>IF(Y121="","",IFERROR((RANK(Y121,$Y$2:$Y$2028,1)+COUNTIF($Y$2:Y121,Y121))-1,""))</f>
        <v/>
      </c>
      <c r="AA121" s="81" t="str">
        <f t="shared" si="242"/>
        <v/>
      </c>
      <c r="AB121" s="81" t="str">
        <f>IF(AA121="","",IFERROR((RANK(AA121,$AA$2:$AA$2028,1)+COUNTIF($AA$2:AA121,AA121))-1,""))</f>
        <v/>
      </c>
      <c r="AC121" s="81" t="str">
        <f t="shared" si="243"/>
        <v/>
      </c>
      <c r="AD121" s="81" t="str">
        <f>IF(AC121="","",IFERROR((RANK(AC121,$AC$2:$AC$2028,1)+COUNTIF($AC$2:AC121,AC121))-1,""))</f>
        <v/>
      </c>
      <c r="AE121" s="144" t="str">
        <f t="shared" si="235"/>
        <v/>
      </c>
      <c r="AF121" s="144" t="str">
        <f>IF(AE121="","",SUM($AE$2:AE121))</f>
        <v/>
      </c>
    </row>
    <row r="122" spans="1:32" x14ac:dyDescent="0.35">
      <c r="A122" s="99"/>
      <c r="B122" s="100"/>
      <c r="C122" s="99"/>
      <c r="D122" s="101"/>
      <c r="E122" s="100"/>
      <c r="F122" s="121"/>
      <c r="G122" s="119"/>
      <c r="H122" s="121"/>
      <c r="I122" s="119"/>
      <c r="J122" s="99"/>
      <c r="K122" s="103"/>
      <c r="L122" s="107"/>
      <c r="M122" s="120"/>
      <c r="N122" s="81" t="str">
        <f t="shared" si="233"/>
        <v/>
      </c>
      <c r="O122" s="82" t="str">
        <f t="shared" si="236"/>
        <v/>
      </c>
      <c r="P122" s="81" t="str">
        <f t="shared" si="234"/>
        <v/>
      </c>
      <c r="Q122" s="81" t="str">
        <f t="shared" si="237"/>
        <v/>
      </c>
      <c r="R122" s="83" t="str">
        <f t="shared" ca="1" si="238"/>
        <v/>
      </c>
      <c r="S122" s="81" t="str">
        <f t="shared" ca="1" si="239"/>
        <v/>
      </c>
      <c r="T122" s="81" t="str">
        <f ca="1">IF(S122=Dashboard!$D$12,S122,"")</f>
        <v/>
      </c>
      <c r="U122" s="81" t="str">
        <f t="shared" ca="1" si="240"/>
        <v/>
      </c>
      <c r="V122" s="83" t="str">
        <f ca="1">IF(U122="","",IFERROR((RANK(U122,$U$2:$U$2028,1)+COUNTIF($U$2:U122,U122))-1,""))</f>
        <v/>
      </c>
      <c r="W122" s="81" t="str">
        <f t="shared" si="244"/>
        <v/>
      </c>
      <c r="X122" s="81" t="str">
        <f>IF(W122="","",IFERROR((RANK(W122,$W$2:$W$2028,1)+COUNTIF($W$2:W122,W122))-1,""))</f>
        <v/>
      </c>
      <c r="Y122" s="81" t="str">
        <f t="shared" si="241"/>
        <v/>
      </c>
      <c r="Z122" s="81" t="str">
        <f>IF(Y122="","",IFERROR((RANK(Y122,$Y$2:$Y$2028,1)+COUNTIF($Y$2:Y122,Y122))-1,""))</f>
        <v/>
      </c>
      <c r="AA122" s="81" t="str">
        <f t="shared" si="242"/>
        <v/>
      </c>
      <c r="AB122" s="81" t="str">
        <f>IF(AA122="","",IFERROR((RANK(AA122,$AA$2:$AA$2028,1)+COUNTIF($AA$2:AA122,AA122))-1,""))</f>
        <v/>
      </c>
      <c r="AC122" s="81" t="str">
        <f t="shared" si="243"/>
        <v/>
      </c>
      <c r="AD122" s="81" t="str">
        <f>IF(AC122="","",IFERROR((RANK(AC122,$AC$2:$AC$2028,1)+COUNTIF($AC$2:AC122,AC122))-1,""))</f>
        <v/>
      </c>
      <c r="AE122" s="144" t="str">
        <f t="shared" si="235"/>
        <v/>
      </c>
      <c r="AF122" s="144" t="str">
        <f>IF(AE122="","",SUM($AE$2:AE122))</f>
        <v/>
      </c>
    </row>
    <row r="123" spans="1:32" x14ac:dyDescent="0.35">
      <c r="A123" s="99"/>
      <c r="B123" s="99"/>
      <c r="C123" s="99"/>
      <c r="D123" s="101"/>
      <c r="E123" s="99"/>
      <c r="F123" s="121"/>
      <c r="G123" s="99"/>
      <c r="H123" s="121"/>
      <c r="I123" s="99"/>
      <c r="J123" s="99"/>
      <c r="K123" s="103"/>
      <c r="L123" s="107"/>
      <c r="M123" s="120"/>
      <c r="N123" s="81" t="str">
        <f t="shared" si="233"/>
        <v/>
      </c>
      <c r="O123" s="82" t="str">
        <f t="shared" si="236"/>
        <v/>
      </c>
      <c r="P123" s="81" t="str">
        <f t="shared" si="234"/>
        <v/>
      </c>
      <c r="Q123" s="81" t="str">
        <f t="shared" si="237"/>
        <v/>
      </c>
      <c r="R123" s="83" t="str">
        <f t="shared" ca="1" si="238"/>
        <v/>
      </c>
      <c r="S123" s="81" t="str">
        <f t="shared" ca="1" si="239"/>
        <v/>
      </c>
      <c r="T123" s="81" t="str">
        <f ca="1">IF(S123=Dashboard!$D$12,S123,"")</f>
        <v/>
      </c>
      <c r="U123" s="81" t="str">
        <f t="shared" ca="1" si="240"/>
        <v/>
      </c>
      <c r="V123" s="83" t="str">
        <f ca="1">IF(U123="","",IFERROR((RANK(U123,$U$2:$U$2028,1)+COUNTIF($U$2:U123,U123))-1,""))</f>
        <v/>
      </c>
      <c r="W123" s="81" t="str">
        <f t="shared" si="244"/>
        <v/>
      </c>
      <c r="X123" s="81" t="str">
        <f>IF(W123="","",IFERROR((RANK(W123,$W$2:$W$2028,1)+COUNTIF($W$2:W123,W123))-1,""))</f>
        <v/>
      </c>
      <c r="Y123" s="81" t="str">
        <f t="shared" si="241"/>
        <v/>
      </c>
      <c r="Z123" s="81" t="str">
        <f>IF(Y123="","",IFERROR((RANK(Y123,$Y$2:$Y$2028,1)+COUNTIF($Y$2:Y123,Y123))-1,""))</f>
        <v/>
      </c>
      <c r="AA123" s="81" t="str">
        <f t="shared" si="242"/>
        <v/>
      </c>
      <c r="AB123" s="81" t="str">
        <f>IF(AA123="","",IFERROR((RANK(AA123,$AA$2:$AA$2028,1)+COUNTIF($AA$2:AA123,AA123))-1,""))</f>
        <v/>
      </c>
      <c r="AC123" s="81" t="str">
        <f t="shared" si="243"/>
        <v/>
      </c>
      <c r="AD123" s="81" t="str">
        <f>IF(AC123="","",IFERROR((RANK(AC123,$AC$2:$AC$2028,1)+COUNTIF($AC$2:AC123,AC123))-1,""))</f>
        <v/>
      </c>
      <c r="AE123" s="144" t="str">
        <f t="shared" si="235"/>
        <v/>
      </c>
      <c r="AF123" s="144" t="str">
        <f>IF(AE123="","",SUM($AE$2:AE123))</f>
        <v/>
      </c>
    </row>
    <row r="124" spans="1:32" x14ac:dyDescent="0.35">
      <c r="A124" s="99"/>
      <c r="B124" s="100"/>
      <c r="C124" s="99"/>
      <c r="D124" s="101"/>
      <c r="E124" s="100"/>
      <c r="F124" s="121"/>
      <c r="G124" s="119"/>
      <c r="H124" s="121"/>
      <c r="I124" s="119"/>
      <c r="J124" s="99"/>
      <c r="K124" s="103"/>
      <c r="L124" s="107"/>
      <c r="M124" s="120"/>
      <c r="N124" s="81" t="str">
        <f t="shared" si="233"/>
        <v/>
      </c>
      <c r="O124" s="82" t="str">
        <f t="shared" si="236"/>
        <v/>
      </c>
      <c r="P124" s="81" t="str">
        <f t="shared" si="234"/>
        <v/>
      </c>
      <c r="Q124" s="81" t="str">
        <f t="shared" si="237"/>
        <v/>
      </c>
      <c r="R124" s="83" t="str">
        <f t="shared" ca="1" si="238"/>
        <v/>
      </c>
      <c r="S124" s="81" t="str">
        <f t="shared" ca="1" si="239"/>
        <v/>
      </c>
      <c r="T124" s="81" t="str">
        <f ca="1">IF(S124=Dashboard!$D$12,S124,"")</f>
        <v/>
      </c>
      <c r="U124" s="81" t="str">
        <f t="shared" ca="1" si="240"/>
        <v/>
      </c>
      <c r="V124" s="83" t="str">
        <f ca="1">IF(U124="","",IFERROR((RANK(U124,$U$2:$U$2028,1)+COUNTIF($U$2:U124,U124))-1,""))</f>
        <v/>
      </c>
      <c r="W124" s="81" t="str">
        <f t="shared" si="244"/>
        <v/>
      </c>
      <c r="X124" s="81" t="str">
        <f>IF(W124="","",IFERROR((RANK(W124,$W$2:$W$2028,1)+COUNTIF($W$2:W124,W124))-1,""))</f>
        <v/>
      </c>
      <c r="Y124" s="81" t="str">
        <f t="shared" si="241"/>
        <v/>
      </c>
      <c r="Z124" s="81" t="str">
        <f>IF(Y124="","",IFERROR((RANK(Y124,$Y$2:$Y$2028,1)+COUNTIF($Y$2:Y124,Y124))-1,""))</f>
        <v/>
      </c>
      <c r="AA124" s="81" t="str">
        <f t="shared" si="242"/>
        <v/>
      </c>
      <c r="AB124" s="81" t="str">
        <f>IF(AA124="","",IFERROR((RANK(AA124,$AA$2:$AA$2028,1)+COUNTIF($AA$2:AA124,AA124))-1,""))</f>
        <v/>
      </c>
      <c r="AC124" s="81" t="str">
        <f t="shared" si="243"/>
        <v/>
      </c>
      <c r="AD124" s="81" t="str">
        <f>IF(AC124="","",IFERROR((RANK(AC124,$AC$2:$AC$2028,1)+COUNTIF($AC$2:AC124,AC124))-1,""))</f>
        <v/>
      </c>
      <c r="AE124" s="144" t="str">
        <f t="shared" si="235"/>
        <v/>
      </c>
      <c r="AF124" s="144" t="str">
        <f>IF(AE124="","",SUM($AE$2:AE124))</f>
        <v/>
      </c>
    </row>
    <row r="125" spans="1:32" x14ac:dyDescent="0.35">
      <c r="A125" s="99"/>
      <c r="B125" s="99"/>
      <c r="C125" s="99"/>
      <c r="D125" s="101"/>
      <c r="E125" s="99"/>
      <c r="F125" s="121"/>
      <c r="G125" s="99"/>
      <c r="H125" s="121"/>
      <c r="I125" s="99"/>
      <c r="J125" s="99"/>
      <c r="K125" s="103"/>
      <c r="L125" s="107"/>
      <c r="M125" s="120"/>
      <c r="N125" s="81" t="str">
        <f t="shared" si="233"/>
        <v/>
      </c>
      <c r="O125" s="82" t="str">
        <f t="shared" si="236"/>
        <v/>
      </c>
      <c r="P125" s="81" t="str">
        <f t="shared" si="234"/>
        <v/>
      </c>
      <c r="Q125" s="81" t="str">
        <f t="shared" si="237"/>
        <v/>
      </c>
      <c r="R125" s="83" t="str">
        <f t="shared" ca="1" si="238"/>
        <v/>
      </c>
      <c r="S125" s="81" t="str">
        <f t="shared" ca="1" si="239"/>
        <v/>
      </c>
      <c r="T125" s="81" t="str">
        <f ca="1">IF(S125=Dashboard!$D$12,S125,"")</f>
        <v/>
      </c>
      <c r="U125" s="81" t="str">
        <f t="shared" ca="1" si="240"/>
        <v/>
      </c>
      <c r="V125" s="83" t="str">
        <f ca="1">IF(U125="","",IFERROR((RANK(U125,$U$2:$U$2028,1)+COUNTIF($U$2:U125,U125))-1,""))</f>
        <v/>
      </c>
      <c r="W125" s="81" t="str">
        <f t="shared" si="244"/>
        <v/>
      </c>
      <c r="X125" s="81" t="str">
        <f>IF(W125="","",IFERROR((RANK(W125,$W$2:$W$2028,1)+COUNTIF($W$2:W125,W125))-1,""))</f>
        <v/>
      </c>
      <c r="Y125" s="81" t="str">
        <f t="shared" si="241"/>
        <v/>
      </c>
      <c r="Z125" s="81" t="str">
        <f>IF(Y125="","",IFERROR((RANK(Y125,$Y$2:$Y$2028,1)+COUNTIF($Y$2:Y125,Y125))-1,""))</f>
        <v/>
      </c>
      <c r="AA125" s="81" t="str">
        <f t="shared" si="242"/>
        <v/>
      </c>
      <c r="AB125" s="81" t="str">
        <f>IF(AA125="","",IFERROR((RANK(AA125,$AA$2:$AA$2028,1)+COUNTIF($AA$2:AA125,AA125))-1,""))</f>
        <v/>
      </c>
      <c r="AC125" s="81" t="str">
        <f t="shared" si="243"/>
        <v/>
      </c>
      <c r="AD125" s="81" t="str">
        <f>IF(AC125="","",IFERROR((RANK(AC125,$AC$2:$AC$2028,1)+COUNTIF($AC$2:AC125,AC125))-1,""))</f>
        <v/>
      </c>
      <c r="AE125" s="144" t="str">
        <f t="shared" si="235"/>
        <v/>
      </c>
      <c r="AF125" s="144" t="str">
        <f>IF(AE125="","",SUM($AE$2:AE125))</f>
        <v/>
      </c>
    </row>
    <row r="126" spans="1:32" x14ac:dyDescent="0.35">
      <c r="A126" s="99"/>
      <c r="B126" s="100"/>
      <c r="C126" s="99"/>
      <c r="D126" s="101"/>
      <c r="E126" s="100"/>
      <c r="F126" s="102"/>
      <c r="G126" s="119"/>
      <c r="H126" s="102"/>
      <c r="I126" s="102"/>
      <c r="J126" s="99"/>
      <c r="K126" s="103"/>
      <c r="L126" s="104"/>
      <c r="M126" s="120"/>
      <c r="N126" s="81" t="str">
        <f t="shared" si="233"/>
        <v/>
      </c>
      <c r="O126" s="82" t="str">
        <f t="shared" si="236"/>
        <v/>
      </c>
      <c r="P126" s="81" t="str">
        <f t="shared" si="234"/>
        <v/>
      </c>
      <c r="Q126" s="81" t="str">
        <f t="shared" si="237"/>
        <v/>
      </c>
      <c r="R126" s="83" t="str">
        <f t="shared" ca="1" si="238"/>
        <v/>
      </c>
      <c r="S126" s="81" t="str">
        <f t="shared" ca="1" si="239"/>
        <v/>
      </c>
      <c r="T126" s="81" t="str">
        <f ca="1">IF(S126=Dashboard!$D$12,S126,"")</f>
        <v/>
      </c>
      <c r="U126" s="81" t="str">
        <f t="shared" ca="1" si="240"/>
        <v/>
      </c>
      <c r="V126" s="83" t="str">
        <f ca="1">IF(U126="","",IFERROR((RANK(U126,$U$2:$U$2028,1)+COUNTIF($U$2:U126,U126))-1,""))</f>
        <v/>
      </c>
      <c r="W126" s="81" t="str">
        <f t="shared" si="244"/>
        <v/>
      </c>
      <c r="X126" s="81" t="str">
        <f>IF(W126="","",IFERROR((RANK(W126,$W$2:$W$2028,1)+COUNTIF($W$2:W126,W126))-1,""))</f>
        <v/>
      </c>
      <c r="Y126" s="81" t="str">
        <f t="shared" si="241"/>
        <v/>
      </c>
      <c r="Z126" s="81" t="str">
        <f>IF(Y126="","",IFERROR((RANK(Y126,$Y$2:$Y$2028,1)+COUNTIF($Y$2:Y126,Y126))-1,""))</f>
        <v/>
      </c>
      <c r="AA126" s="81" t="str">
        <f t="shared" si="242"/>
        <v/>
      </c>
      <c r="AB126" s="81" t="str">
        <f>IF(AA126="","",IFERROR((RANK(AA126,$AA$2:$AA$2028,1)+COUNTIF($AA$2:AA126,AA126))-1,""))</f>
        <v/>
      </c>
      <c r="AC126" s="81" t="str">
        <f t="shared" si="243"/>
        <v/>
      </c>
      <c r="AD126" s="81" t="str">
        <f>IF(AC126="","",IFERROR((RANK(AC126,$AC$2:$AC$2028,1)+COUNTIF($AC$2:AC126,AC126))-1,""))</f>
        <v/>
      </c>
      <c r="AE126" s="144" t="str">
        <f t="shared" si="235"/>
        <v/>
      </c>
      <c r="AF126" s="144" t="str">
        <f>IF(AE126="","",SUM($AE$2:AE126))</f>
        <v/>
      </c>
    </row>
    <row r="127" spans="1:32" x14ac:dyDescent="0.35">
      <c r="A127" s="122"/>
      <c r="B127" s="123"/>
      <c r="C127" s="122"/>
      <c r="D127" s="124"/>
      <c r="E127" s="123"/>
      <c r="F127" s="125"/>
      <c r="G127" s="126"/>
      <c r="H127" s="125"/>
      <c r="I127" s="125"/>
      <c r="J127" s="122"/>
      <c r="K127" s="127"/>
      <c r="L127" s="128"/>
      <c r="M127" s="129"/>
      <c r="N127" s="81" t="str">
        <f t="shared" si="233"/>
        <v/>
      </c>
      <c r="O127" s="82" t="str">
        <f t="shared" si="236"/>
        <v/>
      </c>
      <c r="P127" s="81" t="str">
        <f t="shared" si="234"/>
        <v/>
      </c>
      <c r="Q127" s="81" t="str">
        <f t="shared" si="237"/>
        <v/>
      </c>
      <c r="R127" s="83" t="str">
        <f t="shared" ca="1" si="238"/>
        <v/>
      </c>
      <c r="S127" s="81" t="str">
        <f t="shared" ca="1" si="239"/>
        <v/>
      </c>
      <c r="T127" s="81" t="str">
        <f ca="1">IF(S127=Dashboard!$D$12,S127,"")</f>
        <v/>
      </c>
      <c r="U127" s="81" t="str">
        <f t="shared" ca="1" si="240"/>
        <v/>
      </c>
      <c r="V127" s="83" t="str">
        <f ca="1">IF(U127="","",IFERROR((RANK(U127,$U$2:$U$2028,1)+COUNTIF($U$2:U127,U127))-1,""))</f>
        <v/>
      </c>
      <c r="W127" s="81" t="str">
        <f t="shared" si="244"/>
        <v/>
      </c>
      <c r="X127" s="81" t="str">
        <f>IF(W127="","",IFERROR((RANK(W127,$W$2:$W$2028,1)+COUNTIF($W$2:W127,W127))-1,""))</f>
        <v/>
      </c>
      <c r="Y127" s="81" t="str">
        <f t="shared" si="241"/>
        <v/>
      </c>
      <c r="Z127" s="81" t="str">
        <f>IF(Y127="","",IFERROR((RANK(Y127,$Y$2:$Y$2028,1)+COUNTIF($Y$2:Y127,Y127))-1,""))</f>
        <v/>
      </c>
      <c r="AA127" s="81" t="str">
        <f t="shared" si="242"/>
        <v/>
      </c>
      <c r="AB127" s="81" t="str">
        <f>IF(AA127="","",IFERROR((RANK(AA127,$AA$2:$AA$2028,1)+COUNTIF($AA$2:AA127,AA127))-1,""))</f>
        <v/>
      </c>
      <c r="AC127" s="81" t="str">
        <f t="shared" si="243"/>
        <v/>
      </c>
      <c r="AD127" s="81" t="str">
        <f>IF(AC127="","",IFERROR((RANK(AC127,$AC$2:$AC$2028,1)+COUNTIF($AC$2:AC127,AC127))-1,""))</f>
        <v/>
      </c>
      <c r="AE127" s="144" t="str">
        <f t="shared" si="235"/>
        <v/>
      </c>
      <c r="AF127" s="144" t="str">
        <f>IF(AE127="","",SUM($AE$2:AE127))</f>
        <v/>
      </c>
    </row>
    <row r="128" spans="1:32" x14ac:dyDescent="0.35">
      <c r="A128" s="122"/>
      <c r="B128" s="123"/>
      <c r="C128" s="122"/>
      <c r="D128" s="124"/>
      <c r="E128" s="123"/>
      <c r="F128" s="125"/>
      <c r="G128" s="126"/>
      <c r="H128" s="125"/>
      <c r="I128" s="125"/>
      <c r="J128" s="122"/>
      <c r="K128" s="127"/>
      <c r="L128" s="128"/>
      <c r="M128" s="129"/>
      <c r="N128" s="81" t="str">
        <f t="shared" si="233"/>
        <v/>
      </c>
      <c r="O128" s="82" t="str">
        <f t="shared" si="236"/>
        <v/>
      </c>
      <c r="P128" s="81" t="str">
        <f t="shared" si="234"/>
        <v/>
      </c>
      <c r="Q128" s="81" t="str">
        <f t="shared" si="237"/>
        <v/>
      </c>
      <c r="R128" s="83" t="str">
        <f t="shared" ca="1" si="238"/>
        <v/>
      </c>
      <c r="S128" s="81" t="str">
        <f t="shared" ca="1" si="239"/>
        <v/>
      </c>
      <c r="T128" s="81" t="str">
        <f ca="1">IF(S128=Dashboard!$D$12,S128,"")</f>
        <v/>
      </c>
      <c r="U128" s="81" t="str">
        <f t="shared" ca="1" si="240"/>
        <v/>
      </c>
      <c r="V128" s="83" t="str">
        <f ca="1">IF(U128="","",IFERROR((RANK(U128,$U$2:$U$2028,1)+COUNTIF($U$2:U128,U128))-1,""))</f>
        <v/>
      </c>
      <c r="W128" s="81" t="str">
        <f t="shared" si="244"/>
        <v/>
      </c>
      <c r="X128" s="81" t="str">
        <f>IF(W128="","",IFERROR((RANK(W128,$W$2:$W$2028,1)+COUNTIF($W$2:W128,W128))-1,""))</f>
        <v/>
      </c>
      <c r="Y128" s="81" t="str">
        <f t="shared" si="241"/>
        <v/>
      </c>
      <c r="Z128" s="81" t="str">
        <f>IF(Y128="","",IFERROR((RANK(Y128,$Y$2:$Y$2028,1)+COUNTIF($Y$2:Y128,Y128))-1,""))</f>
        <v/>
      </c>
      <c r="AA128" s="81" t="str">
        <f t="shared" si="242"/>
        <v/>
      </c>
      <c r="AB128" s="81" t="str">
        <f>IF(AA128="","",IFERROR((RANK(AA128,$AA$2:$AA$2028,1)+COUNTIF($AA$2:AA128,AA128))-1,""))</f>
        <v/>
      </c>
      <c r="AC128" s="81" t="str">
        <f t="shared" si="243"/>
        <v/>
      </c>
      <c r="AD128" s="81" t="str">
        <f>IF(AC128="","",IFERROR((RANK(AC128,$AC$2:$AC$2028,1)+COUNTIF($AC$2:AC128,AC128))-1,""))</f>
        <v/>
      </c>
      <c r="AE128" s="144" t="str">
        <f t="shared" si="235"/>
        <v/>
      </c>
      <c r="AF128" s="144" t="str">
        <f>IF(AE128="","",SUM($AE$2:AE128))</f>
        <v/>
      </c>
    </row>
    <row r="129" spans="1:32" x14ac:dyDescent="0.35">
      <c r="A129" s="122"/>
      <c r="B129" s="123"/>
      <c r="C129" s="122"/>
      <c r="D129" s="124"/>
      <c r="E129" s="123"/>
      <c r="F129" s="125"/>
      <c r="G129" s="126"/>
      <c r="H129" s="125"/>
      <c r="I129" s="125"/>
      <c r="J129" s="122"/>
      <c r="K129" s="127"/>
      <c r="L129" s="128"/>
      <c r="M129" s="129"/>
      <c r="N129" s="81" t="str">
        <f t="shared" si="233"/>
        <v/>
      </c>
      <c r="O129" s="82" t="str">
        <f t="shared" si="236"/>
        <v/>
      </c>
      <c r="P129" s="81" t="str">
        <f t="shared" si="234"/>
        <v/>
      </c>
      <c r="Q129" s="81" t="str">
        <f t="shared" si="237"/>
        <v/>
      </c>
      <c r="R129" s="83" t="str">
        <f t="shared" ca="1" si="238"/>
        <v/>
      </c>
      <c r="S129" s="81" t="str">
        <f t="shared" ca="1" si="239"/>
        <v/>
      </c>
      <c r="T129" s="81" t="str">
        <f ca="1">IF(S129=Dashboard!$D$12,S129,"")</f>
        <v/>
      </c>
      <c r="U129" s="81" t="str">
        <f t="shared" ca="1" si="240"/>
        <v/>
      </c>
      <c r="V129" s="83" t="str">
        <f ca="1">IF(U129="","",IFERROR((RANK(U129,$U$2:$U$2028,1)+COUNTIF($U$2:U129,U129))-1,""))</f>
        <v/>
      </c>
      <c r="W129" s="81" t="str">
        <f t="shared" si="244"/>
        <v/>
      </c>
      <c r="X129" s="81" t="str">
        <f>IF(W129="","",IFERROR((RANK(W129,$W$2:$W$2028,1)+COUNTIF($W$2:W129,W129))-1,""))</f>
        <v/>
      </c>
      <c r="Y129" s="81" t="str">
        <f t="shared" si="241"/>
        <v/>
      </c>
      <c r="Z129" s="81" t="str">
        <f>IF(Y129="","",IFERROR((RANK(Y129,$Y$2:$Y$2028,1)+COUNTIF($Y$2:Y129,Y129))-1,""))</f>
        <v/>
      </c>
      <c r="AA129" s="81" t="str">
        <f t="shared" si="242"/>
        <v/>
      </c>
      <c r="AB129" s="81" t="str">
        <f>IF(AA129="","",IFERROR((RANK(AA129,$AA$2:$AA$2028,1)+COUNTIF($AA$2:AA129,AA129))-1,""))</f>
        <v/>
      </c>
      <c r="AC129" s="81" t="str">
        <f t="shared" si="243"/>
        <v/>
      </c>
      <c r="AD129" s="81" t="str">
        <f>IF(AC129="","",IFERROR((RANK(AC129,$AC$2:$AC$2028,1)+COUNTIF($AC$2:AC129,AC129))-1,""))</f>
        <v/>
      </c>
      <c r="AE129" s="144" t="str">
        <f t="shared" si="235"/>
        <v/>
      </c>
      <c r="AF129" s="144" t="str">
        <f>IF(AE129="","",SUM($AE$2:AE129))</f>
        <v/>
      </c>
    </row>
    <row r="130" spans="1:32" x14ac:dyDescent="0.35">
      <c r="A130" s="122"/>
      <c r="B130" s="123"/>
      <c r="C130" s="122"/>
      <c r="D130" s="124"/>
      <c r="E130" s="123"/>
      <c r="F130" s="125"/>
      <c r="G130" s="126"/>
      <c r="H130" s="125"/>
      <c r="I130" s="125"/>
      <c r="J130" s="122"/>
      <c r="K130" s="127"/>
      <c r="L130" s="128"/>
      <c r="M130" s="129"/>
      <c r="N130" s="81" t="str">
        <f t="shared" ref="N130:N193" si="245">IF(A130="","",COUNTIFS(M:M,M130,H:H,"&lt;"&amp;H130)+1)</f>
        <v/>
      </c>
      <c r="O130" s="82" t="str">
        <f t="shared" si="236"/>
        <v/>
      </c>
      <c r="P130" s="81" t="str">
        <f t="shared" ref="P130:P193" si="246">IF(A130="","",COUNTIFS(M:M,M130,H:H,"&gt;"&amp;H130)+1)</f>
        <v/>
      </c>
      <c r="Q130" s="81" t="str">
        <f t="shared" si="237"/>
        <v/>
      </c>
      <c r="R130" s="83" t="str">
        <f t="shared" ca="1" si="238"/>
        <v/>
      </c>
      <c r="S130" s="81" t="str">
        <f t="shared" ca="1" si="239"/>
        <v/>
      </c>
      <c r="T130" s="81" t="str">
        <f ca="1">IF(S130=Dashboard!$D$12,S130,"")</f>
        <v/>
      </c>
      <c r="U130" s="81" t="str">
        <f t="shared" ca="1" si="240"/>
        <v/>
      </c>
      <c r="V130" s="83" t="str">
        <f ca="1">IF(U130="","",IFERROR((RANK(U130,$U$2:$U$2028,1)+COUNTIF($U$2:U130,U130))-1,""))</f>
        <v/>
      </c>
      <c r="W130" s="81" t="str">
        <f t="shared" si="244"/>
        <v/>
      </c>
      <c r="X130" s="81" t="str">
        <f>IF(W130="","",IFERROR((RANK(W130,$W$2:$W$2028,1)+COUNTIF($W$2:W130,W130))-1,""))</f>
        <v/>
      </c>
      <c r="Y130" s="81" t="str">
        <f t="shared" si="241"/>
        <v/>
      </c>
      <c r="Z130" s="81" t="str">
        <f>IF(Y130="","",IFERROR((RANK(Y130,$Y$2:$Y$2028,1)+COUNTIF($Y$2:Y130,Y130))-1,""))</f>
        <v/>
      </c>
      <c r="AA130" s="81" t="str">
        <f t="shared" si="242"/>
        <v/>
      </c>
      <c r="AB130" s="81" t="str">
        <f>IF(AA130="","",IFERROR((RANK(AA130,$AA$2:$AA$2028,1)+COUNTIF($AA$2:AA130,AA130))-1,""))</f>
        <v/>
      </c>
      <c r="AC130" s="81" t="str">
        <f t="shared" si="243"/>
        <v/>
      </c>
      <c r="AD130" s="81" t="str">
        <f>IF(AC130="","",IFERROR((RANK(AC130,$AC$2:$AC$2028,1)+COUNTIF($AC$2:AC130,AC130))-1,""))</f>
        <v/>
      </c>
      <c r="AE130" s="144" t="str">
        <f t="shared" si="235"/>
        <v/>
      </c>
      <c r="AF130" s="144" t="str">
        <f>IF(AE130="","",SUM($AE$2:AE130))</f>
        <v/>
      </c>
    </row>
    <row r="131" spans="1:32" x14ac:dyDescent="0.35">
      <c r="A131" s="122"/>
      <c r="B131" s="130"/>
      <c r="C131" s="127"/>
      <c r="D131" s="131"/>
      <c r="E131" s="130"/>
      <c r="F131" s="125"/>
      <c r="G131" s="127"/>
      <c r="H131" s="125"/>
      <c r="I131" s="125"/>
      <c r="J131" s="122"/>
      <c r="K131" s="122"/>
      <c r="L131" s="128"/>
      <c r="M131" s="129"/>
      <c r="N131" s="81" t="str">
        <f t="shared" si="245"/>
        <v/>
      </c>
      <c r="O131" s="82" t="str">
        <f t="shared" si="236"/>
        <v/>
      </c>
      <c r="P131" s="81" t="str">
        <f t="shared" si="246"/>
        <v/>
      </c>
      <c r="Q131" s="81" t="str">
        <f t="shared" si="237"/>
        <v/>
      </c>
      <c r="R131" s="83" t="str">
        <f t="shared" ca="1" si="238"/>
        <v/>
      </c>
      <c r="S131" s="81" t="str">
        <f t="shared" ca="1" si="239"/>
        <v/>
      </c>
      <c r="T131" s="81" t="str">
        <f ca="1">IF(S131=Dashboard!$D$12,S131,"")</f>
        <v/>
      </c>
      <c r="U131" s="81" t="str">
        <f t="shared" ca="1" si="240"/>
        <v/>
      </c>
      <c r="V131" s="83" t="str">
        <f ca="1">IF(U131="","",IFERROR((RANK(U131,$U$2:$U$2028,1)+COUNTIF($U$2:U131,U131))-1,""))</f>
        <v/>
      </c>
      <c r="W131" s="81" t="str">
        <f t="shared" si="244"/>
        <v/>
      </c>
      <c r="X131" s="81" t="str">
        <f>IF(W131="","",IFERROR((RANK(W131,$W$2:$W$2028,1)+COUNTIF($W$2:W131,W131))-1,""))</f>
        <v/>
      </c>
      <c r="Y131" s="81" t="str">
        <f t="shared" si="241"/>
        <v/>
      </c>
      <c r="Z131" s="81" t="str">
        <f>IF(Y131="","",IFERROR((RANK(Y131,$Y$2:$Y$2028,1)+COUNTIF($Y$2:Y131,Y131))-1,""))</f>
        <v/>
      </c>
      <c r="AA131" s="81" t="str">
        <f t="shared" si="242"/>
        <v/>
      </c>
      <c r="AB131" s="81" t="str">
        <f>IF(AA131="","",IFERROR((RANK(AA131,$AA$2:$AA$2028,1)+COUNTIF($AA$2:AA131,AA131))-1,""))</f>
        <v/>
      </c>
      <c r="AC131" s="81" t="str">
        <f t="shared" si="243"/>
        <v/>
      </c>
      <c r="AD131" s="81" t="str">
        <f>IF(AC131="","",IFERROR((RANK(AC131,$AC$2:$AC$2028,1)+COUNTIF($AC$2:AC131,AC131))-1,""))</f>
        <v/>
      </c>
      <c r="AE131" s="144" t="str">
        <f t="shared" si="235"/>
        <v/>
      </c>
      <c r="AF131" s="144" t="str">
        <f>IF(AE131="","",SUM($AE$2:AE131))</f>
        <v/>
      </c>
    </row>
    <row r="132" spans="1:32" x14ac:dyDescent="0.35">
      <c r="A132" s="122"/>
      <c r="B132" s="130"/>
      <c r="C132" s="127"/>
      <c r="D132" s="131"/>
      <c r="E132" s="130"/>
      <c r="F132" s="125"/>
      <c r="G132" s="127"/>
      <c r="H132" s="125"/>
      <c r="I132" s="125"/>
      <c r="J132" s="122"/>
      <c r="K132" s="122"/>
      <c r="L132" s="128"/>
      <c r="M132" s="129"/>
      <c r="N132" s="81" t="str">
        <f t="shared" si="245"/>
        <v/>
      </c>
      <c r="O132" s="82" t="str">
        <f t="shared" si="236"/>
        <v/>
      </c>
      <c r="P132" s="81" t="str">
        <f t="shared" si="246"/>
        <v/>
      </c>
      <c r="Q132" s="81" t="str">
        <f t="shared" si="237"/>
        <v/>
      </c>
      <c r="R132" s="83" t="str">
        <f t="shared" ca="1" si="238"/>
        <v/>
      </c>
      <c r="S132" s="81" t="str">
        <f t="shared" ca="1" si="239"/>
        <v/>
      </c>
      <c r="T132" s="81" t="str">
        <f ca="1">IF(S132=Dashboard!$D$12,S132,"")</f>
        <v/>
      </c>
      <c r="U132" s="81" t="str">
        <f t="shared" ca="1" si="240"/>
        <v/>
      </c>
      <c r="V132" s="83" t="str">
        <f ca="1">IF(U132="","",IFERROR((RANK(U132,$U$2:$U$2028,1)+COUNTIF($U$2:U132,U132))-1,""))</f>
        <v/>
      </c>
      <c r="W132" s="81" t="str">
        <f t="shared" si="244"/>
        <v/>
      </c>
      <c r="X132" s="81" t="str">
        <f>IF(W132="","",IFERROR((RANK(W132,$W$2:$W$2028,1)+COUNTIF($W$2:W132,W132))-1,""))</f>
        <v/>
      </c>
      <c r="Y132" s="81" t="str">
        <f t="shared" si="241"/>
        <v/>
      </c>
      <c r="Z132" s="81" t="str">
        <f>IF(Y132="","",IFERROR((RANK(Y132,$Y$2:$Y$2028,1)+COUNTIF($Y$2:Y132,Y132))-1,""))</f>
        <v/>
      </c>
      <c r="AA132" s="81" t="str">
        <f t="shared" si="242"/>
        <v/>
      </c>
      <c r="AB132" s="81" t="str">
        <f>IF(AA132="","",IFERROR((RANK(AA132,$AA$2:$AA$2028,1)+COUNTIF($AA$2:AA132,AA132))-1,""))</f>
        <v/>
      </c>
      <c r="AC132" s="81" t="str">
        <f t="shared" si="243"/>
        <v/>
      </c>
      <c r="AD132" s="81" t="str">
        <f>IF(AC132="","",IFERROR((RANK(AC132,$AC$2:$AC$2028,1)+COUNTIF($AC$2:AC132,AC132))-1,""))</f>
        <v/>
      </c>
      <c r="AE132" s="144" t="str">
        <f t="shared" si="235"/>
        <v/>
      </c>
      <c r="AF132" s="144" t="str">
        <f>IF(AE132="","",SUM($AE$2:AE132))</f>
        <v/>
      </c>
    </row>
    <row r="133" spans="1:32" x14ac:dyDescent="0.35">
      <c r="A133" s="122"/>
      <c r="B133" s="130"/>
      <c r="C133" s="127"/>
      <c r="D133" s="124"/>
      <c r="E133" s="130"/>
      <c r="F133" s="132"/>
      <c r="G133" s="122"/>
      <c r="H133" s="132"/>
      <c r="I133" s="132"/>
      <c r="J133" s="122"/>
      <c r="K133" s="122"/>
      <c r="L133" s="128"/>
      <c r="M133" s="133"/>
      <c r="N133" s="81" t="str">
        <f t="shared" si="245"/>
        <v/>
      </c>
      <c r="O133" s="82" t="str">
        <f t="shared" si="236"/>
        <v/>
      </c>
      <c r="P133" s="81" t="str">
        <f t="shared" si="246"/>
        <v/>
      </c>
      <c r="Q133" s="81" t="str">
        <f t="shared" si="237"/>
        <v/>
      </c>
      <c r="R133" s="83" t="str">
        <f t="shared" ca="1" si="238"/>
        <v/>
      </c>
      <c r="S133" s="81" t="str">
        <f t="shared" ca="1" si="239"/>
        <v/>
      </c>
      <c r="T133" s="81" t="str">
        <f ca="1">IF(S133=Dashboard!$D$12,S133,"")</f>
        <v/>
      </c>
      <c r="U133" s="81" t="str">
        <f t="shared" ca="1" si="240"/>
        <v/>
      </c>
      <c r="V133" s="83" t="str">
        <f ca="1">IF(U133="","",IFERROR((RANK(U133,$U$2:$U$2028,1)+COUNTIF($U$2:U133,U133))-1,""))</f>
        <v/>
      </c>
      <c r="W133" s="81" t="str">
        <f t="shared" si="244"/>
        <v/>
      </c>
      <c r="X133" s="81" t="str">
        <f>IF(W133="","",IFERROR((RANK(W133,$W$2:$W$2028,1)+COUNTIF($W$2:W133,W133))-1,""))</f>
        <v/>
      </c>
      <c r="Y133" s="81" t="str">
        <f t="shared" si="241"/>
        <v/>
      </c>
      <c r="Z133" s="81" t="str">
        <f>IF(Y133="","",IFERROR((RANK(Y133,$Y$2:$Y$2028,1)+COUNTIF($Y$2:Y133,Y133))-1,""))</f>
        <v/>
      </c>
      <c r="AA133" s="81" t="str">
        <f t="shared" si="242"/>
        <v/>
      </c>
      <c r="AB133" s="81" t="str">
        <f>IF(AA133="","",IFERROR((RANK(AA133,$AA$2:$AA$2028,1)+COUNTIF($AA$2:AA133,AA133))-1,""))</f>
        <v/>
      </c>
      <c r="AC133" s="81" t="str">
        <f t="shared" si="243"/>
        <v/>
      </c>
      <c r="AD133" s="81" t="str">
        <f>IF(AC133="","",IFERROR((RANK(AC133,$AC$2:$AC$2028,1)+COUNTIF($AC$2:AC133,AC133))-1,""))</f>
        <v/>
      </c>
      <c r="AE133" s="144" t="str">
        <f t="shared" si="235"/>
        <v/>
      </c>
      <c r="AF133" s="144" t="str">
        <f>IF(AE133="","",SUM($AE$2:AE133))</f>
        <v/>
      </c>
    </row>
    <row r="134" spans="1:32" x14ac:dyDescent="0.35">
      <c r="A134" s="122"/>
      <c r="B134" s="130"/>
      <c r="C134" s="127"/>
      <c r="D134" s="131"/>
      <c r="E134" s="130"/>
      <c r="F134" s="132"/>
      <c r="G134" s="127"/>
      <c r="H134" s="125"/>
      <c r="I134" s="132"/>
      <c r="J134" s="122"/>
      <c r="K134" s="122"/>
      <c r="L134" s="128"/>
      <c r="M134" s="129"/>
      <c r="N134" s="81" t="str">
        <f t="shared" si="245"/>
        <v/>
      </c>
      <c r="O134" s="82" t="str">
        <f t="shared" si="236"/>
        <v/>
      </c>
      <c r="P134" s="81" t="str">
        <f t="shared" si="246"/>
        <v/>
      </c>
      <c r="Q134" s="81" t="str">
        <f t="shared" si="237"/>
        <v/>
      </c>
      <c r="R134" s="83" t="str">
        <f t="shared" ca="1" si="238"/>
        <v/>
      </c>
      <c r="S134" s="81" t="str">
        <f t="shared" ca="1" si="239"/>
        <v/>
      </c>
      <c r="T134" s="81" t="str">
        <f ca="1">IF(S134=Dashboard!$D$12,S134,"")</f>
        <v/>
      </c>
      <c r="U134" s="81" t="str">
        <f t="shared" ca="1" si="240"/>
        <v/>
      </c>
      <c r="V134" s="83" t="str">
        <f ca="1">IF(U134="","",IFERROR((RANK(U134,$U$2:$U$2028,1)+COUNTIF($U$2:U134,U134))-1,""))</f>
        <v/>
      </c>
      <c r="W134" s="81" t="str">
        <f t="shared" si="244"/>
        <v/>
      </c>
      <c r="X134" s="81" t="str">
        <f>IF(W134="","",IFERROR((RANK(W134,$W$2:$W$2028,1)+COUNTIF($W$2:W134,W134))-1,""))</f>
        <v/>
      </c>
      <c r="Y134" s="81" t="str">
        <f t="shared" si="241"/>
        <v/>
      </c>
      <c r="Z134" s="81" t="str">
        <f>IF(Y134="","",IFERROR((RANK(Y134,$Y$2:$Y$2028,1)+COUNTIF($Y$2:Y134,Y134))-1,""))</f>
        <v/>
      </c>
      <c r="AA134" s="81" t="str">
        <f t="shared" si="242"/>
        <v/>
      </c>
      <c r="AB134" s="81" t="str">
        <f>IF(AA134="","",IFERROR((RANK(AA134,$AA$2:$AA$2028,1)+COUNTIF($AA$2:AA134,AA134))-1,""))</f>
        <v/>
      </c>
      <c r="AC134" s="81" t="str">
        <f t="shared" si="243"/>
        <v/>
      </c>
      <c r="AD134" s="81" t="str">
        <f>IF(AC134="","",IFERROR((RANK(AC134,$AC$2:$AC$2028,1)+COUNTIF($AC$2:AC134,AC134))-1,""))</f>
        <v/>
      </c>
      <c r="AE134" s="144" t="str">
        <f t="shared" si="235"/>
        <v/>
      </c>
      <c r="AF134" s="144" t="str">
        <f>IF(AE134="","",SUM($AE$2:AE134))</f>
        <v/>
      </c>
    </row>
    <row r="135" spans="1:32" x14ac:dyDescent="0.35">
      <c r="A135" s="122"/>
      <c r="B135" s="130"/>
      <c r="C135" s="127"/>
      <c r="D135" s="131"/>
      <c r="E135" s="130"/>
      <c r="F135" s="132"/>
      <c r="G135" s="127"/>
      <c r="H135" s="125"/>
      <c r="I135" s="132"/>
      <c r="J135" s="122"/>
      <c r="K135" s="122"/>
      <c r="L135" s="128"/>
      <c r="M135" s="129"/>
      <c r="N135" s="81" t="str">
        <f t="shared" si="245"/>
        <v/>
      </c>
      <c r="O135" s="82" t="str">
        <f t="shared" si="236"/>
        <v/>
      </c>
      <c r="P135" s="81" t="str">
        <f t="shared" si="246"/>
        <v/>
      </c>
      <c r="Q135" s="81" t="str">
        <f t="shared" si="237"/>
        <v/>
      </c>
      <c r="R135" s="83" t="str">
        <f t="shared" ca="1" si="238"/>
        <v/>
      </c>
      <c r="S135" s="81" t="str">
        <f t="shared" ca="1" si="239"/>
        <v/>
      </c>
      <c r="T135" s="81" t="str">
        <f ca="1">IF(S135=Dashboard!$D$12,S135,"")</f>
        <v/>
      </c>
      <c r="U135" s="81" t="str">
        <f t="shared" ca="1" si="240"/>
        <v/>
      </c>
      <c r="V135" s="83" t="str">
        <f ca="1">IF(U135="","",IFERROR((RANK(U135,$U$2:$U$2028,1)+COUNTIF($U$2:U135,U135))-1,""))</f>
        <v/>
      </c>
      <c r="W135" s="81" t="str">
        <f t="shared" si="244"/>
        <v/>
      </c>
      <c r="X135" s="81" t="str">
        <f>IF(W135="","",IFERROR((RANK(W135,$W$2:$W$2028,1)+COUNTIF($W$2:W135,W135))-1,""))</f>
        <v/>
      </c>
      <c r="Y135" s="81" t="str">
        <f t="shared" si="241"/>
        <v/>
      </c>
      <c r="Z135" s="81" t="str">
        <f>IF(Y135="","",IFERROR((RANK(Y135,$Y$2:$Y$2028,1)+COUNTIF($Y$2:Y135,Y135))-1,""))</f>
        <v/>
      </c>
      <c r="AA135" s="81" t="str">
        <f t="shared" si="242"/>
        <v/>
      </c>
      <c r="AB135" s="81" t="str">
        <f>IF(AA135="","",IFERROR((RANK(AA135,$AA$2:$AA$2028,1)+COUNTIF($AA$2:AA135,AA135))-1,""))</f>
        <v/>
      </c>
      <c r="AC135" s="81" t="str">
        <f t="shared" si="243"/>
        <v/>
      </c>
      <c r="AD135" s="81" t="str">
        <f>IF(AC135="","",IFERROR((RANK(AC135,$AC$2:$AC$2028,1)+COUNTIF($AC$2:AC135,AC135))-1,""))</f>
        <v/>
      </c>
      <c r="AE135" s="144" t="str">
        <f t="shared" ref="AE135:AE198" si="247">IF(P135=1,P135,"")</f>
        <v/>
      </c>
      <c r="AF135" s="144" t="str">
        <f>IF(AE135="","",SUM($AE$2:AE135))</f>
        <v/>
      </c>
    </row>
    <row r="136" spans="1:32" x14ac:dyDescent="0.35">
      <c r="A136" s="122"/>
      <c r="B136" s="130"/>
      <c r="C136" s="127"/>
      <c r="D136" s="131"/>
      <c r="E136" s="130"/>
      <c r="F136" s="132"/>
      <c r="G136" s="127"/>
      <c r="H136" s="132"/>
      <c r="I136" s="132"/>
      <c r="J136" s="122"/>
      <c r="K136" s="122"/>
      <c r="L136" s="128"/>
      <c r="M136" s="129"/>
      <c r="N136" s="81" t="str">
        <f t="shared" si="245"/>
        <v/>
      </c>
      <c r="O136" s="82" t="str">
        <f t="shared" si="236"/>
        <v/>
      </c>
      <c r="P136" s="81" t="str">
        <f t="shared" si="246"/>
        <v/>
      </c>
      <c r="Q136" s="81" t="str">
        <f t="shared" si="237"/>
        <v/>
      </c>
      <c r="R136" s="83" t="str">
        <f t="shared" ca="1" si="238"/>
        <v/>
      </c>
      <c r="S136" s="81" t="str">
        <f t="shared" ca="1" si="239"/>
        <v/>
      </c>
      <c r="T136" s="81" t="str">
        <f ca="1">IF(S136=Dashboard!$D$12,S136,"")</f>
        <v/>
      </c>
      <c r="U136" s="81" t="str">
        <f t="shared" ca="1" si="240"/>
        <v/>
      </c>
      <c r="V136" s="83" t="str">
        <f ca="1">IF(U136="","",IFERROR((RANK(U136,$U$2:$U$2028,1)+COUNTIF($U$2:U136,U136))-1,""))</f>
        <v/>
      </c>
      <c r="W136" s="81" t="str">
        <f t="shared" si="244"/>
        <v/>
      </c>
      <c r="X136" s="81" t="str">
        <f>IF(W136="","",IFERROR((RANK(W136,$W$2:$W$2028,1)+COUNTIF($W$2:W136,W136))-1,""))</f>
        <v/>
      </c>
      <c r="Y136" s="81" t="str">
        <f t="shared" si="241"/>
        <v/>
      </c>
      <c r="Z136" s="81" t="str">
        <f>IF(Y136="","",IFERROR((RANK(Y136,$Y$2:$Y$2028,1)+COUNTIF($Y$2:Y136,Y136))-1,""))</f>
        <v/>
      </c>
      <c r="AA136" s="81" t="str">
        <f t="shared" si="242"/>
        <v/>
      </c>
      <c r="AB136" s="81" t="str">
        <f>IF(AA136="","",IFERROR((RANK(AA136,$AA$2:$AA$2028,1)+COUNTIF($AA$2:AA136,AA136))-1,""))</f>
        <v/>
      </c>
      <c r="AC136" s="81" t="str">
        <f t="shared" si="243"/>
        <v/>
      </c>
      <c r="AD136" s="81" t="str">
        <f>IF(AC136="","",IFERROR((RANK(AC136,$AC$2:$AC$2028,1)+COUNTIF($AC$2:AC136,AC136))-1,""))</f>
        <v/>
      </c>
      <c r="AE136" s="144" t="str">
        <f t="shared" si="247"/>
        <v/>
      </c>
      <c r="AF136" s="144" t="str">
        <f>IF(AE136="","",SUM($AE$2:AE136))</f>
        <v/>
      </c>
    </row>
    <row r="137" spans="1:32" x14ac:dyDescent="0.35">
      <c r="A137" s="122"/>
      <c r="B137" s="130"/>
      <c r="C137" s="127"/>
      <c r="D137" s="131"/>
      <c r="E137" s="130"/>
      <c r="F137" s="132"/>
      <c r="G137" s="127"/>
      <c r="H137" s="132"/>
      <c r="I137" s="132"/>
      <c r="J137" s="122"/>
      <c r="K137" s="122"/>
      <c r="L137" s="128"/>
      <c r="M137" s="129"/>
      <c r="N137" s="81" t="str">
        <f t="shared" si="245"/>
        <v/>
      </c>
      <c r="O137" s="82" t="str">
        <f t="shared" si="236"/>
        <v/>
      </c>
      <c r="P137" s="81" t="str">
        <f t="shared" si="246"/>
        <v/>
      </c>
      <c r="Q137" s="81" t="str">
        <f t="shared" si="237"/>
        <v/>
      </c>
      <c r="R137" s="83" t="str">
        <f t="shared" ca="1" si="238"/>
        <v/>
      </c>
      <c r="S137" s="81" t="str">
        <f t="shared" ca="1" si="239"/>
        <v/>
      </c>
      <c r="T137" s="81" t="str">
        <f ca="1">IF(S137=Dashboard!$D$12,S137,"")</f>
        <v/>
      </c>
      <c r="U137" s="81" t="str">
        <f t="shared" ca="1" si="240"/>
        <v/>
      </c>
      <c r="V137" s="83" t="str">
        <f ca="1">IF(U137="","",IFERROR((RANK(U137,$U$2:$U$2028,1)+COUNTIF($U$2:U137,U137))-1,""))</f>
        <v/>
      </c>
      <c r="W137" s="81" t="str">
        <f t="shared" si="244"/>
        <v/>
      </c>
      <c r="X137" s="81" t="str">
        <f>IF(W137="","",IFERROR((RANK(W137,$W$2:$W$2028,1)+COUNTIF($W$2:W137,W137))-1,""))</f>
        <v/>
      </c>
      <c r="Y137" s="81" t="str">
        <f t="shared" si="241"/>
        <v/>
      </c>
      <c r="Z137" s="81" t="str">
        <f>IF(Y137="","",IFERROR((RANK(Y137,$Y$2:$Y$2028,1)+COUNTIF($Y$2:Y137,Y137))-1,""))</f>
        <v/>
      </c>
      <c r="AA137" s="81" t="str">
        <f t="shared" si="242"/>
        <v/>
      </c>
      <c r="AB137" s="81" t="str">
        <f>IF(AA137="","",IFERROR((RANK(AA137,$AA$2:$AA$2028,1)+COUNTIF($AA$2:AA137,AA137))-1,""))</f>
        <v/>
      </c>
      <c r="AC137" s="81" t="str">
        <f t="shared" si="243"/>
        <v/>
      </c>
      <c r="AD137" s="81" t="str">
        <f>IF(AC137="","",IFERROR((RANK(AC137,$AC$2:$AC$2028,1)+COUNTIF($AC$2:AC137,AC137))-1,""))</f>
        <v/>
      </c>
      <c r="AE137" s="144" t="str">
        <f t="shared" si="247"/>
        <v/>
      </c>
      <c r="AF137" s="144" t="str">
        <f>IF(AE137="","",SUM($AE$2:AE137))</f>
        <v/>
      </c>
    </row>
    <row r="138" spans="1:32" x14ac:dyDescent="0.35">
      <c r="A138" s="122"/>
      <c r="B138" s="130"/>
      <c r="C138" s="127"/>
      <c r="D138" s="131"/>
      <c r="E138" s="130"/>
      <c r="F138" s="132"/>
      <c r="G138" s="127"/>
      <c r="H138" s="132"/>
      <c r="I138" s="132"/>
      <c r="J138" s="122"/>
      <c r="K138" s="122"/>
      <c r="L138" s="128"/>
      <c r="M138" s="129"/>
      <c r="N138" s="81" t="str">
        <f t="shared" si="245"/>
        <v/>
      </c>
      <c r="O138" s="82" t="str">
        <f t="shared" si="236"/>
        <v/>
      </c>
      <c r="P138" s="81" t="str">
        <f t="shared" si="246"/>
        <v/>
      </c>
      <c r="Q138" s="81" t="str">
        <f t="shared" si="237"/>
        <v/>
      </c>
      <c r="R138" s="83" t="str">
        <f t="shared" ca="1" si="238"/>
        <v/>
      </c>
      <c r="S138" s="81" t="str">
        <f t="shared" ca="1" si="239"/>
        <v/>
      </c>
      <c r="T138" s="81" t="str">
        <f ca="1">IF(S138=Dashboard!$D$12,S138,"")</f>
        <v/>
      </c>
      <c r="U138" s="81" t="str">
        <f t="shared" ca="1" si="240"/>
        <v/>
      </c>
      <c r="V138" s="83" t="str">
        <f ca="1">IF(U138="","",IFERROR((RANK(U138,$U$2:$U$2028,1)+COUNTIF($U$2:U138,U138))-1,""))</f>
        <v/>
      </c>
      <c r="W138" s="81" t="str">
        <f t="shared" si="244"/>
        <v/>
      </c>
      <c r="X138" s="81" t="str">
        <f>IF(W138="","",IFERROR((RANK(W138,$W$2:$W$2028,1)+COUNTIF($W$2:W138,W138))-1,""))</f>
        <v/>
      </c>
      <c r="Y138" s="81" t="str">
        <f t="shared" si="241"/>
        <v/>
      </c>
      <c r="Z138" s="81" t="str">
        <f>IF(Y138="","",IFERROR((RANK(Y138,$Y$2:$Y$2028,1)+COUNTIF($Y$2:Y138,Y138))-1,""))</f>
        <v/>
      </c>
      <c r="AA138" s="81" t="str">
        <f t="shared" si="242"/>
        <v/>
      </c>
      <c r="AB138" s="81" t="str">
        <f>IF(AA138="","",IFERROR((RANK(AA138,$AA$2:$AA$2028,1)+COUNTIF($AA$2:AA138,AA138))-1,""))</f>
        <v/>
      </c>
      <c r="AC138" s="81" t="str">
        <f t="shared" si="243"/>
        <v/>
      </c>
      <c r="AD138" s="81" t="str">
        <f>IF(AC138="","",IFERROR((RANK(AC138,$AC$2:$AC$2028,1)+COUNTIF($AC$2:AC138,AC138))-1,""))</f>
        <v/>
      </c>
      <c r="AE138" s="144" t="str">
        <f t="shared" si="247"/>
        <v/>
      </c>
      <c r="AF138" s="144" t="str">
        <f>IF(AE138="","",SUM($AE$2:AE138))</f>
        <v/>
      </c>
    </row>
    <row r="139" spans="1:32" x14ac:dyDescent="0.35">
      <c r="N139" s="81" t="str">
        <f t="shared" si="245"/>
        <v/>
      </c>
      <c r="O139" s="82" t="str">
        <f t="shared" si="236"/>
        <v/>
      </c>
      <c r="P139" s="81" t="str">
        <f t="shared" si="246"/>
        <v/>
      </c>
      <c r="Q139" s="81" t="str">
        <f t="shared" si="237"/>
        <v/>
      </c>
      <c r="R139" s="83" t="str">
        <f t="shared" ca="1" si="238"/>
        <v/>
      </c>
      <c r="S139" s="81" t="str">
        <f t="shared" ca="1" si="239"/>
        <v/>
      </c>
      <c r="T139" s="81" t="str">
        <f ca="1">IF(S139=Dashboard!$D$12,S139,"")</f>
        <v/>
      </c>
      <c r="U139" s="81" t="str">
        <f t="shared" ca="1" si="240"/>
        <v/>
      </c>
      <c r="V139" s="83" t="str">
        <f ca="1">IF(U139="","",IFERROR((RANK(U139,$U$2:$U$2028,1)+COUNTIF($U$2:U139,U139))-1,""))</f>
        <v/>
      </c>
      <c r="W139" s="81" t="str">
        <f t="shared" si="244"/>
        <v/>
      </c>
      <c r="X139" s="81" t="str">
        <f>IF(W139="","",IFERROR((RANK(W139,$W$2:$W$2028,1)+COUNTIF($W$2:W139,W139))-1,""))</f>
        <v/>
      </c>
      <c r="Y139" s="81" t="str">
        <f t="shared" si="241"/>
        <v/>
      </c>
      <c r="Z139" s="81" t="str">
        <f>IF(Y139="","",IFERROR((RANK(Y139,$Y$2:$Y$2028,1)+COUNTIF($Y$2:Y139,Y139))-1,""))</f>
        <v/>
      </c>
      <c r="AA139" s="81" t="str">
        <f t="shared" si="242"/>
        <v/>
      </c>
      <c r="AB139" s="81" t="str">
        <f>IF(AA139="","",IFERROR((RANK(AA139,$AA$2:$AA$2028,1)+COUNTIF($AA$2:AA139,AA139))-1,""))</f>
        <v/>
      </c>
      <c r="AC139" s="81" t="str">
        <f t="shared" si="243"/>
        <v/>
      </c>
      <c r="AD139" s="81" t="str">
        <f>IF(AC139="","",IFERROR((RANK(AC139,$AC$2:$AC$2028,1)+COUNTIF($AC$2:AC139,AC139))-1,""))</f>
        <v/>
      </c>
      <c r="AE139" s="144" t="str">
        <f t="shared" si="247"/>
        <v/>
      </c>
      <c r="AF139" s="144" t="str">
        <f>IF(AE139="","",SUM($AE$2:AE139))</f>
        <v/>
      </c>
    </row>
    <row r="140" spans="1:32" x14ac:dyDescent="0.35">
      <c r="N140" s="81" t="str">
        <f t="shared" si="245"/>
        <v/>
      </c>
      <c r="O140" s="82" t="str">
        <f t="shared" si="236"/>
        <v/>
      </c>
      <c r="P140" s="81" t="str">
        <f t="shared" si="246"/>
        <v/>
      </c>
      <c r="Q140" s="81" t="str">
        <f t="shared" si="237"/>
        <v/>
      </c>
      <c r="R140" s="83" t="str">
        <f t="shared" ca="1" si="238"/>
        <v/>
      </c>
      <c r="S140" s="81" t="str">
        <f t="shared" ca="1" si="239"/>
        <v/>
      </c>
      <c r="T140" s="81" t="str">
        <f ca="1">IF(S140=Dashboard!$D$12,S140,"")</f>
        <v/>
      </c>
      <c r="U140" s="81" t="str">
        <f t="shared" ca="1" si="240"/>
        <v/>
      </c>
      <c r="V140" s="83" t="str">
        <f ca="1">IF(U140="","",IFERROR((RANK(U140,$U$2:$U$2028,1)+COUNTIF($U$2:U140,U140))-1,""))</f>
        <v/>
      </c>
      <c r="W140" s="81" t="str">
        <f t="shared" si="244"/>
        <v/>
      </c>
      <c r="X140" s="81" t="str">
        <f>IF(W140="","",IFERROR((RANK(W140,$W$2:$W$2028,1)+COUNTIF($W$2:W140,W140))-1,""))</f>
        <v/>
      </c>
      <c r="Y140" s="81" t="str">
        <f t="shared" si="241"/>
        <v/>
      </c>
      <c r="Z140" s="81" t="str">
        <f>IF(Y140="","",IFERROR((RANK(Y140,$Y$2:$Y$2028,1)+COUNTIF($Y$2:Y140,Y140))-1,""))</f>
        <v/>
      </c>
      <c r="AA140" s="81" t="str">
        <f t="shared" si="242"/>
        <v/>
      </c>
      <c r="AB140" s="81" t="str">
        <f>IF(AA140="","",IFERROR((RANK(AA140,$AA$2:$AA$2028,1)+COUNTIF($AA$2:AA140,AA140))-1,""))</f>
        <v/>
      </c>
      <c r="AC140" s="81" t="str">
        <f t="shared" si="243"/>
        <v/>
      </c>
      <c r="AD140" s="81" t="str">
        <f>IF(AC140="","",IFERROR((RANK(AC140,$AC$2:$AC$2028,1)+COUNTIF($AC$2:AC140,AC140))-1,""))</f>
        <v/>
      </c>
      <c r="AE140" s="144" t="str">
        <f t="shared" si="247"/>
        <v/>
      </c>
      <c r="AF140" s="144" t="str">
        <f>IF(AE140="","",SUM($AE$2:AE140))</f>
        <v/>
      </c>
    </row>
    <row r="141" spans="1:32" x14ac:dyDescent="0.35">
      <c r="N141" s="81" t="str">
        <f t="shared" si="245"/>
        <v/>
      </c>
      <c r="O141" s="82" t="str">
        <f t="shared" si="236"/>
        <v/>
      </c>
      <c r="P141" s="81" t="str">
        <f t="shared" si="246"/>
        <v/>
      </c>
      <c r="Q141" s="81" t="str">
        <f t="shared" si="237"/>
        <v/>
      </c>
      <c r="R141" s="83" t="str">
        <f t="shared" ca="1" si="238"/>
        <v/>
      </c>
      <c r="S141" s="81" t="str">
        <f t="shared" ca="1" si="239"/>
        <v/>
      </c>
      <c r="T141" s="81" t="str">
        <f ca="1">IF(S141=Dashboard!$D$12,S141,"")</f>
        <v/>
      </c>
      <c r="U141" s="81" t="str">
        <f t="shared" ca="1" si="240"/>
        <v/>
      </c>
      <c r="V141" s="83" t="str">
        <f ca="1">IF(U141="","",IFERROR((RANK(U141,$U$2:$U$2028,1)+COUNTIF($U$2:U141,U141))-1,""))</f>
        <v/>
      </c>
      <c r="W141" s="81" t="str">
        <f t="shared" si="244"/>
        <v/>
      </c>
      <c r="X141" s="81" t="str">
        <f>IF(W141="","",IFERROR((RANK(W141,$W$2:$W$2028,1)+COUNTIF($W$2:W141,W141))-1,""))</f>
        <v/>
      </c>
      <c r="Y141" s="81" t="str">
        <f t="shared" si="241"/>
        <v/>
      </c>
      <c r="Z141" s="81" t="str">
        <f>IF(Y141="","",IFERROR((RANK(Y141,$Y$2:$Y$2028,1)+COUNTIF($Y$2:Y141,Y141))-1,""))</f>
        <v/>
      </c>
      <c r="AA141" s="81" t="str">
        <f t="shared" si="242"/>
        <v/>
      </c>
      <c r="AB141" s="81" t="str">
        <f>IF(AA141="","",IFERROR((RANK(AA141,$AA$2:$AA$2028,1)+COUNTIF($AA$2:AA141,AA141))-1,""))</f>
        <v/>
      </c>
      <c r="AC141" s="81" t="str">
        <f t="shared" si="243"/>
        <v/>
      </c>
      <c r="AD141" s="81" t="str">
        <f>IF(AC141="","",IFERROR((RANK(AC141,$AC$2:$AC$2028,1)+COUNTIF($AC$2:AC141,AC141))-1,""))</f>
        <v/>
      </c>
      <c r="AE141" s="144" t="str">
        <f t="shared" si="247"/>
        <v/>
      </c>
      <c r="AF141" s="144" t="str">
        <f>IF(AE141="","",SUM($AE$2:AE141))</f>
        <v/>
      </c>
    </row>
    <row r="142" spans="1:32" x14ac:dyDescent="0.35">
      <c r="N142" s="134" t="str">
        <f t="shared" si="245"/>
        <v/>
      </c>
      <c r="O142" s="82" t="str">
        <f t="shared" si="236"/>
        <v/>
      </c>
      <c r="P142" s="81" t="str">
        <f t="shared" si="246"/>
        <v/>
      </c>
      <c r="Q142" s="81" t="str">
        <f t="shared" si="237"/>
        <v/>
      </c>
      <c r="R142" s="135" t="str">
        <f t="shared" ca="1" si="238"/>
        <v/>
      </c>
      <c r="S142" s="134" t="str">
        <f t="shared" ca="1" si="239"/>
        <v/>
      </c>
      <c r="T142" s="134" t="str">
        <f ca="1">IF(S142=Dashboard!$D$12,S142,"")</f>
        <v/>
      </c>
      <c r="U142" s="134" t="str">
        <f t="shared" ca="1" si="240"/>
        <v/>
      </c>
      <c r="V142" s="83" t="str">
        <f ca="1">IF(U142="","",IFERROR((RANK(U142,$U$2:$U$2028,1)+COUNTIF($U$2:U142,U142))-1,""))</f>
        <v/>
      </c>
      <c r="W142" s="134" t="str">
        <f t="shared" si="244"/>
        <v/>
      </c>
      <c r="X142" s="134" t="str">
        <f>IF(W142="","",IFERROR((RANK(W142,$W$2:$W$2028,1)+COUNTIF($W$2:W142,W142))-1,""))</f>
        <v/>
      </c>
      <c r="Y142" s="134" t="str">
        <f t="shared" si="241"/>
        <v/>
      </c>
      <c r="Z142" s="134" t="str">
        <f>IF(Y142="","",IFERROR((RANK(Y142,$Y$2:$Y$2028,1)+COUNTIF($Y$2:Y142,Y142))-1,""))</f>
        <v/>
      </c>
      <c r="AA142" s="134" t="str">
        <f t="shared" si="242"/>
        <v/>
      </c>
      <c r="AB142" s="134" t="str">
        <f>IF(AA142="","",IFERROR((RANK(AA142,$AA$2:$AA$2028,1)+COUNTIF($AA$2:AA142,AA142))-1,""))</f>
        <v/>
      </c>
      <c r="AC142" s="134" t="str">
        <f t="shared" si="243"/>
        <v/>
      </c>
      <c r="AD142" s="134" t="str">
        <f>IF(AC142="","",IFERROR((RANK(AC142,$AC$2:$AC$2028,1)+COUNTIF($AC$2:AC142,AC142))-1,""))</f>
        <v/>
      </c>
      <c r="AE142" s="144" t="str">
        <f t="shared" si="247"/>
        <v/>
      </c>
      <c r="AF142" s="144" t="str">
        <f>IF(AE142="","",SUM($AE$2:AE142))</f>
        <v/>
      </c>
    </row>
    <row r="143" spans="1:32" x14ac:dyDescent="0.35">
      <c r="N143" s="134" t="str">
        <f t="shared" si="245"/>
        <v/>
      </c>
      <c r="O143" s="82" t="str">
        <f t="shared" si="236"/>
        <v/>
      </c>
      <c r="P143" s="81" t="str">
        <f t="shared" si="246"/>
        <v/>
      </c>
      <c r="Q143" s="81" t="str">
        <f t="shared" si="237"/>
        <v/>
      </c>
      <c r="R143" s="135" t="str">
        <f t="shared" ca="1" si="238"/>
        <v/>
      </c>
      <c r="S143" s="134" t="str">
        <f t="shared" ca="1" si="239"/>
        <v/>
      </c>
      <c r="T143" s="134" t="str">
        <f ca="1">IF(S143=Dashboard!$D$12,S143,"")</f>
        <v/>
      </c>
      <c r="U143" s="134" t="str">
        <f t="shared" ca="1" si="240"/>
        <v/>
      </c>
      <c r="V143" s="83" t="str">
        <f ca="1">IF(U143="","",IFERROR((RANK(U143,$U$2:$U$2028,1)+COUNTIF($U$2:U143,U143))-1,""))</f>
        <v/>
      </c>
      <c r="W143" s="134" t="str">
        <f t="shared" si="244"/>
        <v/>
      </c>
      <c r="X143" s="134" t="str">
        <f>IF(W143="","",IFERROR((RANK(W143,$W$2:$W$2028,1)+COUNTIF($W$2:W143,W143))-1,""))</f>
        <v/>
      </c>
      <c r="Y143" s="134" t="str">
        <f t="shared" si="241"/>
        <v/>
      </c>
      <c r="Z143" s="134" t="str">
        <f>IF(Y143="","",IFERROR((RANK(Y143,$Y$2:$Y$2028,1)+COUNTIF($Y$2:Y143,Y143))-1,""))</f>
        <v/>
      </c>
      <c r="AA143" s="134" t="str">
        <f t="shared" si="242"/>
        <v/>
      </c>
      <c r="AB143" s="134" t="str">
        <f>IF(AA143="","",IFERROR((RANK(AA143,$AA$2:$AA$2028,1)+COUNTIF($AA$2:AA143,AA143))-1,""))</f>
        <v/>
      </c>
      <c r="AC143" s="134" t="str">
        <f t="shared" si="243"/>
        <v/>
      </c>
      <c r="AD143" s="134" t="str">
        <f>IF(AC143="","",IFERROR((RANK(AC143,$AC$2:$AC$2028,1)+COUNTIF($AC$2:AC143,AC143))-1,""))</f>
        <v/>
      </c>
      <c r="AE143" s="144" t="str">
        <f t="shared" si="247"/>
        <v/>
      </c>
      <c r="AF143" s="144" t="str">
        <f>IF(AE143="","",SUM($AE$2:AE143))</f>
        <v/>
      </c>
    </row>
    <row r="144" spans="1:32" x14ac:dyDescent="0.35">
      <c r="N144" s="134" t="str">
        <f t="shared" si="245"/>
        <v/>
      </c>
      <c r="O144" s="82" t="str">
        <f t="shared" si="236"/>
        <v/>
      </c>
      <c r="P144" s="81" t="str">
        <f t="shared" si="246"/>
        <v/>
      </c>
      <c r="Q144" s="81" t="str">
        <f t="shared" si="237"/>
        <v/>
      </c>
      <c r="R144" s="135" t="str">
        <f t="shared" ca="1" si="238"/>
        <v/>
      </c>
      <c r="S144" s="134" t="str">
        <f t="shared" ca="1" si="239"/>
        <v/>
      </c>
      <c r="T144" s="134" t="str">
        <f ca="1">IF(S144=Dashboard!$D$12,S144,"")</f>
        <v/>
      </c>
      <c r="U144" s="134" t="str">
        <f t="shared" ca="1" si="240"/>
        <v/>
      </c>
      <c r="V144" s="83" t="str">
        <f ca="1">IF(U144="","",IFERROR((RANK(U144,$U$2:$U$2028,1)+COUNTIF($U$2:U144,U144))-1,""))</f>
        <v/>
      </c>
      <c r="W144" s="134" t="str">
        <f t="shared" si="244"/>
        <v/>
      </c>
      <c r="X144" s="134" t="str">
        <f>IF(W144="","",IFERROR((RANK(W144,$W$2:$W$2028,1)+COUNTIF($W$2:W144,W144))-1,""))</f>
        <v/>
      </c>
      <c r="Y144" s="134" t="str">
        <f t="shared" si="241"/>
        <v/>
      </c>
      <c r="Z144" s="134" t="str">
        <f>IF(Y144="","",IFERROR((RANK(Y144,$Y$2:$Y$2028,1)+COUNTIF($Y$2:Y144,Y144))-1,""))</f>
        <v/>
      </c>
      <c r="AA144" s="134" t="str">
        <f t="shared" si="242"/>
        <v/>
      </c>
      <c r="AB144" s="134" t="str">
        <f>IF(AA144="","",IFERROR((RANK(AA144,$AA$2:$AA$2028,1)+COUNTIF($AA$2:AA144,AA144))-1,""))</f>
        <v/>
      </c>
      <c r="AC144" s="134" t="str">
        <f t="shared" si="243"/>
        <v/>
      </c>
      <c r="AD144" s="134" t="str">
        <f>IF(AC144="","",IFERROR((RANK(AC144,$AC$2:$AC$2028,1)+COUNTIF($AC$2:AC144,AC144))-1,""))</f>
        <v/>
      </c>
      <c r="AE144" s="144" t="str">
        <f t="shared" si="247"/>
        <v/>
      </c>
      <c r="AF144" s="144" t="str">
        <f>IF(AE144="","",SUM($AE$2:AE144))</f>
        <v/>
      </c>
    </row>
    <row r="145" spans="14:32" x14ac:dyDescent="0.35">
      <c r="N145" s="134" t="str">
        <f t="shared" si="245"/>
        <v/>
      </c>
      <c r="O145" s="82" t="str">
        <f t="shared" si="236"/>
        <v/>
      </c>
      <c r="P145" s="81" t="str">
        <f t="shared" si="246"/>
        <v/>
      </c>
      <c r="Q145" s="81" t="str">
        <f t="shared" si="237"/>
        <v/>
      </c>
      <c r="R145" s="135" t="str">
        <f t="shared" ca="1" si="238"/>
        <v/>
      </c>
      <c r="S145" s="134" t="str">
        <f t="shared" ca="1" si="239"/>
        <v/>
      </c>
      <c r="T145" s="134" t="str">
        <f ca="1">IF(S145=Dashboard!$D$12,S145,"")</f>
        <v/>
      </c>
      <c r="U145" s="134" t="str">
        <f t="shared" ca="1" si="240"/>
        <v/>
      </c>
      <c r="V145" s="83" t="str">
        <f ca="1">IF(U145="","",IFERROR((RANK(U145,$U$2:$U$2028,1)+COUNTIF($U$2:U145,U145))-1,""))</f>
        <v/>
      </c>
      <c r="W145" s="134" t="str">
        <f t="shared" si="244"/>
        <v/>
      </c>
      <c r="X145" s="134" t="str">
        <f>IF(W145="","",IFERROR((RANK(W145,$W$2:$W$2028,1)+COUNTIF($W$2:W145,W145))-1,""))</f>
        <v/>
      </c>
      <c r="Y145" s="134" t="str">
        <f t="shared" si="241"/>
        <v/>
      </c>
      <c r="Z145" s="134" t="str">
        <f>IF(Y145="","",IFERROR((RANK(Y145,$Y$2:$Y$2028,1)+COUNTIF($Y$2:Y145,Y145))-1,""))</f>
        <v/>
      </c>
      <c r="AA145" s="134" t="str">
        <f t="shared" si="242"/>
        <v/>
      </c>
      <c r="AB145" s="134" t="str">
        <f>IF(AA145="","",IFERROR((RANK(AA145,$AA$2:$AA$2028,1)+COUNTIF($AA$2:AA145,AA145))-1,""))</f>
        <v/>
      </c>
      <c r="AC145" s="134" t="str">
        <f t="shared" si="243"/>
        <v/>
      </c>
      <c r="AD145" s="134" t="str">
        <f>IF(AC145="","",IFERROR((RANK(AC145,$AC$2:$AC$2028,1)+COUNTIF($AC$2:AC145,AC145))-1,""))</f>
        <v/>
      </c>
      <c r="AE145" s="144" t="str">
        <f t="shared" si="247"/>
        <v/>
      </c>
      <c r="AF145" s="144" t="str">
        <f>IF(AE145="","",SUM($AE$2:AE145))</f>
        <v/>
      </c>
    </row>
    <row r="146" spans="14:32" x14ac:dyDescent="0.35">
      <c r="N146" s="134" t="str">
        <f t="shared" si="245"/>
        <v/>
      </c>
      <c r="O146" s="82" t="str">
        <f t="shared" si="236"/>
        <v/>
      </c>
      <c r="P146" s="81" t="str">
        <f t="shared" si="246"/>
        <v/>
      </c>
      <c r="Q146" s="81" t="str">
        <f t="shared" si="237"/>
        <v/>
      </c>
      <c r="R146" s="135" t="str">
        <f t="shared" ca="1" si="238"/>
        <v/>
      </c>
      <c r="S146" s="134" t="str">
        <f t="shared" ca="1" si="239"/>
        <v/>
      </c>
      <c r="T146" s="134" t="str">
        <f ca="1">IF(S146=Dashboard!$D$12,S146,"")</f>
        <v/>
      </c>
      <c r="U146" s="134" t="str">
        <f t="shared" ca="1" si="240"/>
        <v/>
      </c>
      <c r="V146" s="83" t="str">
        <f ca="1">IF(U146="","",IFERROR((RANK(U146,$U$2:$U$2028,1)+COUNTIF($U$2:U146,U146))-1,""))</f>
        <v/>
      </c>
      <c r="W146" s="134" t="str">
        <f t="shared" si="244"/>
        <v/>
      </c>
      <c r="X146" s="134" t="str">
        <f>IF(W146="","",IFERROR((RANK(W146,$W$2:$W$2028,1)+COUNTIF($W$2:W146,W146))-1,""))</f>
        <v/>
      </c>
      <c r="Y146" s="134" t="str">
        <f t="shared" si="241"/>
        <v/>
      </c>
      <c r="Z146" s="134" t="str">
        <f>IF(Y146="","",IFERROR((RANK(Y146,$Y$2:$Y$2028,1)+COUNTIF($Y$2:Y146,Y146))-1,""))</f>
        <v/>
      </c>
      <c r="AA146" s="134" t="str">
        <f t="shared" si="242"/>
        <v/>
      </c>
      <c r="AB146" s="134" t="str">
        <f>IF(AA146="","",IFERROR((RANK(AA146,$AA$2:$AA$2028,1)+COUNTIF($AA$2:AA146,AA146))-1,""))</f>
        <v/>
      </c>
      <c r="AC146" s="134" t="str">
        <f t="shared" si="243"/>
        <v/>
      </c>
      <c r="AD146" s="134" t="str">
        <f>IF(AC146="","",IFERROR((RANK(AC146,$AC$2:$AC$2028,1)+COUNTIF($AC$2:AC146,AC146))-1,""))</f>
        <v/>
      </c>
      <c r="AE146" s="144" t="str">
        <f t="shared" si="247"/>
        <v/>
      </c>
      <c r="AF146" s="144" t="str">
        <f>IF(AE146="","",SUM($AE$2:AE146))</f>
        <v/>
      </c>
    </row>
    <row r="147" spans="14:32" x14ac:dyDescent="0.35">
      <c r="N147" s="134" t="str">
        <f t="shared" si="245"/>
        <v/>
      </c>
      <c r="O147" s="82" t="str">
        <f t="shared" si="236"/>
        <v/>
      </c>
      <c r="P147" s="81" t="str">
        <f t="shared" si="246"/>
        <v/>
      </c>
      <c r="Q147" s="81" t="str">
        <f t="shared" si="237"/>
        <v/>
      </c>
      <c r="R147" s="135" t="str">
        <f t="shared" ca="1" si="238"/>
        <v/>
      </c>
      <c r="S147" s="134" t="str">
        <f t="shared" ca="1" si="239"/>
        <v/>
      </c>
      <c r="T147" s="134" t="str">
        <f ca="1">IF(S147=Dashboard!$D$12,S147,"")</f>
        <v/>
      </c>
      <c r="U147" s="134" t="str">
        <f t="shared" ca="1" si="240"/>
        <v/>
      </c>
      <c r="V147" s="83" t="str">
        <f ca="1">IF(U147="","",IFERROR((RANK(U147,$U$2:$U$2028,1)+COUNTIF($U$2:U147,U147))-1,""))</f>
        <v/>
      </c>
      <c r="W147" s="134" t="str">
        <f t="shared" si="244"/>
        <v/>
      </c>
      <c r="X147" s="134" t="str">
        <f>IF(W147="","",IFERROR((RANK(W147,$W$2:$W$2028,1)+COUNTIF($W$2:W147,W147))-1,""))</f>
        <v/>
      </c>
      <c r="Y147" s="134" t="str">
        <f t="shared" si="241"/>
        <v/>
      </c>
      <c r="Z147" s="134" t="str">
        <f>IF(Y147="","",IFERROR((RANK(Y147,$Y$2:$Y$2028,1)+COUNTIF($Y$2:Y147,Y147))-1,""))</f>
        <v/>
      </c>
      <c r="AA147" s="134" t="str">
        <f t="shared" si="242"/>
        <v/>
      </c>
      <c r="AB147" s="134" t="str">
        <f>IF(AA147="","",IFERROR((RANK(AA147,$AA$2:$AA$2028,1)+COUNTIF($AA$2:AA147,AA147))-1,""))</f>
        <v/>
      </c>
      <c r="AC147" s="134" t="str">
        <f t="shared" si="243"/>
        <v/>
      </c>
      <c r="AD147" s="134" t="str">
        <f>IF(AC147="","",IFERROR((RANK(AC147,$AC$2:$AC$2028,1)+COUNTIF($AC$2:AC147,AC147))-1,""))</f>
        <v/>
      </c>
      <c r="AE147" s="144" t="str">
        <f t="shared" si="247"/>
        <v/>
      </c>
      <c r="AF147" s="144" t="str">
        <f>IF(AE147="","",SUM($AE$2:AE147))</f>
        <v/>
      </c>
    </row>
    <row r="148" spans="14:32" x14ac:dyDescent="0.35">
      <c r="N148" s="134" t="str">
        <f t="shared" si="245"/>
        <v/>
      </c>
      <c r="O148" s="82" t="str">
        <f t="shared" si="236"/>
        <v/>
      </c>
      <c r="P148" s="81" t="str">
        <f t="shared" si="246"/>
        <v/>
      </c>
      <c r="Q148" s="81" t="str">
        <f t="shared" si="237"/>
        <v/>
      </c>
      <c r="R148" s="135" t="str">
        <f t="shared" ca="1" si="238"/>
        <v/>
      </c>
      <c r="S148" s="134" t="str">
        <f t="shared" ca="1" si="239"/>
        <v/>
      </c>
      <c r="T148" s="134" t="str">
        <f ca="1">IF(S148=Dashboard!$D$12,S148,"")</f>
        <v/>
      </c>
      <c r="U148" s="134" t="str">
        <f t="shared" ca="1" si="240"/>
        <v/>
      </c>
      <c r="V148" s="83" t="str">
        <f ca="1">IF(U148="","",IFERROR((RANK(U148,$U$2:$U$2028,1)+COUNTIF($U$2:U148,U148))-1,""))</f>
        <v/>
      </c>
      <c r="W148" s="134" t="str">
        <f t="shared" si="244"/>
        <v/>
      </c>
      <c r="X148" s="134" t="str">
        <f>IF(W148="","",IFERROR((RANK(W148,$W$2:$W$2028,1)+COUNTIF($W$2:W148,W148))-1,""))</f>
        <v/>
      </c>
      <c r="Y148" s="134" t="str">
        <f t="shared" si="241"/>
        <v/>
      </c>
      <c r="Z148" s="134" t="str">
        <f>IF(Y148="","",IFERROR((RANK(Y148,$Y$2:$Y$2028,1)+COUNTIF($Y$2:Y148,Y148))-1,""))</f>
        <v/>
      </c>
      <c r="AA148" s="134" t="str">
        <f t="shared" si="242"/>
        <v/>
      </c>
      <c r="AB148" s="134" t="str">
        <f>IF(AA148="","",IFERROR((RANK(AA148,$AA$2:$AA$2028,1)+COUNTIF($AA$2:AA148,AA148))-1,""))</f>
        <v/>
      </c>
      <c r="AC148" s="134" t="str">
        <f t="shared" si="243"/>
        <v/>
      </c>
      <c r="AD148" s="134" t="str">
        <f>IF(AC148="","",IFERROR((RANK(AC148,$AC$2:$AC$2028,1)+COUNTIF($AC$2:AC148,AC148))-1,""))</f>
        <v/>
      </c>
      <c r="AE148" s="144" t="str">
        <f t="shared" si="247"/>
        <v/>
      </c>
      <c r="AF148" s="144" t="str">
        <f>IF(AE148="","",SUM($AE$2:AE148))</f>
        <v/>
      </c>
    </row>
    <row r="149" spans="14:32" x14ac:dyDescent="0.35">
      <c r="N149" s="134" t="str">
        <f t="shared" si="245"/>
        <v/>
      </c>
      <c r="O149" s="82" t="str">
        <f t="shared" si="236"/>
        <v/>
      </c>
      <c r="P149" s="81" t="str">
        <f t="shared" si="246"/>
        <v/>
      </c>
      <c r="Q149" s="81" t="str">
        <f t="shared" si="237"/>
        <v/>
      </c>
      <c r="R149" s="135" t="str">
        <f t="shared" ca="1" si="238"/>
        <v/>
      </c>
      <c r="S149" s="134" t="str">
        <f t="shared" ca="1" si="239"/>
        <v/>
      </c>
      <c r="T149" s="134" t="str">
        <f ca="1">IF(S149=Dashboard!$D$12,S149,"")</f>
        <v/>
      </c>
      <c r="U149" s="134" t="str">
        <f t="shared" ca="1" si="240"/>
        <v/>
      </c>
      <c r="V149" s="83" t="str">
        <f ca="1">IF(U149="","",IFERROR((RANK(U149,$U$2:$U$2028,1)+COUNTIF($U$2:U149,U149))-1,""))</f>
        <v/>
      </c>
      <c r="W149" s="134" t="str">
        <f t="shared" si="244"/>
        <v/>
      </c>
      <c r="X149" s="134" t="str">
        <f>IF(W149="","",IFERROR((RANK(W149,$W$2:$W$2028,1)+COUNTIF($W$2:W149,W149))-1,""))</f>
        <v/>
      </c>
      <c r="Y149" s="134" t="str">
        <f t="shared" si="241"/>
        <v/>
      </c>
      <c r="Z149" s="134" t="str">
        <f>IF(Y149="","",IFERROR((RANK(Y149,$Y$2:$Y$2028,1)+COUNTIF($Y$2:Y149,Y149))-1,""))</f>
        <v/>
      </c>
      <c r="AA149" s="134" t="str">
        <f t="shared" si="242"/>
        <v/>
      </c>
      <c r="AB149" s="134" t="str">
        <f>IF(AA149="","",IFERROR((RANK(AA149,$AA$2:$AA$2028,1)+COUNTIF($AA$2:AA149,AA149))-1,""))</f>
        <v/>
      </c>
      <c r="AC149" s="134" t="str">
        <f t="shared" si="243"/>
        <v/>
      </c>
      <c r="AD149" s="134" t="str">
        <f>IF(AC149="","",IFERROR((RANK(AC149,$AC$2:$AC$2028,1)+COUNTIF($AC$2:AC149,AC149))-1,""))</f>
        <v/>
      </c>
      <c r="AE149" s="144" t="str">
        <f t="shared" si="247"/>
        <v/>
      </c>
      <c r="AF149" s="144" t="str">
        <f>IF(AE149="","",SUM($AE$2:AE149))</f>
        <v/>
      </c>
    </row>
    <row r="150" spans="14:32" x14ac:dyDescent="0.35">
      <c r="N150" s="134" t="str">
        <f t="shared" si="245"/>
        <v/>
      </c>
      <c r="O150" s="82" t="str">
        <f t="shared" si="236"/>
        <v/>
      </c>
      <c r="P150" s="81" t="str">
        <f t="shared" si="246"/>
        <v/>
      </c>
      <c r="Q150" s="81" t="str">
        <f t="shared" si="237"/>
        <v/>
      </c>
      <c r="R150" s="135" t="str">
        <f t="shared" ca="1" si="238"/>
        <v/>
      </c>
      <c r="S150" s="134" t="str">
        <f t="shared" ca="1" si="239"/>
        <v/>
      </c>
      <c r="T150" s="134" t="str">
        <f ca="1">IF(S150=Dashboard!$D$12,S150,"")</f>
        <v/>
      </c>
      <c r="U150" s="134" t="str">
        <f t="shared" ca="1" si="240"/>
        <v/>
      </c>
      <c r="V150" s="83" t="str">
        <f ca="1">IF(U150="","",IFERROR((RANK(U150,$U$2:$U$2028,1)+COUNTIF($U$2:U150,U150))-1,""))</f>
        <v/>
      </c>
      <c r="W150" s="134" t="str">
        <f t="shared" si="244"/>
        <v/>
      </c>
      <c r="X150" s="134" t="str">
        <f>IF(W150="","",IFERROR((RANK(W150,$W$2:$W$2028,1)+COUNTIF($W$2:W150,W150))-1,""))</f>
        <v/>
      </c>
      <c r="Y150" s="134" t="str">
        <f t="shared" si="241"/>
        <v/>
      </c>
      <c r="Z150" s="134" t="str">
        <f>IF(Y150="","",IFERROR((RANK(Y150,$Y$2:$Y$2028,1)+COUNTIF($Y$2:Y150,Y150))-1,""))</f>
        <v/>
      </c>
      <c r="AA150" s="134" t="str">
        <f t="shared" si="242"/>
        <v/>
      </c>
      <c r="AB150" s="134" t="str">
        <f>IF(AA150="","",IFERROR((RANK(AA150,$AA$2:$AA$2028,1)+COUNTIF($AA$2:AA150,AA150))-1,""))</f>
        <v/>
      </c>
      <c r="AC150" s="134" t="str">
        <f t="shared" si="243"/>
        <v/>
      </c>
      <c r="AD150" s="134" t="str">
        <f>IF(AC150="","",IFERROR((RANK(AC150,$AC$2:$AC$2028,1)+COUNTIF($AC$2:AC150,AC150))-1,""))</f>
        <v/>
      </c>
      <c r="AE150" s="144" t="str">
        <f t="shared" si="247"/>
        <v/>
      </c>
      <c r="AF150" s="144" t="str">
        <f>IF(AE150="","",SUM($AE$2:AE150))</f>
        <v/>
      </c>
    </row>
    <row r="151" spans="14:32" x14ac:dyDescent="0.35">
      <c r="N151" s="134" t="str">
        <f t="shared" si="245"/>
        <v/>
      </c>
      <c r="O151" s="82" t="str">
        <f t="shared" si="236"/>
        <v/>
      </c>
      <c r="P151" s="81" t="str">
        <f t="shared" si="246"/>
        <v/>
      </c>
      <c r="Q151" s="81" t="str">
        <f t="shared" si="237"/>
        <v/>
      </c>
      <c r="R151" s="135" t="str">
        <f t="shared" ca="1" si="238"/>
        <v/>
      </c>
      <c r="S151" s="134" t="str">
        <f t="shared" ca="1" si="239"/>
        <v/>
      </c>
      <c r="T151" s="134" t="str">
        <f ca="1">IF(S151=Dashboard!$D$12,S151,"")</f>
        <v/>
      </c>
      <c r="U151" s="134" t="str">
        <f t="shared" ca="1" si="240"/>
        <v/>
      </c>
      <c r="V151" s="83" t="str">
        <f ca="1">IF(U151="","",IFERROR((RANK(U151,$U$2:$U$2028,1)+COUNTIF($U$2:U151,U151))-1,""))</f>
        <v/>
      </c>
      <c r="W151" s="134" t="str">
        <f t="shared" si="244"/>
        <v/>
      </c>
      <c r="X151" s="134" t="str">
        <f>IF(W151="","",IFERROR((RANK(W151,$W$2:$W$2028,1)+COUNTIF($W$2:W151,W151))-1,""))</f>
        <v/>
      </c>
      <c r="Y151" s="134" t="str">
        <f t="shared" si="241"/>
        <v/>
      </c>
      <c r="Z151" s="134" t="str">
        <f>IF(Y151="","",IFERROR((RANK(Y151,$Y$2:$Y$2028,1)+COUNTIF($Y$2:Y151,Y151))-1,""))</f>
        <v/>
      </c>
      <c r="AA151" s="134" t="str">
        <f t="shared" si="242"/>
        <v/>
      </c>
      <c r="AB151" s="134" t="str">
        <f>IF(AA151="","",IFERROR((RANK(AA151,$AA$2:$AA$2028,1)+COUNTIF($AA$2:AA151,AA151))-1,""))</f>
        <v/>
      </c>
      <c r="AC151" s="134" t="str">
        <f t="shared" si="243"/>
        <v/>
      </c>
      <c r="AD151" s="134" t="str">
        <f>IF(AC151="","",IFERROR((RANK(AC151,$AC$2:$AC$2028,1)+COUNTIF($AC$2:AC151,AC151))-1,""))</f>
        <v/>
      </c>
      <c r="AE151" s="144" t="str">
        <f t="shared" si="247"/>
        <v/>
      </c>
      <c r="AF151" s="144" t="str">
        <f>IF(AE151="","",SUM($AE$2:AE151))</f>
        <v/>
      </c>
    </row>
    <row r="152" spans="14:32" x14ac:dyDescent="0.35">
      <c r="N152" s="134" t="str">
        <f t="shared" si="245"/>
        <v/>
      </c>
      <c r="O152" s="82" t="str">
        <f t="shared" si="236"/>
        <v/>
      </c>
      <c r="P152" s="81" t="str">
        <f t="shared" si="246"/>
        <v/>
      </c>
      <c r="Q152" s="81" t="str">
        <f t="shared" si="237"/>
        <v/>
      </c>
      <c r="R152" s="135" t="str">
        <f t="shared" ca="1" si="238"/>
        <v/>
      </c>
      <c r="S152" s="134" t="str">
        <f t="shared" ca="1" si="239"/>
        <v/>
      </c>
      <c r="T152" s="134" t="str">
        <f ca="1">IF(S152=Dashboard!$D$12,S152,"")</f>
        <v/>
      </c>
      <c r="U152" s="134" t="str">
        <f t="shared" ca="1" si="240"/>
        <v/>
      </c>
      <c r="V152" s="83" t="str">
        <f ca="1">IF(U152="","",IFERROR((RANK(U152,$U$2:$U$2028,1)+COUNTIF($U$2:U152,U152))-1,""))</f>
        <v/>
      </c>
      <c r="W152" s="134" t="str">
        <f t="shared" si="244"/>
        <v/>
      </c>
      <c r="X152" s="134" t="str">
        <f>IF(W152="","",IFERROR((RANK(W152,$W$2:$W$2028,1)+COUNTIF($W$2:W152,W152))-1,""))</f>
        <v/>
      </c>
      <c r="Y152" s="134" t="str">
        <f t="shared" si="241"/>
        <v/>
      </c>
      <c r="Z152" s="134" t="str">
        <f>IF(Y152="","",IFERROR((RANK(Y152,$Y$2:$Y$2028,1)+COUNTIF($Y$2:Y152,Y152))-1,""))</f>
        <v/>
      </c>
      <c r="AA152" s="134" t="str">
        <f t="shared" si="242"/>
        <v/>
      </c>
      <c r="AB152" s="134" t="str">
        <f>IF(AA152="","",IFERROR((RANK(AA152,$AA$2:$AA$2028,1)+COUNTIF($AA$2:AA152,AA152))-1,""))</f>
        <v/>
      </c>
      <c r="AC152" s="134" t="str">
        <f t="shared" si="243"/>
        <v/>
      </c>
      <c r="AD152" s="134" t="str">
        <f>IF(AC152="","",IFERROR((RANK(AC152,$AC$2:$AC$2028,1)+COUNTIF($AC$2:AC152,AC152))-1,""))</f>
        <v/>
      </c>
      <c r="AE152" s="144" t="str">
        <f t="shared" si="247"/>
        <v/>
      </c>
      <c r="AF152" s="144" t="str">
        <f>IF(AE152="","",SUM($AE$2:AE152))</f>
        <v/>
      </c>
    </row>
    <row r="153" spans="14:32" x14ac:dyDescent="0.35">
      <c r="N153" s="134" t="str">
        <f t="shared" si="245"/>
        <v/>
      </c>
      <c r="O153" s="82" t="str">
        <f t="shared" si="236"/>
        <v/>
      </c>
      <c r="P153" s="81" t="str">
        <f t="shared" si="246"/>
        <v/>
      </c>
      <c r="Q153" s="81" t="str">
        <f t="shared" si="237"/>
        <v/>
      </c>
      <c r="R153" s="135" t="str">
        <f t="shared" ca="1" si="238"/>
        <v/>
      </c>
      <c r="S153" s="134" t="str">
        <f t="shared" ca="1" si="239"/>
        <v/>
      </c>
      <c r="T153" s="134" t="str">
        <f ca="1">IF(S153=Dashboard!$D$12,S153,"")</f>
        <v/>
      </c>
      <c r="U153" s="134" t="str">
        <f t="shared" ca="1" si="240"/>
        <v/>
      </c>
      <c r="V153" s="83" t="str">
        <f ca="1">IF(U153="","",IFERROR((RANK(U153,$U$2:$U$2028,1)+COUNTIF($U$2:U153,U153))-1,""))</f>
        <v/>
      </c>
      <c r="W153" s="134" t="str">
        <f t="shared" si="244"/>
        <v/>
      </c>
      <c r="X153" s="134" t="str">
        <f>IF(W153="","",IFERROR((RANK(W153,$W$2:$W$2028,1)+COUNTIF($W$2:W153,W153))-1,""))</f>
        <v/>
      </c>
      <c r="Y153" s="134" t="str">
        <f t="shared" si="241"/>
        <v/>
      </c>
      <c r="Z153" s="134" t="str">
        <f>IF(Y153="","",IFERROR((RANK(Y153,$Y$2:$Y$2028,1)+COUNTIF($Y$2:Y153,Y153))-1,""))</f>
        <v/>
      </c>
      <c r="AA153" s="134" t="str">
        <f t="shared" si="242"/>
        <v/>
      </c>
      <c r="AB153" s="134" t="str">
        <f>IF(AA153="","",IFERROR((RANK(AA153,$AA$2:$AA$2028,1)+COUNTIF($AA$2:AA153,AA153))-1,""))</f>
        <v/>
      </c>
      <c r="AC153" s="134" t="str">
        <f t="shared" si="243"/>
        <v/>
      </c>
      <c r="AD153" s="134" t="str">
        <f>IF(AC153="","",IFERROR((RANK(AC153,$AC$2:$AC$2028,1)+COUNTIF($AC$2:AC153,AC153))-1,""))</f>
        <v/>
      </c>
      <c r="AE153" s="144" t="str">
        <f t="shared" si="247"/>
        <v/>
      </c>
      <c r="AF153" s="144" t="str">
        <f>IF(AE153="","",SUM($AE$2:AE153))</f>
        <v/>
      </c>
    </row>
    <row r="154" spans="14:32" x14ac:dyDescent="0.35">
      <c r="N154" s="134" t="str">
        <f t="shared" si="245"/>
        <v/>
      </c>
      <c r="O154" s="82" t="str">
        <f t="shared" si="236"/>
        <v/>
      </c>
      <c r="P154" s="81" t="str">
        <f t="shared" si="246"/>
        <v/>
      </c>
      <c r="Q154" s="81" t="str">
        <f t="shared" si="237"/>
        <v/>
      </c>
      <c r="R154" s="135" t="str">
        <f t="shared" ca="1" si="238"/>
        <v/>
      </c>
      <c r="S154" s="134" t="str">
        <f t="shared" ca="1" si="239"/>
        <v/>
      </c>
      <c r="T154" s="134" t="str">
        <f ca="1">IF(S154=Dashboard!$D$12,S154,"")</f>
        <v/>
      </c>
      <c r="U154" s="134" t="str">
        <f t="shared" ca="1" si="240"/>
        <v/>
      </c>
      <c r="V154" s="83" t="str">
        <f ca="1">IF(U154="","",IFERROR((RANK(U154,$U$2:$U$2028,1)+COUNTIF($U$2:U154,U154))-1,""))</f>
        <v/>
      </c>
      <c r="W154" s="134" t="str">
        <f t="shared" si="244"/>
        <v/>
      </c>
      <c r="X154" s="134" t="str">
        <f>IF(W154="","",IFERROR((RANK(W154,$W$2:$W$2028,1)+COUNTIF($W$2:W154,W154))-1,""))</f>
        <v/>
      </c>
      <c r="Y154" s="134" t="str">
        <f t="shared" si="241"/>
        <v/>
      </c>
      <c r="Z154" s="134" t="str">
        <f>IF(Y154="","",IFERROR((RANK(Y154,$Y$2:$Y$2028,1)+COUNTIF($Y$2:Y154,Y154))-1,""))</f>
        <v/>
      </c>
      <c r="AA154" s="134" t="str">
        <f t="shared" si="242"/>
        <v/>
      </c>
      <c r="AB154" s="134" t="str">
        <f>IF(AA154="","",IFERROR((RANK(AA154,$AA$2:$AA$2028,1)+COUNTIF($AA$2:AA154,AA154))-1,""))</f>
        <v/>
      </c>
      <c r="AC154" s="134" t="str">
        <f t="shared" si="243"/>
        <v/>
      </c>
      <c r="AD154" s="134" t="str">
        <f>IF(AC154="","",IFERROR((RANK(AC154,$AC$2:$AC$2028,1)+COUNTIF($AC$2:AC154,AC154))-1,""))</f>
        <v/>
      </c>
      <c r="AE154" s="144" t="str">
        <f t="shared" si="247"/>
        <v/>
      </c>
      <c r="AF154" s="144" t="str">
        <f>IF(AE154="","",SUM($AE$2:AE154))</f>
        <v/>
      </c>
    </row>
    <row r="155" spans="14:32" x14ac:dyDescent="0.35">
      <c r="N155" s="134" t="str">
        <f t="shared" si="245"/>
        <v/>
      </c>
      <c r="O155" s="82" t="str">
        <f t="shared" si="236"/>
        <v/>
      </c>
      <c r="P155" s="81" t="str">
        <f t="shared" si="246"/>
        <v/>
      </c>
      <c r="Q155" s="81" t="str">
        <f t="shared" si="237"/>
        <v/>
      </c>
      <c r="R155" s="135" t="str">
        <f t="shared" ca="1" si="238"/>
        <v/>
      </c>
      <c r="S155" s="134" t="str">
        <f t="shared" ca="1" si="239"/>
        <v/>
      </c>
      <c r="T155" s="134" t="str">
        <f ca="1">IF(S155=Dashboard!$D$12,S155,"")</f>
        <v/>
      </c>
      <c r="U155" s="134" t="str">
        <f t="shared" ca="1" si="240"/>
        <v/>
      </c>
      <c r="V155" s="83" t="str">
        <f ca="1">IF(U155="","",IFERROR((RANK(U155,$U$2:$U$2028,1)+COUNTIF($U$2:U155,U155))-1,""))</f>
        <v/>
      </c>
      <c r="W155" s="134" t="str">
        <f t="shared" si="244"/>
        <v/>
      </c>
      <c r="X155" s="134" t="str">
        <f>IF(W155="","",IFERROR((RANK(W155,$W$2:$W$2028,1)+COUNTIF($W$2:W155,W155))-1,""))</f>
        <v/>
      </c>
      <c r="Y155" s="134" t="str">
        <f t="shared" si="241"/>
        <v/>
      </c>
      <c r="Z155" s="134" t="str">
        <f>IF(Y155="","",IFERROR((RANK(Y155,$Y$2:$Y$2028,1)+COUNTIF($Y$2:Y155,Y155))-1,""))</f>
        <v/>
      </c>
      <c r="AA155" s="134" t="str">
        <f t="shared" si="242"/>
        <v/>
      </c>
      <c r="AB155" s="134" t="str">
        <f>IF(AA155="","",IFERROR((RANK(AA155,$AA$2:$AA$2028,1)+COUNTIF($AA$2:AA155,AA155))-1,""))</f>
        <v/>
      </c>
      <c r="AC155" s="134" t="str">
        <f t="shared" si="243"/>
        <v/>
      </c>
      <c r="AD155" s="134" t="str">
        <f>IF(AC155="","",IFERROR((RANK(AC155,$AC$2:$AC$2028,1)+COUNTIF($AC$2:AC155,AC155))-1,""))</f>
        <v/>
      </c>
      <c r="AE155" s="144" t="str">
        <f t="shared" si="247"/>
        <v/>
      </c>
      <c r="AF155" s="144" t="str">
        <f>IF(AE155="","",SUM($AE$2:AE155))</f>
        <v/>
      </c>
    </row>
    <row r="156" spans="14:32" x14ac:dyDescent="0.35">
      <c r="N156" s="134" t="str">
        <f t="shared" si="245"/>
        <v/>
      </c>
      <c r="O156" s="82" t="str">
        <f t="shared" si="236"/>
        <v/>
      </c>
      <c r="P156" s="81" t="str">
        <f t="shared" si="246"/>
        <v/>
      </c>
      <c r="Q156" s="81" t="str">
        <f t="shared" si="237"/>
        <v/>
      </c>
      <c r="R156" s="135" t="str">
        <f t="shared" ca="1" si="238"/>
        <v/>
      </c>
      <c r="S156" s="134" t="str">
        <f t="shared" ca="1" si="239"/>
        <v/>
      </c>
      <c r="T156" s="134" t="str">
        <f ca="1">IF(S156=Dashboard!$D$12,S156,"")</f>
        <v/>
      </c>
      <c r="U156" s="134" t="str">
        <f t="shared" ca="1" si="240"/>
        <v/>
      </c>
      <c r="V156" s="83" t="str">
        <f ca="1">IF(U156="","",IFERROR((RANK(U156,$U$2:$U$2028,1)+COUNTIF($U$2:U156,U156))-1,""))</f>
        <v/>
      </c>
      <c r="W156" s="134" t="str">
        <f t="shared" si="244"/>
        <v/>
      </c>
      <c r="X156" s="134" t="str">
        <f>IF(W156="","",IFERROR((RANK(W156,$W$2:$W$2028,1)+COUNTIF($W$2:W156,W156))-1,""))</f>
        <v/>
      </c>
      <c r="Y156" s="134" t="str">
        <f t="shared" si="241"/>
        <v/>
      </c>
      <c r="Z156" s="134" t="str">
        <f>IF(Y156="","",IFERROR((RANK(Y156,$Y$2:$Y$2028,1)+COUNTIF($Y$2:Y156,Y156))-1,""))</f>
        <v/>
      </c>
      <c r="AA156" s="134" t="str">
        <f t="shared" si="242"/>
        <v/>
      </c>
      <c r="AB156" s="134" t="str">
        <f>IF(AA156="","",IFERROR((RANK(AA156,$AA$2:$AA$2028,1)+COUNTIF($AA$2:AA156,AA156))-1,""))</f>
        <v/>
      </c>
      <c r="AC156" s="134" t="str">
        <f t="shared" si="243"/>
        <v/>
      </c>
      <c r="AD156" s="134" t="str">
        <f>IF(AC156="","",IFERROR((RANK(AC156,$AC$2:$AC$2028,1)+COUNTIF($AC$2:AC156,AC156))-1,""))</f>
        <v/>
      </c>
      <c r="AE156" s="144" t="str">
        <f t="shared" si="247"/>
        <v/>
      </c>
      <c r="AF156" s="144" t="str">
        <f>IF(AE156="","",SUM($AE$2:AE156))</f>
        <v/>
      </c>
    </row>
    <row r="157" spans="14:32" x14ac:dyDescent="0.35">
      <c r="N157" s="134" t="str">
        <f t="shared" si="245"/>
        <v/>
      </c>
      <c r="O157" s="82" t="str">
        <f t="shared" si="236"/>
        <v/>
      </c>
      <c r="P157" s="81" t="str">
        <f t="shared" si="246"/>
        <v/>
      </c>
      <c r="Q157" s="81" t="str">
        <f t="shared" si="237"/>
        <v/>
      </c>
      <c r="R157" s="135" t="str">
        <f t="shared" ca="1" si="238"/>
        <v/>
      </c>
      <c r="S157" s="134" t="str">
        <f t="shared" ca="1" si="239"/>
        <v/>
      </c>
      <c r="T157" s="134" t="str">
        <f ca="1">IF(S157=Dashboard!$D$12,S157,"")</f>
        <v/>
      </c>
      <c r="U157" s="134" t="str">
        <f t="shared" ca="1" si="240"/>
        <v/>
      </c>
      <c r="V157" s="83" t="str">
        <f ca="1">IF(U157="","",IFERROR((RANK(U157,$U$2:$U$2028,1)+COUNTIF($U$2:U157,U157))-1,""))</f>
        <v/>
      </c>
      <c r="W157" s="134" t="str">
        <f t="shared" si="244"/>
        <v/>
      </c>
      <c r="X157" s="134" t="str">
        <f>IF(W157="","",IFERROR((RANK(W157,$W$2:$W$2028,1)+COUNTIF($W$2:W157,W157))-1,""))</f>
        <v/>
      </c>
      <c r="Y157" s="134" t="str">
        <f t="shared" si="241"/>
        <v/>
      </c>
      <c r="Z157" s="134" t="str">
        <f>IF(Y157="","",IFERROR((RANK(Y157,$Y$2:$Y$2028,1)+COUNTIF($Y$2:Y157,Y157))-1,""))</f>
        <v/>
      </c>
      <c r="AA157" s="134" t="str">
        <f t="shared" si="242"/>
        <v/>
      </c>
      <c r="AB157" s="134" t="str">
        <f>IF(AA157="","",IFERROR((RANK(AA157,$AA$2:$AA$2028,1)+COUNTIF($AA$2:AA157,AA157))-1,""))</f>
        <v/>
      </c>
      <c r="AC157" s="134" t="str">
        <f t="shared" si="243"/>
        <v/>
      </c>
      <c r="AD157" s="134" t="str">
        <f>IF(AC157="","",IFERROR((RANK(AC157,$AC$2:$AC$2028,1)+COUNTIF($AC$2:AC157,AC157))-1,""))</f>
        <v/>
      </c>
      <c r="AE157" s="144" t="str">
        <f t="shared" si="247"/>
        <v/>
      </c>
      <c r="AF157" s="144" t="str">
        <f>IF(AE157="","",SUM($AE$2:AE157))</f>
        <v/>
      </c>
    </row>
    <row r="158" spans="14:32" x14ac:dyDescent="0.35">
      <c r="N158" s="134" t="str">
        <f t="shared" si="245"/>
        <v/>
      </c>
      <c r="O158" s="82" t="str">
        <f t="shared" ref="O158:O221" si="248">IF(A158="","",N158&amp;"-"&amp;M158)</f>
        <v/>
      </c>
      <c r="P158" s="81" t="str">
        <f t="shared" si="246"/>
        <v/>
      </c>
      <c r="Q158" s="81" t="str">
        <f t="shared" ref="Q158:Q221" si="249">IF(A158="","",IF(P158=1,M158,""))</f>
        <v/>
      </c>
      <c r="R158" s="135" t="str">
        <f t="shared" ref="R158:R221" ca="1" si="250">IF(Q158="","",I158-TODAY())</f>
        <v/>
      </c>
      <c r="S158" s="134" t="str">
        <f t="shared" ref="S158:S221" ca="1" si="251">IF(R158="","",
IF(R158&lt;-90,"Pass&gt;90",IF(R158&lt;-60,"Pass 61-90",IF(R158&lt;-30,"Pass 31-60",IF(R158&lt;0,"Pass 0-30",IF(R158&lt;31,"Run 0-30",IF(R158&lt;61,"Run 31-60",IF(R158&lt;91,"Run 60-90","Run &gt;90"))))))))</f>
        <v/>
      </c>
      <c r="T158" s="134" t="str">
        <f ca="1">IF(S158=Dashboard!$D$12,S158,"")</f>
        <v/>
      </c>
      <c r="U158" s="134" t="str">
        <f t="shared" ref="U158:U221" ca="1" si="252">IF(T158="","",R158)</f>
        <v/>
      </c>
      <c r="V158" s="83" t="str">
        <f ca="1">IF(U158="","",IFERROR((RANK(U158,$U$2:$U$2028,1)+COUNTIF($U$2:U158,U158))-1,""))</f>
        <v/>
      </c>
      <c r="W158" s="134" t="str">
        <f t="shared" si="244"/>
        <v/>
      </c>
      <c r="X158" s="134" t="str">
        <f>IF(W158="","",IFERROR((RANK(W158,$W$2:$W$2028,1)+COUNTIF($W$2:W158,W158))-1,""))</f>
        <v/>
      </c>
      <c r="Y158" s="134" t="str">
        <f t="shared" ref="Y158:Y221" si="253">IF($J158=Y$1,$U158,"")</f>
        <v/>
      </c>
      <c r="Z158" s="134" t="str">
        <f>IF(Y158="","",IFERROR((RANK(Y158,$Y$2:$Y$2028,1)+COUNTIF($Y$2:Y158,Y158))-1,""))</f>
        <v/>
      </c>
      <c r="AA158" s="134" t="str">
        <f t="shared" ref="AA158:AA221" si="254">IF($J158=AA$1,$U158,"")</f>
        <v/>
      </c>
      <c r="AB158" s="134" t="str">
        <f>IF(AA158="","",IFERROR((RANK(AA158,$AA$2:$AA$2028,1)+COUNTIF($AA$2:AA158,AA158))-1,""))</f>
        <v/>
      </c>
      <c r="AC158" s="134" t="str">
        <f t="shared" ref="AC158:AC221" si="255">IF($J158=AC$1,$U158,"")</f>
        <v/>
      </c>
      <c r="AD158" s="134" t="str">
        <f>IF(AC158="","",IFERROR((RANK(AC158,$AC$2:$AC$2028,1)+COUNTIF($AC$2:AC158,AC158))-1,""))</f>
        <v/>
      </c>
      <c r="AE158" s="144" t="str">
        <f t="shared" si="247"/>
        <v/>
      </c>
      <c r="AF158" s="144" t="str">
        <f>IF(AE158="","",SUM($AE$2:AE158))</f>
        <v/>
      </c>
    </row>
    <row r="159" spans="14:32" x14ac:dyDescent="0.35">
      <c r="N159" s="134" t="str">
        <f t="shared" si="245"/>
        <v/>
      </c>
      <c r="O159" s="82" t="str">
        <f t="shared" si="248"/>
        <v/>
      </c>
      <c r="P159" s="81" t="str">
        <f t="shared" si="246"/>
        <v/>
      </c>
      <c r="Q159" s="81" t="str">
        <f t="shared" si="249"/>
        <v/>
      </c>
      <c r="R159" s="135" t="str">
        <f t="shared" ca="1" si="250"/>
        <v/>
      </c>
      <c r="S159" s="134" t="str">
        <f t="shared" ca="1" si="251"/>
        <v/>
      </c>
      <c r="T159" s="134" t="str">
        <f ca="1">IF(S159=Dashboard!$D$12,S159,"")</f>
        <v/>
      </c>
      <c r="U159" s="134" t="str">
        <f t="shared" ca="1" si="252"/>
        <v/>
      </c>
      <c r="V159" s="83" t="str">
        <f ca="1">IF(U159="","",IFERROR((RANK(U159,$U$2:$U$2028,1)+COUNTIF($U$2:U159,U159))-1,""))</f>
        <v/>
      </c>
      <c r="W159" s="134" t="str">
        <f t="shared" ref="W159:W222" si="256">IF($J159=$W$1,U159,"")</f>
        <v/>
      </c>
      <c r="X159" s="134" t="str">
        <f>IF(W159="","",IFERROR((RANK(W159,$W$2:$W$2028,1)+COUNTIF($W$2:W159,W159))-1,""))</f>
        <v/>
      </c>
      <c r="Y159" s="134" t="str">
        <f t="shared" si="253"/>
        <v/>
      </c>
      <c r="Z159" s="134" t="str">
        <f>IF(Y159="","",IFERROR((RANK(Y159,$Y$2:$Y$2028,1)+COUNTIF($Y$2:Y159,Y159))-1,""))</f>
        <v/>
      </c>
      <c r="AA159" s="134" t="str">
        <f t="shared" si="254"/>
        <v/>
      </c>
      <c r="AB159" s="134" t="str">
        <f>IF(AA159="","",IFERROR((RANK(AA159,$AA$2:$AA$2028,1)+COUNTIF($AA$2:AA159,AA159))-1,""))</f>
        <v/>
      </c>
      <c r="AC159" s="134" t="str">
        <f t="shared" si="255"/>
        <v/>
      </c>
      <c r="AD159" s="134" t="str">
        <f>IF(AC159="","",IFERROR((RANK(AC159,$AC$2:$AC$2028,1)+COUNTIF($AC$2:AC159,AC159))-1,""))</f>
        <v/>
      </c>
      <c r="AE159" s="144" t="str">
        <f t="shared" si="247"/>
        <v/>
      </c>
      <c r="AF159" s="144" t="str">
        <f>IF(AE159="","",SUM($AE$2:AE159))</f>
        <v/>
      </c>
    </row>
    <row r="160" spans="14:32" x14ac:dyDescent="0.35">
      <c r="N160" s="134" t="str">
        <f t="shared" si="245"/>
        <v/>
      </c>
      <c r="O160" s="82" t="str">
        <f t="shared" si="248"/>
        <v/>
      </c>
      <c r="P160" s="81" t="str">
        <f t="shared" si="246"/>
        <v/>
      </c>
      <c r="Q160" s="81" t="str">
        <f t="shared" si="249"/>
        <v/>
      </c>
      <c r="R160" s="135" t="str">
        <f t="shared" ca="1" si="250"/>
        <v/>
      </c>
      <c r="S160" s="134" t="str">
        <f t="shared" ca="1" si="251"/>
        <v/>
      </c>
      <c r="T160" s="134" t="str">
        <f ca="1">IF(S160=Dashboard!$D$12,S160,"")</f>
        <v/>
      </c>
      <c r="U160" s="134" t="str">
        <f t="shared" ca="1" si="252"/>
        <v/>
      </c>
      <c r="V160" s="83" t="str">
        <f ca="1">IF(U160="","",IFERROR((RANK(U160,$U$2:$U$2028,1)+COUNTIF($U$2:U160,U160))-1,""))</f>
        <v/>
      </c>
      <c r="W160" s="134" t="str">
        <f t="shared" si="256"/>
        <v/>
      </c>
      <c r="X160" s="134" t="str">
        <f>IF(W160="","",IFERROR((RANK(W160,$W$2:$W$2028,1)+COUNTIF($W$2:W160,W160))-1,""))</f>
        <v/>
      </c>
      <c r="Y160" s="134" t="str">
        <f t="shared" si="253"/>
        <v/>
      </c>
      <c r="Z160" s="134" t="str">
        <f>IF(Y160="","",IFERROR((RANK(Y160,$Y$2:$Y$2028,1)+COUNTIF($Y$2:Y160,Y160))-1,""))</f>
        <v/>
      </c>
      <c r="AA160" s="134" t="str">
        <f t="shared" si="254"/>
        <v/>
      </c>
      <c r="AB160" s="134" t="str">
        <f>IF(AA160="","",IFERROR((RANK(AA160,$AA$2:$AA$2028,1)+COUNTIF($AA$2:AA160,AA160))-1,""))</f>
        <v/>
      </c>
      <c r="AC160" s="134" t="str">
        <f t="shared" si="255"/>
        <v/>
      </c>
      <c r="AD160" s="134" t="str">
        <f>IF(AC160="","",IFERROR((RANK(AC160,$AC$2:$AC$2028,1)+COUNTIF($AC$2:AC160,AC160))-1,""))</f>
        <v/>
      </c>
      <c r="AE160" s="144" t="str">
        <f t="shared" si="247"/>
        <v/>
      </c>
      <c r="AF160" s="144" t="str">
        <f>IF(AE160="","",SUM($AE$2:AE160))</f>
        <v/>
      </c>
    </row>
    <row r="161" spans="14:32" x14ac:dyDescent="0.35">
      <c r="N161" s="134" t="str">
        <f t="shared" si="245"/>
        <v/>
      </c>
      <c r="O161" s="82" t="str">
        <f t="shared" si="248"/>
        <v/>
      </c>
      <c r="P161" s="81" t="str">
        <f t="shared" si="246"/>
        <v/>
      </c>
      <c r="Q161" s="81" t="str">
        <f t="shared" si="249"/>
        <v/>
      </c>
      <c r="R161" s="135" t="str">
        <f t="shared" ca="1" si="250"/>
        <v/>
      </c>
      <c r="S161" s="134" t="str">
        <f t="shared" ca="1" si="251"/>
        <v/>
      </c>
      <c r="T161" s="134" t="str">
        <f ca="1">IF(S161=Dashboard!$D$12,S161,"")</f>
        <v/>
      </c>
      <c r="U161" s="134" t="str">
        <f t="shared" ca="1" si="252"/>
        <v/>
      </c>
      <c r="V161" s="83" t="str">
        <f ca="1">IF(U161="","",IFERROR((RANK(U161,$U$2:$U$2028,1)+COUNTIF($U$2:U161,U161))-1,""))</f>
        <v/>
      </c>
      <c r="W161" s="134" t="str">
        <f t="shared" si="256"/>
        <v/>
      </c>
      <c r="X161" s="134" t="str">
        <f>IF(W161="","",IFERROR((RANK(W161,$W$2:$W$2028,1)+COUNTIF($W$2:W161,W161))-1,""))</f>
        <v/>
      </c>
      <c r="Y161" s="134" t="str">
        <f t="shared" si="253"/>
        <v/>
      </c>
      <c r="Z161" s="134" t="str">
        <f>IF(Y161="","",IFERROR((RANK(Y161,$Y$2:$Y$2028,1)+COUNTIF($Y$2:Y161,Y161))-1,""))</f>
        <v/>
      </c>
      <c r="AA161" s="134" t="str">
        <f t="shared" si="254"/>
        <v/>
      </c>
      <c r="AB161" s="134" t="str">
        <f>IF(AA161="","",IFERROR((RANK(AA161,$AA$2:$AA$2028,1)+COUNTIF($AA$2:AA161,AA161))-1,""))</f>
        <v/>
      </c>
      <c r="AC161" s="134" t="str">
        <f t="shared" si="255"/>
        <v/>
      </c>
      <c r="AD161" s="134" t="str">
        <f>IF(AC161="","",IFERROR((RANK(AC161,$AC$2:$AC$2028,1)+COUNTIF($AC$2:AC161,AC161))-1,""))</f>
        <v/>
      </c>
      <c r="AE161" s="144" t="str">
        <f t="shared" si="247"/>
        <v/>
      </c>
      <c r="AF161" s="144" t="str">
        <f>IF(AE161="","",SUM($AE$2:AE161))</f>
        <v/>
      </c>
    </row>
    <row r="162" spans="14:32" x14ac:dyDescent="0.35">
      <c r="N162" s="134" t="str">
        <f t="shared" si="245"/>
        <v/>
      </c>
      <c r="O162" s="82" t="str">
        <f t="shared" si="248"/>
        <v/>
      </c>
      <c r="P162" s="81" t="str">
        <f t="shared" si="246"/>
        <v/>
      </c>
      <c r="Q162" s="81" t="str">
        <f t="shared" si="249"/>
        <v/>
      </c>
      <c r="R162" s="135" t="str">
        <f t="shared" ca="1" si="250"/>
        <v/>
      </c>
      <c r="S162" s="134" t="str">
        <f t="shared" ca="1" si="251"/>
        <v/>
      </c>
      <c r="T162" s="134" t="str">
        <f ca="1">IF(S162=Dashboard!$D$12,S162,"")</f>
        <v/>
      </c>
      <c r="U162" s="134" t="str">
        <f t="shared" ca="1" si="252"/>
        <v/>
      </c>
      <c r="V162" s="83" t="str">
        <f ca="1">IF(U162="","",IFERROR((RANK(U162,$U$2:$U$2028,1)+COUNTIF($U$2:U162,U162))-1,""))</f>
        <v/>
      </c>
      <c r="W162" s="134" t="str">
        <f t="shared" si="256"/>
        <v/>
      </c>
      <c r="X162" s="134" t="str">
        <f>IF(W162="","",IFERROR((RANK(W162,$W$2:$W$2028,1)+COUNTIF($W$2:W162,W162))-1,""))</f>
        <v/>
      </c>
      <c r="Y162" s="134" t="str">
        <f t="shared" si="253"/>
        <v/>
      </c>
      <c r="Z162" s="134" t="str">
        <f>IF(Y162="","",IFERROR((RANK(Y162,$Y$2:$Y$2028,1)+COUNTIF($Y$2:Y162,Y162))-1,""))</f>
        <v/>
      </c>
      <c r="AA162" s="134" t="str">
        <f t="shared" si="254"/>
        <v/>
      </c>
      <c r="AB162" s="134" t="str">
        <f>IF(AA162="","",IFERROR((RANK(AA162,$AA$2:$AA$2028,1)+COUNTIF($AA$2:AA162,AA162))-1,""))</f>
        <v/>
      </c>
      <c r="AC162" s="134" t="str">
        <f t="shared" si="255"/>
        <v/>
      </c>
      <c r="AD162" s="134" t="str">
        <f>IF(AC162="","",IFERROR((RANK(AC162,$AC$2:$AC$2028,1)+COUNTIF($AC$2:AC162,AC162))-1,""))</f>
        <v/>
      </c>
      <c r="AE162" s="144" t="str">
        <f t="shared" si="247"/>
        <v/>
      </c>
      <c r="AF162" s="144" t="str">
        <f>IF(AE162="","",SUM($AE$2:AE162))</f>
        <v/>
      </c>
    </row>
    <row r="163" spans="14:32" x14ac:dyDescent="0.35">
      <c r="N163" s="134" t="str">
        <f t="shared" si="245"/>
        <v/>
      </c>
      <c r="O163" s="82" t="str">
        <f t="shared" si="248"/>
        <v/>
      </c>
      <c r="P163" s="81" t="str">
        <f t="shared" si="246"/>
        <v/>
      </c>
      <c r="Q163" s="81" t="str">
        <f t="shared" si="249"/>
        <v/>
      </c>
      <c r="R163" s="135" t="str">
        <f t="shared" ca="1" si="250"/>
        <v/>
      </c>
      <c r="S163" s="134" t="str">
        <f t="shared" ca="1" si="251"/>
        <v/>
      </c>
      <c r="T163" s="134" t="str">
        <f ca="1">IF(S163=Dashboard!$D$12,S163,"")</f>
        <v/>
      </c>
      <c r="U163" s="134" t="str">
        <f t="shared" ca="1" si="252"/>
        <v/>
      </c>
      <c r="V163" s="83" t="str">
        <f ca="1">IF(U163="","",IFERROR((RANK(U163,$U$2:$U$2028,1)+COUNTIF($U$2:U163,U163))-1,""))</f>
        <v/>
      </c>
      <c r="W163" s="134" t="str">
        <f t="shared" si="256"/>
        <v/>
      </c>
      <c r="X163" s="134" t="str">
        <f>IF(W163="","",IFERROR((RANK(W163,$W$2:$W$2028,1)+COUNTIF($W$2:W163,W163))-1,""))</f>
        <v/>
      </c>
      <c r="Y163" s="134" t="str">
        <f t="shared" si="253"/>
        <v/>
      </c>
      <c r="Z163" s="134" t="str">
        <f>IF(Y163="","",IFERROR((RANK(Y163,$Y$2:$Y$2028,1)+COUNTIF($Y$2:Y163,Y163))-1,""))</f>
        <v/>
      </c>
      <c r="AA163" s="134" t="str">
        <f t="shared" si="254"/>
        <v/>
      </c>
      <c r="AB163" s="134" t="str">
        <f>IF(AA163="","",IFERROR((RANK(AA163,$AA$2:$AA$2028,1)+COUNTIF($AA$2:AA163,AA163))-1,""))</f>
        <v/>
      </c>
      <c r="AC163" s="134" t="str">
        <f t="shared" si="255"/>
        <v/>
      </c>
      <c r="AD163" s="134" t="str">
        <f>IF(AC163="","",IFERROR((RANK(AC163,$AC$2:$AC$2028,1)+COUNTIF($AC$2:AC163,AC163))-1,""))</f>
        <v/>
      </c>
      <c r="AE163" s="144" t="str">
        <f t="shared" si="247"/>
        <v/>
      </c>
      <c r="AF163" s="144" t="str">
        <f>IF(AE163="","",SUM($AE$2:AE163))</f>
        <v/>
      </c>
    </row>
    <row r="164" spans="14:32" x14ac:dyDescent="0.35">
      <c r="N164" s="134" t="str">
        <f t="shared" si="245"/>
        <v/>
      </c>
      <c r="O164" s="82" t="str">
        <f t="shared" si="248"/>
        <v/>
      </c>
      <c r="P164" s="81" t="str">
        <f t="shared" si="246"/>
        <v/>
      </c>
      <c r="Q164" s="81" t="str">
        <f t="shared" si="249"/>
        <v/>
      </c>
      <c r="R164" s="135" t="str">
        <f t="shared" ca="1" si="250"/>
        <v/>
      </c>
      <c r="S164" s="134" t="str">
        <f t="shared" ca="1" si="251"/>
        <v/>
      </c>
      <c r="T164" s="134" t="str">
        <f ca="1">IF(S164=Dashboard!$D$12,S164,"")</f>
        <v/>
      </c>
      <c r="U164" s="134" t="str">
        <f t="shared" ca="1" si="252"/>
        <v/>
      </c>
      <c r="V164" s="83" t="str">
        <f ca="1">IF(U164="","",IFERROR((RANK(U164,$U$2:$U$2028,1)+COUNTIF($U$2:U164,U164))-1,""))</f>
        <v/>
      </c>
      <c r="W164" s="134" t="str">
        <f t="shared" si="256"/>
        <v/>
      </c>
      <c r="X164" s="134" t="str">
        <f>IF(W164="","",IFERROR((RANK(W164,$W$2:$W$2028,1)+COUNTIF($W$2:W164,W164))-1,""))</f>
        <v/>
      </c>
      <c r="Y164" s="134" t="str">
        <f t="shared" si="253"/>
        <v/>
      </c>
      <c r="Z164" s="134" t="str">
        <f>IF(Y164="","",IFERROR((RANK(Y164,$Y$2:$Y$2028,1)+COUNTIF($Y$2:Y164,Y164))-1,""))</f>
        <v/>
      </c>
      <c r="AA164" s="134" t="str">
        <f t="shared" si="254"/>
        <v/>
      </c>
      <c r="AB164" s="134" t="str">
        <f>IF(AA164="","",IFERROR((RANK(AA164,$AA$2:$AA$2028,1)+COUNTIF($AA$2:AA164,AA164))-1,""))</f>
        <v/>
      </c>
      <c r="AC164" s="134" t="str">
        <f t="shared" si="255"/>
        <v/>
      </c>
      <c r="AD164" s="134" t="str">
        <f>IF(AC164="","",IFERROR((RANK(AC164,$AC$2:$AC$2028,1)+COUNTIF($AC$2:AC164,AC164))-1,""))</f>
        <v/>
      </c>
      <c r="AE164" s="144" t="str">
        <f t="shared" si="247"/>
        <v/>
      </c>
      <c r="AF164" s="144" t="str">
        <f>IF(AE164="","",SUM($AE$2:AE164))</f>
        <v/>
      </c>
    </row>
    <row r="165" spans="14:32" x14ac:dyDescent="0.35">
      <c r="N165" s="134" t="str">
        <f t="shared" si="245"/>
        <v/>
      </c>
      <c r="O165" s="82" t="str">
        <f t="shared" si="248"/>
        <v/>
      </c>
      <c r="P165" s="81" t="str">
        <f t="shared" si="246"/>
        <v/>
      </c>
      <c r="Q165" s="81" t="str">
        <f t="shared" si="249"/>
        <v/>
      </c>
      <c r="R165" s="135" t="str">
        <f t="shared" ca="1" si="250"/>
        <v/>
      </c>
      <c r="S165" s="134" t="str">
        <f t="shared" ca="1" si="251"/>
        <v/>
      </c>
      <c r="T165" s="134" t="str">
        <f ca="1">IF(S165=Dashboard!$D$12,S165,"")</f>
        <v/>
      </c>
      <c r="U165" s="134" t="str">
        <f t="shared" ca="1" si="252"/>
        <v/>
      </c>
      <c r="V165" s="83" t="str">
        <f ca="1">IF(U165="","",IFERROR((RANK(U165,$U$2:$U$2028,1)+COUNTIF($U$2:U165,U165))-1,""))</f>
        <v/>
      </c>
      <c r="W165" s="134" t="str">
        <f t="shared" si="256"/>
        <v/>
      </c>
      <c r="X165" s="134" t="str">
        <f>IF(W165="","",IFERROR((RANK(W165,$W$2:$W$2028,1)+COUNTIF($W$2:W165,W165))-1,""))</f>
        <v/>
      </c>
      <c r="Y165" s="134" t="str">
        <f t="shared" si="253"/>
        <v/>
      </c>
      <c r="Z165" s="134" t="str">
        <f>IF(Y165="","",IFERROR((RANK(Y165,$Y$2:$Y$2028,1)+COUNTIF($Y$2:Y165,Y165))-1,""))</f>
        <v/>
      </c>
      <c r="AA165" s="134" t="str">
        <f t="shared" si="254"/>
        <v/>
      </c>
      <c r="AB165" s="134" t="str">
        <f>IF(AA165="","",IFERROR((RANK(AA165,$AA$2:$AA$2028,1)+COUNTIF($AA$2:AA165,AA165))-1,""))</f>
        <v/>
      </c>
      <c r="AC165" s="134" t="str">
        <f t="shared" si="255"/>
        <v/>
      </c>
      <c r="AD165" s="134" t="str">
        <f>IF(AC165="","",IFERROR((RANK(AC165,$AC$2:$AC$2028,1)+COUNTIF($AC$2:AC165,AC165))-1,""))</f>
        <v/>
      </c>
      <c r="AE165" s="144" t="str">
        <f t="shared" si="247"/>
        <v/>
      </c>
      <c r="AF165" s="144" t="str">
        <f>IF(AE165="","",SUM($AE$2:AE165))</f>
        <v/>
      </c>
    </row>
    <row r="166" spans="14:32" x14ac:dyDescent="0.35">
      <c r="N166" s="134" t="str">
        <f t="shared" si="245"/>
        <v/>
      </c>
      <c r="O166" s="82" t="str">
        <f t="shared" si="248"/>
        <v/>
      </c>
      <c r="P166" s="81" t="str">
        <f t="shared" si="246"/>
        <v/>
      </c>
      <c r="Q166" s="81" t="str">
        <f t="shared" si="249"/>
        <v/>
      </c>
      <c r="R166" s="135" t="str">
        <f t="shared" ca="1" si="250"/>
        <v/>
      </c>
      <c r="S166" s="134" t="str">
        <f t="shared" ca="1" si="251"/>
        <v/>
      </c>
      <c r="T166" s="134" t="str">
        <f ca="1">IF(S166=Dashboard!$D$12,S166,"")</f>
        <v/>
      </c>
      <c r="U166" s="134" t="str">
        <f t="shared" ca="1" si="252"/>
        <v/>
      </c>
      <c r="V166" s="83" t="str">
        <f ca="1">IF(U166="","",IFERROR((RANK(U166,$U$2:$U$2028,1)+COUNTIF($U$2:U166,U166))-1,""))</f>
        <v/>
      </c>
      <c r="W166" s="134" t="str">
        <f t="shared" si="256"/>
        <v/>
      </c>
      <c r="X166" s="134" t="str">
        <f>IF(W166="","",IFERROR((RANK(W166,$W$2:$W$2028,1)+COUNTIF($W$2:W166,W166))-1,""))</f>
        <v/>
      </c>
      <c r="Y166" s="134" t="str">
        <f t="shared" si="253"/>
        <v/>
      </c>
      <c r="Z166" s="134" t="str">
        <f>IF(Y166="","",IFERROR((RANK(Y166,$Y$2:$Y$2028,1)+COUNTIF($Y$2:Y166,Y166))-1,""))</f>
        <v/>
      </c>
      <c r="AA166" s="134" t="str">
        <f t="shared" si="254"/>
        <v/>
      </c>
      <c r="AB166" s="134" t="str">
        <f>IF(AA166="","",IFERROR((RANK(AA166,$AA$2:$AA$2028,1)+COUNTIF($AA$2:AA166,AA166))-1,""))</f>
        <v/>
      </c>
      <c r="AC166" s="134" t="str">
        <f t="shared" si="255"/>
        <v/>
      </c>
      <c r="AD166" s="134" t="str">
        <f>IF(AC166="","",IFERROR((RANK(AC166,$AC$2:$AC$2028,1)+COUNTIF($AC$2:AC166,AC166))-1,""))</f>
        <v/>
      </c>
      <c r="AE166" s="144" t="str">
        <f t="shared" si="247"/>
        <v/>
      </c>
      <c r="AF166" s="144" t="str">
        <f>IF(AE166="","",SUM($AE$2:AE166))</f>
        <v/>
      </c>
    </row>
    <row r="167" spans="14:32" x14ac:dyDescent="0.35">
      <c r="N167" s="134" t="str">
        <f t="shared" si="245"/>
        <v/>
      </c>
      <c r="O167" s="82" t="str">
        <f t="shared" si="248"/>
        <v/>
      </c>
      <c r="P167" s="81" t="str">
        <f t="shared" si="246"/>
        <v/>
      </c>
      <c r="Q167" s="81" t="str">
        <f t="shared" si="249"/>
        <v/>
      </c>
      <c r="R167" s="135" t="str">
        <f t="shared" ca="1" si="250"/>
        <v/>
      </c>
      <c r="S167" s="134" t="str">
        <f t="shared" ca="1" si="251"/>
        <v/>
      </c>
      <c r="T167" s="134" t="str">
        <f ca="1">IF(S167=Dashboard!$D$12,S167,"")</f>
        <v/>
      </c>
      <c r="U167" s="134" t="str">
        <f t="shared" ca="1" si="252"/>
        <v/>
      </c>
      <c r="V167" s="83" t="str">
        <f ca="1">IF(U167="","",IFERROR((RANK(U167,$U$2:$U$2028,1)+COUNTIF($U$2:U167,U167))-1,""))</f>
        <v/>
      </c>
      <c r="W167" s="134" t="str">
        <f t="shared" si="256"/>
        <v/>
      </c>
      <c r="X167" s="134" t="str">
        <f>IF(W167="","",IFERROR((RANK(W167,$W$2:$W$2028,1)+COUNTIF($W$2:W167,W167))-1,""))</f>
        <v/>
      </c>
      <c r="Y167" s="134" t="str">
        <f t="shared" si="253"/>
        <v/>
      </c>
      <c r="Z167" s="134" t="str">
        <f>IF(Y167="","",IFERROR((RANK(Y167,$Y$2:$Y$2028,1)+COUNTIF($Y$2:Y167,Y167))-1,""))</f>
        <v/>
      </c>
      <c r="AA167" s="134" t="str">
        <f t="shared" si="254"/>
        <v/>
      </c>
      <c r="AB167" s="134" t="str">
        <f>IF(AA167="","",IFERROR((RANK(AA167,$AA$2:$AA$2028,1)+COUNTIF($AA$2:AA167,AA167))-1,""))</f>
        <v/>
      </c>
      <c r="AC167" s="134" t="str">
        <f t="shared" si="255"/>
        <v/>
      </c>
      <c r="AD167" s="134" t="str">
        <f>IF(AC167="","",IFERROR((RANK(AC167,$AC$2:$AC$2028,1)+COUNTIF($AC$2:AC167,AC167))-1,""))</f>
        <v/>
      </c>
      <c r="AE167" s="144" t="str">
        <f t="shared" si="247"/>
        <v/>
      </c>
      <c r="AF167" s="144" t="str">
        <f>IF(AE167="","",SUM($AE$2:AE167))</f>
        <v/>
      </c>
    </row>
    <row r="168" spans="14:32" x14ac:dyDescent="0.35">
      <c r="N168" s="134" t="str">
        <f t="shared" si="245"/>
        <v/>
      </c>
      <c r="O168" s="82" t="str">
        <f t="shared" si="248"/>
        <v/>
      </c>
      <c r="P168" s="81" t="str">
        <f t="shared" si="246"/>
        <v/>
      </c>
      <c r="Q168" s="81" t="str">
        <f t="shared" si="249"/>
        <v/>
      </c>
      <c r="R168" s="135" t="str">
        <f t="shared" ca="1" si="250"/>
        <v/>
      </c>
      <c r="S168" s="134" t="str">
        <f t="shared" ca="1" si="251"/>
        <v/>
      </c>
      <c r="T168" s="134" t="str">
        <f ca="1">IF(S168=Dashboard!$D$12,S168,"")</f>
        <v/>
      </c>
      <c r="U168" s="134" t="str">
        <f t="shared" ca="1" si="252"/>
        <v/>
      </c>
      <c r="V168" s="83" t="str">
        <f ca="1">IF(U168="","",IFERROR((RANK(U168,$U$2:$U$2028,1)+COUNTIF($U$2:U168,U168))-1,""))</f>
        <v/>
      </c>
      <c r="W168" s="134" t="str">
        <f t="shared" si="256"/>
        <v/>
      </c>
      <c r="X168" s="134" t="str">
        <f>IF(W168="","",IFERROR((RANK(W168,$W$2:$W$2028,1)+COUNTIF($W$2:W168,W168))-1,""))</f>
        <v/>
      </c>
      <c r="Y168" s="134" t="str">
        <f t="shared" si="253"/>
        <v/>
      </c>
      <c r="Z168" s="134" t="str">
        <f>IF(Y168="","",IFERROR((RANK(Y168,$Y$2:$Y$2028,1)+COUNTIF($Y$2:Y168,Y168))-1,""))</f>
        <v/>
      </c>
      <c r="AA168" s="134" t="str">
        <f t="shared" si="254"/>
        <v/>
      </c>
      <c r="AB168" s="134" t="str">
        <f>IF(AA168="","",IFERROR((RANK(AA168,$AA$2:$AA$2028,1)+COUNTIF($AA$2:AA168,AA168))-1,""))</f>
        <v/>
      </c>
      <c r="AC168" s="134" t="str">
        <f t="shared" si="255"/>
        <v/>
      </c>
      <c r="AD168" s="134" t="str">
        <f>IF(AC168="","",IFERROR((RANK(AC168,$AC$2:$AC$2028,1)+COUNTIF($AC$2:AC168,AC168))-1,""))</f>
        <v/>
      </c>
      <c r="AE168" s="144" t="str">
        <f t="shared" si="247"/>
        <v/>
      </c>
      <c r="AF168" s="144" t="str">
        <f>IF(AE168="","",SUM($AE$2:AE168))</f>
        <v/>
      </c>
    </row>
    <row r="169" spans="14:32" x14ac:dyDescent="0.35">
      <c r="N169" s="134" t="str">
        <f t="shared" si="245"/>
        <v/>
      </c>
      <c r="O169" s="82" t="str">
        <f t="shared" si="248"/>
        <v/>
      </c>
      <c r="P169" s="81" t="str">
        <f t="shared" si="246"/>
        <v/>
      </c>
      <c r="Q169" s="81" t="str">
        <f t="shared" si="249"/>
        <v/>
      </c>
      <c r="R169" s="135" t="str">
        <f t="shared" ca="1" si="250"/>
        <v/>
      </c>
      <c r="S169" s="134" t="str">
        <f t="shared" ca="1" si="251"/>
        <v/>
      </c>
      <c r="T169" s="134" t="str">
        <f ca="1">IF(S169=Dashboard!$D$12,S169,"")</f>
        <v/>
      </c>
      <c r="U169" s="134" t="str">
        <f t="shared" ca="1" si="252"/>
        <v/>
      </c>
      <c r="V169" s="83" t="str">
        <f ca="1">IF(U169="","",IFERROR((RANK(U169,$U$2:$U$2028,1)+COUNTIF($U$2:U169,U169))-1,""))</f>
        <v/>
      </c>
      <c r="W169" s="134" t="str">
        <f t="shared" si="256"/>
        <v/>
      </c>
      <c r="X169" s="134" t="str">
        <f>IF(W169="","",IFERROR((RANK(W169,$W$2:$W$2028,1)+COUNTIF($W$2:W169,W169))-1,""))</f>
        <v/>
      </c>
      <c r="Y169" s="134" t="str">
        <f t="shared" si="253"/>
        <v/>
      </c>
      <c r="Z169" s="134" t="str">
        <f>IF(Y169="","",IFERROR((RANK(Y169,$Y$2:$Y$2028,1)+COUNTIF($Y$2:Y169,Y169))-1,""))</f>
        <v/>
      </c>
      <c r="AA169" s="134" t="str">
        <f t="shared" si="254"/>
        <v/>
      </c>
      <c r="AB169" s="134" t="str">
        <f>IF(AA169="","",IFERROR((RANK(AA169,$AA$2:$AA$2028,1)+COUNTIF($AA$2:AA169,AA169))-1,""))</f>
        <v/>
      </c>
      <c r="AC169" s="134" t="str">
        <f t="shared" si="255"/>
        <v/>
      </c>
      <c r="AD169" s="134" t="str">
        <f>IF(AC169="","",IFERROR((RANK(AC169,$AC$2:$AC$2028,1)+COUNTIF($AC$2:AC169,AC169))-1,""))</f>
        <v/>
      </c>
      <c r="AE169" s="144" t="str">
        <f t="shared" si="247"/>
        <v/>
      </c>
      <c r="AF169" s="144" t="str">
        <f>IF(AE169="","",SUM($AE$2:AE169))</f>
        <v/>
      </c>
    </row>
    <row r="170" spans="14:32" x14ac:dyDescent="0.35">
      <c r="N170" s="134" t="str">
        <f t="shared" si="245"/>
        <v/>
      </c>
      <c r="O170" s="82" t="str">
        <f t="shared" si="248"/>
        <v/>
      </c>
      <c r="P170" s="81" t="str">
        <f t="shared" si="246"/>
        <v/>
      </c>
      <c r="Q170" s="81" t="str">
        <f t="shared" si="249"/>
        <v/>
      </c>
      <c r="R170" s="135" t="str">
        <f t="shared" ca="1" si="250"/>
        <v/>
      </c>
      <c r="S170" s="134" t="str">
        <f t="shared" ca="1" si="251"/>
        <v/>
      </c>
      <c r="T170" s="134" t="str">
        <f ca="1">IF(S170=Dashboard!$D$12,S170,"")</f>
        <v/>
      </c>
      <c r="U170" s="134" t="str">
        <f t="shared" ca="1" si="252"/>
        <v/>
      </c>
      <c r="V170" s="83" t="str">
        <f ca="1">IF(U170="","",IFERROR((RANK(U170,$U$2:$U$2028,1)+COUNTIF($U$2:U170,U170))-1,""))</f>
        <v/>
      </c>
      <c r="W170" s="134" t="str">
        <f t="shared" si="256"/>
        <v/>
      </c>
      <c r="X170" s="134" t="str">
        <f>IF(W170="","",IFERROR((RANK(W170,$W$2:$W$2028,1)+COUNTIF($W$2:W170,W170))-1,""))</f>
        <v/>
      </c>
      <c r="Y170" s="134" t="str">
        <f t="shared" si="253"/>
        <v/>
      </c>
      <c r="Z170" s="134" t="str">
        <f>IF(Y170="","",IFERROR((RANK(Y170,$Y$2:$Y$2028,1)+COUNTIF($Y$2:Y170,Y170))-1,""))</f>
        <v/>
      </c>
      <c r="AA170" s="134" t="str">
        <f t="shared" si="254"/>
        <v/>
      </c>
      <c r="AB170" s="134" t="str">
        <f>IF(AA170="","",IFERROR((RANK(AA170,$AA$2:$AA$2028,1)+COUNTIF($AA$2:AA170,AA170))-1,""))</f>
        <v/>
      </c>
      <c r="AC170" s="134" t="str">
        <f t="shared" si="255"/>
        <v/>
      </c>
      <c r="AD170" s="134" t="str">
        <f>IF(AC170="","",IFERROR((RANK(AC170,$AC$2:$AC$2028,1)+COUNTIF($AC$2:AC170,AC170))-1,""))</f>
        <v/>
      </c>
      <c r="AE170" s="144" t="str">
        <f t="shared" si="247"/>
        <v/>
      </c>
      <c r="AF170" s="144" t="str">
        <f>IF(AE170="","",SUM($AE$2:AE170))</f>
        <v/>
      </c>
    </row>
    <row r="171" spans="14:32" x14ac:dyDescent="0.35">
      <c r="N171" s="134" t="str">
        <f t="shared" si="245"/>
        <v/>
      </c>
      <c r="O171" s="82" t="str">
        <f t="shared" si="248"/>
        <v/>
      </c>
      <c r="P171" s="81" t="str">
        <f t="shared" si="246"/>
        <v/>
      </c>
      <c r="Q171" s="81" t="str">
        <f t="shared" si="249"/>
        <v/>
      </c>
      <c r="R171" s="135" t="str">
        <f t="shared" ca="1" si="250"/>
        <v/>
      </c>
      <c r="S171" s="134" t="str">
        <f t="shared" ca="1" si="251"/>
        <v/>
      </c>
      <c r="T171" s="134" t="str">
        <f ca="1">IF(S171=Dashboard!$D$12,S171,"")</f>
        <v/>
      </c>
      <c r="U171" s="134" t="str">
        <f t="shared" ca="1" si="252"/>
        <v/>
      </c>
      <c r="V171" s="83" t="str">
        <f ca="1">IF(U171="","",IFERROR((RANK(U171,$U$2:$U$2028,1)+COUNTIF($U$2:U171,U171))-1,""))</f>
        <v/>
      </c>
      <c r="W171" s="134" t="str">
        <f t="shared" si="256"/>
        <v/>
      </c>
      <c r="X171" s="134" t="str">
        <f>IF(W171="","",IFERROR((RANK(W171,$W$2:$W$2028,1)+COUNTIF($W$2:W171,W171))-1,""))</f>
        <v/>
      </c>
      <c r="Y171" s="134" t="str">
        <f t="shared" si="253"/>
        <v/>
      </c>
      <c r="Z171" s="134" t="str">
        <f>IF(Y171="","",IFERROR((RANK(Y171,$Y$2:$Y$2028,1)+COUNTIF($Y$2:Y171,Y171))-1,""))</f>
        <v/>
      </c>
      <c r="AA171" s="134" t="str">
        <f t="shared" si="254"/>
        <v/>
      </c>
      <c r="AB171" s="134" t="str">
        <f>IF(AA171="","",IFERROR((RANK(AA171,$AA$2:$AA$2028,1)+COUNTIF($AA$2:AA171,AA171))-1,""))</f>
        <v/>
      </c>
      <c r="AC171" s="134" t="str">
        <f t="shared" si="255"/>
        <v/>
      </c>
      <c r="AD171" s="134" t="str">
        <f>IF(AC171="","",IFERROR((RANK(AC171,$AC$2:$AC$2028,1)+COUNTIF($AC$2:AC171,AC171))-1,""))</f>
        <v/>
      </c>
      <c r="AE171" s="144" t="str">
        <f t="shared" si="247"/>
        <v/>
      </c>
      <c r="AF171" s="144" t="str">
        <f>IF(AE171="","",SUM($AE$2:AE171))</f>
        <v/>
      </c>
    </row>
    <row r="172" spans="14:32" x14ac:dyDescent="0.35">
      <c r="N172" s="134" t="str">
        <f t="shared" si="245"/>
        <v/>
      </c>
      <c r="O172" s="82" t="str">
        <f t="shared" si="248"/>
        <v/>
      </c>
      <c r="P172" s="81" t="str">
        <f t="shared" si="246"/>
        <v/>
      </c>
      <c r="Q172" s="81" t="str">
        <f t="shared" si="249"/>
        <v/>
      </c>
      <c r="R172" s="135" t="str">
        <f t="shared" ca="1" si="250"/>
        <v/>
      </c>
      <c r="S172" s="134" t="str">
        <f t="shared" ca="1" si="251"/>
        <v/>
      </c>
      <c r="T172" s="134" t="str">
        <f ca="1">IF(S172=Dashboard!$D$12,S172,"")</f>
        <v/>
      </c>
      <c r="U172" s="134" t="str">
        <f t="shared" ca="1" si="252"/>
        <v/>
      </c>
      <c r="V172" s="83" t="str">
        <f ca="1">IF(U172="","",IFERROR((RANK(U172,$U$2:$U$2028,1)+COUNTIF($U$2:U172,U172))-1,""))</f>
        <v/>
      </c>
      <c r="W172" s="134" t="str">
        <f t="shared" si="256"/>
        <v/>
      </c>
      <c r="X172" s="134" t="str">
        <f>IF(W172="","",IFERROR((RANK(W172,$W$2:$W$2028,1)+COUNTIF($W$2:W172,W172))-1,""))</f>
        <v/>
      </c>
      <c r="Y172" s="134" t="str">
        <f t="shared" si="253"/>
        <v/>
      </c>
      <c r="Z172" s="134" t="str">
        <f>IF(Y172="","",IFERROR((RANK(Y172,$Y$2:$Y$2028,1)+COUNTIF($Y$2:Y172,Y172))-1,""))</f>
        <v/>
      </c>
      <c r="AA172" s="134" t="str">
        <f t="shared" si="254"/>
        <v/>
      </c>
      <c r="AB172" s="134" t="str">
        <f>IF(AA172="","",IFERROR((RANK(AA172,$AA$2:$AA$2028,1)+COUNTIF($AA$2:AA172,AA172))-1,""))</f>
        <v/>
      </c>
      <c r="AC172" s="134" t="str">
        <f t="shared" si="255"/>
        <v/>
      </c>
      <c r="AD172" s="134" t="str">
        <f>IF(AC172="","",IFERROR((RANK(AC172,$AC$2:$AC$2028,1)+COUNTIF($AC$2:AC172,AC172))-1,""))</f>
        <v/>
      </c>
      <c r="AE172" s="144" t="str">
        <f t="shared" si="247"/>
        <v/>
      </c>
      <c r="AF172" s="144" t="str">
        <f>IF(AE172="","",SUM($AE$2:AE172))</f>
        <v/>
      </c>
    </row>
    <row r="173" spans="14:32" x14ac:dyDescent="0.35">
      <c r="N173" s="134" t="str">
        <f t="shared" si="245"/>
        <v/>
      </c>
      <c r="O173" s="82" t="str">
        <f t="shared" si="248"/>
        <v/>
      </c>
      <c r="P173" s="81" t="str">
        <f t="shared" si="246"/>
        <v/>
      </c>
      <c r="Q173" s="81" t="str">
        <f t="shared" si="249"/>
        <v/>
      </c>
      <c r="R173" s="135" t="str">
        <f t="shared" ca="1" si="250"/>
        <v/>
      </c>
      <c r="S173" s="134" t="str">
        <f t="shared" ca="1" si="251"/>
        <v/>
      </c>
      <c r="T173" s="134" t="str">
        <f ca="1">IF(S173=Dashboard!$D$12,S173,"")</f>
        <v/>
      </c>
      <c r="U173" s="134" t="str">
        <f t="shared" ca="1" si="252"/>
        <v/>
      </c>
      <c r="V173" s="83" t="str">
        <f ca="1">IF(U173="","",IFERROR((RANK(U173,$U$2:$U$2028,1)+COUNTIF($U$2:U173,U173))-1,""))</f>
        <v/>
      </c>
      <c r="W173" s="134" t="str">
        <f t="shared" si="256"/>
        <v/>
      </c>
      <c r="X173" s="134" t="str">
        <f>IF(W173="","",IFERROR((RANK(W173,$W$2:$W$2028,1)+COUNTIF($W$2:W173,W173))-1,""))</f>
        <v/>
      </c>
      <c r="Y173" s="134" t="str">
        <f t="shared" si="253"/>
        <v/>
      </c>
      <c r="Z173" s="134" t="str">
        <f>IF(Y173="","",IFERROR((RANK(Y173,$Y$2:$Y$2028,1)+COUNTIF($Y$2:Y173,Y173))-1,""))</f>
        <v/>
      </c>
      <c r="AA173" s="134" t="str">
        <f t="shared" si="254"/>
        <v/>
      </c>
      <c r="AB173" s="134" t="str">
        <f>IF(AA173="","",IFERROR((RANK(AA173,$AA$2:$AA$2028,1)+COUNTIF($AA$2:AA173,AA173))-1,""))</f>
        <v/>
      </c>
      <c r="AC173" s="134" t="str">
        <f t="shared" si="255"/>
        <v/>
      </c>
      <c r="AD173" s="134" t="str">
        <f>IF(AC173="","",IFERROR((RANK(AC173,$AC$2:$AC$2028,1)+COUNTIF($AC$2:AC173,AC173))-1,""))</f>
        <v/>
      </c>
      <c r="AE173" s="144" t="str">
        <f t="shared" si="247"/>
        <v/>
      </c>
      <c r="AF173" s="144" t="str">
        <f>IF(AE173="","",SUM($AE$2:AE173))</f>
        <v/>
      </c>
    </row>
    <row r="174" spans="14:32" x14ac:dyDescent="0.35">
      <c r="N174" s="134" t="str">
        <f t="shared" si="245"/>
        <v/>
      </c>
      <c r="O174" s="82" t="str">
        <f t="shared" si="248"/>
        <v/>
      </c>
      <c r="P174" s="81" t="str">
        <f t="shared" si="246"/>
        <v/>
      </c>
      <c r="Q174" s="81" t="str">
        <f t="shared" si="249"/>
        <v/>
      </c>
      <c r="R174" s="135" t="str">
        <f t="shared" ca="1" si="250"/>
        <v/>
      </c>
      <c r="S174" s="134" t="str">
        <f t="shared" ca="1" si="251"/>
        <v/>
      </c>
      <c r="T174" s="134" t="str">
        <f ca="1">IF(S174=Dashboard!$D$12,S174,"")</f>
        <v/>
      </c>
      <c r="U174" s="134" t="str">
        <f t="shared" ca="1" si="252"/>
        <v/>
      </c>
      <c r="V174" s="83" t="str">
        <f ca="1">IF(U174="","",IFERROR((RANK(U174,$U$2:$U$2028,1)+COUNTIF($U$2:U174,U174))-1,""))</f>
        <v/>
      </c>
      <c r="W174" s="134" t="str">
        <f t="shared" si="256"/>
        <v/>
      </c>
      <c r="X174" s="134" t="str">
        <f>IF(W174="","",IFERROR((RANK(W174,$W$2:$W$2028,1)+COUNTIF($W$2:W174,W174))-1,""))</f>
        <v/>
      </c>
      <c r="Y174" s="134" t="str">
        <f t="shared" si="253"/>
        <v/>
      </c>
      <c r="Z174" s="134" t="str">
        <f>IF(Y174="","",IFERROR((RANK(Y174,$Y$2:$Y$2028,1)+COUNTIF($Y$2:Y174,Y174))-1,""))</f>
        <v/>
      </c>
      <c r="AA174" s="134" t="str">
        <f t="shared" si="254"/>
        <v/>
      </c>
      <c r="AB174" s="134" t="str">
        <f>IF(AA174="","",IFERROR((RANK(AA174,$AA$2:$AA$2028,1)+COUNTIF($AA$2:AA174,AA174))-1,""))</f>
        <v/>
      </c>
      <c r="AC174" s="134" t="str">
        <f t="shared" si="255"/>
        <v/>
      </c>
      <c r="AD174" s="134" t="str">
        <f>IF(AC174="","",IFERROR((RANK(AC174,$AC$2:$AC$2028,1)+COUNTIF($AC$2:AC174,AC174))-1,""))</f>
        <v/>
      </c>
      <c r="AE174" s="144" t="str">
        <f t="shared" si="247"/>
        <v/>
      </c>
      <c r="AF174" s="144" t="str">
        <f>IF(AE174="","",SUM($AE$2:AE174))</f>
        <v/>
      </c>
    </row>
    <row r="175" spans="14:32" x14ac:dyDescent="0.35">
      <c r="N175" s="134" t="str">
        <f t="shared" si="245"/>
        <v/>
      </c>
      <c r="O175" s="82" t="str">
        <f t="shared" si="248"/>
        <v/>
      </c>
      <c r="P175" s="81" t="str">
        <f t="shared" si="246"/>
        <v/>
      </c>
      <c r="Q175" s="81" t="str">
        <f t="shared" si="249"/>
        <v/>
      </c>
      <c r="R175" s="135" t="str">
        <f t="shared" ca="1" si="250"/>
        <v/>
      </c>
      <c r="S175" s="134" t="str">
        <f t="shared" ca="1" si="251"/>
        <v/>
      </c>
      <c r="T175" s="134" t="str">
        <f ca="1">IF(S175=Dashboard!$D$12,S175,"")</f>
        <v/>
      </c>
      <c r="U175" s="134" t="str">
        <f t="shared" ca="1" si="252"/>
        <v/>
      </c>
      <c r="V175" s="83" t="str">
        <f ca="1">IF(U175="","",IFERROR((RANK(U175,$U$2:$U$2028,1)+COUNTIF($U$2:U175,U175))-1,""))</f>
        <v/>
      </c>
      <c r="W175" s="134" t="str">
        <f t="shared" si="256"/>
        <v/>
      </c>
      <c r="X175" s="134" t="str">
        <f>IF(W175="","",IFERROR((RANK(W175,$W$2:$W$2028,1)+COUNTIF($W$2:W175,W175))-1,""))</f>
        <v/>
      </c>
      <c r="Y175" s="134" t="str">
        <f t="shared" si="253"/>
        <v/>
      </c>
      <c r="Z175" s="134" t="str">
        <f>IF(Y175="","",IFERROR((RANK(Y175,$Y$2:$Y$2028,1)+COUNTIF($Y$2:Y175,Y175))-1,""))</f>
        <v/>
      </c>
      <c r="AA175" s="134" t="str">
        <f t="shared" si="254"/>
        <v/>
      </c>
      <c r="AB175" s="134" t="str">
        <f>IF(AA175="","",IFERROR((RANK(AA175,$AA$2:$AA$2028,1)+COUNTIF($AA$2:AA175,AA175))-1,""))</f>
        <v/>
      </c>
      <c r="AC175" s="134" t="str">
        <f t="shared" si="255"/>
        <v/>
      </c>
      <c r="AD175" s="134" t="str">
        <f>IF(AC175="","",IFERROR((RANK(AC175,$AC$2:$AC$2028,1)+COUNTIF($AC$2:AC175,AC175))-1,""))</f>
        <v/>
      </c>
      <c r="AE175" s="144" t="str">
        <f t="shared" si="247"/>
        <v/>
      </c>
      <c r="AF175" s="144" t="str">
        <f>IF(AE175="","",SUM($AE$2:AE175))</f>
        <v/>
      </c>
    </row>
    <row r="176" spans="14:32" x14ac:dyDescent="0.35">
      <c r="N176" s="134" t="str">
        <f t="shared" si="245"/>
        <v/>
      </c>
      <c r="O176" s="82" t="str">
        <f t="shared" si="248"/>
        <v/>
      </c>
      <c r="P176" s="81" t="str">
        <f t="shared" si="246"/>
        <v/>
      </c>
      <c r="Q176" s="81" t="str">
        <f t="shared" si="249"/>
        <v/>
      </c>
      <c r="R176" s="135" t="str">
        <f t="shared" ca="1" si="250"/>
        <v/>
      </c>
      <c r="S176" s="134" t="str">
        <f t="shared" ca="1" si="251"/>
        <v/>
      </c>
      <c r="T176" s="134" t="str">
        <f ca="1">IF(S176=Dashboard!$D$12,S176,"")</f>
        <v/>
      </c>
      <c r="U176" s="134" t="str">
        <f t="shared" ca="1" si="252"/>
        <v/>
      </c>
      <c r="V176" s="83" t="str">
        <f ca="1">IF(U176="","",IFERROR((RANK(U176,$U$2:$U$2028,1)+COUNTIF($U$2:U176,U176))-1,""))</f>
        <v/>
      </c>
      <c r="W176" s="134" t="str">
        <f t="shared" si="256"/>
        <v/>
      </c>
      <c r="X176" s="134" t="str">
        <f>IF(W176="","",IFERROR((RANK(W176,$W$2:$W$2028,1)+COUNTIF($W$2:W176,W176))-1,""))</f>
        <v/>
      </c>
      <c r="Y176" s="134" t="str">
        <f t="shared" si="253"/>
        <v/>
      </c>
      <c r="Z176" s="134" t="str">
        <f>IF(Y176="","",IFERROR((RANK(Y176,$Y$2:$Y$2028,1)+COUNTIF($Y$2:Y176,Y176))-1,""))</f>
        <v/>
      </c>
      <c r="AA176" s="134" t="str">
        <f t="shared" si="254"/>
        <v/>
      </c>
      <c r="AB176" s="134" t="str">
        <f>IF(AA176="","",IFERROR((RANK(AA176,$AA$2:$AA$2028,1)+COUNTIF($AA$2:AA176,AA176))-1,""))</f>
        <v/>
      </c>
      <c r="AC176" s="134" t="str">
        <f t="shared" si="255"/>
        <v/>
      </c>
      <c r="AD176" s="134" t="str">
        <f>IF(AC176="","",IFERROR((RANK(AC176,$AC$2:$AC$2028,1)+COUNTIF($AC$2:AC176,AC176))-1,""))</f>
        <v/>
      </c>
      <c r="AE176" s="144" t="str">
        <f t="shared" si="247"/>
        <v/>
      </c>
      <c r="AF176" s="144" t="str">
        <f>IF(AE176="","",SUM($AE$2:AE176))</f>
        <v/>
      </c>
    </row>
    <row r="177" spans="14:32" x14ac:dyDescent="0.35">
      <c r="N177" s="134" t="str">
        <f t="shared" si="245"/>
        <v/>
      </c>
      <c r="O177" s="82" t="str">
        <f t="shared" si="248"/>
        <v/>
      </c>
      <c r="P177" s="81" t="str">
        <f t="shared" si="246"/>
        <v/>
      </c>
      <c r="Q177" s="81" t="str">
        <f t="shared" si="249"/>
        <v/>
      </c>
      <c r="R177" s="135" t="str">
        <f t="shared" ca="1" si="250"/>
        <v/>
      </c>
      <c r="S177" s="134" t="str">
        <f t="shared" ca="1" si="251"/>
        <v/>
      </c>
      <c r="T177" s="134" t="str">
        <f ca="1">IF(S177=Dashboard!$D$12,S177,"")</f>
        <v/>
      </c>
      <c r="U177" s="134" t="str">
        <f t="shared" ca="1" si="252"/>
        <v/>
      </c>
      <c r="V177" s="83" t="str">
        <f ca="1">IF(U177="","",IFERROR((RANK(U177,$U$2:$U$2028,1)+COUNTIF($U$2:U177,U177))-1,""))</f>
        <v/>
      </c>
      <c r="W177" s="134" t="str">
        <f t="shared" si="256"/>
        <v/>
      </c>
      <c r="X177" s="134" t="str">
        <f>IF(W177="","",IFERROR((RANK(W177,$W$2:$W$2028,1)+COUNTIF($W$2:W177,W177))-1,""))</f>
        <v/>
      </c>
      <c r="Y177" s="134" t="str">
        <f t="shared" si="253"/>
        <v/>
      </c>
      <c r="Z177" s="134" t="str">
        <f>IF(Y177="","",IFERROR((RANK(Y177,$Y$2:$Y$2028,1)+COUNTIF($Y$2:Y177,Y177))-1,""))</f>
        <v/>
      </c>
      <c r="AA177" s="134" t="str">
        <f t="shared" si="254"/>
        <v/>
      </c>
      <c r="AB177" s="134" t="str">
        <f>IF(AA177="","",IFERROR((RANK(AA177,$AA$2:$AA$2028,1)+COUNTIF($AA$2:AA177,AA177))-1,""))</f>
        <v/>
      </c>
      <c r="AC177" s="134" t="str">
        <f t="shared" si="255"/>
        <v/>
      </c>
      <c r="AD177" s="134" t="str">
        <f>IF(AC177="","",IFERROR((RANK(AC177,$AC$2:$AC$2028,1)+COUNTIF($AC$2:AC177,AC177))-1,""))</f>
        <v/>
      </c>
      <c r="AE177" s="144" t="str">
        <f t="shared" si="247"/>
        <v/>
      </c>
      <c r="AF177" s="144" t="str">
        <f>IF(AE177="","",SUM($AE$2:AE177))</f>
        <v/>
      </c>
    </row>
    <row r="178" spans="14:32" x14ac:dyDescent="0.35">
      <c r="N178" s="134" t="str">
        <f t="shared" si="245"/>
        <v/>
      </c>
      <c r="O178" s="82" t="str">
        <f t="shared" si="248"/>
        <v/>
      </c>
      <c r="P178" s="81" t="str">
        <f t="shared" si="246"/>
        <v/>
      </c>
      <c r="Q178" s="81" t="str">
        <f t="shared" si="249"/>
        <v/>
      </c>
      <c r="R178" s="135" t="str">
        <f t="shared" ca="1" si="250"/>
        <v/>
      </c>
      <c r="S178" s="134" t="str">
        <f t="shared" ca="1" si="251"/>
        <v/>
      </c>
      <c r="T178" s="134" t="str">
        <f ca="1">IF(S178=Dashboard!$D$12,S178,"")</f>
        <v/>
      </c>
      <c r="U178" s="134" t="str">
        <f t="shared" ca="1" si="252"/>
        <v/>
      </c>
      <c r="V178" s="83" t="str">
        <f ca="1">IF(U178="","",IFERROR((RANK(U178,$U$2:$U$2028,1)+COUNTIF($U$2:U178,U178))-1,""))</f>
        <v/>
      </c>
      <c r="W178" s="134" t="str">
        <f t="shared" si="256"/>
        <v/>
      </c>
      <c r="X178" s="134" t="str">
        <f>IF(W178="","",IFERROR((RANK(W178,$W$2:$W$2028,1)+COUNTIF($W$2:W178,W178))-1,""))</f>
        <v/>
      </c>
      <c r="Y178" s="134" t="str">
        <f t="shared" si="253"/>
        <v/>
      </c>
      <c r="Z178" s="134" t="str">
        <f>IF(Y178="","",IFERROR((RANK(Y178,$Y$2:$Y$2028,1)+COUNTIF($Y$2:Y178,Y178))-1,""))</f>
        <v/>
      </c>
      <c r="AA178" s="134" t="str">
        <f t="shared" si="254"/>
        <v/>
      </c>
      <c r="AB178" s="134" t="str">
        <f>IF(AA178="","",IFERROR((RANK(AA178,$AA$2:$AA$2028,1)+COUNTIF($AA$2:AA178,AA178))-1,""))</f>
        <v/>
      </c>
      <c r="AC178" s="134" t="str">
        <f t="shared" si="255"/>
        <v/>
      </c>
      <c r="AD178" s="134" t="str">
        <f>IF(AC178="","",IFERROR((RANK(AC178,$AC$2:$AC$2028,1)+COUNTIF($AC$2:AC178,AC178))-1,""))</f>
        <v/>
      </c>
      <c r="AE178" s="144" t="str">
        <f t="shared" si="247"/>
        <v/>
      </c>
      <c r="AF178" s="144" t="str">
        <f>IF(AE178="","",SUM($AE$2:AE178))</f>
        <v/>
      </c>
    </row>
    <row r="179" spans="14:32" x14ac:dyDescent="0.35">
      <c r="N179" s="134" t="str">
        <f t="shared" si="245"/>
        <v/>
      </c>
      <c r="O179" s="82" t="str">
        <f t="shared" si="248"/>
        <v/>
      </c>
      <c r="P179" s="81" t="str">
        <f t="shared" si="246"/>
        <v/>
      </c>
      <c r="Q179" s="81" t="str">
        <f t="shared" si="249"/>
        <v/>
      </c>
      <c r="R179" s="135" t="str">
        <f t="shared" ca="1" si="250"/>
        <v/>
      </c>
      <c r="S179" s="134" t="str">
        <f t="shared" ca="1" si="251"/>
        <v/>
      </c>
      <c r="T179" s="134" t="str">
        <f ca="1">IF(S179=Dashboard!$D$12,S179,"")</f>
        <v/>
      </c>
      <c r="U179" s="134" t="str">
        <f t="shared" ca="1" si="252"/>
        <v/>
      </c>
      <c r="V179" s="83" t="str">
        <f ca="1">IF(U179="","",IFERROR((RANK(U179,$U$2:$U$2028,1)+COUNTIF($U$2:U179,U179))-1,""))</f>
        <v/>
      </c>
      <c r="W179" s="134" t="str">
        <f t="shared" si="256"/>
        <v/>
      </c>
      <c r="X179" s="134" t="str">
        <f>IF(W179="","",IFERROR((RANK(W179,$W$2:$W$2028,1)+COUNTIF($W$2:W179,W179))-1,""))</f>
        <v/>
      </c>
      <c r="Y179" s="134" t="str">
        <f t="shared" si="253"/>
        <v/>
      </c>
      <c r="Z179" s="134" t="str">
        <f>IF(Y179="","",IFERROR((RANK(Y179,$Y$2:$Y$2028,1)+COUNTIF($Y$2:Y179,Y179))-1,""))</f>
        <v/>
      </c>
      <c r="AA179" s="134" t="str">
        <f t="shared" si="254"/>
        <v/>
      </c>
      <c r="AB179" s="134" t="str">
        <f>IF(AA179="","",IFERROR((RANK(AA179,$AA$2:$AA$2028,1)+COUNTIF($AA$2:AA179,AA179))-1,""))</f>
        <v/>
      </c>
      <c r="AC179" s="134" t="str">
        <f t="shared" si="255"/>
        <v/>
      </c>
      <c r="AD179" s="134" t="str">
        <f>IF(AC179="","",IFERROR((RANK(AC179,$AC$2:$AC$2028,1)+COUNTIF($AC$2:AC179,AC179))-1,""))</f>
        <v/>
      </c>
      <c r="AE179" s="144" t="str">
        <f t="shared" si="247"/>
        <v/>
      </c>
      <c r="AF179" s="144" t="str">
        <f>IF(AE179="","",SUM($AE$2:AE179))</f>
        <v/>
      </c>
    </row>
    <row r="180" spans="14:32" x14ac:dyDescent="0.35">
      <c r="N180" s="134" t="str">
        <f t="shared" si="245"/>
        <v/>
      </c>
      <c r="O180" s="82" t="str">
        <f t="shared" si="248"/>
        <v/>
      </c>
      <c r="P180" s="81" t="str">
        <f t="shared" si="246"/>
        <v/>
      </c>
      <c r="Q180" s="81" t="str">
        <f t="shared" si="249"/>
        <v/>
      </c>
      <c r="R180" s="135" t="str">
        <f t="shared" ca="1" si="250"/>
        <v/>
      </c>
      <c r="S180" s="134" t="str">
        <f t="shared" ca="1" si="251"/>
        <v/>
      </c>
      <c r="T180" s="134" t="str">
        <f ca="1">IF(S180=Dashboard!$D$12,S180,"")</f>
        <v/>
      </c>
      <c r="U180" s="134" t="str">
        <f t="shared" ca="1" si="252"/>
        <v/>
      </c>
      <c r="V180" s="83" t="str">
        <f ca="1">IF(U180="","",IFERROR((RANK(U180,$U$2:$U$2028,1)+COUNTIF($U$2:U180,U180))-1,""))</f>
        <v/>
      </c>
      <c r="W180" s="134" t="str">
        <f t="shared" si="256"/>
        <v/>
      </c>
      <c r="X180" s="134" t="str">
        <f>IF(W180="","",IFERROR((RANK(W180,$W$2:$W$2028,1)+COUNTIF($W$2:W180,W180))-1,""))</f>
        <v/>
      </c>
      <c r="Y180" s="134" t="str">
        <f t="shared" si="253"/>
        <v/>
      </c>
      <c r="Z180" s="134" t="str">
        <f>IF(Y180="","",IFERROR((RANK(Y180,$Y$2:$Y$2028,1)+COUNTIF($Y$2:Y180,Y180))-1,""))</f>
        <v/>
      </c>
      <c r="AA180" s="134" t="str">
        <f t="shared" si="254"/>
        <v/>
      </c>
      <c r="AB180" s="134" t="str">
        <f>IF(AA180="","",IFERROR((RANK(AA180,$AA$2:$AA$2028,1)+COUNTIF($AA$2:AA180,AA180))-1,""))</f>
        <v/>
      </c>
      <c r="AC180" s="134" t="str">
        <f t="shared" si="255"/>
        <v/>
      </c>
      <c r="AD180" s="134" t="str">
        <f>IF(AC180="","",IFERROR((RANK(AC180,$AC$2:$AC$2028,1)+COUNTIF($AC$2:AC180,AC180))-1,""))</f>
        <v/>
      </c>
      <c r="AE180" s="144" t="str">
        <f t="shared" si="247"/>
        <v/>
      </c>
      <c r="AF180" s="144" t="str">
        <f>IF(AE180="","",SUM($AE$2:AE180))</f>
        <v/>
      </c>
    </row>
    <row r="181" spans="14:32" x14ac:dyDescent="0.35">
      <c r="N181" s="134" t="str">
        <f t="shared" si="245"/>
        <v/>
      </c>
      <c r="O181" s="82" t="str">
        <f t="shared" si="248"/>
        <v/>
      </c>
      <c r="P181" s="81" t="str">
        <f t="shared" si="246"/>
        <v/>
      </c>
      <c r="Q181" s="81" t="str">
        <f t="shared" si="249"/>
        <v/>
      </c>
      <c r="R181" s="135" t="str">
        <f t="shared" ca="1" si="250"/>
        <v/>
      </c>
      <c r="S181" s="134" t="str">
        <f t="shared" ca="1" si="251"/>
        <v/>
      </c>
      <c r="T181" s="134" t="str">
        <f ca="1">IF(S181=Dashboard!$D$12,S181,"")</f>
        <v/>
      </c>
      <c r="U181" s="134" t="str">
        <f t="shared" ca="1" si="252"/>
        <v/>
      </c>
      <c r="V181" s="83" t="str">
        <f ca="1">IF(U181="","",IFERROR((RANK(U181,$U$2:$U$2028,1)+COUNTIF($U$2:U181,U181))-1,""))</f>
        <v/>
      </c>
      <c r="W181" s="134" t="str">
        <f t="shared" si="256"/>
        <v/>
      </c>
      <c r="X181" s="134" t="str">
        <f>IF(W181="","",IFERROR((RANK(W181,$W$2:$W$2028,1)+COUNTIF($W$2:W181,W181))-1,""))</f>
        <v/>
      </c>
      <c r="Y181" s="134" t="str">
        <f t="shared" si="253"/>
        <v/>
      </c>
      <c r="Z181" s="134" t="str">
        <f>IF(Y181="","",IFERROR((RANK(Y181,$Y$2:$Y$2028,1)+COUNTIF($Y$2:Y181,Y181))-1,""))</f>
        <v/>
      </c>
      <c r="AA181" s="134" t="str">
        <f t="shared" si="254"/>
        <v/>
      </c>
      <c r="AB181" s="134" t="str">
        <f>IF(AA181="","",IFERROR((RANK(AA181,$AA$2:$AA$2028,1)+COUNTIF($AA$2:AA181,AA181))-1,""))</f>
        <v/>
      </c>
      <c r="AC181" s="134" t="str">
        <f t="shared" si="255"/>
        <v/>
      </c>
      <c r="AD181" s="134" t="str">
        <f>IF(AC181="","",IFERROR((RANK(AC181,$AC$2:$AC$2028,1)+COUNTIF($AC$2:AC181,AC181))-1,""))</f>
        <v/>
      </c>
      <c r="AE181" s="144" t="str">
        <f t="shared" si="247"/>
        <v/>
      </c>
      <c r="AF181" s="144" t="str">
        <f>IF(AE181="","",SUM($AE$2:AE181))</f>
        <v/>
      </c>
    </row>
    <row r="182" spans="14:32" x14ac:dyDescent="0.35">
      <c r="N182" s="134" t="str">
        <f t="shared" si="245"/>
        <v/>
      </c>
      <c r="O182" s="82" t="str">
        <f t="shared" si="248"/>
        <v/>
      </c>
      <c r="P182" s="81" t="str">
        <f t="shared" si="246"/>
        <v/>
      </c>
      <c r="Q182" s="81" t="str">
        <f t="shared" si="249"/>
        <v/>
      </c>
      <c r="R182" s="135" t="str">
        <f t="shared" ca="1" si="250"/>
        <v/>
      </c>
      <c r="S182" s="134" t="str">
        <f t="shared" ca="1" si="251"/>
        <v/>
      </c>
      <c r="T182" s="134" t="str">
        <f ca="1">IF(S182=Dashboard!$D$12,S182,"")</f>
        <v/>
      </c>
      <c r="U182" s="134" t="str">
        <f t="shared" ca="1" si="252"/>
        <v/>
      </c>
      <c r="V182" s="83" t="str">
        <f ca="1">IF(U182="","",IFERROR((RANK(U182,$U$2:$U$2028,1)+COUNTIF($U$2:U182,U182))-1,""))</f>
        <v/>
      </c>
      <c r="W182" s="134" t="str">
        <f t="shared" si="256"/>
        <v/>
      </c>
      <c r="X182" s="134" t="str">
        <f>IF(W182="","",IFERROR((RANK(W182,$W$2:$W$2028,1)+COUNTIF($W$2:W182,W182))-1,""))</f>
        <v/>
      </c>
      <c r="Y182" s="134" t="str">
        <f t="shared" si="253"/>
        <v/>
      </c>
      <c r="Z182" s="134" t="str">
        <f>IF(Y182="","",IFERROR((RANK(Y182,$Y$2:$Y$2028,1)+COUNTIF($Y$2:Y182,Y182))-1,""))</f>
        <v/>
      </c>
      <c r="AA182" s="134" t="str">
        <f t="shared" si="254"/>
        <v/>
      </c>
      <c r="AB182" s="134" t="str">
        <f>IF(AA182="","",IFERROR((RANK(AA182,$AA$2:$AA$2028,1)+COUNTIF($AA$2:AA182,AA182))-1,""))</f>
        <v/>
      </c>
      <c r="AC182" s="134" t="str">
        <f t="shared" si="255"/>
        <v/>
      </c>
      <c r="AD182" s="134" t="str">
        <f>IF(AC182="","",IFERROR((RANK(AC182,$AC$2:$AC$2028,1)+COUNTIF($AC$2:AC182,AC182))-1,""))</f>
        <v/>
      </c>
      <c r="AE182" s="144" t="str">
        <f t="shared" si="247"/>
        <v/>
      </c>
      <c r="AF182" s="144" t="str">
        <f>IF(AE182="","",SUM($AE$2:AE182))</f>
        <v/>
      </c>
    </row>
    <row r="183" spans="14:32" x14ac:dyDescent="0.35">
      <c r="N183" s="134" t="str">
        <f t="shared" si="245"/>
        <v/>
      </c>
      <c r="O183" s="82" t="str">
        <f t="shared" si="248"/>
        <v/>
      </c>
      <c r="P183" s="81" t="str">
        <f t="shared" si="246"/>
        <v/>
      </c>
      <c r="Q183" s="81" t="str">
        <f t="shared" si="249"/>
        <v/>
      </c>
      <c r="R183" s="135" t="str">
        <f t="shared" ca="1" si="250"/>
        <v/>
      </c>
      <c r="S183" s="134" t="str">
        <f t="shared" ca="1" si="251"/>
        <v/>
      </c>
      <c r="T183" s="134" t="str">
        <f ca="1">IF(S183=Dashboard!$D$12,S183,"")</f>
        <v/>
      </c>
      <c r="U183" s="134" t="str">
        <f t="shared" ca="1" si="252"/>
        <v/>
      </c>
      <c r="V183" s="83" t="str">
        <f ca="1">IF(U183="","",IFERROR((RANK(U183,$U$2:$U$2028,1)+COUNTIF($U$2:U183,U183))-1,""))</f>
        <v/>
      </c>
      <c r="W183" s="134" t="str">
        <f t="shared" si="256"/>
        <v/>
      </c>
      <c r="X183" s="134" t="str">
        <f>IF(W183="","",IFERROR((RANK(W183,$W$2:$W$2028,1)+COUNTIF($W$2:W183,W183))-1,""))</f>
        <v/>
      </c>
      <c r="Y183" s="134" t="str">
        <f t="shared" si="253"/>
        <v/>
      </c>
      <c r="Z183" s="134" t="str">
        <f>IF(Y183="","",IFERROR((RANK(Y183,$Y$2:$Y$2028,1)+COUNTIF($Y$2:Y183,Y183))-1,""))</f>
        <v/>
      </c>
      <c r="AA183" s="134" t="str">
        <f t="shared" si="254"/>
        <v/>
      </c>
      <c r="AB183" s="134" t="str">
        <f>IF(AA183="","",IFERROR((RANK(AA183,$AA$2:$AA$2028,1)+COUNTIF($AA$2:AA183,AA183))-1,""))</f>
        <v/>
      </c>
      <c r="AC183" s="134" t="str">
        <f t="shared" si="255"/>
        <v/>
      </c>
      <c r="AD183" s="134" t="str">
        <f>IF(AC183="","",IFERROR((RANK(AC183,$AC$2:$AC$2028,1)+COUNTIF($AC$2:AC183,AC183))-1,""))</f>
        <v/>
      </c>
      <c r="AE183" s="144" t="str">
        <f t="shared" si="247"/>
        <v/>
      </c>
      <c r="AF183" s="144" t="str">
        <f>IF(AE183="","",SUM($AE$2:AE183))</f>
        <v/>
      </c>
    </row>
    <row r="184" spans="14:32" x14ac:dyDescent="0.35">
      <c r="N184" s="134" t="str">
        <f t="shared" si="245"/>
        <v/>
      </c>
      <c r="O184" s="82" t="str">
        <f t="shared" si="248"/>
        <v/>
      </c>
      <c r="P184" s="81" t="str">
        <f t="shared" si="246"/>
        <v/>
      </c>
      <c r="Q184" s="81" t="str">
        <f t="shared" si="249"/>
        <v/>
      </c>
      <c r="R184" s="135" t="str">
        <f t="shared" ca="1" si="250"/>
        <v/>
      </c>
      <c r="S184" s="134" t="str">
        <f t="shared" ca="1" si="251"/>
        <v/>
      </c>
      <c r="T184" s="134" t="str">
        <f ca="1">IF(S184=Dashboard!$D$12,S184,"")</f>
        <v/>
      </c>
      <c r="U184" s="134" t="str">
        <f t="shared" ca="1" si="252"/>
        <v/>
      </c>
      <c r="V184" s="83" t="str">
        <f ca="1">IF(U184="","",IFERROR((RANK(U184,$U$2:$U$2028,1)+COUNTIF($U$2:U184,U184))-1,""))</f>
        <v/>
      </c>
      <c r="W184" s="134" t="str">
        <f t="shared" si="256"/>
        <v/>
      </c>
      <c r="X184" s="134" t="str">
        <f>IF(W184="","",IFERROR((RANK(W184,$W$2:$W$2028,1)+COUNTIF($W$2:W184,W184))-1,""))</f>
        <v/>
      </c>
      <c r="Y184" s="134" t="str">
        <f t="shared" si="253"/>
        <v/>
      </c>
      <c r="Z184" s="134" t="str">
        <f>IF(Y184="","",IFERROR((RANK(Y184,$Y$2:$Y$2028,1)+COUNTIF($Y$2:Y184,Y184))-1,""))</f>
        <v/>
      </c>
      <c r="AA184" s="134" t="str">
        <f t="shared" si="254"/>
        <v/>
      </c>
      <c r="AB184" s="134" t="str">
        <f>IF(AA184="","",IFERROR((RANK(AA184,$AA$2:$AA$2028,1)+COUNTIF($AA$2:AA184,AA184))-1,""))</f>
        <v/>
      </c>
      <c r="AC184" s="134" t="str">
        <f t="shared" si="255"/>
        <v/>
      </c>
      <c r="AD184" s="134" t="str">
        <f>IF(AC184="","",IFERROR((RANK(AC184,$AC$2:$AC$2028,1)+COUNTIF($AC$2:AC184,AC184))-1,""))</f>
        <v/>
      </c>
      <c r="AE184" s="144" t="str">
        <f t="shared" si="247"/>
        <v/>
      </c>
      <c r="AF184" s="144" t="str">
        <f>IF(AE184="","",SUM($AE$2:AE184))</f>
        <v/>
      </c>
    </row>
    <row r="185" spans="14:32" x14ac:dyDescent="0.35">
      <c r="N185" s="134" t="str">
        <f t="shared" si="245"/>
        <v/>
      </c>
      <c r="O185" s="82" t="str">
        <f t="shared" si="248"/>
        <v/>
      </c>
      <c r="P185" s="81" t="str">
        <f t="shared" si="246"/>
        <v/>
      </c>
      <c r="Q185" s="81" t="str">
        <f t="shared" si="249"/>
        <v/>
      </c>
      <c r="R185" s="135" t="str">
        <f t="shared" ca="1" si="250"/>
        <v/>
      </c>
      <c r="S185" s="134" t="str">
        <f t="shared" ca="1" si="251"/>
        <v/>
      </c>
      <c r="T185" s="134" t="str">
        <f ca="1">IF(S185=Dashboard!$D$12,S185,"")</f>
        <v/>
      </c>
      <c r="U185" s="134" t="str">
        <f t="shared" ca="1" si="252"/>
        <v/>
      </c>
      <c r="V185" s="83" t="str">
        <f ca="1">IF(U185="","",IFERROR((RANK(U185,$U$2:$U$2028,1)+COUNTIF($U$2:U185,U185))-1,""))</f>
        <v/>
      </c>
      <c r="W185" s="134" t="str">
        <f t="shared" si="256"/>
        <v/>
      </c>
      <c r="X185" s="134" t="str">
        <f>IF(W185="","",IFERROR((RANK(W185,$W$2:$W$2028,1)+COUNTIF($W$2:W185,W185))-1,""))</f>
        <v/>
      </c>
      <c r="Y185" s="134" t="str">
        <f t="shared" si="253"/>
        <v/>
      </c>
      <c r="Z185" s="134" t="str">
        <f>IF(Y185="","",IFERROR((RANK(Y185,$Y$2:$Y$2028,1)+COUNTIF($Y$2:Y185,Y185))-1,""))</f>
        <v/>
      </c>
      <c r="AA185" s="134" t="str">
        <f t="shared" si="254"/>
        <v/>
      </c>
      <c r="AB185" s="134" t="str">
        <f>IF(AA185="","",IFERROR((RANK(AA185,$AA$2:$AA$2028,1)+COUNTIF($AA$2:AA185,AA185))-1,""))</f>
        <v/>
      </c>
      <c r="AC185" s="134" t="str">
        <f t="shared" si="255"/>
        <v/>
      </c>
      <c r="AD185" s="134" t="str">
        <f>IF(AC185="","",IFERROR((RANK(AC185,$AC$2:$AC$2028,1)+COUNTIF($AC$2:AC185,AC185))-1,""))</f>
        <v/>
      </c>
      <c r="AE185" s="144" t="str">
        <f t="shared" si="247"/>
        <v/>
      </c>
      <c r="AF185" s="144" t="str">
        <f>IF(AE185="","",SUM($AE$2:AE185))</f>
        <v/>
      </c>
    </row>
    <row r="186" spans="14:32" x14ac:dyDescent="0.35">
      <c r="N186" s="134" t="str">
        <f t="shared" si="245"/>
        <v/>
      </c>
      <c r="O186" s="82" t="str">
        <f t="shared" si="248"/>
        <v/>
      </c>
      <c r="P186" s="81" t="str">
        <f t="shared" si="246"/>
        <v/>
      </c>
      <c r="Q186" s="81" t="str">
        <f t="shared" si="249"/>
        <v/>
      </c>
      <c r="R186" s="135" t="str">
        <f t="shared" ca="1" si="250"/>
        <v/>
      </c>
      <c r="S186" s="134" t="str">
        <f t="shared" ca="1" si="251"/>
        <v/>
      </c>
      <c r="T186" s="134" t="str">
        <f ca="1">IF(S186=Dashboard!$D$12,S186,"")</f>
        <v/>
      </c>
      <c r="U186" s="134" t="str">
        <f t="shared" ca="1" si="252"/>
        <v/>
      </c>
      <c r="V186" s="83" t="str">
        <f ca="1">IF(U186="","",IFERROR((RANK(U186,$U$2:$U$2028,1)+COUNTIF($U$2:U186,U186))-1,""))</f>
        <v/>
      </c>
      <c r="W186" s="134" t="str">
        <f t="shared" si="256"/>
        <v/>
      </c>
      <c r="X186" s="134" t="str">
        <f>IF(W186="","",IFERROR((RANK(W186,$W$2:$W$2028,1)+COUNTIF($W$2:W186,W186))-1,""))</f>
        <v/>
      </c>
      <c r="Y186" s="134" t="str">
        <f t="shared" si="253"/>
        <v/>
      </c>
      <c r="Z186" s="134" t="str">
        <f>IF(Y186="","",IFERROR((RANK(Y186,$Y$2:$Y$2028,1)+COUNTIF($Y$2:Y186,Y186))-1,""))</f>
        <v/>
      </c>
      <c r="AA186" s="134" t="str">
        <f t="shared" si="254"/>
        <v/>
      </c>
      <c r="AB186" s="134" t="str">
        <f>IF(AA186="","",IFERROR((RANK(AA186,$AA$2:$AA$2028,1)+COUNTIF($AA$2:AA186,AA186))-1,""))</f>
        <v/>
      </c>
      <c r="AC186" s="134" t="str">
        <f t="shared" si="255"/>
        <v/>
      </c>
      <c r="AD186" s="134" t="str">
        <f>IF(AC186="","",IFERROR((RANK(AC186,$AC$2:$AC$2028,1)+COUNTIF($AC$2:AC186,AC186))-1,""))</f>
        <v/>
      </c>
      <c r="AE186" s="144" t="str">
        <f t="shared" si="247"/>
        <v/>
      </c>
      <c r="AF186" s="144" t="str">
        <f>IF(AE186="","",SUM($AE$2:AE186))</f>
        <v/>
      </c>
    </row>
    <row r="187" spans="14:32" x14ac:dyDescent="0.35">
      <c r="N187" s="134" t="str">
        <f t="shared" si="245"/>
        <v/>
      </c>
      <c r="O187" s="82" t="str">
        <f t="shared" si="248"/>
        <v/>
      </c>
      <c r="P187" s="81" t="str">
        <f t="shared" si="246"/>
        <v/>
      </c>
      <c r="Q187" s="81" t="str">
        <f t="shared" si="249"/>
        <v/>
      </c>
      <c r="R187" s="135" t="str">
        <f t="shared" ca="1" si="250"/>
        <v/>
      </c>
      <c r="S187" s="134" t="str">
        <f t="shared" ca="1" si="251"/>
        <v/>
      </c>
      <c r="T187" s="134" t="str">
        <f ca="1">IF(S187=Dashboard!$D$12,S187,"")</f>
        <v/>
      </c>
      <c r="U187" s="134" t="str">
        <f t="shared" ca="1" si="252"/>
        <v/>
      </c>
      <c r="V187" s="83" t="str">
        <f ca="1">IF(U187="","",IFERROR((RANK(U187,$U$2:$U$2028,1)+COUNTIF($U$2:U187,U187))-1,""))</f>
        <v/>
      </c>
      <c r="W187" s="134" t="str">
        <f t="shared" si="256"/>
        <v/>
      </c>
      <c r="X187" s="134" t="str">
        <f>IF(W187="","",IFERROR((RANK(W187,$W$2:$W$2028,1)+COUNTIF($W$2:W187,W187))-1,""))</f>
        <v/>
      </c>
      <c r="Y187" s="134" t="str">
        <f t="shared" si="253"/>
        <v/>
      </c>
      <c r="Z187" s="134" t="str">
        <f>IF(Y187="","",IFERROR((RANK(Y187,$Y$2:$Y$2028,1)+COUNTIF($Y$2:Y187,Y187))-1,""))</f>
        <v/>
      </c>
      <c r="AA187" s="134" t="str">
        <f t="shared" si="254"/>
        <v/>
      </c>
      <c r="AB187" s="134" t="str">
        <f>IF(AA187="","",IFERROR((RANK(AA187,$AA$2:$AA$2028,1)+COUNTIF($AA$2:AA187,AA187))-1,""))</f>
        <v/>
      </c>
      <c r="AC187" s="134" t="str">
        <f t="shared" si="255"/>
        <v/>
      </c>
      <c r="AD187" s="134" t="str">
        <f>IF(AC187="","",IFERROR((RANK(AC187,$AC$2:$AC$2028,1)+COUNTIF($AC$2:AC187,AC187))-1,""))</f>
        <v/>
      </c>
      <c r="AE187" s="144" t="str">
        <f t="shared" si="247"/>
        <v/>
      </c>
      <c r="AF187" s="144" t="str">
        <f>IF(AE187="","",SUM($AE$2:AE187))</f>
        <v/>
      </c>
    </row>
    <row r="188" spans="14:32" x14ac:dyDescent="0.35">
      <c r="N188" s="134" t="str">
        <f t="shared" si="245"/>
        <v/>
      </c>
      <c r="O188" s="82" t="str">
        <f t="shared" si="248"/>
        <v/>
      </c>
      <c r="P188" s="81" t="str">
        <f t="shared" si="246"/>
        <v/>
      </c>
      <c r="Q188" s="81" t="str">
        <f t="shared" si="249"/>
        <v/>
      </c>
      <c r="R188" s="135" t="str">
        <f t="shared" ca="1" si="250"/>
        <v/>
      </c>
      <c r="S188" s="134" t="str">
        <f t="shared" ca="1" si="251"/>
        <v/>
      </c>
      <c r="T188" s="134" t="str">
        <f ca="1">IF(S188=Dashboard!$D$12,S188,"")</f>
        <v/>
      </c>
      <c r="U188" s="134" t="str">
        <f t="shared" ca="1" si="252"/>
        <v/>
      </c>
      <c r="V188" s="83" t="str">
        <f ca="1">IF(U188="","",IFERROR((RANK(U188,$U$2:$U$2028,1)+COUNTIF($U$2:U188,U188))-1,""))</f>
        <v/>
      </c>
      <c r="W188" s="134" t="str">
        <f t="shared" si="256"/>
        <v/>
      </c>
      <c r="X188" s="134" t="str">
        <f>IF(W188="","",IFERROR((RANK(W188,$W$2:$W$2028,1)+COUNTIF($W$2:W188,W188))-1,""))</f>
        <v/>
      </c>
      <c r="Y188" s="134" t="str">
        <f t="shared" si="253"/>
        <v/>
      </c>
      <c r="Z188" s="134" t="str">
        <f>IF(Y188="","",IFERROR((RANK(Y188,$Y$2:$Y$2028,1)+COUNTIF($Y$2:Y188,Y188))-1,""))</f>
        <v/>
      </c>
      <c r="AA188" s="134" t="str">
        <f t="shared" si="254"/>
        <v/>
      </c>
      <c r="AB188" s="134" t="str">
        <f>IF(AA188="","",IFERROR((RANK(AA188,$AA$2:$AA$2028,1)+COUNTIF($AA$2:AA188,AA188))-1,""))</f>
        <v/>
      </c>
      <c r="AC188" s="134" t="str">
        <f t="shared" si="255"/>
        <v/>
      </c>
      <c r="AD188" s="134" t="str">
        <f>IF(AC188="","",IFERROR((RANK(AC188,$AC$2:$AC$2028,1)+COUNTIF($AC$2:AC188,AC188))-1,""))</f>
        <v/>
      </c>
      <c r="AE188" s="144" t="str">
        <f t="shared" si="247"/>
        <v/>
      </c>
      <c r="AF188" s="144" t="str">
        <f>IF(AE188="","",SUM($AE$2:AE188))</f>
        <v/>
      </c>
    </row>
    <row r="189" spans="14:32" x14ac:dyDescent="0.35">
      <c r="N189" s="134" t="str">
        <f t="shared" si="245"/>
        <v/>
      </c>
      <c r="O189" s="82" t="str">
        <f t="shared" si="248"/>
        <v/>
      </c>
      <c r="P189" s="81" t="str">
        <f t="shared" si="246"/>
        <v/>
      </c>
      <c r="Q189" s="81" t="str">
        <f t="shared" si="249"/>
        <v/>
      </c>
      <c r="R189" s="135" t="str">
        <f t="shared" ca="1" si="250"/>
        <v/>
      </c>
      <c r="S189" s="134" t="str">
        <f t="shared" ca="1" si="251"/>
        <v/>
      </c>
      <c r="T189" s="134" t="str">
        <f ca="1">IF(S189=Dashboard!$D$12,S189,"")</f>
        <v/>
      </c>
      <c r="U189" s="134" t="str">
        <f t="shared" ca="1" si="252"/>
        <v/>
      </c>
      <c r="V189" s="83" t="str">
        <f ca="1">IF(U189="","",IFERROR((RANK(U189,$U$2:$U$2028,1)+COUNTIF($U$2:U189,U189))-1,""))</f>
        <v/>
      </c>
      <c r="W189" s="134" t="str">
        <f t="shared" si="256"/>
        <v/>
      </c>
      <c r="X189" s="134" t="str">
        <f>IF(W189="","",IFERROR((RANK(W189,$W$2:$W$2028,1)+COUNTIF($W$2:W189,W189))-1,""))</f>
        <v/>
      </c>
      <c r="Y189" s="134" t="str">
        <f t="shared" si="253"/>
        <v/>
      </c>
      <c r="Z189" s="134" t="str">
        <f>IF(Y189="","",IFERROR((RANK(Y189,$Y$2:$Y$2028,1)+COUNTIF($Y$2:Y189,Y189))-1,""))</f>
        <v/>
      </c>
      <c r="AA189" s="134" t="str">
        <f t="shared" si="254"/>
        <v/>
      </c>
      <c r="AB189" s="134" t="str">
        <f>IF(AA189="","",IFERROR((RANK(AA189,$AA$2:$AA$2028,1)+COUNTIF($AA$2:AA189,AA189))-1,""))</f>
        <v/>
      </c>
      <c r="AC189" s="134" t="str">
        <f t="shared" si="255"/>
        <v/>
      </c>
      <c r="AD189" s="134" t="str">
        <f>IF(AC189="","",IFERROR((RANK(AC189,$AC$2:$AC$2028,1)+COUNTIF($AC$2:AC189,AC189))-1,""))</f>
        <v/>
      </c>
      <c r="AE189" s="144" t="str">
        <f t="shared" si="247"/>
        <v/>
      </c>
      <c r="AF189" s="144" t="str">
        <f>IF(AE189="","",SUM($AE$2:AE189))</f>
        <v/>
      </c>
    </row>
    <row r="190" spans="14:32" x14ac:dyDescent="0.35">
      <c r="N190" s="134" t="str">
        <f t="shared" si="245"/>
        <v/>
      </c>
      <c r="O190" s="82" t="str">
        <f t="shared" si="248"/>
        <v/>
      </c>
      <c r="P190" s="81" t="str">
        <f t="shared" si="246"/>
        <v/>
      </c>
      <c r="Q190" s="81" t="str">
        <f t="shared" si="249"/>
        <v/>
      </c>
      <c r="R190" s="135" t="str">
        <f t="shared" ca="1" si="250"/>
        <v/>
      </c>
      <c r="S190" s="134" t="str">
        <f t="shared" ca="1" si="251"/>
        <v/>
      </c>
      <c r="T190" s="134" t="str">
        <f ca="1">IF(S190=Dashboard!$D$12,S190,"")</f>
        <v/>
      </c>
      <c r="U190" s="134" t="str">
        <f t="shared" ca="1" si="252"/>
        <v/>
      </c>
      <c r="V190" s="83" t="str">
        <f ca="1">IF(U190="","",IFERROR((RANK(U190,$U$2:$U$2028,1)+COUNTIF($U$2:U190,U190))-1,""))</f>
        <v/>
      </c>
      <c r="W190" s="134" t="str">
        <f t="shared" si="256"/>
        <v/>
      </c>
      <c r="X190" s="134" t="str">
        <f>IF(W190="","",IFERROR((RANK(W190,$W$2:$W$2028,1)+COUNTIF($W$2:W190,W190))-1,""))</f>
        <v/>
      </c>
      <c r="Y190" s="134" t="str">
        <f t="shared" si="253"/>
        <v/>
      </c>
      <c r="Z190" s="134" t="str">
        <f>IF(Y190="","",IFERROR((RANK(Y190,$Y$2:$Y$2028,1)+COUNTIF($Y$2:Y190,Y190))-1,""))</f>
        <v/>
      </c>
      <c r="AA190" s="134" t="str">
        <f t="shared" si="254"/>
        <v/>
      </c>
      <c r="AB190" s="134" t="str">
        <f>IF(AA190="","",IFERROR((RANK(AA190,$AA$2:$AA$2028,1)+COUNTIF($AA$2:AA190,AA190))-1,""))</f>
        <v/>
      </c>
      <c r="AC190" s="134" t="str">
        <f t="shared" si="255"/>
        <v/>
      </c>
      <c r="AD190" s="134" t="str">
        <f>IF(AC190="","",IFERROR((RANK(AC190,$AC$2:$AC$2028,1)+COUNTIF($AC$2:AC190,AC190))-1,""))</f>
        <v/>
      </c>
      <c r="AE190" s="144" t="str">
        <f t="shared" si="247"/>
        <v/>
      </c>
      <c r="AF190" s="144" t="str">
        <f>IF(AE190="","",SUM($AE$2:AE190))</f>
        <v/>
      </c>
    </row>
    <row r="191" spans="14:32" x14ac:dyDescent="0.35">
      <c r="N191" s="134" t="str">
        <f t="shared" si="245"/>
        <v/>
      </c>
      <c r="O191" s="82" t="str">
        <f t="shared" si="248"/>
        <v/>
      </c>
      <c r="P191" s="81" t="str">
        <f t="shared" si="246"/>
        <v/>
      </c>
      <c r="Q191" s="81" t="str">
        <f t="shared" si="249"/>
        <v/>
      </c>
      <c r="R191" s="135" t="str">
        <f t="shared" ca="1" si="250"/>
        <v/>
      </c>
      <c r="S191" s="134" t="str">
        <f t="shared" ca="1" si="251"/>
        <v/>
      </c>
      <c r="T191" s="134" t="str">
        <f ca="1">IF(S191=Dashboard!$D$12,S191,"")</f>
        <v/>
      </c>
      <c r="U191" s="134" t="str">
        <f t="shared" ca="1" si="252"/>
        <v/>
      </c>
      <c r="V191" s="83" t="str">
        <f ca="1">IF(U191="","",IFERROR((RANK(U191,$U$2:$U$2028,1)+COUNTIF($U$2:U191,U191))-1,""))</f>
        <v/>
      </c>
      <c r="W191" s="134" t="str">
        <f t="shared" si="256"/>
        <v/>
      </c>
      <c r="X191" s="134" t="str">
        <f>IF(W191="","",IFERROR((RANK(W191,$W$2:$W$2028,1)+COUNTIF($W$2:W191,W191))-1,""))</f>
        <v/>
      </c>
      <c r="Y191" s="134" t="str">
        <f t="shared" si="253"/>
        <v/>
      </c>
      <c r="Z191" s="134" t="str">
        <f>IF(Y191="","",IFERROR((RANK(Y191,$Y$2:$Y$2028,1)+COUNTIF($Y$2:Y191,Y191))-1,""))</f>
        <v/>
      </c>
      <c r="AA191" s="134" t="str">
        <f t="shared" si="254"/>
        <v/>
      </c>
      <c r="AB191" s="134" t="str">
        <f>IF(AA191="","",IFERROR((RANK(AA191,$AA$2:$AA$2028,1)+COUNTIF($AA$2:AA191,AA191))-1,""))</f>
        <v/>
      </c>
      <c r="AC191" s="134" t="str">
        <f t="shared" si="255"/>
        <v/>
      </c>
      <c r="AD191" s="134" t="str">
        <f>IF(AC191="","",IFERROR((RANK(AC191,$AC$2:$AC$2028,1)+COUNTIF($AC$2:AC191,AC191))-1,""))</f>
        <v/>
      </c>
      <c r="AE191" s="144" t="str">
        <f t="shared" si="247"/>
        <v/>
      </c>
      <c r="AF191" s="144" t="str">
        <f>IF(AE191="","",SUM($AE$2:AE191))</f>
        <v/>
      </c>
    </row>
    <row r="192" spans="14:32" x14ac:dyDescent="0.35">
      <c r="N192" s="134" t="str">
        <f t="shared" si="245"/>
        <v/>
      </c>
      <c r="O192" s="82" t="str">
        <f t="shared" si="248"/>
        <v/>
      </c>
      <c r="P192" s="81" t="str">
        <f t="shared" si="246"/>
        <v/>
      </c>
      <c r="Q192" s="81" t="str">
        <f t="shared" si="249"/>
        <v/>
      </c>
      <c r="R192" s="135" t="str">
        <f t="shared" ca="1" si="250"/>
        <v/>
      </c>
      <c r="S192" s="134" t="str">
        <f t="shared" ca="1" si="251"/>
        <v/>
      </c>
      <c r="T192" s="134" t="str">
        <f ca="1">IF(S192=Dashboard!$D$12,S192,"")</f>
        <v/>
      </c>
      <c r="U192" s="134" t="str">
        <f t="shared" ca="1" si="252"/>
        <v/>
      </c>
      <c r="V192" s="83" t="str">
        <f ca="1">IF(U192="","",IFERROR((RANK(U192,$U$2:$U$2028,1)+COUNTIF($U$2:U192,U192))-1,""))</f>
        <v/>
      </c>
      <c r="W192" s="134" t="str">
        <f t="shared" si="256"/>
        <v/>
      </c>
      <c r="X192" s="134" t="str">
        <f>IF(W192="","",IFERROR((RANK(W192,$W$2:$W$2028,1)+COUNTIF($W$2:W192,W192))-1,""))</f>
        <v/>
      </c>
      <c r="Y192" s="134" t="str">
        <f t="shared" si="253"/>
        <v/>
      </c>
      <c r="Z192" s="134" t="str">
        <f>IF(Y192="","",IFERROR((RANK(Y192,$Y$2:$Y$2028,1)+COUNTIF($Y$2:Y192,Y192))-1,""))</f>
        <v/>
      </c>
      <c r="AA192" s="134" t="str">
        <f t="shared" si="254"/>
        <v/>
      </c>
      <c r="AB192" s="134" t="str">
        <f>IF(AA192="","",IFERROR((RANK(AA192,$AA$2:$AA$2028,1)+COUNTIF($AA$2:AA192,AA192))-1,""))</f>
        <v/>
      </c>
      <c r="AC192" s="134" t="str">
        <f t="shared" si="255"/>
        <v/>
      </c>
      <c r="AD192" s="134" t="str">
        <f>IF(AC192="","",IFERROR((RANK(AC192,$AC$2:$AC$2028,1)+COUNTIF($AC$2:AC192,AC192))-1,""))</f>
        <v/>
      </c>
      <c r="AE192" s="144" t="str">
        <f t="shared" si="247"/>
        <v/>
      </c>
      <c r="AF192" s="144" t="str">
        <f>IF(AE192="","",SUM($AE$2:AE192))</f>
        <v/>
      </c>
    </row>
    <row r="193" spans="14:32" x14ac:dyDescent="0.35">
      <c r="N193" s="134" t="str">
        <f t="shared" si="245"/>
        <v/>
      </c>
      <c r="O193" s="82" t="str">
        <f t="shared" si="248"/>
        <v/>
      </c>
      <c r="P193" s="81" t="str">
        <f t="shared" si="246"/>
        <v/>
      </c>
      <c r="Q193" s="81" t="str">
        <f t="shared" si="249"/>
        <v/>
      </c>
      <c r="R193" s="135" t="str">
        <f t="shared" ca="1" si="250"/>
        <v/>
      </c>
      <c r="S193" s="134" t="str">
        <f t="shared" ca="1" si="251"/>
        <v/>
      </c>
      <c r="T193" s="134" t="str">
        <f ca="1">IF(S193=Dashboard!$D$12,S193,"")</f>
        <v/>
      </c>
      <c r="U193" s="134" t="str">
        <f t="shared" ca="1" si="252"/>
        <v/>
      </c>
      <c r="V193" s="83" t="str">
        <f ca="1">IF(U193="","",IFERROR((RANK(U193,$U$2:$U$2028,1)+COUNTIF($U$2:U193,U193))-1,""))</f>
        <v/>
      </c>
      <c r="W193" s="134" t="str">
        <f t="shared" si="256"/>
        <v/>
      </c>
      <c r="X193" s="134" t="str">
        <f>IF(W193="","",IFERROR((RANK(W193,$W$2:$W$2028,1)+COUNTIF($W$2:W193,W193))-1,""))</f>
        <v/>
      </c>
      <c r="Y193" s="134" t="str">
        <f t="shared" si="253"/>
        <v/>
      </c>
      <c r="Z193" s="134" t="str">
        <f>IF(Y193="","",IFERROR((RANK(Y193,$Y$2:$Y$2028,1)+COUNTIF($Y$2:Y193,Y193))-1,""))</f>
        <v/>
      </c>
      <c r="AA193" s="134" t="str">
        <f t="shared" si="254"/>
        <v/>
      </c>
      <c r="AB193" s="134" t="str">
        <f>IF(AA193="","",IFERROR((RANK(AA193,$AA$2:$AA$2028,1)+COUNTIF($AA$2:AA193,AA193))-1,""))</f>
        <v/>
      </c>
      <c r="AC193" s="134" t="str">
        <f t="shared" si="255"/>
        <v/>
      </c>
      <c r="AD193" s="134" t="str">
        <f>IF(AC193="","",IFERROR((RANK(AC193,$AC$2:$AC$2028,1)+COUNTIF($AC$2:AC193,AC193))-1,""))</f>
        <v/>
      </c>
      <c r="AE193" s="144" t="str">
        <f t="shared" si="247"/>
        <v/>
      </c>
      <c r="AF193" s="144" t="str">
        <f>IF(AE193="","",SUM($AE$2:AE193))</f>
        <v/>
      </c>
    </row>
    <row r="194" spans="14:32" x14ac:dyDescent="0.35">
      <c r="N194" s="134" t="str">
        <f t="shared" ref="N194:N257" si="257">IF(A194="","",COUNTIFS(M:M,M194,H:H,"&lt;"&amp;H194)+1)</f>
        <v/>
      </c>
      <c r="O194" s="82" t="str">
        <f t="shared" si="248"/>
        <v/>
      </c>
      <c r="P194" s="81" t="str">
        <f t="shared" ref="P194:P257" si="258">IF(A194="","",COUNTIFS(M:M,M194,H:H,"&gt;"&amp;H194)+1)</f>
        <v/>
      </c>
      <c r="Q194" s="81" t="str">
        <f t="shared" si="249"/>
        <v/>
      </c>
      <c r="R194" s="135" t="str">
        <f t="shared" ca="1" si="250"/>
        <v/>
      </c>
      <c r="S194" s="134" t="str">
        <f t="shared" ca="1" si="251"/>
        <v/>
      </c>
      <c r="T194" s="134" t="str">
        <f ca="1">IF(S194=Dashboard!$D$12,S194,"")</f>
        <v/>
      </c>
      <c r="U194" s="134" t="str">
        <f t="shared" ca="1" si="252"/>
        <v/>
      </c>
      <c r="V194" s="83" t="str">
        <f ca="1">IF(U194="","",IFERROR((RANK(U194,$U$2:$U$2028,1)+COUNTIF($U$2:U194,U194))-1,""))</f>
        <v/>
      </c>
      <c r="W194" s="134" t="str">
        <f t="shared" si="256"/>
        <v/>
      </c>
      <c r="X194" s="134" t="str">
        <f>IF(W194="","",IFERROR((RANK(W194,$W$2:$W$2028,1)+COUNTIF($W$2:W194,W194))-1,""))</f>
        <v/>
      </c>
      <c r="Y194" s="134" t="str">
        <f t="shared" si="253"/>
        <v/>
      </c>
      <c r="Z194" s="134" t="str">
        <f>IF(Y194="","",IFERROR((RANK(Y194,$Y$2:$Y$2028,1)+COUNTIF($Y$2:Y194,Y194))-1,""))</f>
        <v/>
      </c>
      <c r="AA194" s="134" t="str">
        <f t="shared" si="254"/>
        <v/>
      </c>
      <c r="AB194" s="134" t="str">
        <f>IF(AA194="","",IFERROR((RANK(AA194,$AA$2:$AA$2028,1)+COUNTIF($AA$2:AA194,AA194))-1,""))</f>
        <v/>
      </c>
      <c r="AC194" s="134" t="str">
        <f t="shared" si="255"/>
        <v/>
      </c>
      <c r="AD194" s="134" t="str">
        <f>IF(AC194="","",IFERROR((RANK(AC194,$AC$2:$AC$2028,1)+COUNTIF($AC$2:AC194,AC194))-1,""))</f>
        <v/>
      </c>
      <c r="AE194" s="144" t="str">
        <f t="shared" si="247"/>
        <v/>
      </c>
      <c r="AF194" s="144" t="str">
        <f>IF(AE194="","",SUM($AE$2:AE194))</f>
        <v/>
      </c>
    </row>
    <row r="195" spans="14:32" x14ac:dyDescent="0.35">
      <c r="N195" s="134" t="str">
        <f t="shared" si="257"/>
        <v/>
      </c>
      <c r="O195" s="82" t="str">
        <f t="shared" si="248"/>
        <v/>
      </c>
      <c r="P195" s="81" t="str">
        <f t="shared" si="258"/>
        <v/>
      </c>
      <c r="Q195" s="81" t="str">
        <f t="shared" si="249"/>
        <v/>
      </c>
      <c r="R195" s="135" t="str">
        <f t="shared" ca="1" si="250"/>
        <v/>
      </c>
      <c r="S195" s="134" t="str">
        <f t="shared" ca="1" si="251"/>
        <v/>
      </c>
      <c r="T195" s="134" t="str">
        <f ca="1">IF(S195=Dashboard!$D$12,S195,"")</f>
        <v/>
      </c>
      <c r="U195" s="134" t="str">
        <f t="shared" ca="1" si="252"/>
        <v/>
      </c>
      <c r="V195" s="83" t="str">
        <f ca="1">IF(U195="","",IFERROR((RANK(U195,$U$2:$U$2028,1)+COUNTIF($U$2:U195,U195))-1,""))</f>
        <v/>
      </c>
      <c r="W195" s="134" t="str">
        <f t="shared" si="256"/>
        <v/>
      </c>
      <c r="X195" s="134" t="str">
        <f>IF(W195="","",IFERROR((RANK(W195,$W$2:$W$2028,1)+COUNTIF($W$2:W195,W195))-1,""))</f>
        <v/>
      </c>
      <c r="Y195" s="134" t="str">
        <f t="shared" si="253"/>
        <v/>
      </c>
      <c r="Z195" s="134" t="str">
        <f>IF(Y195="","",IFERROR((RANK(Y195,$Y$2:$Y$2028,1)+COUNTIF($Y$2:Y195,Y195))-1,""))</f>
        <v/>
      </c>
      <c r="AA195" s="134" t="str">
        <f t="shared" si="254"/>
        <v/>
      </c>
      <c r="AB195" s="134" t="str">
        <f>IF(AA195="","",IFERROR((RANK(AA195,$AA$2:$AA$2028,1)+COUNTIF($AA$2:AA195,AA195))-1,""))</f>
        <v/>
      </c>
      <c r="AC195" s="134" t="str">
        <f t="shared" si="255"/>
        <v/>
      </c>
      <c r="AD195" s="134" t="str">
        <f>IF(AC195="","",IFERROR((RANK(AC195,$AC$2:$AC$2028,1)+COUNTIF($AC$2:AC195,AC195))-1,""))</f>
        <v/>
      </c>
      <c r="AE195" s="144" t="str">
        <f t="shared" si="247"/>
        <v/>
      </c>
      <c r="AF195" s="144" t="str">
        <f>IF(AE195="","",SUM($AE$2:AE195))</f>
        <v/>
      </c>
    </row>
    <row r="196" spans="14:32" x14ac:dyDescent="0.35">
      <c r="N196" s="134" t="str">
        <f t="shared" si="257"/>
        <v/>
      </c>
      <c r="O196" s="82" t="str">
        <f t="shared" si="248"/>
        <v/>
      </c>
      <c r="P196" s="81" t="str">
        <f t="shared" si="258"/>
        <v/>
      </c>
      <c r="Q196" s="81" t="str">
        <f t="shared" si="249"/>
        <v/>
      </c>
      <c r="R196" s="135" t="str">
        <f t="shared" ca="1" si="250"/>
        <v/>
      </c>
      <c r="S196" s="134" t="str">
        <f t="shared" ca="1" si="251"/>
        <v/>
      </c>
      <c r="T196" s="134" t="str">
        <f ca="1">IF(S196=Dashboard!$D$12,S196,"")</f>
        <v/>
      </c>
      <c r="U196" s="134" t="str">
        <f t="shared" ca="1" si="252"/>
        <v/>
      </c>
      <c r="V196" s="83" t="str">
        <f ca="1">IF(U196="","",IFERROR((RANK(U196,$U$2:$U$2028,1)+COUNTIF($U$2:U196,U196))-1,""))</f>
        <v/>
      </c>
      <c r="W196" s="134" t="str">
        <f t="shared" si="256"/>
        <v/>
      </c>
      <c r="X196" s="134" t="str">
        <f>IF(W196="","",IFERROR((RANK(W196,$W$2:$W$2028,1)+COUNTIF($W$2:W196,W196))-1,""))</f>
        <v/>
      </c>
      <c r="Y196" s="134" t="str">
        <f t="shared" si="253"/>
        <v/>
      </c>
      <c r="Z196" s="134" t="str">
        <f>IF(Y196="","",IFERROR((RANK(Y196,$Y$2:$Y$2028,1)+COUNTIF($Y$2:Y196,Y196))-1,""))</f>
        <v/>
      </c>
      <c r="AA196" s="134" t="str">
        <f t="shared" si="254"/>
        <v/>
      </c>
      <c r="AB196" s="134" t="str">
        <f>IF(AA196="","",IFERROR((RANK(AA196,$AA$2:$AA$2028,1)+COUNTIF($AA$2:AA196,AA196))-1,""))</f>
        <v/>
      </c>
      <c r="AC196" s="134" t="str">
        <f t="shared" si="255"/>
        <v/>
      </c>
      <c r="AD196" s="134" t="str">
        <f>IF(AC196="","",IFERROR((RANK(AC196,$AC$2:$AC$2028,1)+COUNTIF($AC$2:AC196,AC196))-1,""))</f>
        <v/>
      </c>
      <c r="AE196" s="144" t="str">
        <f t="shared" si="247"/>
        <v/>
      </c>
      <c r="AF196" s="144" t="str">
        <f>IF(AE196="","",SUM($AE$2:AE196))</f>
        <v/>
      </c>
    </row>
    <row r="197" spans="14:32" x14ac:dyDescent="0.35">
      <c r="N197" s="134" t="str">
        <f t="shared" si="257"/>
        <v/>
      </c>
      <c r="O197" s="82" t="str">
        <f t="shared" si="248"/>
        <v/>
      </c>
      <c r="P197" s="81" t="str">
        <f t="shared" si="258"/>
        <v/>
      </c>
      <c r="Q197" s="81" t="str">
        <f t="shared" si="249"/>
        <v/>
      </c>
      <c r="R197" s="135" t="str">
        <f t="shared" ca="1" si="250"/>
        <v/>
      </c>
      <c r="S197" s="134" t="str">
        <f t="shared" ca="1" si="251"/>
        <v/>
      </c>
      <c r="T197" s="134" t="str">
        <f ca="1">IF(S197=Dashboard!$D$12,S197,"")</f>
        <v/>
      </c>
      <c r="U197" s="134" t="str">
        <f t="shared" ca="1" si="252"/>
        <v/>
      </c>
      <c r="V197" s="83" t="str">
        <f ca="1">IF(U197="","",IFERROR((RANK(U197,$U$2:$U$2028,1)+COUNTIF($U$2:U197,U197))-1,""))</f>
        <v/>
      </c>
      <c r="W197" s="134" t="str">
        <f t="shared" si="256"/>
        <v/>
      </c>
      <c r="X197" s="134" t="str">
        <f>IF(W197="","",IFERROR((RANK(W197,$W$2:$W$2028,1)+COUNTIF($W$2:W197,W197))-1,""))</f>
        <v/>
      </c>
      <c r="Y197" s="134" t="str">
        <f t="shared" si="253"/>
        <v/>
      </c>
      <c r="Z197" s="134" t="str">
        <f>IF(Y197="","",IFERROR((RANK(Y197,$Y$2:$Y$2028,1)+COUNTIF($Y$2:Y197,Y197))-1,""))</f>
        <v/>
      </c>
      <c r="AA197" s="134" t="str">
        <f t="shared" si="254"/>
        <v/>
      </c>
      <c r="AB197" s="134" t="str">
        <f>IF(AA197="","",IFERROR((RANK(AA197,$AA$2:$AA$2028,1)+COUNTIF($AA$2:AA197,AA197))-1,""))</f>
        <v/>
      </c>
      <c r="AC197" s="134" t="str">
        <f t="shared" si="255"/>
        <v/>
      </c>
      <c r="AD197" s="134" t="str">
        <f>IF(AC197="","",IFERROR((RANK(AC197,$AC$2:$AC$2028,1)+COUNTIF($AC$2:AC197,AC197))-1,""))</f>
        <v/>
      </c>
      <c r="AE197" s="144" t="str">
        <f t="shared" si="247"/>
        <v/>
      </c>
      <c r="AF197" s="144" t="str">
        <f>IF(AE197="","",SUM($AE$2:AE197))</f>
        <v/>
      </c>
    </row>
    <row r="198" spans="14:32" x14ac:dyDescent="0.35">
      <c r="N198" s="134" t="str">
        <f t="shared" si="257"/>
        <v/>
      </c>
      <c r="O198" s="82" t="str">
        <f t="shared" si="248"/>
        <v/>
      </c>
      <c r="P198" s="81" t="str">
        <f t="shared" si="258"/>
        <v/>
      </c>
      <c r="Q198" s="81" t="str">
        <f t="shared" si="249"/>
        <v/>
      </c>
      <c r="R198" s="135" t="str">
        <f t="shared" ca="1" si="250"/>
        <v/>
      </c>
      <c r="S198" s="134" t="str">
        <f t="shared" ca="1" si="251"/>
        <v/>
      </c>
      <c r="T198" s="134" t="str">
        <f ca="1">IF(S198=Dashboard!$D$12,S198,"")</f>
        <v/>
      </c>
      <c r="U198" s="134" t="str">
        <f t="shared" ca="1" si="252"/>
        <v/>
      </c>
      <c r="V198" s="83" t="str">
        <f ca="1">IF(U198="","",IFERROR((RANK(U198,$U$2:$U$2028,1)+COUNTIF($U$2:U198,U198))-1,""))</f>
        <v/>
      </c>
      <c r="W198" s="134" t="str">
        <f t="shared" si="256"/>
        <v/>
      </c>
      <c r="X198" s="134" t="str">
        <f>IF(W198="","",IFERROR((RANK(W198,$W$2:$W$2028,1)+COUNTIF($W$2:W198,W198))-1,""))</f>
        <v/>
      </c>
      <c r="Y198" s="134" t="str">
        <f t="shared" si="253"/>
        <v/>
      </c>
      <c r="Z198" s="134" t="str">
        <f>IF(Y198="","",IFERROR((RANK(Y198,$Y$2:$Y$2028,1)+COUNTIF($Y$2:Y198,Y198))-1,""))</f>
        <v/>
      </c>
      <c r="AA198" s="134" t="str">
        <f t="shared" si="254"/>
        <v/>
      </c>
      <c r="AB198" s="134" t="str">
        <f>IF(AA198="","",IFERROR((RANK(AA198,$AA$2:$AA$2028,1)+COUNTIF($AA$2:AA198,AA198))-1,""))</f>
        <v/>
      </c>
      <c r="AC198" s="134" t="str">
        <f t="shared" si="255"/>
        <v/>
      </c>
      <c r="AD198" s="134" t="str">
        <f>IF(AC198="","",IFERROR((RANK(AC198,$AC$2:$AC$2028,1)+COUNTIF($AC$2:AC198,AC198))-1,""))</f>
        <v/>
      </c>
      <c r="AE198" s="144" t="str">
        <f t="shared" si="247"/>
        <v/>
      </c>
      <c r="AF198" s="144" t="str">
        <f>IF(AE198="","",SUM($AE$2:AE198))</f>
        <v/>
      </c>
    </row>
    <row r="199" spans="14:32" x14ac:dyDescent="0.35">
      <c r="N199" s="134" t="str">
        <f t="shared" si="257"/>
        <v/>
      </c>
      <c r="O199" s="82" t="str">
        <f t="shared" si="248"/>
        <v/>
      </c>
      <c r="P199" s="81" t="str">
        <f t="shared" si="258"/>
        <v/>
      </c>
      <c r="Q199" s="81" t="str">
        <f t="shared" si="249"/>
        <v/>
      </c>
      <c r="R199" s="135" t="str">
        <f t="shared" ca="1" si="250"/>
        <v/>
      </c>
      <c r="S199" s="134" t="str">
        <f t="shared" ca="1" si="251"/>
        <v/>
      </c>
      <c r="T199" s="134" t="str">
        <f ca="1">IF(S199=Dashboard!$D$12,S199,"")</f>
        <v/>
      </c>
      <c r="U199" s="134" t="str">
        <f t="shared" ca="1" si="252"/>
        <v/>
      </c>
      <c r="V199" s="83" t="str">
        <f ca="1">IF(U199="","",IFERROR((RANK(U199,$U$2:$U$2028,1)+COUNTIF($U$2:U199,U199))-1,""))</f>
        <v/>
      </c>
      <c r="W199" s="134" t="str">
        <f t="shared" si="256"/>
        <v/>
      </c>
      <c r="X199" s="134" t="str">
        <f>IF(W199="","",IFERROR((RANK(W199,$W$2:$W$2028,1)+COUNTIF($W$2:W199,W199))-1,""))</f>
        <v/>
      </c>
      <c r="Y199" s="134" t="str">
        <f t="shared" si="253"/>
        <v/>
      </c>
      <c r="Z199" s="134" t="str">
        <f>IF(Y199="","",IFERROR((RANK(Y199,$Y$2:$Y$2028,1)+COUNTIF($Y$2:Y199,Y199))-1,""))</f>
        <v/>
      </c>
      <c r="AA199" s="134" t="str">
        <f t="shared" si="254"/>
        <v/>
      </c>
      <c r="AB199" s="134" t="str">
        <f>IF(AA199="","",IFERROR((RANK(AA199,$AA$2:$AA$2028,1)+COUNTIF($AA$2:AA199,AA199))-1,""))</f>
        <v/>
      </c>
      <c r="AC199" s="134" t="str">
        <f t="shared" si="255"/>
        <v/>
      </c>
      <c r="AD199" s="134" t="str">
        <f>IF(AC199="","",IFERROR((RANK(AC199,$AC$2:$AC$2028,1)+COUNTIF($AC$2:AC199,AC199))-1,""))</f>
        <v/>
      </c>
      <c r="AE199" s="144" t="str">
        <f t="shared" ref="AE199:AE262" si="259">IF(P199=1,P199,"")</f>
        <v/>
      </c>
      <c r="AF199" s="144" t="str">
        <f>IF(AE199="","",SUM($AE$2:AE199))</f>
        <v/>
      </c>
    </row>
    <row r="200" spans="14:32" x14ac:dyDescent="0.35">
      <c r="N200" s="134" t="str">
        <f t="shared" si="257"/>
        <v/>
      </c>
      <c r="O200" s="82" t="str">
        <f t="shared" si="248"/>
        <v/>
      </c>
      <c r="P200" s="81" t="str">
        <f t="shared" si="258"/>
        <v/>
      </c>
      <c r="Q200" s="81" t="str">
        <f t="shared" si="249"/>
        <v/>
      </c>
      <c r="R200" s="135" t="str">
        <f t="shared" ca="1" si="250"/>
        <v/>
      </c>
      <c r="S200" s="134" t="str">
        <f t="shared" ca="1" si="251"/>
        <v/>
      </c>
      <c r="T200" s="134" t="str">
        <f ca="1">IF(S200=Dashboard!$D$12,S200,"")</f>
        <v/>
      </c>
      <c r="U200" s="134" t="str">
        <f t="shared" ca="1" si="252"/>
        <v/>
      </c>
      <c r="V200" s="83" t="str">
        <f ca="1">IF(U200="","",IFERROR((RANK(U200,$U$2:$U$2028,1)+COUNTIF($U$2:U200,U200))-1,""))</f>
        <v/>
      </c>
      <c r="W200" s="134" t="str">
        <f t="shared" si="256"/>
        <v/>
      </c>
      <c r="X200" s="134" t="str">
        <f>IF(W200="","",IFERROR((RANK(W200,$W$2:$W$2028,1)+COUNTIF($W$2:W200,W200))-1,""))</f>
        <v/>
      </c>
      <c r="Y200" s="134" t="str">
        <f t="shared" si="253"/>
        <v/>
      </c>
      <c r="Z200" s="134" t="str">
        <f>IF(Y200="","",IFERROR((RANK(Y200,$Y$2:$Y$2028,1)+COUNTIF($Y$2:Y200,Y200))-1,""))</f>
        <v/>
      </c>
      <c r="AA200" s="134" t="str">
        <f t="shared" si="254"/>
        <v/>
      </c>
      <c r="AB200" s="134" t="str">
        <f>IF(AA200="","",IFERROR((RANK(AA200,$AA$2:$AA$2028,1)+COUNTIF($AA$2:AA200,AA200))-1,""))</f>
        <v/>
      </c>
      <c r="AC200" s="134" t="str">
        <f t="shared" si="255"/>
        <v/>
      </c>
      <c r="AD200" s="134" t="str">
        <f>IF(AC200="","",IFERROR((RANK(AC200,$AC$2:$AC$2028,1)+COUNTIF($AC$2:AC200,AC200))-1,""))</f>
        <v/>
      </c>
      <c r="AE200" s="144" t="str">
        <f t="shared" si="259"/>
        <v/>
      </c>
      <c r="AF200" s="144" t="str">
        <f>IF(AE200="","",SUM($AE$2:AE200))</f>
        <v/>
      </c>
    </row>
    <row r="201" spans="14:32" x14ac:dyDescent="0.35">
      <c r="N201" s="134" t="str">
        <f t="shared" si="257"/>
        <v/>
      </c>
      <c r="O201" s="82" t="str">
        <f t="shared" si="248"/>
        <v/>
      </c>
      <c r="P201" s="81" t="str">
        <f t="shared" si="258"/>
        <v/>
      </c>
      <c r="Q201" s="81" t="str">
        <f t="shared" si="249"/>
        <v/>
      </c>
      <c r="R201" s="135" t="str">
        <f t="shared" ca="1" si="250"/>
        <v/>
      </c>
      <c r="S201" s="134" t="str">
        <f t="shared" ca="1" si="251"/>
        <v/>
      </c>
      <c r="T201" s="134" t="str">
        <f ca="1">IF(S201=Dashboard!$D$12,S201,"")</f>
        <v/>
      </c>
      <c r="U201" s="134" t="str">
        <f t="shared" ca="1" si="252"/>
        <v/>
      </c>
      <c r="V201" s="83" t="str">
        <f ca="1">IF(U201="","",IFERROR((RANK(U201,$U$2:$U$2028,1)+COUNTIF($U$2:U201,U201))-1,""))</f>
        <v/>
      </c>
      <c r="W201" s="134" t="str">
        <f t="shared" si="256"/>
        <v/>
      </c>
      <c r="X201" s="134" t="str">
        <f>IF(W201="","",IFERROR((RANK(W201,$W$2:$W$2028,1)+COUNTIF($W$2:W201,W201))-1,""))</f>
        <v/>
      </c>
      <c r="Y201" s="134" t="str">
        <f t="shared" si="253"/>
        <v/>
      </c>
      <c r="Z201" s="134" t="str">
        <f>IF(Y201="","",IFERROR((RANK(Y201,$Y$2:$Y$2028,1)+COUNTIF($Y$2:Y201,Y201))-1,""))</f>
        <v/>
      </c>
      <c r="AA201" s="134" t="str">
        <f t="shared" si="254"/>
        <v/>
      </c>
      <c r="AB201" s="134" t="str">
        <f>IF(AA201="","",IFERROR((RANK(AA201,$AA$2:$AA$2028,1)+COUNTIF($AA$2:AA201,AA201))-1,""))</f>
        <v/>
      </c>
      <c r="AC201" s="134" t="str">
        <f t="shared" si="255"/>
        <v/>
      </c>
      <c r="AD201" s="134" t="str">
        <f>IF(AC201="","",IFERROR((RANK(AC201,$AC$2:$AC$2028,1)+COUNTIF($AC$2:AC201,AC201))-1,""))</f>
        <v/>
      </c>
      <c r="AE201" s="144" t="str">
        <f t="shared" si="259"/>
        <v/>
      </c>
      <c r="AF201" s="144" t="str">
        <f>IF(AE201="","",SUM($AE$2:AE201))</f>
        <v/>
      </c>
    </row>
    <row r="202" spans="14:32" x14ac:dyDescent="0.35">
      <c r="N202" s="134" t="str">
        <f t="shared" si="257"/>
        <v/>
      </c>
      <c r="O202" s="82" t="str">
        <f t="shared" si="248"/>
        <v/>
      </c>
      <c r="P202" s="81" t="str">
        <f t="shared" si="258"/>
        <v/>
      </c>
      <c r="Q202" s="81" t="str">
        <f t="shared" si="249"/>
        <v/>
      </c>
      <c r="R202" s="135" t="str">
        <f t="shared" ca="1" si="250"/>
        <v/>
      </c>
      <c r="S202" s="134" t="str">
        <f t="shared" ca="1" si="251"/>
        <v/>
      </c>
      <c r="T202" s="134" t="str">
        <f ca="1">IF(S202=Dashboard!$D$12,S202,"")</f>
        <v/>
      </c>
      <c r="U202" s="134" t="str">
        <f t="shared" ca="1" si="252"/>
        <v/>
      </c>
      <c r="V202" s="83" t="str">
        <f ca="1">IF(U202="","",IFERROR((RANK(U202,$U$2:$U$2028,1)+COUNTIF($U$2:U202,U202))-1,""))</f>
        <v/>
      </c>
      <c r="W202" s="134" t="str">
        <f t="shared" si="256"/>
        <v/>
      </c>
      <c r="X202" s="134" t="str">
        <f>IF(W202="","",IFERROR((RANK(W202,$W$2:$W$2028,1)+COUNTIF($W$2:W202,W202))-1,""))</f>
        <v/>
      </c>
      <c r="Y202" s="134" t="str">
        <f t="shared" si="253"/>
        <v/>
      </c>
      <c r="Z202" s="134" t="str">
        <f>IF(Y202="","",IFERROR((RANK(Y202,$Y$2:$Y$2028,1)+COUNTIF($Y$2:Y202,Y202))-1,""))</f>
        <v/>
      </c>
      <c r="AA202" s="134" t="str">
        <f t="shared" si="254"/>
        <v/>
      </c>
      <c r="AB202" s="134" t="str">
        <f>IF(AA202="","",IFERROR((RANK(AA202,$AA$2:$AA$2028,1)+COUNTIF($AA$2:AA202,AA202))-1,""))</f>
        <v/>
      </c>
      <c r="AC202" s="134" t="str">
        <f t="shared" si="255"/>
        <v/>
      </c>
      <c r="AD202" s="134" t="str">
        <f>IF(AC202="","",IFERROR((RANK(AC202,$AC$2:$AC$2028,1)+COUNTIF($AC$2:AC202,AC202))-1,""))</f>
        <v/>
      </c>
      <c r="AE202" s="144" t="str">
        <f t="shared" si="259"/>
        <v/>
      </c>
      <c r="AF202" s="144" t="str">
        <f>IF(AE202="","",SUM($AE$2:AE202))</f>
        <v/>
      </c>
    </row>
    <row r="203" spans="14:32" x14ac:dyDescent="0.35">
      <c r="N203" s="134" t="str">
        <f t="shared" si="257"/>
        <v/>
      </c>
      <c r="O203" s="82" t="str">
        <f t="shared" si="248"/>
        <v/>
      </c>
      <c r="P203" s="81" t="str">
        <f t="shared" si="258"/>
        <v/>
      </c>
      <c r="Q203" s="81" t="str">
        <f t="shared" si="249"/>
        <v/>
      </c>
      <c r="R203" s="135" t="str">
        <f t="shared" ca="1" si="250"/>
        <v/>
      </c>
      <c r="S203" s="134" t="str">
        <f t="shared" ca="1" si="251"/>
        <v/>
      </c>
      <c r="T203" s="134" t="str">
        <f ca="1">IF(S203=Dashboard!$D$12,S203,"")</f>
        <v/>
      </c>
      <c r="U203" s="134" t="str">
        <f t="shared" ca="1" si="252"/>
        <v/>
      </c>
      <c r="V203" s="83" t="str">
        <f ca="1">IF(U203="","",IFERROR((RANK(U203,$U$2:$U$2028,1)+COUNTIF($U$2:U203,U203))-1,""))</f>
        <v/>
      </c>
      <c r="W203" s="134" t="str">
        <f t="shared" si="256"/>
        <v/>
      </c>
      <c r="X203" s="134" t="str">
        <f>IF(W203="","",IFERROR((RANK(W203,$W$2:$W$2028,1)+COUNTIF($W$2:W203,W203))-1,""))</f>
        <v/>
      </c>
      <c r="Y203" s="134" t="str">
        <f t="shared" si="253"/>
        <v/>
      </c>
      <c r="Z203" s="134" t="str">
        <f>IF(Y203="","",IFERROR((RANK(Y203,$Y$2:$Y$2028,1)+COUNTIF($Y$2:Y203,Y203))-1,""))</f>
        <v/>
      </c>
      <c r="AA203" s="134" t="str">
        <f t="shared" si="254"/>
        <v/>
      </c>
      <c r="AB203" s="134" t="str">
        <f>IF(AA203="","",IFERROR((RANK(AA203,$AA$2:$AA$2028,1)+COUNTIF($AA$2:AA203,AA203))-1,""))</f>
        <v/>
      </c>
      <c r="AC203" s="134" t="str">
        <f t="shared" si="255"/>
        <v/>
      </c>
      <c r="AD203" s="134" t="str">
        <f>IF(AC203="","",IFERROR((RANK(AC203,$AC$2:$AC$2028,1)+COUNTIF($AC$2:AC203,AC203))-1,""))</f>
        <v/>
      </c>
      <c r="AE203" s="144" t="str">
        <f t="shared" si="259"/>
        <v/>
      </c>
      <c r="AF203" s="144" t="str">
        <f>IF(AE203="","",SUM($AE$2:AE203))</f>
        <v/>
      </c>
    </row>
    <row r="204" spans="14:32" x14ac:dyDescent="0.35">
      <c r="N204" s="134" t="str">
        <f t="shared" si="257"/>
        <v/>
      </c>
      <c r="O204" s="82" t="str">
        <f t="shared" si="248"/>
        <v/>
      </c>
      <c r="P204" s="81" t="str">
        <f t="shared" si="258"/>
        <v/>
      </c>
      <c r="Q204" s="81" t="str">
        <f t="shared" si="249"/>
        <v/>
      </c>
      <c r="R204" s="135" t="str">
        <f t="shared" ca="1" si="250"/>
        <v/>
      </c>
      <c r="S204" s="134" t="str">
        <f t="shared" ca="1" si="251"/>
        <v/>
      </c>
      <c r="T204" s="134" t="str">
        <f ca="1">IF(S204=Dashboard!$D$12,S204,"")</f>
        <v/>
      </c>
      <c r="U204" s="134" t="str">
        <f t="shared" ca="1" si="252"/>
        <v/>
      </c>
      <c r="V204" s="83" t="str">
        <f ca="1">IF(U204="","",IFERROR((RANK(U204,$U$2:$U$2028,1)+COUNTIF($U$2:U204,U204))-1,""))</f>
        <v/>
      </c>
      <c r="W204" s="134" t="str">
        <f t="shared" si="256"/>
        <v/>
      </c>
      <c r="X204" s="134" t="str">
        <f>IF(W204="","",IFERROR((RANK(W204,$W$2:$W$2028,1)+COUNTIF($W$2:W204,W204))-1,""))</f>
        <v/>
      </c>
      <c r="Y204" s="134" t="str">
        <f t="shared" si="253"/>
        <v/>
      </c>
      <c r="Z204" s="134" t="str">
        <f>IF(Y204="","",IFERROR((RANK(Y204,$Y$2:$Y$2028,1)+COUNTIF($Y$2:Y204,Y204))-1,""))</f>
        <v/>
      </c>
      <c r="AA204" s="134" t="str">
        <f t="shared" si="254"/>
        <v/>
      </c>
      <c r="AB204" s="134" t="str">
        <f>IF(AA204="","",IFERROR((RANK(AA204,$AA$2:$AA$2028,1)+COUNTIF($AA$2:AA204,AA204))-1,""))</f>
        <v/>
      </c>
      <c r="AC204" s="134" t="str">
        <f t="shared" si="255"/>
        <v/>
      </c>
      <c r="AD204" s="134" t="str">
        <f>IF(AC204="","",IFERROR((RANK(AC204,$AC$2:$AC$2028,1)+COUNTIF($AC$2:AC204,AC204))-1,""))</f>
        <v/>
      </c>
      <c r="AE204" s="144" t="str">
        <f t="shared" si="259"/>
        <v/>
      </c>
      <c r="AF204" s="144" t="str">
        <f>IF(AE204="","",SUM($AE$2:AE204))</f>
        <v/>
      </c>
    </row>
    <row r="205" spans="14:32" x14ac:dyDescent="0.35">
      <c r="N205" s="134" t="str">
        <f t="shared" si="257"/>
        <v/>
      </c>
      <c r="O205" s="82" t="str">
        <f t="shared" si="248"/>
        <v/>
      </c>
      <c r="P205" s="81" t="str">
        <f t="shared" si="258"/>
        <v/>
      </c>
      <c r="Q205" s="81" t="str">
        <f t="shared" si="249"/>
        <v/>
      </c>
      <c r="R205" s="135" t="str">
        <f t="shared" ca="1" si="250"/>
        <v/>
      </c>
      <c r="S205" s="134" t="str">
        <f t="shared" ca="1" si="251"/>
        <v/>
      </c>
      <c r="T205" s="134" t="str">
        <f ca="1">IF(S205=Dashboard!$D$12,S205,"")</f>
        <v/>
      </c>
      <c r="U205" s="134" t="str">
        <f t="shared" ca="1" si="252"/>
        <v/>
      </c>
      <c r="V205" s="83" t="str">
        <f ca="1">IF(U205="","",IFERROR((RANK(U205,$U$2:$U$2028,1)+COUNTIF($U$2:U205,U205))-1,""))</f>
        <v/>
      </c>
      <c r="W205" s="134" t="str">
        <f t="shared" si="256"/>
        <v/>
      </c>
      <c r="X205" s="134" t="str">
        <f>IF(W205="","",IFERROR((RANK(W205,$W$2:$W$2028,1)+COUNTIF($W$2:W205,W205))-1,""))</f>
        <v/>
      </c>
      <c r="Y205" s="134" t="str">
        <f t="shared" si="253"/>
        <v/>
      </c>
      <c r="Z205" s="134" t="str">
        <f>IF(Y205="","",IFERROR((RANK(Y205,$Y$2:$Y$2028,1)+COUNTIF($Y$2:Y205,Y205))-1,""))</f>
        <v/>
      </c>
      <c r="AA205" s="134" t="str">
        <f t="shared" si="254"/>
        <v/>
      </c>
      <c r="AB205" s="134" t="str">
        <f>IF(AA205="","",IFERROR((RANK(AA205,$AA$2:$AA$2028,1)+COUNTIF($AA$2:AA205,AA205))-1,""))</f>
        <v/>
      </c>
      <c r="AC205" s="134" t="str">
        <f t="shared" si="255"/>
        <v/>
      </c>
      <c r="AD205" s="134" t="str">
        <f>IF(AC205="","",IFERROR((RANK(AC205,$AC$2:$AC$2028,1)+COUNTIF($AC$2:AC205,AC205))-1,""))</f>
        <v/>
      </c>
      <c r="AE205" s="144" t="str">
        <f t="shared" si="259"/>
        <v/>
      </c>
      <c r="AF205" s="144" t="str">
        <f>IF(AE205="","",SUM($AE$2:AE205))</f>
        <v/>
      </c>
    </row>
    <row r="206" spans="14:32" x14ac:dyDescent="0.35">
      <c r="N206" s="134" t="str">
        <f t="shared" si="257"/>
        <v/>
      </c>
      <c r="O206" s="82" t="str">
        <f t="shared" si="248"/>
        <v/>
      </c>
      <c r="P206" s="81" t="str">
        <f t="shared" si="258"/>
        <v/>
      </c>
      <c r="Q206" s="81" t="str">
        <f t="shared" si="249"/>
        <v/>
      </c>
      <c r="R206" s="135" t="str">
        <f t="shared" ca="1" si="250"/>
        <v/>
      </c>
      <c r="S206" s="134" t="str">
        <f t="shared" ca="1" si="251"/>
        <v/>
      </c>
      <c r="T206" s="134" t="str">
        <f ca="1">IF(S206=Dashboard!$D$12,S206,"")</f>
        <v/>
      </c>
      <c r="U206" s="134" t="str">
        <f t="shared" ca="1" si="252"/>
        <v/>
      </c>
      <c r="V206" s="83" t="str">
        <f ca="1">IF(U206="","",IFERROR((RANK(U206,$U$2:$U$2028,1)+COUNTIF($U$2:U206,U206))-1,""))</f>
        <v/>
      </c>
      <c r="W206" s="134" t="str">
        <f t="shared" si="256"/>
        <v/>
      </c>
      <c r="X206" s="134" t="str">
        <f>IF(W206="","",IFERROR((RANK(W206,$W$2:$W$2028,1)+COUNTIF($W$2:W206,W206))-1,""))</f>
        <v/>
      </c>
      <c r="Y206" s="134" t="str">
        <f t="shared" si="253"/>
        <v/>
      </c>
      <c r="Z206" s="134" t="str">
        <f>IF(Y206="","",IFERROR((RANK(Y206,$Y$2:$Y$2028,1)+COUNTIF($Y$2:Y206,Y206))-1,""))</f>
        <v/>
      </c>
      <c r="AA206" s="134" t="str">
        <f t="shared" si="254"/>
        <v/>
      </c>
      <c r="AB206" s="134" t="str">
        <f>IF(AA206="","",IFERROR((RANK(AA206,$AA$2:$AA$2028,1)+COUNTIF($AA$2:AA206,AA206))-1,""))</f>
        <v/>
      </c>
      <c r="AC206" s="134" t="str">
        <f t="shared" si="255"/>
        <v/>
      </c>
      <c r="AD206" s="134" t="str">
        <f>IF(AC206="","",IFERROR((RANK(AC206,$AC$2:$AC$2028,1)+COUNTIF($AC$2:AC206,AC206))-1,""))</f>
        <v/>
      </c>
      <c r="AE206" s="144" t="str">
        <f t="shared" si="259"/>
        <v/>
      </c>
      <c r="AF206" s="144" t="str">
        <f>IF(AE206="","",SUM($AE$2:AE206))</f>
        <v/>
      </c>
    </row>
    <row r="207" spans="14:32" x14ac:dyDescent="0.35">
      <c r="N207" s="134" t="str">
        <f t="shared" si="257"/>
        <v/>
      </c>
      <c r="O207" s="82" t="str">
        <f t="shared" si="248"/>
        <v/>
      </c>
      <c r="P207" s="81" t="str">
        <f t="shared" si="258"/>
        <v/>
      </c>
      <c r="Q207" s="81" t="str">
        <f t="shared" si="249"/>
        <v/>
      </c>
      <c r="R207" s="135" t="str">
        <f t="shared" ca="1" si="250"/>
        <v/>
      </c>
      <c r="S207" s="134" t="str">
        <f t="shared" ca="1" si="251"/>
        <v/>
      </c>
      <c r="T207" s="134" t="str">
        <f ca="1">IF(S207=Dashboard!$D$12,S207,"")</f>
        <v/>
      </c>
      <c r="U207" s="134" t="str">
        <f t="shared" ca="1" si="252"/>
        <v/>
      </c>
      <c r="V207" s="83" t="str">
        <f ca="1">IF(U207="","",IFERROR((RANK(U207,$U$2:$U$2028,1)+COUNTIF($U$2:U207,U207))-1,""))</f>
        <v/>
      </c>
      <c r="W207" s="134" t="str">
        <f t="shared" si="256"/>
        <v/>
      </c>
      <c r="X207" s="134" t="str">
        <f>IF(W207="","",IFERROR((RANK(W207,$W$2:$W$2028,1)+COUNTIF($W$2:W207,W207))-1,""))</f>
        <v/>
      </c>
      <c r="Y207" s="134" t="str">
        <f t="shared" si="253"/>
        <v/>
      </c>
      <c r="Z207" s="134" t="str">
        <f>IF(Y207="","",IFERROR((RANK(Y207,$Y$2:$Y$2028,1)+COUNTIF($Y$2:Y207,Y207))-1,""))</f>
        <v/>
      </c>
      <c r="AA207" s="134" t="str">
        <f t="shared" si="254"/>
        <v/>
      </c>
      <c r="AB207" s="134" t="str">
        <f>IF(AA207="","",IFERROR((RANK(AA207,$AA$2:$AA$2028,1)+COUNTIF($AA$2:AA207,AA207))-1,""))</f>
        <v/>
      </c>
      <c r="AC207" s="134" t="str">
        <f t="shared" si="255"/>
        <v/>
      </c>
      <c r="AD207" s="134" t="str">
        <f>IF(AC207="","",IFERROR((RANK(AC207,$AC$2:$AC$2028,1)+COUNTIF($AC$2:AC207,AC207))-1,""))</f>
        <v/>
      </c>
      <c r="AE207" s="144" t="str">
        <f t="shared" si="259"/>
        <v/>
      </c>
      <c r="AF207" s="144" t="str">
        <f>IF(AE207="","",SUM($AE$2:AE207))</f>
        <v/>
      </c>
    </row>
    <row r="208" spans="14:32" x14ac:dyDescent="0.35">
      <c r="N208" s="134" t="str">
        <f t="shared" si="257"/>
        <v/>
      </c>
      <c r="O208" s="82" t="str">
        <f t="shared" si="248"/>
        <v/>
      </c>
      <c r="P208" s="81" t="str">
        <f t="shared" si="258"/>
        <v/>
      </c>
      <c r="Q208" s="81" t="str">
        <f t="shared" si="249"/>
        <v/>
      </c>
      <c r="R208" s="135" t="str">
        <f t="shared" ca="1" si="250"/>
        <v/>
      </c>
      <c r="S208" s="134" t="str">
        <f t="shared" ca="1" si="251"/>
        <v/>
      </c>
      <c r="T208" s="134" t="str">
        <f ca="1">IF(S208=Dashboard!$D$12,S208,"")</f>
        <v/>
      </c>
      <c r="U208" s="134" t="str">
        <f t="shared" ca="1" si="252"/>
        <v/>
      </c>
      <c r="V208" s="83" t="str">
        <f ca="1">IF(U208="","",IFERROR((RANK(U208,$U$2:$U$2028,1)+COUNTIF($U$2:U208,U208))-1,""))</f>
        <v/>
      </c>
      <c r="W208" s="134" t="str">
        <f t="shared" si="256"/>
        <v/>
      </c>
      <c r="X208" s="134" t="str">
        <f>IF(W208="","",IFERROR((RANK(W208,$W$2:$W$2028,1)+COUNTIF($W$2:W208,W208))-1,""))</f>
        <v/>
      </c>
      <c r="Y208" s="134" t="str">
        <f t="shared" si="253"/>
        <v/>
      </c>
      <c r="Z208" s="134" t="str">
        <f>IF(Y208="","",IFERROR((RANK(Y208,$Y$2:$Y$2028,1)+COUNTIF($Y$2:Y208,Y208))-1,""))</f>
        <v/>
      </c>
      <c r="AA208" s="134" t="str">
        <f t="shared" si="254"/>
        <v/>
      </c>
      <c r="AB208" s="134" t="str">
        <f>IF(AA208="","",IFERROR((RANK(AA208,$AA$2:$AA$2028,1)+COUNTIF($AA$2:AA208,AA208))-1,""))</f>
        <v/>
      </c>
      <c r="AC208" s="134" t="str">
        <f t="shared" si="255"/>
        <v/>
      </c>
      <c r="AD208" s="134" t="str">
        <f>IF(AC208="","",IFERROR((RANK(AC208,$AC$2:$AC$2028,1)+COUNTIF($AC$2:AC208,AC208))-1,""))</f>
        <v/>
      </c>
      <c r="AE208" s="144" t="str">
        <f t="shared" si="259"/>
        <v/>
      </c>
      <c r="AF208" s="144" t="str">
        <f>IF(AE208="","",SUM($AE$2:AE208))</f>
        <v/>
      </c>
    </row>
    <row r="209" spans="14:32" x14ac:dyDescent="0.35">
      <c r="N209" s="134" t="str">
        <f t="shared" si="257"/>
        <v/>
      </c>
      <c r="O209" s="82" t="str">
        <f t="shared" si="248"/>
        <v/>
      </c>
      <c r="P209" s="81" t="str">
        <f t="shared" si="258"/>
        <v/>
      </c>
      <c r="Q209" s="81" t="str">
        <f t="shared" si="249"/>
        <v/>
      </c>
      <c r="R209" s="135" t="str">
        <f t="shared" ca="1" si="250"/>
        <v/>
      </c>
      <c r="S209" s="134" t="str">
        <f t="shared" ca="1" si="251"/>
        <v/>
      </c>
      <c r="T209" s="134" t="str">
        <f ca="1">IF(S209=Dashboard!$D$12,S209,"")</f>
        <v/>
      </c>
      <c r="U209" s="134" t="str">
        <f t="shared" ca="1" si="252"/>
        <v/>
      </c>
      <c r="V209" s="83" t="str">
        <f ca="1">IF(U209="","",IFERROR((RANK(U209,$U$2:$U$2028,1)+COUNTIF($U$2:U209,U209))-1,""))</f>
        <v/>
      </c>
      <c r="W209" s="134" t="str">
        <f t="shared" si="256"/>
        <v/>
      </c>
      <c r="X209" s="134" t="str">
        <f>IF(W209="","",IFERROR((RANK(W209,$W$2:$W$2028,1)+COUNTIF($W$2:W209,W209))-1,""))</f>
        <v/>
      </c>
      <c r="Y209" s="134" t="str">
        <f t="shared" si="253"/>
        <v/>
      </c>
      <c r="Z209" s="134" t="str">
        <f>IF(Y209="","",IFERROR((RANK(Y209,$Y$2:$Y$2028,1)+COUNTIF($Y$2:Y209,Y209))-1,""))</f>
        <v/>
      </c>
      <c r="AA209" s="134" t="str">
        <f t="shared" si="254"/>
        <v/>
      </c>
      <c r="AB209" s="134" t="str">
        <f>IF(AA209="","",IFERROR((RANK(AA209,$AA$2:$AA$2028,1)+COUNTIF($AA$2:AA209,AA209))-1,""))</f>
        <v/>
      </c>
      <c r="AC209" s="134" t="str">
        <f t="shared" si="255"/>
        <v/>
      </c>
      <c r="AD209" s="134" t="str">
        <f>IF(AC209="","",IFERROR((RANK(AC209,$AC$2:$AC$2028,1)+COUNTIF($AC$2:AC209,AC209))-1,""))</f>
        <v/>
      </c>
      <c r="AE209" s="144" t="str">
        <f t="shared" si="259"/>
        <v/>
      </c>
      <c r="AF209" s="144" t="str">
        <f>IF(AE209="","",SUM($AE$2:AE209))</f>
        <v/>
      </c>
    </row>
    <row r="210" spans="14:32" x14ac:dyDescent="0.35">
      <c r="N210" s="134" t="str">
        <f t="shared" si="257"/>
        <v/>
      </c>
      <c r="O210" s="82" t="str">
        <f t="shared" si="248"/>
        <v/>
      </c>
      <c r="P210" s="81" t="str">
        <f t="shared" si="258"/>
        <v/>
      </c>
      <c r="Q210" s="81" t="str">
        <f t="shared" si="249"/>
        <v/>
      </c>
      <c r="R210" s="135" t="str">
        <f t="shared" ca="1" si="250"/>
        <v/>
      </c>
      <c r="S210" s="134" t="str">
        <f t="shared" ca="1" si="251"/>
        <v/>
      </c>
      <c r="T210" s="134" t="str">
        <f ca="1">IF(S210=Dashboard!$D$12,S210,"")</f>
        <v/>
      </c>
      <c r="U210" s="134" t="str">
        <f t="shared" ca="1" si="252"/>
        <v/>
      </c>
      <c r="V210" s="83" t="str">
        <f ca="1">IF(U210="","",IFERROR((RANK(U210,$U$2:$U$2028,1)+COUNTIF($U$2:U210,U210))-1,""))</f>
        <v/>
      </c>
      <c r="W210" s="134" t="str">
        <f t="shared" si="256"/>
        <v/>
      </c>
      <c r="X210" s="134" t="str">
        <f>IF(W210="","",IFERROR((RANK(W210,$W$2:$W$2028,1)+COUNTIF($W$2:W210,W210))-1,""))</f>
        <v/>
      </c>
      <c r="Y210" s="134" t="str">
        <f t="shared" si="253"/>
        <v/>
      </c>
      <c r="Z210" s="134" t="str">
        <f>IF(Y210="","",IFERROR((RANK(Y210,$Y$2:$Y$2028,1)+COUNTIF($Y$2:Y210,Y210))-1,""))</f>
        <v/>
      </c>
      <c r="AA210" s="134" t="str">
        <f t="shared" si="254"/>
        <v/>
      </c>
      <c r="AB210" s="134" t="str">
        <f>IF(AA210="","",IFERROR((RANK(AA210,$AA$2:$AA$2028,1)+COUNTIF($AA$2:AA210,AA210))-1,""))</f>
        <v/>
      </c>
      <c r="AC210" s="134" t="str">
        <f t="shared" si="255"/>
        <v/>
      </c>
      <c r="AD210" s="134" t="str">
        <f>IF(AC210="","",IFERROR((RANK(AC210,$AC$2:$AC$2028,1)+COUNTIF($AC$2:AC210,AC210))-1,""))</f>
        <v/>
      </c>
      <c r="AE210" s="144" t="str">
        <f t="shared" si="259"/>
        <v/>
      </c>
      <c r="AF210" s="144" t="str">
        <f>IF(AE210="","",SUM($AE$2:AE210))</f>
        <v/>
      </c>
    </row>
    <row r="211" spans="14:32" x14ac:dyDescent="0.35">
      <c r="N211" s="134" t="str">
        <f t="shared" si="257"/>
        <v/>
      </c>
      <c r="O211" s="82" t="str">
        <f t="shared" si="248"/>
        <v/>
      </c>
      <c r="P211" s="81" t="str">
        <f t="shared" si="258"/>
        <v/>
      </c>
      <c r="Q211" s="81" t="str">
        <f t="shared" si="249"/>
        <v/>
      </c>
      <c r="R211" s="135" t="str">
        <f t="shared" ca="1" si="250"/>
        <v/>
      </c>
      <c r="S211" s="134" t="str">
        <f t="shared" ca="1" si="251"/>
        <v/>
      </c>
      <c r="T211" s="134" t="str">
        <f ca="1">IF(S211=Dashboard!$D$12,S211,"")</f>
        <v/>
      </c>
      <c r="U211" s="134" t="str">
        <f t="shared" ca="1" si="252"/>
        <v/>
      </c>
      <c r="V211" s="83" t="str">
        <f ca="1">IF(U211="","",IFERROR((RANK(U211,$U$2:$U$2028,1)+COUNTIF($U$2:U211,U211))-1,""))</f>
        <v/>
      </c>
      <c r="W211" s="134" t="str">
        <f t="shared" si="256"/>
        <v/>
      </c>
      <c r="X211" s="134" t="str">
        <f>IF(W211="","",IFERROR((RANK(W211,$W$2:$W$2028,1)+COUNTIF($W$2:W211,W211))-1,""))</f>
        <v/>
      </c>
      <c r="Y211" s="134" t="str">
        <f t="shared" si="253"/>
        <v/>
      </c>
      <c r="Z211" s="134" t="str">
        <f>IF(Y211="","",IFERROR((RANK(Y211,$Y$2:$Y$2028,1)+COUNTIF($Y$2:Y211,Y211))-1,""))</f>
        <v/>
      </c>
      <c r="AA211" s="134" t="str">
        <f t="shared" si="254"/>
        <v/>
      </c>
      <c r="AB211" s="134" t="str">
        <f>IF(AA211="","",IFERROR((RANK(AA211,$AA$2:$AA$2028,1)+COUNTIF($AA$2:AA211,AA211))-1,""))</f>
        <v/>
      </c>
      <c r="AC211" s="134" t="str">
        <f t="shared" si="255"/>
        <v/>
      </c>
      <c r="AD211" s="134" t="str">
        <f>IF(AC211="","",IFERROR((RANK(AC211,$AC$2:$AC$2028,1)+COUNTIF($AC$2:AC211,AC211))-1,""))</f>
        <v/>
      </c>
      <c r="AE211" s="144" t="str">
        <f t="shared" si="259"/>
        <v/>
      </c>
      <c r="AF211" s="144" t="str">
        <f>IF(AE211="","",SUM($AE$2:AE211))</f>
        <v/>
      </c>
    </row>
    <row r="212" spans="14:32" x14ac:dyDescent="0.35">
      <c r="N212" s="134" t="str">
        <f t="shared" si="257"/>
        <v/>
      </c>
      <c r="O212" s="82" t="str">
        <f t="shared" si="248"/>
        <v/>
      </c>
      <c r="P212" s="81" t="str">
        <f t="shared" si="258"/>
        <v/>
      </c>
      <c r="Q212" s="81" t="str">
        <f t="shared" si="249"/>
        <v/>
      </c>
      <c r="R212" s="135" t="str">
        <f t="shared" ca="1" si="250"/>
        <v/>
      </c>
      <c r="S212" s="134" t="str">
        <f t="shared" ca="1" si="251"/>
        <v/>
      </c>
      <c r="T212" s="134" t="str">
        <f ca="1">IF(S212=Dashboard!$D$12,S212,"")</f>
        <v/>
      </c>
      <c r="U212" s="134" t="str">
        <f t="shared" ca="1" si="252"/>
        <v/>
      </c>
      <c r="V212" s="83" t="str">
        <f ca="1">IF(U212="","",IFERROR((RANK(U212,$U$2:$U$2028,1)+COUNTIF($U$2:U212,U212))-1,""))</f>
        <v/>
      </c>
      <c r="W212" s="134" t="str">
        <f t="shared" si="256"/>
        <v/>
      </c>
      <c r="X212" s="134" t="str">
        <f>IF(W212="","",IFERROR((RANK(W212,$W$2:$W$2028,1)+COUNTIF($W$2:W212,W212))-1,""))</f>
        <v/>
      </c>
      <c r="Y212" s="134" t="str">
        <f t="shared" si="253"/>
        <v/>
      </c>
      <c r="Z212" s="134" t="str">
        <f>IF(Y212="","",IFERROR((RANK(Y212,$Y$2:$Y$2028,1)+COUNTIF($Y$2:Y212,Y212))-1,""))</f>
        <v/>
      </c>
      <c r="AA212" s="134" t="str">
        <f t="shared" si="254"/>
        <v/>
      </c>
      <c r="AB212" s="134" t="str">
        <f>IF(AA212="","",IFERROR((RANK(AA212,$AA$2:$AA$2028,1)+COUNTIF($AA$2:AA212,AA212))-1,""))</f>
        <v/>
      </c>
      <c r="AC212" s="134" t="str">
        <f t="shared" si="255"/>
        <v/>
      </c>
      <c r="AD212" s="134" t="str">
        <f>IF(AC212="","",IFERROR((RANK(AC212,$AC$2:$AC$2028,1)+COUNTIF($AC$2:AC212,AC212))-1,""))</f>
        <v/>
      </c>
      <c r="AE212" s="144" t="str">
        <f t="shared" si="259"/>
        <v/>
      </c>
      <c r="AF212" s="144" t="str">
        <f>IF(AE212="","",SUM($AE$2:AE212))</f>
        <v/>
      </c>
    </row>
    <row r="213" spans="14:32" x14ac:dyDescent="0.35">
      <c r="N213" s="134" t="str">
        <f t="shared" si="257"/>
        <v/>
      </c>
      <c r="O213" s="82" t="str">
        <f t="shared" si="248"/>
        <v/>
      </c>
      <c r="P213" s="81" t="str">
        <f t="shared" si="258"/>
        <v/>
      </c>
      <c r="Q213" s="81" t="str">
        <f t="shared" si="249"/>
        <v/>
      </c>
      <c r="R213" s="135" t="str">
        <f t="shared" ca="1" si="250"/>
        <v/>
      </c>
      <c r="S213" s="134" t="str">
        <f t="shared" ca="1" si="251"/>
        <v/>
      </c>
      <c r="T213" s="134" t="str">
        <f ca="1">IF(S213=Dashboard!$D$12,S213,"")</f>
        <v/>
      </c>
      <c r="U213" s="134" t="str">
        <f t="shared" ca="1" si="252"/>
        <v/>
      </c>
      <c r="V213" s="83" t="str">
        <f ca="1">IF(U213="","",IFERROR((RANK(U213,$U$2:$U$2028,1)+COUNTIF($U$2:U213,U213))-1,""))</f>
        <v/>
      </c>
      <c r="W213" s="134" t="str">
        <f t="shared" si="256"/>
        <v/>
      </c>
      <c r="X213" s="134" t="str">
        <f>IF(W213="","",IFERROR((RANK(W213,$W$2:$W$2028,1)+COUNTIF($W$2:W213,W213))-1,""))</f>
        <v/>
      </c>
      <c r="Y213" s="134" t="str">
        <f t="shared" si="253"/>
        <v/>
      </c>
      <c r="Z213" s="134" t="str">
        <f>IF(Y213="","",IFERROR((RANK(Y213,$Y$2:$Y$2028,1)+COUNTIF($Y$2:Y213,Y213))-1,""))</f>
        <v/>
      </c>
      <c r="AA213" s="134" t="str">
        <f t="shared" si="254"/>
        <v/>
      </c>
      <c r="AB213" s="134" t="str">
        <f>IF(AA213="","",IFERROR((RANK(AA213,$AA$2:$AA$2028,1)+COUNTIF($AA$2:AA213,AA213))-1,""))</f>
        <v/>
      </c>
      <c r="AC213" s="134" t="str">
        <f t="shared" si="255"/>
        <v/>
      </c>
      <c r="AD213" s="134" t="str">
        <f>IF(AC213="","",IFERROR((RANK(AC213,$AC$2:$AC$2028,1)+COUNTIF($AC$2:AC213,AC213))-1,""))</f>
        <v/>
      </c>
      <c r="AE213" s="144" t="str">
        <f t="shared" si="259"/>
        <v/>
      </c>
      <c r="AF213" s="144" t="str">
        <f>IF(AE213="","",SUM($AE$2:AE213))</f>
        <v/>
      </c>
    </row>
    <row r="214" spans="14:32" x14ac:dyDescent="0.35">
      <c r="N214" s="134" t="str">
        <f t="shared" si="257"/>
        <v/>
      </c>
      <c r="O214" s="82" t="str">
        <f t="shared" si="248"/>
        <v/>
      </c>
      <c r="P214" s="81" t="str">
        <f t="shared" si="258"/>
        <v/>
      </c>
      <c r="Q214" s="81" t="str">
        <f t="shared" si="249"/>
        <v/>
      </c>
      <c r="R214" s="135" t="str">
        <f t="shared" ca="1" si="250"/>
        <v/>
      </c>
      <c r="S214" s="134" t="str">
        <f t="shared" ca="1" si="251"/>
        <v/>
      </c>
      <c r="T214" s="134" t="str">
        <f ca="1">IF(S214=Dashboard!$D$12,S214,"")</f>
        <v/>
      </c>
      <c r="U214" s="134" t="str">
        <f t="shared" ca="1" si="252"/>
        <v/>
      </c>
      <c r="V214" s="83" t="str">
        <f ca="1">IF(U214="","",IFERROR((RANK(U214,$U$2:$U$2028,1)+COUNTIF($U$2:U214,U214))-1,""))</f>
        <v/>
      </c>
      <c r="W214" s="134" t="str">
        <f t="shared" si="256"/>
        <v/>
      </c>
      <c r="X214" s="134" t="str">
        <f>IF(W214="","",IFERROR((RANK(W214,$W$2:$W$2028,1)+COUNTIF($W$2:W214,W214))-1,""))</f>
        <v/>
      </c>
      <c r="Y214" s="134" t="str">
        <f t="shared" si="253"/>
        <v/>
      </c>
      <c r="Z214" s="134" t="str">
        <f>IF(Y214="","",IFERROR((RANK(Y214,$Y$2:$Y$2028,1)+COUNTIF($Y$2:Y214,Y214))-1,""))</f>
        <v/>
      </c>
      <c r="AA214" s="134" t="str">
        <f t="shared" si="254"/>
        <v/>
      </c>
      <c r="AB214" s="134" t="str">
        <f>IF(AA214="","",IFERROR((RANK(AA214,$AA$2:$AA$2028,1)+COUNTIF($AA$2:AA214,AA214))-1,""))</f>
        <v/>
      </c>
      <c r="AC214" s="134" t="str">
        <f t="shared" si="255"/>
        <v/>
      </c>
      <c r="AD214" s="134" t="str">
        <f>IF(AC214="","",IFERROR((RANK(AC214,$AC$2:$AC$2028,1)+COUNTIF($AC$2:AC214,AC214))-1,""))</f>
        <v/>
      </c>
      <c r="AE214" s="144" t="str">
        <f t="shared" si="259"/>
        <v/>
      </c>
      <c r="AF214" s="144" t="str">
        <f>IF(AE214="","",SUM($AE$2:AE214))</f>
        <v/>
      </c>
    </row>
    <row r="215" spans="14:32" x14ac:dyDescent="0.35">
      <c r="N215" s="134" t="str">
        <f t="shared" si="257"/>
        <v/>
      </c>
      <c r="O215" s="82" t="str">
        <f t="shared" si="248"/>
        <v/>
      </c>
      <c r="P215" s="81" t="str">
        <f t="shared" si="258"/>
        <v/>
      </c>
      <c r="Q215" s="81" t="str">
        <f t="shared" si="249"/>
        <v/>
      </c>
      <c r="R215" s="135" t="str">
        <f t="shared" ca="1" si="250"/>
        <v/>
      </c>
      <c r="S215" s="134" t="str">
        <f t="shared" ca="1" si="251"/>
        <v/>
      </c>
      <c r="T215" s="134" t="str">
        <f ca="1">IF(S215=Dashboard!$D$12,S215,"")</f>
        <v/>
      </c>
      <c r="U215" s="134" t="str">
        <f t="shared" ca="1" si="252"/>
        <v/>
      </c>
      <c r="V215" s="83" t="str">
        <f ca="1">IF(U215="","",IFERROR((RANK(U215,$U$2:$U$2028,1)+COUNTIF($U$2:U215,U215))-1,""))</f>
        <v/>
      </c>
      <c r="W215" s="134" t="str">
        <f t="shared" si="256"/>
        <v/>
      </c>
      <c r="X215" s="134" t="str">
        <f>IF(W215="","",IFERROR((RANK(W215,$W$2:$W$2028,1)+COUNTIF($W$2:W215,W215))-1,""))</f>
        <v/>
      </c>
      <c r="Y215" s="134" t="str">
        <f t="shared" si="253"/>
        <v/>
      </c>
      <c r="Z215" s="134" t="str">
        <f>IF(Y215="","",IFERROR((RANK(Y215,$Y$2:$Y$2028,1)+COUNTIF($Y$2:Y215,Y215))-1,""))</f>
        <v/>
      </c>
      <c r="AA215" s="134" t="str">
        <f t="shared" si="254"/>
        <v/>
      </c>
      <c r="AB215" s="134" t="str">
        <f>IF(AA215="","",IFERROR((RANK(AA215,$AA$2:$AA$2028,1)+COUNTIF($AA$2:AA215,AA215))-1,""))</f>
        <v/>
      </c>
      <c r="AC215" s="134" t="str">
        <f t="shared" si="255"/>
        <v/>
      </c>
      <c r="AD215" s="134" t="str">
        <f>IF(AC215="","",IFERROR((RANK(AC215,$AC$2:$AC$2028,1)+COUNTIF($AC$2:AC215,AC215))-1,""))</f>
        <v/>
      </c>
      <c r="AE215" s="144" t="str">
        <f t="shared" si="259"/>
        <v/>
      </c>
      <c r="AF215" s="144" t="str">
        <f>IF(AE215="","",SUM($AE$2:AE215))</f>
        <v/>
      </c>
    </row>
    <row r="216" spans="14:32" x14ac:dyDescent="0.35">
      <c r="N216" s="134" t="str">
        <f t="shared" si="257"/>
        <v/>
      </c>
      <c r="O216" s="82" t="str">
        <f t="shared" si="248"/>
        <v/>
      </c>
      <c r="P216" s="81" t="str">
        <f t="shared" si="258"/>
        <v/>
      </c>
      <c r="Q216" s="81" t="str">
        <f t="shared" si="249"/>
        <v/>
      </c>
      <c r="R216" s="135" t="str">
        <f t="shared" ca="1" si="250"/>
        <v/>
      </c>
      <c r="S216" s="134" t="str">
        <f t="shared" ca="1" si="251"/>
        <v/>
      </c>
      <c r="T216" s="134" t="str">
        <f ca="1">IF(S216=Dashboard!$D$12,S216,"")</f>
        <v/>
      </c>
      <c r="U216" s="134" t="str">
        <f t="shared" ca="1" si="252"/>
        <v/>
      </c>
      <c r="V216" s="83" t="str">
        <f ca="1">IF(U216="","",IFERROR((RANK(U216,$U$2:$U$2028,1)+COUNTIF($U$2:U216,U216))-1,""))</f>
        <v/>
      </c>
      <c r="W216" s="134" t="str">
        <f t="shared" si="256"/>
        <v/>
      </c>
      <c r="X216" s="134" t="str">
        <f>IF(W216="","",IFERROR((RANK(W216,$W$2:$W$2028,1)+COUNTIF($W$2:W216,W216))-1,""))</f>
        <v/>
      </c>
      <c r="Y216" s="134" t="str">
        <f t="shared" si="253"/>
        <v/>
      </c>
      <c r="Z216" s="134" t="str">
        <f>IF(Y216="","",IFERROR((RANK(Y216,$Y$2:$Y$2028,1)+COUNTIF($Y$2:Y216,Y216))-1,""))</f>
        <v/>
      </c>
      <c r="AA216" s="134" t="str">
        <f t="shared" si="254"/>
        <v/>
      </c>
      <c r="AB216" s="134" t="str">
        <f>IF(AA216="","",IFERROR((RANK(AA216,$AA$2:$AA$2028,1)+COUNTIF($AA$2:AA216,AA216))-1,""))</f>
        <v/>
      </c>
      <c r="AC216" s="134" t="str">
        <f t="shared" si="255"/>
        <v/>
      </c>
      <c r="AD216" s="134" t="str">
        <f>IF(AC216="","",IFERROR((RANK(AC216,$AC$2:$AC$2028,1)+COUNTIF($AC$2:AC216,AC216))-1,""))</f>
        <v/>
      </c>
      <c r="AE216" s="144" t="str">
        <f t="shared" si="259"/>
        <v/>
      </c>
      <c r="AF216" s="144" t="str">
        <f>IF(AE216="","",SUM($AE$2:AE216))</f>
        <v/>
      </c>
    </row>
    <row r="217" spans="14:32" x14ac:dyDescent="0.35">
      <c r="N217" s="134" t="str">
        <f t="shared" si="257"/>
        <v/>
      </c>
      <c r="O217" s="82" t="str">
        <f t="shared" si="248"/>
        <v/>
      </c>
      <c r="P217" s="81" t="str">
        <f t="shared" si="258"/>
        <v/>
      </c>
      <c r="Q217" s="81" t="str">
        <f t="shared" si="249"/>
        <v/>
      </c>
      <c r="R217" s="135" t="str">
        <f t="shared" ca="1" si="250"/>
        <v/>
      </c>
      <c r="S217" s="134" t="str">
        <f t="shared" ca="1" si="251"/>
        <v/>
      </c>
      <c r="T217" s="134" t="str">
        <f ca="1">IF(S217=Dashboard!$D$12,S217,"")</f>
        <v/>
      </c>
      <c r="U217" s="134" t="str">
        <f t="shared" ca="1" si="252"/>
        <v/>
      </c>
      <c r="V217" s="83" t="str">
        <f ca="1">IF(U217="","",IFERROR((RANK(U217,$U$2:$U$2028,1)+COUNTIF($U$2:U217,U217))-1,""))</f>
        <v/>
      </c>
      <c r="W217" s="134" t="str">
        <f t="shared" si="256"/>
        <v/>
      </c>
      <c r="X217" s="134" t="str">
        <f>IF(W217="","",IFERROR((RANK(W217,$W$2:$W$2028,1)+COUNTIF($W$2:W217,W217))-1,""))</f>
        <v/>
      </c>
      <c r="Y217" s="134" t="str">
        <f t="shared" si="253"/>
        <v/>
      </c>
      <c r="Z217" s="134" t="str">
        <f>IF(Y217="","",IFERROR((RANK(Y217,$Y$2:$Y$2028,1)+COUNTIF($Y$2:Y217,Y217))-1,""))</f>
        <v/>
      </c>
      <c r="AA217" s="134" t="str">
        <f t="shared" si="254"/>
        <v/>
      </c>
      <c r="AB217" s="134" t="str">
        <f>IF(AA217="","",IFERROR((RANK(AA217,$AA$2:$AA$2028,1)+COUNTIF($AA$2:AA217,AA217))-1,""))</f>
        <v/>
      </c>
      <c r="AC217" s="134" t="str">
        <f t="shared" si="255"/>
        <v/>
      </c>
      <c r="AD217" s="134" t="str">
        <f>IF(AC217="","",IFERROR((RANK(AC217,$AC$2:$AC$2028,1)+COUNTIF($AC$2:AC217,AC217))-1,""))</f>
        <v/>
      </c>
      <c r="AE217" s="144" t="str">
        <f t="shared" si="259"/>
        <v/>
      </c>
      <c r="AF217" s="144" t="str">
        <f>IF(AE217="","",SUM($AE$2:AE217))</f>
        <v/>
      </c>
    </row>
    <row r="218" spans="14:32" x14ac:dyDescent="0.35">
      <c r="N218" s="134" t="str">
        <f t="shared" si="257"/>
        <v/>
      </c>
      <c r="O218" s="82" t="str">
        <f t="shared" si="248"/>
        <v/>
      </c>
      <c r="P218" s="81" t="str">
        <f t="shared" si="258"/>
        <v/>
      </c>
      <c r="Q218" s="81" t="str">
        <f t="shared" si="249"/>
        <v/>
      </c>
      <c r="R218" s="135" t="str">
        <f t="shared" ca="1" si="250"/>
        <v/>
      </c>
      <c r="S218" s="134" t="str">
        <f t="shared" ca="1" si="251"/>
        <v/>
      </c>
      <c r="T218" s="134" t="str">
        <f ca="1">IF(S218=Dashboard!$D$12,S218,"")</f>
        <v/>
      </c>
      <c r="U218" s="134" t="str">
        <f t="shared" ca="1" si="252"/>
        <v/>
      </c>
      <c r="V218" s="83" t="str">
        <f ca="1">IF(U218="","",IFERROR((RANK(U218,$U$2:$U$2028,1)+COUNTIF($U$2:U218,U218))-1,""))</f>
        <v/>
      </c>
      <c r="W218" s="134" t="str">
        <f t="shared" si="256"/>
        <v/>
      </c>
      <c r="X218" s="134" t="str">
        <f>IF(W218="","",IFERROR((RANK(W218,$W$2:$W$2028,1)+COUNTIF($W$2:W218,W218))-1,""))</f>
        <v/>
      </c>
      <c r="Y218" s="134" t="str">
        <f t="shared" si="253"/>
        <v/>
      </c>
      <c r="Z218" s="134" t="str">
        <f>IF(Y218="","",IFERROR((RANK(Y218,$Y$2:$Y$2028,1)+COUNTIF($Y$2:Y218,Y218))-1,""))</f>
        <v/>
      </c>
      <c r="AA218" s="134" t="str">
        <f t="shared" si="254"/>
        <v/>
      </c>
      <c r="AB218" s="134" t="str">
        <f>IF(AA218="","",IFERROR((RANK(AA218,$AA$2:$AA$2028,1)+COUNTIF($AA$2:AA218,AA218))-1,""))</f>
        <v/>
      </c>
      <c r="AC218" s="134" t="str">
        <f t="shared" si="255"/>
        <v/>
      </c>
      <c r="AD218" s="134" t="str">
        <f>IF(AC218="","",IFERROR((RANK(AC218,$AC$2:$AC$2028,1)+COUNTIF($AC$2:AC218,AC218))-1,""))</f>
        <v/>
      </c>
      <c r="AE218" s="144" t="str">
        <f t="shared" si="259"/>
        <v/>
      </c>
      <c r="AF218" s="144" t="str">
        <f>IF(AE218="","",SUM($AE$2:AE218))</f>
        <v/>
      </c>
    </row>
    <row r="219" spans="14:32" x14ac:dyDescent="0.35">
      <c r="N219" s="134" t="str">
        <f t="shared" si="257"/>
        <v/>
      </c>
      <c r="O219" s="82" t="str">
        <f t="shared" si="248"/>
        <v/>
      </c>
      <c r="P219" s="81" t="str">
        <f t="shared" si="258"/>
        <v/>
      </c>
      <c r="Q219" s="81" t="str">
        <f t="shared" si="249"/>
        <v/>
      </c>
      <c r="R219" s="135" t="str">
        <f t="shared" ca="1" si="250"/>
        <v/>
      </c>
      <c r="S219" s="134" t="str">
        <f t="shared" ca="1" si="251"/>
        <v/>
      </c>
      <c r="T219" s="134" t="str">
        <f ca="1">IF(S219=Dashboard!$D$12,S219,"")</f>
        <v/>
      </c>
      <c r="U219" s="134" t="str">
        <f t="shared" ca="1" si="252"/>
        <v/>
      </c>
      <c r="V219" s="83" t="str">
        <f ca="1">IF(U219="","",IFERROR((RANK(U219,$U$2:$U$2028,1)+COUNTIF($U$2:U219,U219))-1,""))</f>
        <v/>
      </c>
      <c r="W219" s="134" t="str">
        <f t="shared" si="256"/>
        <v/>
      </c>
      <c r="X219" s="134" t="str">
        <f>IF(W219="","",IFERROR((RANK(W219,$W$2:$W$2028,1)+COUNTIF($W$2:W219,W219))-1,""))</f>
        <v/>
      </c>
      <c r="Y219" s="134" t="str">
        <f t="shared" si="253"/>
        <v/>
      </c>
      <c r="Z219" s="134" t="str">
        <f>IF(Y219="","",IFERROR((RANK(Y219,$Y$2:$Y$2028,1)+COUNTIF($Y$2:Y219,Y219))-1,""))</f>
        <v/>
      </c>
      <c r="AA219" s="134" t="str">
        <f t="shared" si="254"/>
        <v/>
      </c>
      <c r="AB219" s="134" t="str">
        <f>IF(AA219="","",IFERROR((RANK(AA219,$AA$2:$AA$2028,1)+COUNTIF($AA$2:AA219,AA219))-1,""))</f>
        <v/>
      </c>
      <c r="AC219" s="134" t="str">
        <f t="shared" si="255"/>
        <v/>
      </c>
      <c r="AD219" s="134" t="str">
        <f>IF(AC219="","",IFERROR((RANK(AC219,$AC$2:$AC$2028,1)+COUNTIF($AC$2:AC219,AC219))-1,""))</f>
        <v/>
      </c>
      <c r="AE219" s="144" t="str">
        <f t="shared" si="259"/>
        <v/>
      </c>
      <c r="AF219" s="144" t="str">
        <f>IF(AE219="","",SUM($AE$2:AE219))</f>
        <v/>
      </c>
    </row>
    <row r="220" spans="14:32" x14ac:dyDescent="0.35">
      <c r="N220" s="134" t="str">
        <f t="shared" si="257"/>
        <v/>
      </c>
      <c r="O220" s="82" t="str">
        <f t="shared" si="248"/>
        <v/>
      </c>
      <c r="P220" s="81" t="str">
        <f t="shared" si="258"/>
        <v/>
      </c>
      <c r="Q220" s="81" t="str">
        <f t="shared" si="249"/>
        <v/>
      </c>
      <c r="R220" s="135" t="str">
        <f t="shared" ca="1" si="250"/>
        <v/>
      </c>
      <c r="S220" s="134" t="str">
        <f t="shared" ca="1" si="251"/>
        <v/>
      </c>
      <c r="T220" s="134" t="str">
        <f ca="1">IF(S220=Dashboard!$D$12,S220,"")</f>
        <v/>
      </c>
      <c r="U220" s="134" t="str">
        <f t="shared" ca="1" si="252"/>
        <v/>
      </c>
      <c r="V220" s="83" t="str">
        <f ca="1">IF(U220="","",IFERROR((RANK(U220,$U$2:$U$2028,1)+COUNTIF($U$2:U220,U220))-1,""))</f>
        <v/>
      </c>
      <c r="W220" s="134" t="str">
        <f t="shared" si="256"/>
        <v/>
      </c>
      <c r="X220" s="134" t="str">
        <f>IF(W220="","",IFERROR((RANK(W220,$W$2:$W$2028,1)+COUNTIF($W$2:W220,W220))-1,""))</f>
        <v/>
      </c>
      <c r="Y220" s="134" t="str">
        <f t="shared" si="253"/>
        <v/>
      </c>
      <c r="Z220" s="134" t="str">
        <f>IF(Y220="","",IFERROR((RANK(Y220,$Y$2:$Y$2028,1)+COUNTIF($Y$2:Y220,Y220))-1,""))</f>
        <v/>
      </c>
      <c r="AA220" s="134" t="str">
        <f t="shared" si="254"/>
        <v/>
      </c>
      <c r="AB220" s="134" t="str">
        <f>IF(AA220="","",IFERROR((RANK(AA220,$AA$2:$AA$2028,1)+COUNTIF($AA$2:AA220,AA220))-1,""))</f>
        <v/>
      </c>
      <c r="AC220" s="134" t="str">
        <f t="shared" si="255"/>
        <v/>
      </c>
      <c r="AD220" s="134" t="str">
        <f>IF(AC220="","",IFERROR((RANK(AC220,$AC$2:$AC$2028,1)+COUNTIF($AC$2:AC220,AC220))-1,""))</f>
        <v/>
      </c>
      <c r="AE220" s="144" t="str">
        <f t="shared" si="259"/>
        <v/>
      </c>
      <c r="AF220" s="144" t="str">
        <f>IF(AE220="","",SUM($AE$2:AE220))</f>
        <v/>
      </c>
    </row>
    <row r="221" spans="14:32" x14ac:dyDescent="0.35">
      <c r="N221" s="134" t="str">
        <f t="shared" si="257"/>
        <v/>
      </c>
      <c r="O221" s="82" t="str">
        <f t="shared" si="248"/>
        <v/>
      </c>
      <c r="P221" s="81" t="str">
        <f t="shared" si="258"/>
        <v/>
      </c>
      <c r="Q221" s="81" t="str">
        <f t="shared" si="249"/>
        <v/>
      </c>
      <c r="R221" s="135" t="str">
        <f t="shared" ca="1" si="250"/>
        <v/>
      </c>
      <c r="S221" s="134" t="str">
        <f t="shared" ca="1" si="251"/>
        <v/>
      </c>
      <c r="T221" s="134" t="str">
        <f ca="1">IF(S221=Dashboard!$D$12,S221,"")</f>
        <v/>
      </c>
      <c r="U221" s="134" t="str">
        <f t="shared" ca="1" si="252"/>
        <v/>
      </c>
      <c r="V221" s="83" t="str">
        <f ca="1">IF(U221="","",IFERROR((RANK(U221,$U$2:$U$2028,1)+COUNTIF($U$2:U221,U221))-1,""))</f>
        <v/>
      </c>
      <c r="W221" s="134" t="str">
        <f t="shared" si="256"/>
        <v/>
      </c>
      <c r="X221" s="134" t="str">
        <f>IF(W221="","",IFERROR((RANK(W221,$W$2:$W$2028,1)+COUNTIF($W$2:W221,W221))-1,""))</f>
        <v/>
      </c>
      <c r="Y221" s="134" t="str">
        <f t="shared" si="253"/>
        <v/>
      </c>
      <c r="Z221" s="134" t="str">
        <f>IF(Y221="","",IFERROR((RANK(Y221,$Y$2:$Y$2028,1)+COUNTIF($Y$2:Y221,Y221))-1,""))</f>
        <v/>
      </c>
      <c r="AA221" s="134" t="str">
        <f t="shared" si="254"/>
        <v/>
      </c>
      <c r="AB221" s="134" t="str">
        <f>IF(AA221="","",IFERROR((RANK(AA221,$AA$2:$AA$2028,1)+COUNTIF($AA$2:AA221,AA221))-1,""))</f>
        <v/>
      </c>
      <c r="AC221" s="134" t="str">
        <f t="shared" si="255"/>
        <v/>
      </c>
      <c r="AD221" s="134" t="str">
        <f>IF(AC221="","",IFERROR((RANK(AC221,$AC$2:$AC$2028,1)+COUNTIF($AC$2:AC221,AC221))-1,""))</f>
        <v/>
      </c>
      <c r="AE221" s="144" t="str">
        <f t="shared" si="259"/>
        <v/>
      </c>
      <c r="AF221" s="144" t="str">
        <f>IF(AE221="","",SUM($AE$2:AE221))</f>
        <v/>
      </c>
    </row>
    <row r="222" spans="14:32" x14ac:dyDescent="0.35">
      <c r="N222" s="134" t="str">
        <f t="shared" si="257"/>
        <v/>
      </c>
      <c r="O222" s="82" t="str">
        <f t="shared" ref="O222:O285" si="260">IF(A222="","",N222&amp;"-"&amp;M222)</f>
        <v/>
      </c>
      <c r="P222" s="81" t="str">
        <f t="shared" si="258"/>
        <v/>
      </c>
      <c r="Q222" s="81" t="str">
        <f t="shared" ref="Q222:Q285" si="261">IF(A222="","",IF(P222=1,M222,""))</f>
        <v/>
      </c>
      <c r="R222" s="135" t="str">
        <f t="shared" ref="R222:R285" ca="1" si="262">IF(Q222="","",I222-TODAY())</f>
        <v/>
      </c>
      <c r="S222" s="134" t="str">
        <f t="shared" ref="S222:S285" ca="1" si="263">IF(R222="","",
IF(R222&lt;-90,"Pass&gt;90",IF(R222&lt;-60,"Pass 61-90",IF(R222&lt;-30,"Pass 31-60",IF(R222&lt;0,"Pass 0-30",IF(R222&lt;31,"Run 0-30",IF(R222&lt;61,"Run 31-60",IF(R222&lt;91,"Run 60-90","Run &gt;90"))))))))</f>
        <v/>
      </c>
      <c r="T222" s="134" t="str">
        <f ca="1">IF(S222=Dashboard!$D$12,S222,"")</f>
        <v/>
      </c>
      <c r="U222" s="134" t="str">
        <f t="shared" ref="U222:U285" ca="1" si="264">IF(T222="","",R222)</f>
        <v/>
      </c>
      <c r="V222" s="83" t="str">
        <f ca="1">IF(U222="","",IFERROR((RANK(U222,$U$2:$U$2028,1)+COUNTIF($U$2:U222,U222))-1,""))</f>
        <v/>
      </c>
      <c r="W222" s="134" t="str">
        <f t="shared" si="256"/>
        <v/>
      </c>
      <c r="X222" s="134" t="str">
        <f>IF(W222="","",IFERROR((RANK(W222,$W$2:$W$2028,1)+COUNTIF($W$2:W222,W222))-1,""))</f>
        <v/>
      </c>
      <c r="Y222" s="134" t="str">
        <f t="shared" ref="Y222:Y285" si="265">IF($J222=Y$1,$U222,"")</f>
        <v/>
      </c>
      <c r="Z222" s="134" t="str">
        <f>IF(Y222="","",IFERROR((RANK(Y222,$Y$2:$Y$2028,1)+COUNTIF($Y$2:Y222,Y222))-1,""))</f>
        <v/>
      </c>
      <c r="AA222" s="134" t="str">
        <f t="shared" ref="AA222:AA285" si="266">IF($J222=AA$1,$U222,"")</f>
        <v/>
      </c>
      <c r="AB222" s="134" t="str">
        <f>IF(AA222="","",IFERROR((RANK(AA222,$AA$2:$AA$2028,1)+COUNTIF($AA$2:AA222,AA222))-1,""))</f>
        <v/>
      </c>
      <c r="AC222" s="134" t="str">
        <f t="shared" ref="AC222:AC285" si="267">IF($J222=AC$1,$U222,"")</f>
        <v/>
      </c>
      <c r="AD222" s="134" t="str">
        <f>IF(AC222="","",IFERROR((RANK(AC222,$AC$2:$AC$2028,1)+COUNTIF($AC$2:AC222,AC222))-1,""))</f>
        <v/>
      </c>
      <c r="AE222" s="144" t="str">
        <f t="shared" si="259"/>
        <v/>
      </c>
      <c r="AF222" s="144" t="str">
        <f>IF(AE222="","",SUM($AE$2:AE222))</f>
        <v/>
      </c>
    </row>
    <row r="223" spans="14:32" x14ac:dyDescent="0.35">
      <c r="N223" s="134" t="str">
        <f t="shared" si="257"/>
        <v/>
      </c>
      <c r="O223" s="82" t="str">
        <f t="shared" si="260"/>
        <v/>
      </c>
      <c r="P223" s="81" t="str">
        <f t="shared" si="258"/>
        <v/>
      </c>
      <c r="Q223" s="81" t="str">
        <f t="shared" si="261"/>
        <v/>
      </c>
      <c r="R223" s="135" t="str">
        <f t="shared" ca="1" si="262"/>
        <v/>
      </c>
      <c r="S223" s="134" t="str">
        <f t="shared" ca="1" si="263"/>
        <v/>
      </c>
      <c r="T223" s="134" t="str">
        <f ca="1">IF(S223=Dashboard!$D$12,S223,"")</f>
        <v/>
      </c>
      <c r="U223" s="134" t="str">
        <f t="shared" ca="1" si="264"/>
        <v/>
      </c>
      <c r="V223" s="83" t="str">
        <f ca="1">IF(U223="","",IFERROR((RANK(U223,$U$2:$U$2028,1)+COUNTIF($U$2:U223,U223))-1,""))</f>
        <v/>
      </c>
      <c r="W223" s="134" t="str">
        <f t="shared" ref="W223:W286" si="268">IF($J223=$W$1,U223,"")</f>
        <v/>
      </c>
      <c r="X223" s="134" t="str">
        <f>IF(W223="","",IFERROR((RANK(W223,$W$2:$W$2028,1)+COUNTIF($W$2:W223,W223))-1,""))</f>
        <v/>
      </c>
      <c r="Y223" s="134" t="str">
        <f t="shared" si="265"/>
        <v/>
      </c>
      <c r="Z223" s="134" t="str">
        <f>IF(Y223="","",IFERROR((RANK(Y223,$Y$2:$Y$2028,1)+COUNTIF($Y$2:Y223,Y223))-1,""))</f>
        <v/>
      </c>
      <c r="AA223" s="134" t="str">
        <f t="shared" si="266"/>
        <v/>
      </c>
      <c r="AB223" s="134" t="str">
        <f>IF(AA223="","",IFERROR((RANK(AA223,$AA$2:$AA$2028,1)+COUNTIF($AA$2:AA223,AA223))-1,""))</f>
        <v/>
      </c>
      <c r="AC223" s="134" t="str">
        <f t="shared" si="267"/>
        <v/>
      </c>
      <c r="AD223" s="134" t="str">
        <f>IF(AC223="","",IFERROR((RANK(AC223,$AC$2:$AC$2028,1)+COUNTIF($AC$2:AC223,AC223))-1,""))</f>
        <v/>
      </c>
      <c r="AE223" s="144" t="str">
        <f t="shared" si="259"/>
        <v/>
      </c>
      <c r="AF223" s="144" t="str">
        <f>IF(AE223="","",SUM($AE$2:AE223))</f>
        <v/>
      </c>
    </row>
    <row r="224" spans="14:32" x14ac:dyDescent="0.35">
      <c r="N224" s="134" t="str">
        <f t="shared" si="257"/>
        <v/>
      </c>
      <c r="O224" s="82" t="str">
        <f t="shared" si="260"/>
        <v/>
      </c>
      <c r="P224" s="81" t="str">
        <f t="shared" si="258"/>
        <v/>
      </c>
      <c r="Q224" s="81" t="str">
        <f t="shared" si="261"/>
        <v/>
      </c>
      <c r="R224" s="135" t="str">
        <f t="shared" ca="1" si="262"/>
        <v/>
      </c>
      <c r="S224" s="134" t="str">
        <f t="shared" ca="1" si="263"/>
        <v/>
      </c>
      <c r="T224" s="134" t="str">
        <f ca="1">IF(S224=Dashboard!$D$12,S224,"")</f>
        <v/>
      </c>
      <c r="U224" s="134" t="str">
        <f t="shared" ca="1" si="264"/>
        <v/>
      </c>
      <c r="V224" s="83" t="str">
        <f ca="1">IF(U224="","",IFERROR((RANK(U224,$U$2:$U$2028,1)+COUNTIF($U$2:U224,U224))-1,""))</f>
        <v/>
      </c>
      <c r="W224" s="134" t="str">
        <f t="shared" si="268"/>
        <v/>
      </c>
      <c r="X224" s="134" t="str">
        <f>IF(W224="","",IFERROR((RANK(W224,$W$2:$W$2028,1)+COUNTIF($W$2:W224,W224))-1,""))</f>
        <v/>
      </c>
      <c r="Y224" s="134" t="str">
        <f t="shared" si="265"/>
        <v/>
      </c>
      <c r="Z224" s="134" t="str">
        <f>IF(Y224="","",IFERROR((RANK(Y224,$Y$2:$Y$2028,1)+COUNTIF($Y$2:Y224,Y224))-1,""))</f>
        <v/>
      </c>
      <c r="AA224" s="134" t="str">
        <f t="shared" si="266"/>
        <v/>
      </c>
      <c r="AB224" s="134" t="str">
        <f>IF(AA224="","",IFERROR((RANK(AA224,$AA$2:$AA$2028,1)+COUNTIF($AA$2:AA224,AA224))-1,""))</f>
        <v/>
      </c>
      <c r="AC224" s="134" t="str">
        <f t="shared" si="267"/>
        <v/>
      </c>
      <c r="AD224" s="134" t="str">
        <f>IF(AC224="","",IFERROR((RANK(AC224,$AC$2:$AC$2028,1)+COUNTIF($AC$2:AC224,AC224))-1,""))</f>
        <v/>
      </c>
      <c r="AE224" s="144" t="str">
        <f t="shared" si="259"/>
        <v/>
      </c>
      <c r="AF224" s="144" t="str">
        <f>IF(AE224="","",SUM($AE$2:AE224))</f>
        <v/>
      </c>
    </row>
    <row r="225" spans="14:32" x14ac:dyDescent="0.35">
      <c r="N225" s="134" t="str">
        <f t="shared" si="257"/>
        <v/>
      </c>
      <c r="O225" s="82" t="str">
        <f t="shared" si="260"/>
        <v/>
      </c>
      <c r="P225" s="81" t="str">
        <f t="shared" si="258"/>
        <v/>
      </c>
      <c r="Q225" s="81" t="str">
        <f t="shared" si="261"/>
        <v/>
      </c>
      <c r="R225" s="135" t="str">
        <f t="shared" ca="1" si="262"/>
        <v/>
      </c>
      <c r="S225" s="134" t="str">
        <f t="shared" ca="1" si="263"/>
        <v/>
      </c>
      <c r="T225" s="134" t="str">
        <f ca="1">IF(S225=Dashboard!$D$12,S225,"")</f>
        <v/>
      </c>
      <c r="U225" s="134" t="str">
        <f t="shared" ca="1" si="264"/>
        <v/>
      </c>
      <c r="V225" s="83" t="str">
        <f ca="1">IF(U225="","",IFERROR((RANK(U225,$U$2:$U$2028,1)+COUNTIF($U$2:U225,U225))-1,""))</f>
        <v/>
      </c>
      <c r="W225" s="134" t="str">
        <f t="shared" si="268"/>
        <v/>
      </c>
      <c r="X225" s="134" t="str">
        <f>IF(W225="","",IFERROR((RANK(W225,$W$2:$W$2028,1)+COUNTIF($W$2:W225,W225))-1,""))</f>
        <v/>
      </c>
      <c r="Y225" s="134" t="str">
        <f t="shared" si="265"/>
        <v/>
      </c>
      <c r="Z225" s="134" t="str">
        <f>IF(Y225="","",IFERROR((RANK(Y225,$Y$2:$Y$2028,1)+COUNTIF($Y$2:Y225,Y225))-1,""))</f>
        <v/>
      </c>
      <c r="AA225" s="134" t="str">
        <f t="shared" si="266"/>
        <v/>
      </c>
      <c r="AB225" s="134" t="str">
        <f>IF(AA225="","",IFERROR((RANK(AA225,$AA$2:$AA$2028,1)+COUNTIF($AA$2:AA225,AA225))-1,""))</f>
        <v/>
      </c>
      <c r="AC225" s="134" t="str">
        <f t="shared" si="267"/>
        <v/>
      </c>
      <c r="AD225" s="134" t="str">
        <f>IF(AC225="","",IFERROR((RANK(AC225,$AC$2:$AC$2028,1)+COUNTIF($AC$2:AC225,AC225))-1,""))</f>
        <v/>
      </c>
      <c r="AE225" s="144" t="str">
        <f t="shared" si="259"/>
        <v/>
      </c>
      <c r="AF225" s="144" t="str">
        <f>IF(AE225="","",SUM($AE$2:AE225))</f>
        <v/>
      </c>
    </row>
    <row r="226" spans="14:32" x14ac:dyDescent="0.35">
      <c r="N226" s="134" t="str">
        <f t="shared" si="257"/>
        <v/>
      </c>
      <c r="O226" s="82" t="str">
        <f t="shared" si="260"/>
        <v/>
      </c>
      <c r="P226" s="81" t="str">
        <f t="shared" si="258"/>
        <v/>
      </c>
      <c r="Q226" s="81" t="str">
        <f t="shared" si="261"/>
        <v/>
      </c>
      <c r="R226" s="135" t="str">
        <f t="shared" ca="1" si="262"/>
        <v/>
      </c>
      <c r="S226" s="134" t="str">
        <f t="shared" ca="1" si="263"/>
        <v/>
      </c>
      <c r="T226" s="134" t="str">
        <f ca="1">IF(S226=Dashboard!$D$12,S226,"")</f>
        <v/>
      </c>
      <c r="U226" s="134" t="str">
        <f t="shared" ca="1" si="264"/>
        <v/>
      </c>
      <c r="V226" s="83" t="str">
        <f ca="1">IF(U226="","",IFERROR((RANK(U226,$U$2:$U$2028,1)+COUNTIF($U$2:U226,U226))-1,""))</f>
        <v/>
      </c>
      <c r="W226" s="134" t="str">
        <f t="shared" si="268"/>
        <v/>
      </c>
      <c r="X226" s="134" t="str">
        <f>IF(W226="","",IFERROR((RANK(W226,$W$2:$W$2028,1)+COUNTIF($W$2:W226,W226))-1,""))</f>
        <v/>
      </c>
      <c r="Y226" s="134" t="str">
        <f t="shared" si="265"/>
        <v/>
      </c>
      <c r="Z226" s="134" t="str">
        <f>IF(Y226="","",IFERROR((RANK(Y226,$Y$2:$Y$2028,1)+COUNTIF($Y$2:Y226,Y226))-1,""))</f>
        <v/>
      </c>
      <c r="AA226" s="134" t="str">
        <f t="shared" si="266"/>
        <v/>
      </c>
      <c r="AB226" s="134" t="str">
        <f>IF(AA226="","",IFERROR((RANK(AA226,$AA$2:$AA$2028,1)+COUNTIF($AA$2:AA226,AA226))-1,""))</f>
        <v/>
      </c>
      <c r="AC226" s="134" t="str">
        <f t="shared" si="267"/>
        <v/>
      </c>
      <c r="AD226" s="134" t="str">
        <f>IF(AC226="","",IFERROR((RANK(AC226,$AC$2:$AC$2028,1)+COUNTIF($AC$2:AC226,AC226))-1,""))</f>
        <v/>
      </c>
      <c r="AE226" s="144" t="str">
        <f t="shared" si="259"/>
        <v/>
      </c>
      <c r="AF226" s="144" t="str">
        <f>IF(AE226="","",SUM($AE$2:AE226))</f>
        <v/>
      </c>
    </row>
    <row r="227" spans="14:32" x14ac:dyDescent="0.35">
      <c r="N227" s="134" t="str">
        <f t="shared" si="257"/>
        <v/>
      </c>
      <c r="O227" s="82" t="str">
        <f t="shared" si="260"/>
        <v/>
      </c>
      <c r="P227" s="81" t="str">
        <f t="shared" si="258"/>
        <v/>
      </c>
      <c r="Q227" s="81" t="str">
        <f t="shared" si="261"/>
        <v/>
      </c>
      <c r="R227" s="135" t="str">
        <f t="shared" ca="1" si="262"/>
        <v/>
      </c>
      <c r="S227" s="134" t="str">
        <f t="shared" ca="1" si="263"/>
        <v/>
      </c>
      <c r="T227" s="134" t="str">
        <f ca="1">IF(S227=Dashboard!$D$12,S227,"")</f>
        <v/>
      </c>
      <c r="U227" s="134" t="str">
        <f t="shared" ca="1" si="264"/>
        <v/>
      </c>
      <c r="V227" s="83" t="str">
        <f ca="1">IF(U227="","",IFERROR((RANK(U227,$U$2:$U$2028,1)+COUNTIF($U$2:U227,U227))-1,""))</f>
        <v/>
      </c>
      <c r="W227" s="134" t="str">
        <f t="shared" si="268"/>
        <v/>
      </c>
      <c r="X227" s="134" t="str">
        <f>IF(W227="","",IFERROR((RANK(W227,$W$2:$W$2028,1)+COUNTIF($W$2:W227,W227))-1,""))</f>
        <v/>
      </c>
      <c r="Y227" s="134" t="str">
        <f t="shared" si="265"/>
        <v/>
      </c>
      <c r="Z227" s="134" t="str">
        <f>IF(Y227="","",IFERROR((RANK(Y227,$Y$2:$Y$2028,1)+COUNTIF($Y$2:Y227,Y227))-1,""))</f>
        <v/>
      </c>
      <c r="AA227" s="134" t="str">
        <f t="shared" si="266"/>
        <v/>
      </c>
      <c r="AB227" s="134" t="str">
        <f>IF(AA227="","",IFERROR((RANK(AA227,$AA$2:$AA$2028,1)+COUNTIF($AA$2:AA227,AA227))-1,""))</f>
        <v/>
      </c>
      <c r="AC227" s="134" t="str">
        <f t="shared" si="267"/>
        <v/>
      </c>
      <c r="AD227" s="134" t="str">
        <f>IF(AC227="","",IFERROR((RANK(AC227,$AC$2:$AC$2028,1)+COUNTIF($AC$2:AC227,AC227))-1,""))</f>
        <v/>
      </c>
      <c r="AE227" s="144" t="str">
        <f t="shared" si="259"/>
        <v/>
      </c>
      <c r="AF227" s="144" t="str">
        <f>IF(AE227="","",SUM($AE$2:AE227))</f>
        <v/>
      </c>
    </row>
    <row r="228" spans="14:32" x14ac:dyDescent="0.35">
      <c r="N228" s="134" t="str">
        <f t="shared" si="257"/>
        <v/>
      </c>
      <c r="O228" s="82" t="str">
        <f t="shared" si="260"/>
        <v/>
      </c>
      <c r="P228" s="81" t="str">
        <f t="shared" si="258"/>
        <v/>
      </c>
      <c r="Q228" s="81" t="str">
        <f t="shared" si="261"/>
        <v/>
      </c>
      <c r="R228" s="135" t="str">
        <f t="shared" ca="1" si="262"/>
        <v/>
      </c>
      <c r="S228" s="134" t="str">
        <f t="shared" ca="1" si="263"/>
        <v/>
      </c>
      <c r="T228" s="134" t="str">
        <f ca="1">IF(S228=Dashboard!$D$12,S228,"")</f>
        <v/>
      </c>
      <c r="U228" s="134" t="str">
        <f t="shared" ca="1" si="264"/>
        <v/>
      </c>
      <c r="V228" s="83" t="str">
        <f ca="1">IF(U228="","",IFERROR((RANK(U228,$U$2:$U$2028,1)+COUNTIF($U$2:U228,U228))-1,""))</f>
        <v/>
      </c>
      <c r="W228" s="134" t="str">
        <f t="shared" si="268"/>
        <v/>
      </c>
      <c r="X228" s="134" t="str">
        <f>IF(W228="","",IFERROR((RANK(W228,$W$2:$W$2028,1)+COUNTIF($W$2:W228,W228))-1,""))</f>
        <v/>
      </c>
      <c r="Y228" s="134" t="str">
        <f t="shared" si="265"/>
        <v/>
      </c>
      <c r="Z228" s="134" t="str">
        <f>IF(Y228="","",IFERROR((RANK(Y228,$Y$2:$Y$2028,1)+COUNTIF($Y$2:Y228,Y228))-1,""))</f>
        <v/>
      </c>
      <c r="AA228" s="134" t="str">
        <f t="shared" si="266"/>
        <v/>
      </c>
      <c r="AB228" s="134" t="str">
        <f>IF(AA228="","",IFERROR((RANK(AA228,$AA$2:$AA$2028,1)+COUNTIF($AA$2:AA228,AA228))-1,""))</f>
        <v/>
      </c>
      <c r="AC228" s="134" t="str">
        <f t="shared" si="267"/>
        <v/>
      </c>
      <c r="AD228" s="134" t="str">
        <f>IF(AC228="","",IFERROR((RANK(AC228,$AC$2:$AC$2028,1)+COUNTIF($AC$2:AC228,AC228))-1,""))</f>
        <v/>
      </c>
      <c r="AE228" s="144" t="str">
        <f t="shared" si="259"/>
        <v/>
      </c>
      <c r="AF228" s="144" t="str">
        <f>IF(AE228="","",SUM($AE$2:AE228))</f>
        <v/>
      </c>
    </row>
    <row r="229" spans="14:32" x14ac:dyDescent="0.35">
      <c r="N229" s="134" t="str">
        <f t="shared" si="257"/>
        <v/>
      </c>
      <c r="O229" s="82" t="str">
        <f t="shared" si="260"/>
        <v/>
      </c>
      <c r="P229" s="81" t="str">
        <f t="shared" si="258"/>
        <v/>
      </c>
      <c r="Q229" s="81" t="str">
        <f t="shared" si="261"/>
        <v/>
      </c>
      <c r="R229" s="135" t="str">
        <f t="shared" ca="1" si="262"/>
        <v/>
      </c>
      <c r="S229" s="134" t="str">
        <f t="shared" ca="1" si="263"/>
        <v/>
      </c>
      <c r="T229" s="134" t="str">
        <f ca="1">IF(S229=Dashboard!$D$12,S229,"")</f>
        <v/>
      </c>
      <c r="U229" s="134" t="str">
        <f t="shared" ca="1" si="264"/>
        <v/>
      </c>
      <c r="V229" s="83" t="str">
        <f ca="1">IF(U229="","",IFERROR((RANK(U229,$U$2:$U$2028,1)+COUNTIF($U$2:U229,U229))-1,""))</f>
        <v/>
      </c>
      <c r="W229" s="134" t="str">
        <f t="shared" si="268"/>
        <v/>
      </c>
      <c r="X229" s="134" t="str">
        <f>IF(W229="","",IFERROR((RANK(W229,$W$2:$W$2028,1)+COUNTIF($W$2:W229,W229))-1,""))</f>
        <v/>
      </c>
      <c r="Y229" s="134" t="str">
        <f t="shared" si="265"/>
        <v/>
      </c>
      <c r="Z229" s="134" t="str">
        <f>IF(Y229="","",IFERROR((RANK(Y229,$Y$2:$Y$2028,1)+COUNTIF($Y$2:Y229,Y229))-1,""))</f>
        <v/>
      </c>
      <c r="AA229" s="134" t="str">
        <f t="shared" si="266"/>
        <v/>
      </c>
      <c r="AB229" s="134" t="str">
        <f>IF(AA229="","",IFERROR((RANK(AA229,$AA$2:$AA$2028,1)+COUNTIF($AA$2:AA229,AA229))-1,""))</f>
        <v/>
      </c>
      <c r="AC229" s="134" t="str">
        <f t="shared" si="267"/>
        <v/>
      </c>
      <c r="AD229" s="134" t="str">
        <f>IF(AC229="","",IFERROR((RANK(AC229,$AC$2:$AC$2028,1)+COUNTIF($AC$2:AC229,AC229))-1,""))</f>
        <v/>
      </c>
      <c r="AE229" s="144" t="str">
        <f t="shared" si="259"/>
        <v/>
      </c>
      <c r="AF229" s="144" t="str">
        <f>IF(AE229="","",SUM($AE$2:AE229))</f>
        <v/>
      </c>
    </row>
    <row r="230" spans="14:32" x14ac:dyDescent="0.35">
      <c r="N230" s="134" t="str">
        <f t="shared" si="257"/>
        <v/>
      </c>
      <c r="O230" s="82" t="str">
        <f t="shared" si="260"/>
        <v/>
      </c>
      <c r="P230" s="81" t="str">
        <f t="shared" si="258"/>
        <v/>
      </c>
      <c r="Q230" s="81" t="str">
        <f t="shared" si="261"/>
        <v/>
      </c>
      <c r="R230" s="135" t="str">
        <f t="shared" ca="1" si="262"/>
        <v/>
      </c>
      <c r="S230" s="134" t="str">
        <f t="shared" ca="1" si="263"/>
        <v/>
      </c>
      <c r="T230" s="134" t="str">
        <f ca="1">IF(S230=Dashboard!$D$12,S230,"")</f>
        <v/>
      </c>
      <c r="U230" s="134" t="str">
        <f t="shared" ca="1" si="264"/>
        <v/>
      </c>
      <c r="V230" s="83" t="str">
        <f ca="1">IF(U230="","",IFERROR((RANK(U230,$U$2:$U$2028,1)+COUNTIF($U$2:U230,U230))-1,""))</f>
        <v/>
      </c>
      <c r="W230" s="134" t="str">
        <f t="shared" si="268"/>
        <v/>
      </c>
      <c r="X230" s="134" t="str">
        <f>IF(W230="","",IFERROR((RANK(W230,$W$2:$W$2028,1)+COUNTIF($W$2:W230,W230))-1,""))</f>
        <v/>
      </c>
      <c r="Y230" s="134" t="str">
        <f t="shared" si="265"/>
        <v/>
      </c>
      <c r="Z230" s="134" t="str">
        <f>IF(Y230="","",IFERROR((RANK(Y230,$Y$2:$Y$2028,1)+COUNTIF($Y$2:Y230,Y230))-1,""))</f>
        <v/>
      </c>
      <c r="AA230" s="134" t="str">
        <f t="shared" si="266"/>
        <v/>
      </c>
      <c r="AB230" s="134" t="str">
        <f>IF(AA230="","",IFERROR((RANK(AA230,$AA$2:$AA$2028,1)+COUNTIF($AA$2:AA230,AA230))-1,""))</f>
        <v/>
      </c>
      <c r="AC230" s="134" t="str">
        <f t="shared" si="267"/>
        <v/>
      </c>
      <c r="AD230" s="134" t="str">
        <f>IF(AC230="","",IFERROR((RANK(AC230,$AC$2:$AC$2028,1)+COUNTIF($AC$2:AC230,AC230))-1,""))</f>
        <v/>
      </c>
      <c r="AE230" s="144" t="str">
        <f t="shared" si="259"/>
        <v/>
      </c>
      <c r="AF230" s="144" t="str">
        <f>IF(AE230="","",SUM($AE$2:AE230))</f>
        <v/>
      </c>
    </row>
    <row r="231" spans="14:32" x14ac:dyDescent="0.35">
      <c r="N231" s="134" t="str">
        <f t="shared" si="257"/>
        <v/>
      </c>
      <c r="O231" s="82" t="str">
        <f t="shared" si="260"/>
        <v/>
      </c>
      <c r="P231" s="81" t="str">
        <f t="shared" si="258"/>
        <v/>
      </c>
      <c r="Q231" s="81" t="str">
        <f t="shared" si="261"/>
        <v/>
      </c>
      <c r="R231" s="135" t="str">
        <f t="shared" ca="1" si="262"/>
        <v/>
      </c>
      <c r="S231" s="134" t="str">
        <f t="shared" ca="1" si="263"/>
        <v/>
      </c>
      <c r="T231" s="134" t="str">
        <f ca="1">IF(S231=Dashboard!$D$12,S231,"")</f>
        <v/>
      </c>
      <c r="U231" s="134" t="str">
        <f t="shared" ca="1" si="264"/>
        <v/>
      </c>
      <c r="V231" s="83" t="str">
        <f ca="1">IF(U231="","",IFERROR((RANK(U231,$U$2:$U$2028,1)+COUNTIF($U$2:U231,U231))-1,""))</f>
        <v/>
      </c>
      <c r="W231" s="134" t="str">
        <f t="shared" si="268"/>
        <v/>
      </c>
      <c r="X231" s="134" t="str">
        <f>IF(W231="","",IFERROR((RANK(W231,$W$2:$W$2028,1)+COUNTIF($W$2:W231,W231))-1,""))</f>
        <v/>
      </c>
      <c r="Y231" s="134" t="str">
        <f t="shared" si="265"/>
        <v/>
      </c>
      <c r="Z231" s="134" t="str">
        <f>IF(Y231="","",IFERROR((RANK(Y231,$Y$2:$Y$2028,1)+COUNTIF($Y$2:Y231,Y231))-1,""))</f>
        <v/>
      </c>
      <c r="AA231" s="134" t="str">
        <f t="shared" si="266"/>
        <v/>
      </c>
      <c r="AB231" s="134" t="str">
        <f>IF(AA231="","",IFERROR((RANK(AA231,$AA$2:$AA$2028,1)+COUNTIF($AA$2:AA231,AA231))-1,""))</f>
        <v/>
      </c>
      <c r="AC231" s="134" t="str">
        <f t="shared" si="267"/>
        <v/>
      </c>
      <c r="AD231" s="134" t="str">
        <f>IF(AC231="","",IFERROR((RANK(AC231,$AC$2:$AC$2028,1)+COUNTIF($AC$2:AC231,AC231))-1,""))</f>
        <v/>
      </c>
      <c r="AE231" s="144" t="str">
        <f t="shared" si="259"/>
        <v/>
      </c>
      <c r="AF231" s="144" t="str">
        <f>IF(AE231="","",SUM($AE$2:AE231))</f>
        <v/>
      </c>
    </row>
    <row r="232" spans="14:32" x14ac:dyDescent="0.35">
      <c r="N232" s="134" t="str">
        <f t="shared" si="257"/>
        <v/>
      </c>
      <c r="O232" s="82" t="str">
        <f t="shared" si="260"/>
        <v/>
      </c>
      <c r="P232" s="81" t="str">
        <f t="shared" si="258"/>
        <v/>
      </c>
      <c r="Q232" s="81" t="str">
        <f t="shared" si="261"/>
        <v/>
      </c>
      <c r="R232" s="135" t="str">
        <f t="shared" ca="1" si="262"/>
        <v/>
      </c>
      <c r="S232" s="134" t="str">
        <f t="shared" ca="1" si="263"/>
        <v/>
      </c>
      <c r="T232" s="134" t="str">
        <f ca="1">IF(S232=Dashboard!$D$12,S232,"")</f>
        <v/>
      </c>
      <c r="U232" s="134" t="str">
        <f t="shared" ca="1" si="264"/>
        <v/>
      </c>
      <c r="V232" s="83" t="str">
        <f ca="1">IF(U232="","",IFERROR((RANK(U232,$U$2:$U$2028,1)+COUNTIF($U$2:U232,U232))-1,""))</f>
        <v/>
      </c>
      <c r="W232" s="134" t="str">
        <f t="shared" si="268"/>
        <v/>
      </c>
      <c r="X232" s="134" t="str">
        <f>IF(W232="","",IFERROR((RANK(W232,$W$2:$W$2028,1)+COUNTIF($W$2:W232,W232))-1,""))</f>
        <v/>
      </c>
      <c r="Y232" s="134" t="str">
        <f t="shared" si="265"/>
        <v/>
      </c>
      <c r="Z232" s="134" t="str">
        <f>IF(Y232="","",IFERROR((RANK(Y232,$Y$2:$Y$2028,1)+COUNTIF($Y$2:Y232,Y232))-1,""))</f>
        <v/>
      </c>
      <c r="AA232" s="134" t="str">
        <f t="shared" si="266"/>
        <v/>
      </c>
      <c r="AB232" s="134" t="str">
        <f>IF(AA232="","",IFERROR((RANK(AA232,$AA$2:$AA$2028,1)+COUNTIF($AA$2:AA232,AA232))-1,""))</f>
        <v/>
      </c>
      <c r="AC232" s="134" t="str">
        <f t="shared" si="267"/>
        <v/>
      </c>
      <c r="AD232" s="134" t="str">
        <f>IF(AC232="","",IFERROR((RANK(AC232,$AC$2:$AC$2028,1)+COUNTIF($AC$2:AC232,AC232))-1,""))</f>
        <v/>
      </c>
      <c r="AE232" s="144" t="str">
        <f t="shared" si="259"/>
        <v/>
      </c>
      <c r="AF232" s="144" t="str">
        <f>IF(AE232="","",SUM($AE$2:AE232))</f>
        <v/>
      </c>
    </row>
    <row r="233" spans="14:32" x14ac:dyDescent="0.35">
      <c r="N233" s="134" t="str">
        <f t="shared" si="257"/>
        <v/>
      </c>
      <c r="O233" s="82" t="str">
        <f t="shared" si="260"/>
        <v/>
      </c>
      <c r="P233" s="81" t="str">
        <f t="shared" si="258"/>
        <v/>
      </c>
      <c r="Q233" s="81" t="str">
        <f t="shared" si="261"/>
        <v/>
      </c>
      <c r="R233" s="135" t="str">
        <f t="shared" ca="1" si="262"/>
        <v/>
      </c>
      <c r="S233" s="134" t="str">
        <f t="shared" ca="1" si="263"/>
        <v/>
      </c>
      <c r="T233" s="134" t="str">
        <f ca="1">IF(S233=Dashboard!$D$12,S233,"")</f>
        <v/>
      </c>
      <c r="U233" s="134" t="str">
        <f t="shared" ca="1" si="264"/>
        <v/>
      </c>
      <c r="V233" s="83" t="str">
        <f ca="1">IF(U233="","",IFERROR((RANK(U233,$U$2:$U$2028,1)+COUNTIF($U$2:U233,U233))-1,""))</f>
        <v/>
      </c>
      <c r="W233" s="134" t="str">
        <f t="shared" si="268"/>
        <v/>
      </c>
      <c r="X233" s="134" t="str">
        <f>IF(W233="","",IFERROR((RANK(W233,$W$2:$W$2028,1)+COUNTIF($W$2:W233,W233))-1,""))</f>
        <v/>
      </c>
      <c r="Y233" s="134" t="str">
        <f t="shared" si="265"/>
        <v/>
      </c>
      <c r="Z233" s="134" t="str">
        <f>IF(Y233="","",IFERROR((RANK(Y233,$Y$2:$Y$2028,1)+COUNTIF($Y$2:Y233,Y233))-1,""))</f>
        <v/>
      </c>
      <c r="AA233" s="134" t="str">
        <f t="shared" si="266"/>
        <v/>
      </c>
      <c r="AB233" s="134" t="str">
        <f>IF(AA233="","",IFERROR((RANK(AA233,$AA$2:$AA$2028,1)+COUNTIF($AA$2:AA233,AA233))-1,""))</f>
        <v/>
      </c>
      <c r="AC233" s="134" t="str">
        <f t="shared" si="267"/>
        <v/>
      </c>
      <c r="AD233" s="134" t="str">
        <f>IF(AC233="","",IFERROR((RANK(AC233,$AC$2:$AC$2028,1)+COUNTIF($AC$2:AC233,AC233))-1,""))</f>
        <v/>
      </c>
      <c r="AE233" s="144" t="str">
        <f t="shared" si="259"/>
        <v/>
      </c>
      <c r="AF233" s="144" t="str">
        <f>IF(AE233="","",SUM($AE$2:AE233))</f>
        <v/>
      </c>
    </row>
    <row r="234" spans="14:32" x14ac:dyDescent="0.35">
      <c r="N234" s="134" t="str">
        <f t="shared" si="257"/>
        <v/>
      </c>
      <c r="O234" s="82" t="str">
        <f t="shared" si="260"/>
        <v/>
      </c>
      <c r="P234" s="81" t="str">
        <f t="shared" si="258"/>
        <v/>
      </c>
      <c r="Q234" s="81" t="str">
        <f t="shared" si="261"/>
        <v/>
      </c>
      <c r="R234" s="135" t="str">
        <f t="shared" ca="1" si="262"/>
        <v/>
      </c>
      <c r="S234" s="134" t="str">
        <f t="shared" ca="1" si="263"/>
        <v/>
      </c>
      <c r="T234" s="134" t="str">
        <f ca="1">IF(S234=Dashboard!$D$12,S234,"")</f>
        <v/>
      </c>
      <c r="U234" s="134" t="str">
        <f t="shared" ca="1" si="264"/>
        <v/>
      </c>
      <c r="V234" s="83" t="str">
        <f ca="1">IF(U234="","",IFERROR((RANK(U234,$U$2:$U$2028,1)+COUNTIF($U$2:U234,U234))-1,""))</f>
        <v/>
      </c>
      <c r="W234" s="134" t="str">
        <f t="shared" si="268"/>
        <v/>
      </c>
      <c r="X234" s="134" t="str">
        <f>IF(W234="","",IFERROR((RANK(W234,$W$2:$W$2028,1)+COUNTIF($W$2:W234,W234))-1,""))</f>
        <v/>
      </c>
      <c r="Y234" s="134" t="str">
        <f t="shared" si="265"/>
        <v/>
      </c>
      <c r="Z234" s="134" t="str">
        <f>IF(Y234="","",IFERROR((RANK(Y234,$Y$2:$Y$2028,1)+COUNTIF($Y$2:Y234,Y234))-1,""))</f>
        <v/>
      </c>
      <c r="AA234" s="134" t="str">
        <f t="shared" si="266"/>
        <v/>
      </c>
      <c r="AB234" s="134" t="str">
        <f>IF(AA234="","",IFERROR((RANK(AA234,$AA$2:$AA$2028,1)+COUNTIF($AA$2:AA234,AA234))-1,""))</f>
        <v/>
      </c>
      <c r="AC234" s="134" t="str">
        <f t="shared" si="267"/>
        <v/>
      </c>
      <c r="AD234" s="134" t="str">
        <f>IF(AC234="","",IFERROR((RANK(AC234,$AC$2:$AC$2028,1)+COUNTIF($AC$2:AC234,AC234))-1,""))</f>
        <v/>
      </c>
      <c r="AE234" s="144" t="str">
        <f t="shared" si="259"/>
        <v/>
      </c>
      <c r="AF234" s="144" t="str">
        <f>IF(AE234="","",SUM($AE$2:AE234))</f>
        <v/>
      </c>
    </row>
    <row r="235" spans="14:32" x14ac:dyDescent="0.35">
      <c r="N235" s="134" t="str">
        <f t="shared" si="257"/>
        <v/>
      </c>
      <c r="O235" s="82" t="str">
        <f t="shared" si="260"/>
        <v/>
      </c>
      <c r="P235" s="81" t="str">
        <f t="shared" si="258"/>
        <v/>
      </c>
      <c r="Q235" s="81" t="str">
        <f t="shared" si="261"/>
        <v/>
      </c>
      <c r="R235" s="135" t="str">
        <f t="shared" ca="1" si="262"/>
        <v/>
      </c>
      <c r="S235" s="134" t="str">
        <f t="shared" ca="1" si="263"/>
        <v/>
      </c>
      <c r="T235" s="134" t="str">
        <f ca="1">IF(S235=Dashboard!$D$12,S235,"")</f>
        <v/>
      </c>
      <c r="U235" s="134" t="str">
        <f t="shared" ca="1" si="264"/>
        <v/>
      </c>
      <c r="V235" s="83" t="str">
        <f ca="1">IF(U235="","",IFERROR((RANK(U235,$U$2:$U$2028,1)+COUNTIF($U$2:U235,U235))-1,""))</f>
        <v/>
      </c>
      <c r="W235" s="134" t="str">
        <f t="shared" si="268"/>
        <v/>
      </c>
      <c r="X235" s="134" t="str">
        <f>IF(W235="","",IFERROR((RANK(W235,$W$2:$W$2028,1)+COUNTIF($W$2:W235,W235))-1,""))</f>
        <v/>
      </c>
      <c r="Y235" s="134" t="str">
        <f t="shared" si="265"/>
        <v/>
      </c>
      <c r="Z235" s="134" t="str">
        <f>IF(Y235="","",IFERROR((RANK(Y235,$Y$2:$Y$2028,1)+COUNTIF($Y$2:Y235,Y235))-1,""))</f>
        <v/>
      </c>
      <c r="AA235" s="134" t="str">
        <f t="shared" si="266"/>
        <v/>
      </c>
      <c r="AB235" s="134" t="str">
        <f>IF(AA235="","",IFERROR((RANK(AA235,$AA$2:$AA$2028,1)+COUNTIF($AA$2:AA235,AA235))-1,""))</f>
        <v/>
      </c>
      <c r="AC235" s="134" t="str">
        <f t="shared" si="267"/>
        <v/>
      </c>
      <c r="AD235" s="134" t="str">
        <f>IF(AC235="","",IFERROR((RANK(AC235,$AC$2:$AC$2028,1)+COUNTIF($AC$2:AC235,AC235))-1,""))</f>
        <v/>
      </c>
      <c r="AE235" s="144" t="str">
        <f t="shared" si="259"/>
        <v/>
      </c>
      <c r="AF235" s="144" t="str">
        <f>IF(AE235="","",SUM($AE$2:AE235))</f>
        <v/>
      </c>
    </row>
    <row r="236" spans="14:32" x14ac:dyDescent="0.35">
      <c r="N236" s="134" t="str">
        <f t="shared" si="257"/>
        <v/>
      </c>
      <c r="O236" s="82" t="str">
        <f t="shared" si="260"/>
        <v/>
      </c>
      <c r="P236" s="81" t="str">
        <f t="shared" si="258"/>
        <v/>
      </c>
      <c r="Q236" s="81" t="str">
        <f t="shared" si="261"/>
        <v/>
      </c>
      <c r="R236" s="135" t="str">
        <f t="shared" ca="1" si="262"/>
        <v/>
      </c>
      <c r="S236" s="134" t="str">
        <f t="shared" ca="1" si="263"/>
        <v/>
      </c>
      <c r="T236" s="134" t="str">
        <f ca="1">IF(S236=Dashboard!$D$12,S236,"")</f>
        <v/>
      </c>
      <c r="U236" s="134" t="str">
        <f t="shared" ca="1" si="264"/>
        <v/>
      </c>
      <c r="V236" s="83" t="str">
        <f ca="1">IF(U236="","",IFERROR((RANK(U236,$U$2:$U$2028,1)+COUNTIF($U$2:U236,U236))-1,""))</f>
        <v/>
      </c>
      <c r="W236" s="134" t="str">
        <f t="shared" si="268"/>
        <v/>
      </c>
      <c r="X236" s="134" t="str">
        <f>IF(W236="","",IFERROR((RANK(W236,$W$2:$W$2028,1)+COUNTIF($W$2:W236,W236))-1,""))</f>
        <v/>
      </c>
      <c r="Y236" s="134" t="str">
        <f t="shared" si="265"/>
        <v/>
      </c>
      <c r="Z236" s="134" t="str">
        <f>IF(Y236="","",IFERROR((RANK(Y236,$Y$2:$Y$2028,1)+COUNTIF($Y$2:Y236,Y236))-1,""))</f>
        <v/>
      </c>
      <c r="AA236" s="134" t="str">
        <f t="shared" si="266"/>
        <v/>
      </c>
      <c r="AB236" s="134" t="str">
        <f>IF(AA236="","",IFERROR((RANK(AA236,$AA$2:$AA$2028,1)+COUNTIF($AA$2:AA236,AA236))-1,""))</f>
        <v/>
      </c>
      <c r="AC236" s="134" t="str">
        <f t="shared" si="267"/>
        <v/>
      </c>
      <c r="AD236" s="134" t="str">
        <f>IF(AC236="","",IFERROR((RANK(AC236,$AC$2:$AC$2028,1)+COUNTIF($AC$2:AC236,AC236))-1,""))</f>
        <v/>
      </c>
      <c r="AE236" s="144" t="str">
        <f t="shared" si="259"/>
        <v/>
      </c>
      <c r="AF236" s="144" t="str">
        <f>IF(AE236="","",SUM($AE$2:AE236))</f>
        <v/>
      </c>
    </row>
    <row r="237" spans="14:32" x14ac:dyDescent="0.35">
      <c r="N237" s="134" t="str">
        <f t="shared" si="257"/>
        <v/>
      </c>
      <c r="O237" s="82" t="str">
        <f t="shared" si="260"/>
        <v/>
      </c>
      <c r="P237" s="81" t="str">
        <f t="shared" si="258"/>
        <v/>
      </c>
      <c r="Q237" s="81" t="str">
        <f t="shared" si="261"/>
        <v/>
      </c>
      <c r="R237" s="135" t="str">
        <f t="shared" ca="1" si="262"/>
        <v/>
      </c>
      <c r="S237" s="134" t="str">
        <f t="shared" ca="1" si="263"/>
        <v/>
      </c>
      <c r="T237" s="134" t="str">
        <f ca="1">IF(S237=Dashboard!$D$12,S237,"")</f>
        <v/>
      </c>
      <c r="U237" s="134" t="str">
        <f t="shared" ca="1" si="264"/>
        <v/>
      </c>
      <c r="V237" s="83" t="str">
        <f ca="1">IF(U237="","",IFERROR((RANK(U237,$U$2:$U$2028,1)+COUNTIF($U$2:U237,U237))-1,""))</f>
        <v/>
      </c>
      <c r="W237" s="134" t="str">
        <f t="shared" si="268"/>
        <v/>
      </c>
      <c r="X237" s="134" t="str">
        <f>IF(W237="","",IFERROR((RANK(W237,$W$2:$W$2028,1)+COUNTIF($W$2:W237,W237))-1,""))</f>
        <v/>
      </c>
      <c r="Y237" s="134" t="str">
        <f t="shared" si="265"/>
        <v/>
      </c>
      <c r="Z237" s="134" t="str">
        <f>IF(Y237="","",IFERROR((RANK(Y237,$Y$2:$Y$2028,1)+COUNTIF($Y$2:Y237,Y237))-1,""))</f>
        <v/>
      </c>
      <c r="AA237" s="134" t="str">
        <f t="shared" si="266"/>
        <v/>
      </c>
      <c r="AB237" s="134" t="str">
        <f>IF(AA237="","",IFERROR((RANK(AA237,$AA$2:$AA$2028,1)+COUNTIF($AA$2:AA237,AA237))-1,""))</f>
        <v/>
      </c>
      <c r="AC237" s="134" t="str">
        <f t="shared" si="267"/>
        <v/>
      </c>
      <c r="AD237" s="134" t="str">
        <f>IF(AC237="","",IFERROR((RANK(AC237,$AC$2:$AC$2028,1)+COUNTIF($AC$2:AC237,AC237))-1,""))</f>
        <v/>
      </c>
      <c r="AE237" s="144" t="str">
        <f t="shared" si="259"/>
        <v/>
      </c>
      <c r="AF237" s="144" t="str">
        <f>IF(AE237="","",SUM($AE$2:AE237))</f>
        <v/>
      </c>
    </row>
    <row r="238" spans="14:32" x14ac:dyDescent="0.35">
      <c r="N238" s="134" t="str">
        <f t="shared" si="257"/>
        <v/>
      </c>
      <c r="O238" s="82" t="str">
        <f t="shared" si="260"/>
        <v/>
      </c>
      <c r="P238" s="81" t="str">
        <f t="shared" si="258"/>
        <v/>
      </c>
      <c r="Q238" s="81" t="str">
        <f t="shared" si="261"/>
        <v/>
      </c>
      <c r="R238" s="135" t="str">
        <f t="shared" ca="1" si="262"/>
        <v/>
      </c>
      <c r="S238" s="134" t="str">
        <f t="shared" ca="1" si="263"/>
        <v/>
      </c>
      <c r="T238" s="134" t="str">
        <f ca="1">IF(S238=Dashboard!$D$12,S238,"")</f>
        <v/>
      </c>
      <c r="U238" s="134" t="str">
        <f t="shared" ca="1" si="264"/>
        <v/>
      </c>
      <c r="V238" s="83" t="str">
        <f ca="1">IF(U238="","",IFERROR((RANK(U238,$U$2:$U$2028,1)+COUNTIF($U$2:U238,U238))-1,""))</f>
        <v/>
      </c>
      <c r="W238" s="134" t="str">
        <f t="shared" si="268"/>
        <v/>
      </c>
      <c r="X238" s="134" t="str">
        <f>IF(W238="","",IFERROR((RANK(W238,$W$2:$W$2028,1)+COUNTIF($W$2:W238,W238))-1,""))</f>
        <v/>
      </c>
      <c r="Y238" s="134" t="str">
        <f t="shared" si="265"/>
        <v/>
      </c>
      <c r="Z238" s="134" t="str">
        <f>IF(Y238="","",IFERROR((RANK(Y238,$Y$2:$Y$2028,1)+COUNTIF($Y$2:Y238,Y238))-1,""))</f>
        <v/>
      </c>
      <c r="AA238" s="134" t="str">
        <f t="shared" si="266"/>
        <v/>
      </c>
      <c r="AB238" s="134" t="str">
        <f>IF(AA238="","",IFERROR((RANK(AA238,$AA$2:$AA$2028,1)+COUNTIF($AA$2:AA238,AA238))-1,""))</f>
        <v/>
      </c>
      <c r="AC238" s="134" t="str">
        <f t="shared" si="267"/>
        <v/>
      </c>
      <c r="AD238" s="134" t="str">
        <f>IF(AC238="","",IFERROR((RANK(AC238,$AC$2:$AC$2028,1)+COUNTIF($AC$2:AC238,AC238))-1,""))</f>
        <v/>
      </c>
      <c r="AE238" s="144" t="str">
        <f t="shared" si="259"/>
        <v/>
      </c>
      <c r="AF238" s="144" t="str">
        <f>IF(AE238="","",SUM($AE$2:AE238))</f>
        <v/>
      </c>
    </row>
    <row r="239" spans="14:32" x14ac:dyDescent="0.35">
      <c r="N239" s="134" t="str">
        <f t="shared" si="257"/>
        <v/>
      </c>
      <c r="O239" s="82" t="str">
        <f t="shared" si="260"/>
        <v/>
      </c>
      <c r="P239" s="81" t="str">
        <f t="shared" si="258"/>
        <v/>
      </c>
      <c r="Q239" s="81" t="str">
        <f t="shared" si="261"/>
        <v/>
      </c>
      <c r="R239" s="135" t="str">
        <f t="shared" ca="1" si="262"/>
        <v/>
      </c>
      <c r="S239" s="134" t="str">
        <f t="shared" ca="1" si="263"/>
        <v/>
      </c>
      <c r="T239" s="134" t="str">
        <f ca="1">IF(S239=Dashboard!$D$12,S239,"")</f>
        <v/>
      </c>
      <c r="U239" s="134" t="str">
        <f t="shared" ca="1" si="264"/>
        <v/>
      </c>
      <c r="V239" s="83" t="str">
        <f ca="1">IF(U239="","",IFERROR((RANK(U239,$U$2:$U$2028,1)+COUNTIF($U$2:U239,U239))-1,""))</f>
        <v/>
      </c>
      <c r="W239" s="134" t="str">
        <f t="shared" si="268"/>
        <v/>
      </c>
      <c r="X239" s="134" t="str">
        <f>IF(W239="","",IFERROR((RANK(W239,$W$2:$W$2028,1)+COUNTIF($W$2:W239,W239))-1,""))</f>
        <v/>
      </c>
      <c r="Y239" s="134" t="str">
        <f t="shared" si="265"/>
        <v/>
      </c>
      <c r="Z239" s="134" t="str">
        <f>IF(Y239="","",IFERROR((RANK(Y239,$Y$2:$Y$2028,1)+COUNTIF($Y$2:Y239,Y239))-1,""))</f>
        <v/>
      </c>
      <c r="AA239" s="134" t="str">
        <f t="shared" si="266"/>
        <v/>
      </c>
      <c r="AB239" s="134" t="str">
        <f>IF(AA239="","",IFERROR((RANK(AA239,$AA$2:$AA$2028,1)+COUNTIF($AA$2:AA239,AA239))-1,""))</f>
        <v/>
      </c>
      <c r="AC239" s="134" t="str">
        <f t="shared" si="267"/>
        <v/>
      </c>
      <c r="AD239" s="134" t="str">
        <f>IF(AC239="","",IFERROR((RANK(AC239,$AC$2:$AC$2028,1)+COUNTIF($AC$2:AC239,AC239))-1,""))</f>
        <v/>
      </c>
      <c r="AE239" s="144" t="str">
        <f t="shared" si="259"/>
        <v/>
      </c>
      <c r="AF239" s="144" t="str">
        <f>IF(AE239="","",SUM($AE$2:AE239))</f>
        <v/>
      </c>
    </row>
    <row r="240" spans="14:32" x14ac:dyDescent="0.35">
      <c r="N240" s="134" t="str">
        <f t="shared" si="257"/>
        <v/>
      </c>
      <c r="O240" s="82" t="str">
        <f t="shared" si="260"/>
        <v/>
      </c>
      <c r="P240" s="81" t="str">
        <f t="shared" si="258"/>
        <v/>
      </c>
      <c r="Q240" s="81" t="str">
        <f t="shared" si="261"/>
        <v/>
      </c>
      <c r="R240" s="135" t="str">
        <f t="shared" ca="1" si="262"/>
        <v/>
      </c>
      <c r="S240" s="134" t="str">
        <f t="shared" ca="1" si="263"/>
        <v/>
      </c>
      <c r="T240" s="134" t="str">
        <f ca="1">IF(S240=Dashboard!$D$12,S240,"")</f>
        <v/>
      </c>
      <c r="U240" s="134" t="str">
        <f t="shared" ca="1" si="264"/>
        <v/>
      </c>
      <c r="V240" s="83" t="str">
        <f ca="1">IF(U240="","",IFERROR((RANK(U240,$U$2:$U$2028,1)+COUNTIF($U$2:U240,U240))-1,""))</f>
        <v/>
      </c>
      <c r="W240" s="134" t="str">
        <f t="shared" si="268"/>
        <v/>
      </c>
      <c r="X240" s="134" t="str">
        <f>IF(W240="","",IFERROR((RANK(W240,$W$2:$W$2028,1)+COUNTIF($W$2:W240,W240))-1,""))</f>
        <v/>
      </c>
      <c r="Y240" s="134" t="str">
        <f t="shared" si="265"/>
        <v/>
      </c>
      <c r="Z240" s="134" t="str">
        <f>IF(Y240="","",IFERROR((RANK(Y240,$Y$2:$Y$2028,1)+COUNTIF($Y$2:Y240,Y240))-1,""))</f>
        <v/>
      </c>
      <c r="AA240" s="134" t="str">
        <f t="shared" si="266"/>
        <v/>
      </c>
      <c r="AB240" s="134" t="str">
        <f>IF(AA240="","",IFERROR((RANK(AA240,$AA$2:$AA$2028,1)+COUNTIF($AA$2:AA240,AA240))-1,""))</f>
        <v/>
      </c>
      <c r="AC240" s="134" t="str">
        <f t="shared" si="267"/>
        <v/>
      </c>
      <c r="AD240" s="134" t="str">
        <f>IF(AC240="","",IFERROR((RANK(AC240,$AC$2:$AC$2028,1)+COUNTIF($AC$2:AC240,AC240))-1,""))</f>
        <v/>
      </c>
      <c r="AE240" s="144" t="str">
        <f t="shared" si="259"/>
        <v/>
      </c>
      <c r="AF240" s="144" t="str">
        <f>IF(AE240="","",SUM($AE$2:AE240))</f>
        <v/>
      </c>
    </row>
    <row r="241" spans="14:32" x14ac:dyDescent="0.35">
      <c r="N241" s="134" t="str">
        <f t="shared" si="257"/>
        <v/>
      </c>
      <c r="O241" s="82" t="str">
        <f t="shared" si="260"/>
        <v/>
      </c>
      <c r="P241" s="81" t="str">
        <f t="shared" si="258"/>
        <v/>
      </c>
      <c r="Q241" s="81" t="str">
        <f t="shared" si="261"/>
        <v/>
      </c>
      <c r="R241" s="135" t="str">
        <f t="shared" ca="1" si="262"/>
        <v/>
      </c>
      <c r="S241" s="134" t="str">
        <f t="shared" ca="1" si="263"/>
        <v/>
      </c>
      <c r="T241" s="134" t="str">
        <f ca="1">IF(S241=Dashboard!$D$12,S241,"")</f>
        <v/>
      </c>
      <c r="U241" s="134" t="str">
        <f t="shared" ca="1" si="264"/>
        <v/>
      </c>
      <c r="V241" s="83" t="str">
        <f ca="1">IF(U241="","",IFERROR((RANK(U241,$U$2:$U$2028,1)+COUNTIF($U$2:U241,U241))-1,""))</f>
        <v/>
      </c>
      <c r="W241" s="134" t="str">
        <f t="shared" si="268"/>
        <v/>
      </c>
      <c r="X241" s="134" t="str">
        <f>IF(W241="","",IFERROR((RANK(W241,$W$2:$W$2028,1)+COUNTIF($W$2:W241,W241))-1,""))</f>
        <v/>
      </c>
      <c r="Y241" s="134" t="str">
        <f t="shared" si="265"/>
        <v/>
      </c>
      <c r="Z241" s="134" t="str">
        <f>IF(Y241="","",IFERROR((RANK(Y241,$Y$2:$Y$2028,1)+COUNTIF($Y$2:Y241,Y241))-1,""))</f>
        <v/>
      </c>
      <c r="AA241" s="134" t="str">
        <f t="shared" si="266"/>
        <v/>
      </c>
      <c r="AB241" s="134" t="str">
        <f>IF(AA241="","",IFERROR((RANK(AA241,$AA$2:$AA$2028,1)+COUNTIF($AA$2:AA241,AA241))-1,""))</f>
        <v/>
      </c>
      <c r="AC241" s="134" t="str">
        <f t="shared" si="267"/>
        <v/>
      </c>
      <c r="AD241" s="134" t="str">
        <f>IF(AC241="","",IFERROR((RANK(AC241,$AC$2:$AC$2028,1)+COUNTIF($AC$2:AC241,AC241))-1,""))</f>
        <v/>
      </c>
      <c r="AE241" s="144" t="str">
        <f t="shared" si="259"/>
        <v/>
      </c>
      <c r="AF241" s="144" t="str">
        <f>IF(AE241="","",SUM($AE$2:AE241))</f>
        <v/>
      </c>
    </row>
    <row r="242" spans="14:32" x14ac:dyDescent="0.35">
      <c r="N242" s="134" t="str">
        <f t="shared" si="257"/>
        <v/>
      </c>
      <c r="O242" s="82" t="str">
        <f t="shared" si="260"/>
        <v/>
      </c>
      <c r="P242" s="81" t="str">
        <f t="shared" si="258"/>
        <v/>
      </c>
      <c r="Q242" s="81" t="str">
        <f t="shared" si="261"/>
        <v/>
      </c>
      <c r="R242" s="135" t="str">
        <f t="shared" ca="1" si="262"/>
        <v/>
      </c>
      <c r="S242" s="134" t="str">
        <f t="shared" ca="1" si="263"/>
        <v/>
      </c>
      <c r="T242" s="134" t="str">
        <f ca="1">IF(S242=Dashboard!$D$12,S242,"")</f>
        <v/>
      </c>
      <c r="U242" s="134" t="str">
        <f t="shared" ca="1" si="264"/>
        <v/>
      </c>
      <c r="V242" s="83" t="str">
        <f ca="1">IF(U242="","",IFERROR((RANK(U242,$U$2:$U$2028,1)+COUNTIF($U$2:U242,U242))-1,""))</f>
        <v/>
      </c>
      <c r="W242" s="134" t="str">
        <f t="shared" si="268"/>
        <v/>
      </c>
      <c r="X242" s="134" t="str">
        <f>IF(W242="","",IFERROR((RANK(W242,$W$2:$W$2028,1)+COUNTIF($W$2:W242,W242))-1,""))</f>
        <v/>
      </c>
      <c r="Y242" s="134" t="str">
        <f t="shared" si="265"/>
        <v/>
      </c>
      <c r="Z242" s="134" t="str">
        <f>IF(Y242="","",IFERROR((RANK(Y242,$Y$2:$Y$2028,1)+COUNTIF($Y$2:Y242,Y242))-1,""))</f>
        <v/>
      </c>
      <c r="AA242" s="134" t="str">
        <f t="shared" si="266"/>
        <v/>
      </c>
      <c r="AB242" s="134" t="str">
        <f>IF(AA242="","",IFERROR((RANK(AA242,$AA$2:$AA$2028,1)+COUNTIF($AA$2:AA242,AA242))-1,""))</f>
        <v/>
      </c>
      <c r="AC242" s="134" t="str">
        <f t="shared" si="267"/>
        <v/>
      </c>
      <c r="AD242" s="134" t="str">
        <f>IF(AC242="","",IFERROR((RANK(AC242,$AC$2:$AC$2028,1)+COUNTIF($AC$2:AC242,AC242))-1,""))</f>
        <v/>
      </c>
      <c r="AE242" s="144" t="str">
        <f t="shared" si="259"/>
        <v/>
      </c>
      <c r="AF242" s="144" t="str">
        <f>IF(AE242="","",SUM($AE$2:AE242))</f>
        <v/>
      </c>
    </row>
    <row r="243" spans="14:32" x14ac:dyDescent="0.35">
      <c r="N243" s="134" t="str">
        <f t="shared" si="257"/>
        <v/>
      </c>
      <c r="O243" s="82" t="str">
        <f t="shared" si="260"/>
        <v/>
      </c>
      <c r="P243" s="81" t="str">
        <f t="shared" si="258"/>
        <v/>
      </c>
      <c r="Q243" s="81" t="str">
        <f t="shared" si="261"/>
        <v/>
      </c>
      <c r="R243" s="135" t="str">
        <f t="shared" ca="1" si="262"/>
        <v/>
      </c>
      <c r="S243" s="134" t="str">
        <f t="shared" ca="1" si="263"/>
        <v/>
      </c>
      <c r="T243" s="134" t="str">
        <f ca="1">IF(S243=Dashboard!$D$12,S243,"")</f>
        <v/>
      </c>
      <c r="U243" s="134" t="str">
        <f t="shared" ca="1" si="264"/>
        <v/>
      </c>
      <c r="V243" s="83" t="str">
        <f ca="1">IF(U243="","",IFERROR((RANK(U243,$U$2:$U$2028,1)+COUNTIF($U$2:U243,U243))-1,""))</f>
        <v/>
      </c>
      <c r="W243" s="134" t="str">
        <f t="shared" si="268"/>
        <v/>
      </c>
      <c r="X243" s="134" t="str">
        <f>IF(W243="","",IFERROR((RANK(W243,$W$2:$W$2028,1)+COUNTIF($W$2:W243,W243))-1,""))</f>
        <v/>
      </c>
      <c r="Y243" s="134" t="str">
        <f t="shared" si="265"/>
        <v/>
      </c>
      <c r="Z243" s="134" t="str">
        <f>IF(Y243="","",IFERROR((RANK(Y243,$Y$2:$Y$2028,1)+COUNTIF($Y$2:Y243,Y243))-1,""))</f>
        <v/>
      </c>
      <c r="AA243" s="134" t="str">
        <f t="shared" si="266"/>
        <v/>
      </c>
      <c r="AB243" s="134" t="str">
        <f>IF(AA243="","",IFERROR((RANK(AA243,$AA$2:$AA$2028,1)+COUNTIF($AA$2:AA243,AA243))-1,""))</f>
        <v/>
      </c>
      <c r="AC243" s="134" t="str">
        <f t="shared" si="267"/>
        <v/>
      </c>
      <c r="AD243" s="134" t="str">
        <f>IF(AC243="","",IFERROR((RANK(AC243,$AC$2:$AC$2028,1)+COUNTIF($AC$2:AC243,AC243))-1,""))</f>
        <v/>
      </c>
      <c r="AE243" s="144" t="str">
        <f t="shared" si="259"/>
        <v/>
      </c>
      <c r="AF243" s="144" t="str">
        <f>IF(AE243="","",SUM($AE$2:AE243))</f>
        <v/>
      </c>
    </row>
    <row r="244" spans="14:32" x14ac:dyDescent="0.35">
      <c r="N244" s="134" t="str">
        <f t="shared" si="257"/>
        <v/>
      </c>
      <c r="O244" s="82" t="str">
        <f t="shared" si="260"/>
        <v/>
      </c>
      <c r="P244" s="81" t="str">
        <f t="shared" si="258"/>
        <v/>
      </c>
      <c r="Q244" s="81" t="str">
        <f t="shared" si="261"/>
        <v/>
      </c>
      <c r="R244" s="135" t="str">
        <f t="shared" ca="1" si="262"/>
        <v/>
      </c>
      <c r="S244" s="134" t="str">
        <f t="shared" ca="1" si="263"/>
        <v/>
      </c>
      <c r="T244" s="134" t="str">
        <f ca="1">IF(S244=Dashboard!$D$12,S244,"")</f>
        <v/>
      </c>
      <c r="U244" s="134" t="str">
        <f t="shared" ca="1" si="264"/>
        <v/>
      </c>
      <c r="V244" s="83" t="str">
        <f ca="1">IF(U244="","",IFERROR((RANK(U244,$U$2:$U$2028,1)+COUNTIF($U$2:U244,U244))-1,""))</f>
        <v/>
      </c>
      <c r="W244" s="134" t="str">
        <f t="shared" si="268"/>
        <v/>
      </c>
      <c r="X244" s="134" t="str">
        <f>IF(W244="","",IFERROR((RANK(W244,$W$2:$W$2028,1)+COUNTIF($W$2:W244,W244))-1,""))</f>
        <v/>
      </c>
      <c r="Y244" s="134" t="str">
        <f t="shared" si="265"/>
        <v/>
      </c>
      <c r="Z244" s="134" t="str">
        <f>IF(Y244="","",IFERROR((RANK(Y244,$Y$2:$Y$2028,1)+COUNTIF($Y$2:Y244,Y244))-1,""))</f>
        <v/>
      </c>
      <c r="AA244" s="134" t="str">
        <f t="shared" si="266"/>
        <v/>
      </c>
      <c r="AB244" s="134" t="str">
        <f>IF(AA244="","",IFERROR((RANK(AA244,$AA$2:$AA$2028,1)+COUNTIF($AA$2:AA244,AA244))-1,""))</f>
        <v/>
      </c>
      <c r="AC244" s="134" t="str">
        <f t="shared" si="267"/>
        <v/>
      </c>
      <c r="AD244" s="134" t="str">
        <f>IF(AC244="","",IFERROR((RANK(AC244,$AC$2:$AC$2028,1)+COUNTIF($AC$2:AC244,AC244))-1,""))</f>
        <v/>
      </c>
      <c r="AE244" s="144" t="str">
        <f t="shared" si="259"/>
        <v/>
      </c>
      <c r="AF244" s="144" t="str">
        <f>IF(AE244="","",SUM($AE$2:AE244))</f>
        <v/>
      </c>
    </row>
    <row r="245" spans="14:32" x14ac:dyDescent="0.35">
      <c r="N245" s="134" t="str">
        <f t="shared" si="257"/>
        <v/>
      </c>
      <c r="O245" s="82" t="str">
        <f t="shared" si="260"/>
        <v/>
      </c>
      <c r="P245" s="81" t="str">
        <f t="shared" si="258"/>
        <v/>
      </c>
      <c r="Q245" s="81" t="str">
        <f t="shared" si="261"/>
        <v/>
      </c>
      <c r="R245" s="135" t="str">
        <f t="shared" ca="1" si="262"/>
        <v/>
      </c>
      <c r="S245" s="134" t="str">
        <f t="shared" ca="1" si="263"/>
        <v/>
      </c>
      <c r="T245" s="134" t="str">
        <f ca="1">IF(S245=Dashboard!$D$12,S245,"")</f>
        <v/>
      </c>
      <c r="U245" s="134" t="str">
        <f t="shared" ca="1" si="264"/>
        <v/>
      </c>
      <c r="V245" s="83" t="str">
        <f ca="1">IF(U245="","",IFERROR((RANK(U245,$U$2:$U$2028,1)+COUNTIF($U$2:U245,U245))-1,""))</f>
        <v/>
      </c>
      <c r="W245" s="134" t="str">
        <f t="shared" si="268"/>
        <v/>
      </c>
      <c r="X245" s="134" t="str">
        <f>IF(W245="","",IFERROR((RANK(W245,$W$2:$W$2028,1)+COUNTIF($W$2:W245,W245))-1,""))</f>
        <v/>
      </c>
      <c r="Y245" s="134" t="str">
        <f t="shared" si="265"/>
        <v/>
      </c>
      <c r="Z245" s="134" t="str">
        <f>IF(Y245="","",IFERROR((RANK(Y245,$Y$2:$Y$2028,1)+COUNTIF($Y$2:Y245,Y245))-1,""))</f>
        <v/>
      </c>
      <c r="AA245" s="134" t="str">
        <f t="shared" si="266"/>
        <v/>
      </c>
      <c r="AB245" s="134" t="str">
        <f>IF(AA245="","",IFERROR((RANK(AA245,$AA$2:$AA$2028,1)+COUNTIF($AA$2:AA245,AA245))-1,""))</f>
        <v/>
      </c>
      <c r="AC245" s="134" t="str">
        <f t="shared" si="267"/>
        <v/>
      </c>
      <c r="AD245" s="134" t="str">
        <f>IF(AC245="","",IFERROR((RANK(AC245,$AC$2:$AC$2028,1)+COUNTIF($AC$2:AC245,AC245))-1,""))</f>
        <v/>
      </c>
      <c r="AE245" s="144" t="str">
        <f t="shared" si="259"/>
        <v/>
      </c>
      <c r="AF245" s="144" t="str">
        <f>IF(AE245="","",SUM($AE$2:AE245))</f>
        <v/>
      </c>
    </row>
    <row r="246" spans="14:32" x14ac:dyDescent="0.35">
      <c r="N246" s="134" t="str">
        <f t="shared" si="257"/>
        <v/>
      </c>
      <c r="O246" s="82" t="str">
        <f t="shared" si="260"/>
        <v/>
      </c>
      <c r="P246" s="81" t="str">
        <f t="shared" si="258"/>
        <v/>
      </c>
      <c r="Q246" s="81" t="str">
        <f t="shared" si="261"/>
        <v/>
      </c>
      <c r="R246" s="135" t="str">
        <f t="shared" ca="1" si="262"/>
        <v/>
      </c>
      <c r="S246" s="134" t="str">
        <f t="shared" ca="1" si="263"/>
        <v/>
      </c>
      <c r="T246" s="134" t="str">
        <f ca="1">IF(S246=Dashboard!$D$12,S246,"")</f>
        <v/>
      </c>
      <c r="U246" s="134" t="str">
        <f t="shared" ca="1" si="264"/>
        <v/>
      </c>
      <c r="V246" s="83" t="str">
        <f ca="1">IF(U246="","",IFERROR((RANK(U246,$U$2:$U$2028,1)+COUNTIF($U$2:U246,U246))-1,""))</f>
        <v/>
      </c>
      <c r="W246" s="134" t="str">
        <f t="shared" si="268"/>
        <v/>
      </c>
      <c r="X246" s="134" t="str">
        <f>IF(W246="","",IFERROR((RANK(W246,$W$2:$W$2028,1)+COUNTIF($W$2:W246,W246))-1,""))</f>
        <v/>
      </c>
      <c r="Y246" s="134" t="str">
        <f t="shared" si="265"/>
        <v/>
      </c>
      <c r="Z246" s="134" t="str">
        <f>IF(Y246="","",IFERROR((RANK(Y246,$Y$2:$Y$2028,1)+COUNTIF($Y$2:Y246,Y246))-1,""))</f>
        <v/>
      </c>
      <c r="AA246" s="134" t="str">
        <f t="shared" si="266"/>
        <v/>
      </c>
      <c r="AB246" s="134" t="str">
        <f>IF(AA246="","",IFERROR((RANK(AA246,$AA$2:$AA$2028,1)+COUNTIF($AA$2:AA246,AA246))-1,""))</f>
        <v/>
      </c>
      <c r="AC246" s="134" t="str">
        <f t="shared" si="267"/>
        <v/>
      </c>
      <c r="AD246" s="134" t="str">
        <f>IF(AC246="","",IFERROR((RANK(AC246,$AC$2:$AC$2028,1)+COUNTIF($AC$2:AC246,AC246))-1,""))</f>
        <v/>
      </c>
      <c r="AE246" s="144" t="str">
        <f t="shared" si="259"/>
        <v/>
      </c>
      <c r="AF246" s="144" t="str">
        <f>IF(AE246="","",SUM($AE$2:AE246))</f>
        <v/>
      </c>
    </row>
    <row r="247" spans="14:32" x14ac:dyDescent="0.35">
      <c r="N247" s="134" t="str">
        <f t="shared" si="257"/>
        <v/>
      </c>
      <c r="O247" s="82" t="str">
        <f t="shared" si="260"/>
        <v/>
      </c>
      <c r="P247" s="81" t="str">
        <f t="shared" si="258"/>
        <v/>
      </c>
      <c r="Q247" s="81" t="str">
        <f t="shared" si="261"/>
        <v/>
      </c>
      <c r="R247" s="135" t="str">
        <f t="shared" ca="1" si="262"/>
        <v/>
      </c>
      <c r="S247" s="134" t="str">
        <f t="shared" ca="1" si="263"/>
        <v/>
      </c>
      <c r="T247" s="134" t="str">
        <f ca="1">IF(S247=Dashboard!$D$12,S247,"")</f>
        <v/>
      </c>
      <c r="U247" s="134" t="str">
        <f t="shared" ca="1" si="264"/>
        <v/>
      </c>
      <c r="V247" s="83" t="str">
        <f ca="1">IF(U247="","",IFERROR((RANK(U247,$U$2:$U$2028,1)+COUNTIF($U$2:U247,U247))-1,""))</f>
        <v/>
      </c>
      <c r="W247" s="134" t="str">
        <f t="shared" si="268"/>
        <v/>
      </c>
      <c r="X247" s="134" t="str">
        <f>IF(W247="","",IFERROR((RANK(W247,$W$2:$W$2028,1)+COUNTIF($W$2:W247,W247))-1,""))</f>
        <v/>
      </c>
      <c r="Y247" s="134" t="str">
        <f t="shared" si="265"/>
        <v/>
      </c>
      <c r="Z247" s="134" t="str">
        <f>IF(Y247="","",IFERROR((RANK(Y247,$Y$2:$Y$2028,1)+COUNTIF($Y$2:Y247,Y247))-1,""))</f>
        <v/>
      </c>
      <c r="AA247" s="134" t="str">
        <f t="shared" si="266"/>
        <v/>
      </c>
      <c r="AB247" s="134" t="str">
        <f>IF(AA247="","",IFERROR((RANK(AA247,$AA$2:$AA$2028,1)+COUNTIF($AA$2:AA247,AA247))-1,""))</f>
        <v/>
      </c>
      <c r="AC247" s="134" t="str">
        <f t="shared" si="267"/>
        <v/>
      </c>
      <c r="AD247" s="134" t="str">
        <f>IF(AC247="","",IFERROR((RANK(AC247,$AC$2:$AC$2028,1)+COUNTIF($AC$2:AC247,AC247))-1,""))</f>
        <v/>
      </c>
      <c r="AE247" s="144" t="str">
        <f t="shared" si="259"/>
        <v/>
      </c>
      <c r="AF247" s="144" t="str">
        <f>IF(AE247="","",SUM($AE$2:AE247))</f>
        <v/>
      </c>
    </row>
    <row r="248" spans="14:32" x14ac:dyDescent="0.35">
      <c r="N248" s="134" t="str">
        <f t="shared" si="257"/>
        <v/>
      </c>
      <c r="O248" s="82" t="str">
        <f t="shared" si="260"/>
        <v/>
      </c>
      <c r="P248" s="81" t="str">
        <f t="shared" si="258"/>
        <v/>
      </c>
      <c r="Q248" s="81" t="str">
        <f t="shared" si="261"/>
        <v/>
      </c>
      <c r="R248" s="135" t="str">
        <f t="shared" ca="1" si="262"/>
        <v/>
      </c>
      <c r="S248" s="134" t="str">
        <f t="shared" ca="1" si="263"/>
        <v/>
      </c>
      <c r="T248" s="134" t="str">
        <f ca="1">IF(S248=Dashboard!$D$12,S248,"")</f>
        <v/>
      </c>
      <c r="U248" s="134" t="str">
        <f t="shared" ca="1" si="264"/>
        <v/>
      </c>
      <c r="V248" s="83" t="str">
        <f ca="1">IF(U248="","",IFERROR((RANK(U248,$U$2:$U$2028,1)+COUNTIF($U$2:U248,U248))-1,""))</f>
        <v/>
      </c>
      <c r="W248" s="134" t="str">
        <f t="shared" si="268"/>
        <v/>
      </c>
      <c r="X248" s="134" t="str">
        <f>IF(W248="","",IFERROR((RANK(W248,$W$2:$W$2028,1)+COUNTIF($W$2:W248,W248))-1,""))</f>
        <v/>
      </c>
      <c r="Y248" s="134" t="str">
        <f t="shared" si="265"/>
        <v/>
      </c>
      <c r="Z248" s="134" t="str">
        <f>IF(Y248="","",IFERROR((RANK(Y248,$Y$2:$Y$2028,1)+COUNTIF($Y$2:Y248,Y248))-1,""))</f>
        <v/>
      </c>
      <c r="AA248" s="134" t="str">
        <f t="shared" si="266"/>
        <v/>
      </c>
      <c r="AB248" s="134" t="str">
        <f>IF(AA248="","",IFERROR((RANK(AA248,$AA$2:$AA$2028,1)+COUNTIF($AA$2:AA248,AA248))-1,""))</f>
        <v/>
      </c>
      <c r="AC248" s="134" t="str">
        <f t="shared" si="267"/>
        <v/>
      </c>
      <c r="AD248" s="134" t="str">
        <f>IF(AC248="","",IFERROR((RANK(AC248,$AC$2:$AC$2028,1)+COUNTIF($AC$2:AC248,AC248))-1,""))</f>
        <v/>
      </c>
      <c r="AE248" s="144" t="str">
        <f t="shared" si="259"/>
        <v/>
      </c>
      <c r="AF248" s="144" t="str">
        <f>IF(AE248="","",SUM($AE$2:AE248))</f>
        <v/>
      </c>
    </row>
    <row r="249" spans="14:32" x14ac:dyDescent="0.35">
      <c r="N249" s="134" t="str">
        <f t="shared" si="257"/>
        <v/>
      </c>
      <c r="O249" s="82" t="str">
        <f t="shared" si="260"/>
        <v/>
      </c>
      <c r="P249" s="81" t="str">
        <f t="shared" si="258"/>
        <v/>
      </c>
      <c r="Q249" s="81" t="str">
        <f t="shared" si="261"/>
        <v/>
      </c>
      <c r="R249" s="135" t="str">
        <f t="shared" ca="1" si="262"/>
        <v/>
      </c>
      <c r="S249" s="134" t="str">
        <f t="shared" ca="1" si="263"/>
        <v/>
      </c>
      <c r="T249" s="134" t="str">
        <f ca="1">IF(S249=Dashboard!$D$12,S249,"")</f>
        <v/>
      </c>
      <c r="U249" s="134" t="str">
        <f t="shared" ca="1" si="264"/>
        <v/>
      </c>
      <c r="V249" s="83" t="str">
        <f ca="1">IF(U249="","",IFERROR((RANK(U249,$U$2:$U$2028,1)+COUNTIF($U$2:U249,U249))-1,""))</f>
        <v/>
      </c>
      <c r="W249" s="134" t="str">
        <f t="shared" si="268"/>
        <v/>
      </c>
      <c r="X249" s="134" t="str">
        <f>IF(W249="","",IFERROR((RANK(W249,$W$2:$W$2028,1)+COUNTIF($W$2:W249,W249))-1,""))</f>
        <v/>
      </c>
      <c r="Y249" s="134" t="str">
        <f t="shared" si="265"/>
        <v/>
      </c>
      <c r="Z249" s="134" t="str">
        <f>IF(Y249="","",IFERROR((RANK(Y249,$Y$2:$Y$2028,1)+COUNTIF($Y$2:Y249,Y249))-1,""))</f>
        <v/>
      </c>
      <c r="AA249" s="134" t="str">
        <f t="shared" si="266"/>
        <v/>
      </c>
      <c r="AB249" s="134" t="str">
        <f>IF(AA249="","",IFERROR((RANK(AA249,$AA$2:$AA$2028,1)+COUNTIF($AA$2:AA249,AA249))-1,""))</f>
        <v/>
      </c>
      <c r="AC249" s="134" t="str">
        <f t="shared" si="267"/>
        <v/>
      </c>
      <c r="AD249" s="134" t="str">
        <f>IF(AC249="","",IFERROR((RANK(AC249,$AC$2:$AC$2028,1)+COUNTIF($AC$2:AC249,AC249))-1,""))</f>
        <v/>
      </c>
      <c r="AE249" s="144" t="str">
        <f t="shared" si="259"/>
        <v/>
      </c>
      <c r="AF249" s="144" t="str">
        <f>IF(AE249="","",SUM($AE$2:AE249))</f>
        <v/>
      </c>
    </row>
    <row r="250" spans="14:32" x14ac:dyDescent="0.35">
      <c r="N250" s="134" t="str">
        <f t="shared" si="257"/>
        <v/>
      </c>
      <c r="O250" s="82" t="str">
        <f t="shared" si="260"/>
        <v/>
      </c>
      <c r="P250" s="81" t="str">
        <f t="shared" si="258"/>
        <v/>
      </c>
      <c r="Q250" s="81" t="str">
        <f t="shared" si="261"/>
        <v/>
      </c>
      <c r="R250" s="135" t="str">
        <f t="shared" ca="1" si="262"/>
        <v/>
      </c>
      <c r="S250" s="134" t="str">
        <f t="shared" ca="1" si="263"/>
        <v/>
      </c>
      <c r="T250" s="134" t="str">
        <f ca="1">IF(S250=Dashboard!$D$12,S250,"")</f>
        <v/>
      </c>
      <c r="U250" s="134" t="str">
        <f t="shared" ca="1" si="264"/>
        <v/>
      </c>
      <c r="V250" s="83" t="str">
        <f ca="1">IF(U250="","",IFERROR((RANK(U250,$U$2:$U$2028,1)+COUNTIF($U$2:U250,U250))-1,""))</f>
        <v/>
      </c>
      <c r="W250" s="134" t="str">
        <f t="shared" si="268"/>
        <v/>
      </c>
      <c r="X250" s="134" t="str">
        <f>IF(W250="","",IFERROR((RANK(W250,$W$2:$W$2028,1)+COUNTIF($W$2:W250,W250))-1,""))</f>
        <v/>
      </c>
      <c r="Y250" s="134" t="str">
        <f t="shared" si="265"/>
        <v/>
      </c>
      <c r="Z250" s="134" t="str">
        <f>IF(Y250="","",IFERROR((RANK(Y250,$Y$2:$Y$2028,1)+COUNTIF($Y$2:Y250,Y250))-1,""))</f>
        <v/>
      </c>
      <c r="AA250" s="134" t="str">
        <f t="shared" si="266"/>
        <v/>
      </c>
      <c r="AB250" s="134" t="str">
        <f>IF(AA250="","",IFERROR((RANK(AA250,$AA$2:$AA$2028,1)+COUNTIF($AA$2:AA250,AA250))-1,""))</f>
        <v/>
      </c>
      <c r="AC250" s="134" t="str">
        <f t="shared" si="267"/>
        <v/>
      </c>
      <c r="AD250" s="134" t="str">
        <f>IF(AC250="","",IFERROR((RANK(AC250,$AC$2:$AC$2028,1)+COUNTIF($AC$2:AC250,AC250))-1,""))</f>
        <v/>
      </c>
      <c r="AE250" s="144" t="str">
        <f t="shared" si="259"/>
        <v/>
      </c>
      <c r="AF250" s="144" t="str">
        <f>IF(AE250="","",SUM($AE$2:AE250))</f>
        <v/>
      </c>
    </row>
    <row r="251" spans="14:32" x14ac:dyDescent="0.35">
      <c r="N251" s="134" t="str">
        <f t="shared" si="257"/>
        <v/>
      </c>
      <c r="O251" s="82" t="str">
        <f t="shared" si="260"/>
        <v/>
      </c>
      <c r="P251" s="81" t="str">
        <f t="shared" si="258"/>
        <v/>
      </c>
      <c r="Q251" s="81" t="str">
        <f t="shared" si="261"/>
        <v/>
      </c>
      <c r="R251" s="135" t="str">
        <f t="shared" ca="1" si="262"/>
        <v/>
      </c>
      <c r="S251" s="134" t="str">
        <f t="shared" ca="1" si="263"/>
        <v/>
      </c>
      <c r="T251" s="134" t="str">
        <f ca="1">IF(S251=Dashboard!$D$12,S251,"")</f>
        <v/>
      </c>
      <c r="U251" s="134" t="str">
        <f t="shared" ca="1" si="264"/>
        <v/>
      </c>
      <c r="V251" s="83" t="str">
        <f ca="1">IF(U251="","",IFERROR((RANK(U251,$U$2:$U$2028,1)+COUNTIF($U$2:U251,U251))-1,""))</f>
        <v/>
      </c>
      <c r="W251" s="134" t="str">
        <f t="shared" si="268"/>
        <v/>
      </c>
      <c r="X251" s="134" t="str">
        <f>IF(W251="","",IFERROR((RANK(W251,$W$2:$W$2028,1)+COUNTIF($W$2:W251,W251))-1,""))</f>
        <v/>
      </c>
      <c r="Y251" s="134" t="str">
        <f t="shared" si="265"/>
        <v/>
      </c>
      <c r="Z251" s="134" t="str">
        <f>IF(Y251="","",IFERROR((RANK(Y251,$Y$2:$Y$2028,1)+COUNTIF($Y$2:Y251,Y251))-1,""))</f>
        <v/>
      </c>
      <c r="AA251" s="134" t="str">
        <f t="shared" si="266"/>
        <v/>
      </c>
      <c r="AB251" s="134" t="str">
        <f>IF(AA251="","",IFERROR((RANK(AA251,$AA$2:$AA$2028,1)+COUNTIF($AA$2:AA251,AA251))-1,""))</f>
        <v/>
      </c>
      <c r="AC251" s="134" t="str">
        <f t="shared" si="267"/>
        <v/>
      </c>
      <c r="AD251" s="134" t="str">
        <f>IF(AC251="","",IFERROR((RANK(AC251,$AC$2:$AC$2028,1)+COUNTIF($AC$2:AC251,AC251))-1,""))</f>
        <v/>
      </c>
      <c r="AE251" s="144" t="str">
        <f t="shared" si="259"/>
        <v/>
      </c>
      <c r="AF251" s="144" t="str">
        <f>IF(AE251="","",SUM($AE$2:AE251))</f>
        <v/>
      </c>
    </row>
    <row r="252" spans="14:32" x14ac:dyDescent="0.35">
      <c r="N252" s="134" t="str">
        <f t="shared" si="257"/>
        <v/>
      </c>
      <c r="O252" s="82" t="str">
        <f t="shared" si="260"/>
        <v/>
      </c>
      <c r="P252" s="81" t="str">
        <f t="shared" si="258"/>
        <v/>
      </c>
      <c r="Q252" s="81" t="str">
        <f t="shared" si="261"/>
        <v/>
      </c>
      <c r="R252" s="135" t="str">
        <f t="shared" ca="1" si="262"/>
        <v/>
      </c>
      <c r="S252" s="134" t="str">
        <f t="shared" ca="1" si="263"/>
        <v/>
      </c>
      <c r="T252" s="134" t="str">
        <f ca="1">IF(S252=Dashboard!$D$12,S252,"")</f>
        <v/>
      </c>
      <c r="U252" s="134" t="str">
        <f t="shared" ca="1" si="264"/>
        <v/>
      </c>
      <c r="V252" s="83" t="str">
        <f ca="1">IF(U252="","",IFERROR((RANK(U252,$U$2:$U$2028,1)+COUNTIF($U$2:U252,U252))-1,""))</f>
        <v/>
      </c>
      <c r="W252" s="134" t="str">
        <f t="shared" si="268"/>
        <v/>
      </c>
      <c r="X252" s="134" t="str">
        <f>IF(W252="","",IFERROR((RANK(W252,$W$2:$W$2028,1)+COUNTIF($W$2:W252,W252))-1,""))</f>
        <v/>
      </c>
      <c r="Y252" s="134" t="str">
        <f t="shared" si="265"/>
        <v/>
      </c>
      <c r="Z252" s="134" t="str">
        <f>IF(Y252="","",IFERROR((RANK(Y252,$Y$2:$Y$2028,1)+COUNTIF($Y$2:Y252,Y252))-1,""))</f>
        <v/>
      </c>
      <c r="AA252" s="134" t="str">
        <f t="shared" si="266"/>
        <v/>
      </c>
      <c r="AB252" s="134" t="str">
        <f>IF(AA252="","",IFERROR((RANK(AA252,$AA$2:$AA$2028,1)+COUNTIF($AA$2:AA252,AA252))-1,""))</f>
        <v/>
      </c>
      <c r="AC252" s="134" t="str">
        <f t="shared" si="267"/>
        <v/>
      </c>
      <c r="AD252" s="134" t="str">
        <f>IF(AC252="","",IFERROR((RANK(AC252,$AC$2:$AC$2028,1)+COUNTIF($AC$2:AC252,AC252))-1,""))</f>
        <v/>
      </c>
      <c r="AE252" s="144" t="str">
        <f t="shared" si="259"/>
        <v/>
      </c>
      <c r="AF252" s="144" t="str">
        <f>IF(AE252="","",SUM($AE$2:AE252))</f>
        <v/>
      </c>
    </row>
    <row r="253" spans="14:32" x14ac:dyDescent="0.35">
      <c r="N253" s="134" t="str">
        <f t="shared" si="257"/>
        <v/>
      </c>
      <c r="O253" s="82" t="str">
        <f t="shared" si="260"/>
        <v/>
      </c>
      <c r="P253" s="81" t="str">
        <f t="shared" si="258"/>
        <v/>
      </c>
      <c r="Q253" s="81" t="str">
        <f t="shared" si="261"/>
        <v/>
      </c>
      <c r="R253" s="135" t="str">
        <f t="shared" ca="1" si="262"/>
        <v/>
      </c>
      <c r="S253" s="134" t="str">
        <f t="shared" ca="1" si="263"/>
        <v/>
      </c>
      <c r="T253" s="134" t="str">
        <f ca="1">IF(S253=Dashboard!$D$12,S253,"")</f>
        <v/>
      </c>
      <c r="U253" s="134" t="str">
        <f t="shared" ca="1" si="264"/>
        <v/>
      </c>
      <c r="V253" s="83" t="str">
        <f ca="1">IF(U253="","",IFERROR((RANK(U253,$U$2:$U$2028,1)+COUNTIF($U$2:U253,U253))-1,""))</f>
        <v/>
      </c>
      <c r="W253" s="134" t="str">
        <f t="shared" si="268"/>
        <v/>
      </c>
      <c r="X253" s="134" t="str">
        <f>IF(W253="","",IFERROR((RANK(W253,$W$2:$W$2028,1)+COUNTIF($W$2:W253,W253))-1,""))</f>
        <v/>
      </c>
      <c r="Y253" s="134" t="str">
        <f t="shared" si="265"/>
        <v/>
      </c>
      <c r="Z253" s="134" t="str">
        <f>IF(Y253="","",IFERROR((RANK(Y253,$Y$2:$Y$2028,1)+COUNTIF($Y$2:Y253,Y253))-1,""))</f>
        <v/>
      </c>
      <c r="AA253" s="134" t="str">
        <f t="shared" si="266"/>
        <v/>
      </c>
      <c r="AB253" s="134" t="str">
        <f>IF(AA253="","",IFERROR((RANK(AA253,$AA$2:$AA$2028,1)+COUNTIF($AA$2:AA253,AA253))-1,""))</f>
        <v/>
      </c>
      <c r="AC253" s="134" t="str">
        <f t="shared" si="267"/>
        <v/>
      </c>
      <c r="AD253" s="134" t="str">
        <f>IF(AC253="","",IFERROR((RANK(AC253,$AC$2:$AC$2028,1)+COUNTIF($AC$2:AC253,AC253))-1,""))</f>
        <v/>
      </c>
      <c r="AE253" s="144" t="str">
        <f t="shared" si="259"/>
        <v/>
      </c>
      <c r="AF253" s="144" t="str">
        <f>IF(AE253="","",SUM($AE$2:AE253))</f>
        <v/>
      </c>
    </row>
    <row r="254" spans="14:32" x14ac:dyDescent="0.35">
      <c r="N254" s="134" t="str">
        <f t="shared" si="257"/>
        <v/>
      </c>
      <c r="O254" s="82" t="str">
        <f t="shared" si="260"/>
        <v/>
      </c>
      <c r="P254" s="81" t="str">
        <f t="shared" si="258"/>
        <v/>
      </c>
      <c r="Q254" s="81" t="str">
        <f t="shared" si="261"/>
        <v/>
      </c>
      <c r="R254" s="135" t="str">
        <f t="shared" ca="1" si="262"/>
        <v/>
      </c>
      <c r="S254" s="134" t="str">
        <f t="shared" ca="1" si="263"/>
        <v/>
      </c>
      <c r="T254" s="134" t="str">
        <f ca="1">IF(S254=Dashboard!$D$12,S254,"")</f>
        <v/>
      </c>
      <c r="U254" s="134" t="str">
        <f t="shared" ca="1" si="264"/>
        <v/>
      </c>
      <c r="V254" s="83" t="str">
        <f ca="1">IF(U254="","",IFERROR((RANK(U254,$U$2:$U$2028,1)+COUNTIF($U$2:U254,U254))-1,""))</f>
        <v/>
      </c>
      <c r="W254" s="134" t="str">
        <f t="shared" si="268"/>
        <v/>
      </c>
      <c r="X254" s="134" t="str">
        <f>IF(W254="","",IFERROR((RANK(W254,$W$2:$W$2028,1)+COUNTIF($W$2:W254,W254))-1,""))</f>
        <v/>
      </c>
      <c r="Y254" s="134" t="str">
        <f t="shared" si="265"/>
        <v/>
      </c>
      <c r="Z254" s="134" t="str">
        <f>IF(Y254="","",IFERROR((RANK(Y254,$Y$2:$Y$2028,1)+COUNTIF($Y$2:Y254,Y254))-1,""))</f>
        <v/>
      </c>
      <c r="AA254" s="134" t="str">
        <f t="shared" si="266"/>
        <v/>
      </c>
      <c r="AB254" s="134" t="str">
        <f>IF(AA254="","",IFERROR((RANK(AA254,$AA$2:$AA$2028,1)+COUNTIF($AA$2:AA254,AA254))-1,""))</f>
        <v/>
      </c>
      <c r="AC254" s="134" t="str">
        <f t="shared" si="267"/>
        <v/>
      </c>
      <c r="AD254" s="134" t="str">
        <f>IF(AC254="","",IFERROR((RANK(AC254,$AC$2:$AC$2028,1)+COUNTIF($AC$2:AC254,AC254))-1,""))</f>
        <v/>
      </c>
      <c r="AE254" s="144" t="str">
        <f t="shared" si="259"/>
        <v/>
      </c>
      <c r="AF254" s="144" t="str">
        <f>IF(AE254="","",SUM($AE$2:AE254))</f>
        <v/>
      </c>
    </row>
    <row r="255" spans="14:32" x14ac:dyDescent="0.35">
      <c r="N255" s="134" t="str">
        <f t="shared" si="257"/>
        <v/>
      </c>
      <c r="O255" s="82" t="str">
        <f t="shared" si="260"/>
        <v/>
      </c>
      <c r="P255" s="81" t="str">
        <f t="shared" si="258"/>
        <v/>
      </c>
      <c r="Q255" s="81" t="str">
        <f t="shared" si="261"/>
        <v/>
      </c>
      <c r="R255" s="135" t="str">
        <f t="shared" ca="1" si="262"/>
        <v/>
      </c>
      <c r="S255" s="134" t="str">
        <f t="shared" ca="1" si="263"/>
        <v/>
      </c>
      <c r="T255" s="134" t="str">
        <f ca="1">IF(S255=Dashboard!$D$12,S255,"")</f>
        <v/>
      </c>
      <c r="U255" s="134" t="str">
        <f t="shared" ca="1" si="264"/>
        <v/>
      </c>
      <c r="V255" s="83" t="str">
        <f ca="1">IF(U255="","",IFERROR((RANK(U255,$U$2:$U$2028,1)+COUNTIF($U$2:U255,U255))-1,""))</f>
        <v/>
      </c>
      <c r="W255" s="134" t="str">
        <f t="shared" si="268"/>
        <v/>
      </c>
      <c r="X255" s="134" t="str">
        <f>IF(W255="","",IFERROR((RANK(W255,$W$2:$W$2028,1)+COUNTIF($W$2:W255,W255))-1,""))</f>
        <v/>
      </c>
      <c r="Y255" s="134" t="str">
        <f t="shared" si="265"/>
        <v/>
      </c>
      <c r="Z255" s="134" t="str">
        <f>IF(Y255="","",IFERROR((RANK(Y255,$Y$2:$Y$2028,1)+COUNTIF($Y$2:Y255,Y255))-1,""))</f>
        <v/>
      </c>
      <c r="AA255" s="134" t="str">
        <f t="shared" si="266"/>
        <v/>
      </c>
      <c r="AB255" s="134" t="str">
        <f>IF(AA255="","",IFERROR((RANK(AA255,$AA$2:$AA$2028,1)+COUNTIF($AA$2:AA255,AA255))-1,""))</f>
        <v/>
      </c>
      <c r="AC255" s="134" t="str">
        <f t="shared" si="267"/>
        <v/>
      </c>
      <c r="AD255" s="134" t="str">
        <f>IF(AC255="","",IFERROR((RANK(AC255,$AC$2:$AC$2028,1)+COUNTIF($AC$2:AC255,AC255))-1,""))</f>
        <v/>
      </c>
      <c r="AE255" s="144" t="str">
        <f t="shared" si="259"/>
        <v/>
      </c>
      <c r="AF255" s="144" t="str">
        <f>IF(AE255="","",SUM($AE$2:AE255))</f>
        <v/>
      </c>
    </row>
    <row r="256" spans="14:32" x14ac:dyDescent="0.35">
      <c r="N256" s="134" t="str">
        <f t="shared" si="257"/>
        <v/>
      </c>
      <c r="O256" s="82" t="str">
        <f t="shared" si="260"/>
        <v/>
      </c>
      <c r="P256" s="81" t="str">
        <f t="shared" si="258"/>
        <v/>
      </c>
      <c r="Q256" s="81" t="str">
        <f t="shared" si="261"/>
        <v/>
      </c>
      <c r="R256" s="135" t="str">
        <f t="shared" ca="1" si="262"/>
        <v/>
      </c>
      <c r="S256" s="134" t="str">
        <f t="shared" ca="1" si="263"/>
        <v/>
      </c>
      <c r="T256" s="134" t="str">
        <f ca="1">IF(S256=Dashboard!$D$12,S256,"")</f>
        <v/>
      </c>
      <c r="U256" s="134" t="str">
        <f t="shared" ca="1" si="264"/>
        <v/>
      </c>
      <c r="V256" s="83" t="str">
        <f ca="1">IF(U256="","",IFERROR((RANK(U256,$U$2:$U$2028,1)+COUNTIF($U$2:U256,U256))-1,""))</f>
        <v/>
      </c>
      <c r="W256" s="134" t="str">
        <f t="shared" si="268"/>
        <v/>
      </c>
      <c r="X256" s="134" t="str">
        <f>IF(W256="","",IFERROR((RANK(W256,$W$2:$W$2028,1)+COUNTIF($W$2:W256,W256))-1,""))</f>
        <v/>
      </c>
      <c r="Y256" s="134" t="str">
        <f t="shared" si="265"/>
        <v/>
      </c>
      <c r="Z256" s="134" t="str">
        <f>IF(Y256="","",IFERROR((RANK(Y256,$Y$2:$Y$2028,1)+COUNTIF($Y$2:Y256,Y256))-1,""))</f>
        <v/>
      </c>
      <c r="AA256" s="134" t="str">
        <f t="shared" si="266"/>
        <v/>
      </c>
      <c r="AB256" s="134" t="str">
        <f>IF(AA256="","",IFERROR((RANK(AA256,$AA$2:$AA$2028,1)+COUNTIF($AA$2:AA256,AA256))-1,""))</f>
        <v/>
      </c>
      <c r="AC256" s="134" t="str">
        <f t="shared" si="267"/>
        <v/>
      </c>
      <c r="AD256" s="134" t="str">
        <f>IF(AC256="","",IFERROR((RANK(AC256,$AC$2:$AC$2028,1)+COUNTIF($AC$2:AC256,AC256))-1,""))</f>
        <v/>
      </c>
      <c r="AE256" s="144" t="str">
        <f t="shared" si="259"/>
        <v/>
      </c>
      <c r="AF256" s="144" t="str">
        <f>IF(AE256="","",SUM($AE$2:AE256))</f>
        <v/>
      </c>
    </row>
    <row r="257" spans="14:32" x14ac:dyDescent="0.35">
      <c r="N257" s="134" t="str">
        <f t="shared" si="257"/>
        <v/>
      </c>
      <c r="O257" s="82" t="str">
        <f t="shared" si="260"/>
        <v/>
      </c>
      <c r="P257" s="81" t="str">
        <f t="shared" si="258"/>
        <v/>
      </c>
      <c r="Q257" s="81" t="str">
        <f t="shared" si="261"/>
        <v/>
      </c>
      <c r="R257" s="135" t="str">
        <f t="shared" ca="1" si="262"/>
        <v/>
      </c>
      <c r="S257" s="134" t="str">
        <f t="shared" ca="1" si="263"/>
        <v/>
      </c>
      <c r="T257" s="134" t="str">
        <f ca="1">IF(S257=Dashboard!$D$12,S257,"")</f>
        <v/>
      </c>
      <c r="U257" s="134" t="str">
        <f t="shared" ca="1" si="264"/>
        <v/>
      </c>
      <c r="V257" s="83" t="str">
        <f ca="1">IF(U257="","",IFERROR((RANK(U257,$U$2:$U$2028,1)+COUNTIF($U$2:U257,U257))-1,""))</f>
        <v/>
      </c>
      <c r="W257" s="134" t="str">
        <f t="shared" si="268"/>
        <v/>
      </c>
      <c r="X257" s="134" t="str">
        <f>IF(W257="","",IFERROR((RANK(W257,$W$2:$W$2028,1)+COUNTIF($W$2:W257,W257))-1,""))</f>
        <v/>
      </c>
      <c r="Y257" s="134" t="str">
        <f t="shared" si="265"/>
        <v/>
      </c>
      <c r="Z257" s="134" t="str">
        <f>IF(Y257="","",IFERROR((RANK(Y257,$Y$2:$Y$2028,1)+COUNTIF($Y$2:Y257,Y257))-1,""))</f>
        <v/>
      </c>
      <c r="AA257" s="134" t="str">
        <f t="shared" si="266"/>
        <v/>
      </c>
      <c r="AB257" s="134" t="str">
        <f>IF(AA257="","",IFERROR((RANK(AA257,$AA$2:$AA$2028,1)+COUNTIF($AA$2:AA257,AA257))-1,""))</f>
        <v/>
      </c>
      <c r="AC257" s="134" t="str">
        <f t="shared" si="267"/>
        <v/>
      </c>
      <c r="AD257" s="134" t="str">
        <f>IF(AC257="","",IFERROR((RANK(AC257,$AC$2:$AC$2028,1)+COUNTIF($AC$2:AC257,AC257))-1,""))</f>
        <v/>
      </c>
      <c r="AE257" s="144" t="str">
        <f t="shared" si="259"/>
        <v/>
      </c>
      <c r="AF257" s="144" t="str">
        <f>IF(AE257="","",SUM($AE$2:AE257))</f>
        <v/>
      </c>
    </row>
    <row r="258" spans="14:32" x14ac:dyDescent="0.35">
      <c r="N258" s="134" t="str">
        <f t="shared" ref="N258:N321" si="269">IF(A258="","",COUNTIFS(M:M,M258,H:H,"&lt;"&amp;H258)+1)</f>
        <v/>
      </c>
      <c r="O258" s="82" t="str">
        <f t="shared" si="260"/>
        <v/>
      </c>
      <c r="P258" s="81" t="str">
        <f t="shared" ref="P258:P321" si="270">IF(A258="","",COUNTIFS(M:M,M258,H:H,"&gt;"&amp;H258)+1)</f>
        <v/>
      </c>
      <c r="Q258" s="81" t="str">
        <f t="shared" si="261"/>
        <v/>
      </c>
      <c r="R258" s="135" t="str">
        <f t="shared" ca="1" si="262"/>
        <v/>
      </c>
      <c r="S258" s="134" t="str">
        <f t="shared" ca="1" si="263"/>
        <v/>
      </c>
      <c r="T258" s="134" t="str">
        <f ca="1">IF(S258=Dashboard!$D$12,S258,"")</f>
        <v/>
      </c>
      <c r="U258" s="134" t="str">
        <f t="shared" ca="1" si="264"/>
        <v/>
      </c>
      <c r="V258" s="83" t="str">
        <f ca="1">IF(U258="","",IFERROR((RANK(U258,$U$2:$U$2028,1)+COUNTIF($U$2:U258,U258))-1,""))</f>
        <v/>
      </c>
      <c r="W258" s="134" t="str">
        <f t="shared" si="268"/>
        <v/>
      </c>
      <c r="X258" s="134" t="str">
        <f>IF(W258="","",IFERROR((RANK(W258,$W$2:$W$2028,1)+COUNTIF($W$2:W258,W258))-1,""))</f>
        <v/>
      </c>
      <c r="Y258" s="134" t="str">
        <f t="shared" si="265"/>
        <v/>
      </c>
      <c r="Z258" s="134" t="str">
        <f>IF(Y258="","",IFERROR((RANK(Y258,$Y$2:$Y$2028,1)+COUNTIF($Y$2:Y258,Y258))-1,""))</f>
        <v/>
      </c>
      <c r="AA258" s="134" t="str">
        <f t="shared" si="266"/>
        <v/>
      </c>
      <c r="AB258" s="134" t="str">
        <f>IF(AA258="","",IFERROR((RANK(AA258,$AA$2:$AA$2028,1)+COUNTIF($AA$2:AA258,AA258))-1,""))</f>
        <v/>
      </c>
      <c r="AC258" s="134" t="str">
        <f t="shared" si="267"/>
        <v/>
      </c>
      <c r="AD258" s="134" t="str">
        <f>IF(AC258="","",IFERROR((RANK(AC258,$AC$2:$AC$2028,1)+COUNTIF($AC$2:AC258,AC258))-1,""))</f>
        <v/>
      </c>
      <c r="AE258" s="144" t="str">
        <f t="shared" si="259"/>
        <v/>
      </c>
      <c r="AF258" s="144" t="str">
        <f>IF(AE258="","",SUM($AE$2:AE258))</f>
        <v/>
      </c>
    </row>
    <row r="259" spans="14:32" x14ac:dyDescent="0.35">
      <c r="N259" s="134" t="str">
        <f t="shared" si="269"/>
        <v/>
      </c>
      <c r="O259" s="82" t="str">
        <f t="shared" si="260"/>
        <v/>
      </c>
      <c r="P259" s="81" t="str">
        <f t="shared" si="270"/>
        <v/>
      </c>
      <c r="Q259" s="81" t="str">
        <f t="shared" si="261"/>
        <v/>
      </c>
      <c r="R259" s="135" t="str">
        <f t="shared" ca="1" si="262"/>
        <v/>
      </c>
      <c r="S259" s="134" t="str">
        <f t="shared" ca="1" si="263"/>
        <v/>
      </c>
      <c r="T259" s="134" t="str">
        <f ca="1">IF(S259=Dashboard!$D$12,S259,"")</f>
        <v/>
      </c>
      <c r="U259" s="134" t="str">
        <f t="shared" ca="1" si="264"/>
        <v/>
      </c>
      <c r="V259" s="83" t="str">
        <f ca="1">IF(U259="","",IFERROR((RANK(U259,$U$2:$U$2028,1)+COUNTIF($U$2:U259,U259))-1,""))</f>
        <v/>
      </c>
      <c r="W259" s="134" t="str">
        <f t="shared" si="268"/>
        <v/>
      </c>
      <c r="X259" s="134" t="str">
        <f>IF(W259="","",IFERROR((RANK(W259,$W$2:$W$2028,1)+COUNTIF($W$2:W259,W259))-1,""))</f>
        <v/>
      </c>
      <c r="Y259" s="134" t="str">
        <f t="shared" si="265"/>
        <v/>
      </c>
      <c r="Z259" s="134" t="str">
        <f>IF(Y259="","",IFERROR((RANK(Y259,$Y$2:$Y$2028,1)+COUNTIF($Y$2:Y259,Y259))-1,""))</f>
        <v/>
      </c>
      <c r="AA259" s="134" t="str">
        <f t="shared" si="266"/>
        <v/>
      </c>
      <c r="AB259" s="134" t="str">
        <f>IF(AA259="","",IFERROR((RANK(AA259,$AA$2:$AA$2028,1)+COUNTIF($AA$2:AA259,AA259))-1,""))</f>
        <v/>
      </c>
      <c r="AC259" s="134" t="str">
        <f t="shared" si="267"/>
        <v/>
      </c>
      <c r="AD259" s="134" t="str">
        <f>IF(AC259="","",IFERROR((RANK(AC259,$AC$2:$AC$2028,1)+COUNTIF($AC$2:AC259,AC259))-1,""))</f>
        <v/>
      </c>
      <c r="AE259" s="144" t="str">
        <f t="shared" si="259"/>
        <v/>
      </c>
      <c r="AF259" s="144" t="str">
        <f>IF(AE259="","",SUM($AE$2:AE259))</f>
        <v/>
      </c>
    </row>
    <row r="260" spans="14:32" x14ac:dyDescent="0.35">
      <c r="N260" s="134" t="str">
        <f t="shared" si="269"/>
        <v/>
      </c>
      <c r="O260" s="82" t="str">
        <f t="shared" si="260"/>
        <v/>
      </c>
      <c r="P260" s="81" t="str">
        <f t="shared" si="270"/>
        <v/>
      </c>
      <c r="Q260" s="81" t="str">
        <f t="shared" si="261"/>
        <v/>
      </c>
      <c r="R260" s="135" t="str">
        <f t="shared" ca="1" si="262"/>
        <v/>
      </c>
      <c r="S260" s="134" t="str">
        <f t="shared" ca="1" si="263"/>
        <v/>
      </c>
      <c r="T260" s="134" t="str">
        <f ca="1">IF(S260=Dashboard!$D$12,S260,"")</f>
        <v/>
      </c>
      <c r="U260" s="134" t="str">
        <f t="shared" ca="1" si="264"/>
        <v/>
      </c>
      <c r="V260" s="83" t="str">
        <f ca="1">IF(U260="","",IFERROR((RANK(U260,$U$2:$U$2028,1)+COUNTIF($U$2:U260,U260))-1,""))</f>
        <v/>
      </c>
      <c r="W260" s="134" t="str">
        <f t="shared" si="268"/>
        <v/>
      </c>
      <c r="X260" s="134" t="str">
        <f>IF(W260="","",IFERROR((RANK(W260,$W$2:$W$2028,1)+COUNTIF($W$2:W260,W260))-1,""))</f>
        <v/>
      </c>
      <c r="Y260" s="134" t="str">
        <f t="shared" si="265"/>
        <v/>
      </c>
      <c r="Z260" s="134" t="str">
        <f>IF(Y260="","",IFERROR((RANK(Y260,$Y$2:$Y$2028,1)+COUNTIF($Y$2:Y260,Y260))-1,""))</f>
        <v/>
      </c>
      <c r="AA260" s="134" t="str">
        <f t="shared" si="266"/>
        <v/>
      </c>
      <c r="AB260" s="134" t="str">
        <f>IF(AA260="","",IFERROR((RANK(AA260,$AA$2:$AA$2028,1)+COUNTIF($AA$2:AA260,AA260))-1,""))</f>
        <v/>
      </c>
      <c r="AC260" s="134" t="str">
        <f t="shared" si="267"/>
        <v/>
      </c>
      <c r="AD260" s="134" t="str">
        <f>IF(AC260="","",IFERROR((RANK(AC260,$AC$2:$AC$2028,1)+COUNTIF($AC$2:AC260,AC260))-1,""))</f>
        <v/>
      </c>
      <c r="AE260" s="144" t="str">
        <f t="shared" si="259"/>
        <v/>
      </c>
      <c r="AF260" s="144" t="str">
        <f>IF(AE260="","",SUM($AE$2:AE260))</f>
        <v/>
      </c>
    </row>
    <row r="261" spans="14:32" x14ac:dyDescent="0.35">
      <c r="N261" s="134" t="str">
        <f t="shared" si="269"/>
        <v/>
      </c>
      <c r="O261" s="82" t="str">
        <f t="shared" si="260"/>
        <v/>
      </c>
      <c r="P261" s="81" t="str">
        <f t="shared" si="270"/>
        <v/>
      </c>
      <c r="Q261" s="81" t="str">
        <f t="shared" si="261"/>
        <v/>
      </c>
      <c r="R261" s="135" t="str">
        <f t="shared" ca="1" si="262"/>
        <v/>
      </c>
      <c r="S261" s="134" t="str">
        <f t="shared" ca="1" si="263"/>
        <v/>
      </c>
      <c r="T261" s="134" t="str">
        <f ca="1">IF(S261=Dashboard!$D$12,S261,"")</f>
        <v/>
      </c>
      <c r="U261" s="134" t="str">
        <f t="shared" ca="1" si="264"/>
        <v/>
      </c>
      <c r="V261" s="83" t="str">
        <f ca="1">IF(U261="","",IFERROR((RANK(U261,$U$2:$U$2028,1)+COUNTIF($U$2:U261,U261))-1,""))</f>
        <v/>
      </c>
      <c r="W261" s="134" t="str">
        <f t="shared" si="268"/>
        <v/>
      </c>
      <c r="X261" s="134" t="str">
        <f>IF(W261="","",IFERROR((RANK(W261,$W$2:$W$2028,1)+COUNTIF($W$2:W261,W261))-1,""))</f>
        <v/>
      </c>
      <c r="Y261" s="134" t="str">
        <f t="shared" si="265"/>
        <v/>
      </c>
      <c r="Z261" s="134" t="str">
        <f>IF(Y261="","",IFERROR((RANK(Y261,$Y$2:$Y$2028,1)+COUNTIF($Y$2:Y261,Y261))-1,""))</f>
        <v/>
      </c>
      <c r="AA261" s="134" t="str">
        <f t="shared" si="266"/>
        <v/>
      </c>
      <c r="AB261" s="134" t="str">
        <f>IF(AA261="","",IFERROR((RANK(AA261,$AA$2:$AA$2028,1)+COUNTIF($AA$2:AA261,AA261))-1,""))</f>
        <v/>
      </c>
      <c r="AC261" s="134" t="str">
        <f t="shared" si="267"/>
        <v/>
      </c>
      <c r="AD261" s="134" t="str">
        <f>IF(AC261="","",IFERROR((RANK(AC261,$AC$2:$AC$2028,1)+COUNTIF($AC$2:AC261,AC261))-1,""))</f>
        <v/>
      </c>
      <c r="AE261" s="144" t="str">
        <f t="shared" si="259"/>
        <v/>
      </c>
      <c r="AF261" s="144" t="str">
        <f>IF(AE261="","",SUM($AE$2:AE261))</f>
        <v/>
      </c>
    </row>
    <row r="262" spans="14:32" x14ac:dyDescent="0.35">
      <c r="N262" s="134" t="str">
        <f t="shared" si="269"/>
        <v/>
      </c>
      <c r="O262" s="82" t="str">
        <f t="shared" si="260"/>
        <v/>
      </c>
      <c r="P262" s="81" t="str">
        <f t="shared" si="270"/>
        <v/>
      </c>
      <c r="Q262" s="81" t="str">
        <f t="shared" si="261"/>
        <v/>
      </c>
      <c r="R262" s="135" t="str">
        <f t="shared" ca="1" si="262"/>
        <v/>
      </c>
      <c r="S262" s="134" t="str">
        <f t="shared" ca="1" si="263"/>
        <v/>
      </c>
      <c r="T262" s="134" t="str">
        <f ca="1">IF(S262=Dashboard!$D$12,S262,"")</f>
        <v/>
      </c>
      <c r="U262" s="134" t="str">
        <f t="shared" ca="1" si="264"/>
        <v/>
      </c>
      <c r="V262" s="83" t="str">
        <f ca="1">IF(U262="","",IFERROR((RANK(U262,$U$2:$U$2028,1)+COUNTIF($U$2:U262,U262))-1,""))</f>
        <v/>
      </c>
      <c r="W262" s="134" t="str">
        <f t="shared" si="268"/>
        <v/>
      </c>
      <c r="X262" s="134" t="str">
        <f>IF(W262="","",IFERROR((RANK(W262,$W$2:$W$2028,1)+COUNTIF($W$2:W262,W262))-1,""))</f>
        <v/>
      </c>
      <c r="Y262" s="134" t="str">
        <f t="shared" si="265"/>
        <v/>
      </c>
      <c r="Z262" s="134" t="str">
        <f>IF(Y262="","",IFERROR((RANK(Y262,$Y$2:$Y$2028,1)+COUNTIF($Y$2:Y262,Y262))-1,""))</f>
        <v/>
      </c>
      <c r="AA262" s="134" t="str">
        <f t="shared" si="266"/>
        <v/>
      </c>
      <c r="AB262" s="134" t="str">
        <f>IF(AA262="","",IFERROR((RANK(AA262,$AA$2:$AA$2028,1)+COUNTIF($AA$2:AA262,AA262))-1,""))</f>
        <v/>
      </c>
      <c r="AC262" s="134" t="str">
        <f t="shared" si="267"/>
        <v/>
      </c>
      <c r="AD262" s="134" t="str">
        <f>IF(AC262="","",IFERROR((RANK(AC262,$AC$2:$AC$2028,1)+COUNTIF($AC$2:AC262,AC262))-1,""))</f>
        <v/>
      </c>
      <c r="AE262" s="144" t="str">
        <f t="shared" si="259"/>
        <v/>
      </c>
      <c r="AF262" s="144" t="str">
        <f>IF(AE262="","",SUM($AE$2:AE262))</f>
        <v/>
      </c>
    </row>
    <row r="263" spans="14:32" x14ac:dyDescent="0.35">
      <c r="N263" s="134" t="str">
        <f t="shared" si="269"/>
        <v/>
      </c>
      <c r="O263" s="82" t="str">
        <f t="shared" si="260"/>
        <v/>
      </c>
      <c r="P263" s="81" t="str">
        <f t="shared" si="270"/>
        <v/>
      </c>
      <c r="Q263" s="81" t="str">
        <f t="shared" si="261"/>
        <v/>
      </c>
      <c r="R263" s="135" t="str">
        <f t="shared" ca="1" si="262"/>
        <v/>
      </c>
      <c r="S263" s="134" t="str">
        <f t="shared" ca="1" si="263"/>
        <v/>
      </c>
      <c r="T263" s="134" t="str">
        <f ca="1">IF(S263=Dashboard!$D$12,S263,"")</f>
        <v/>
      </c>
      <c r="U263" s="134" t="str">
        <f t="shared" ca="1" si="264"/>
        <v/>
      </c>
      <c r="V263" s="83" t="str">
        <f ca="1">IF(U263="","",IFERROR((RANK(U263,$U$2:$U$2028,1)+COUNTIF($U$2:U263,U263))-1,""))</f>
        <v/>
      </c>
      <c r="W263" s="134" t="str">
        <f t="shared" si="268"/>
        <v/>
      </c>
      <c r="X263" s="134" t="str">
        <f>IF(W263="","",IFERROR((RANK(W263,$W$2:$W$2028,1)+COUNTIF($W$2:W263,W263))-1,""))</f>
        <v/>
      </c>
      <c r="Y263" s="134" t="str">
        <f t="shared" si="265"/>
        <v/>
      </c>
      <c r="Z263" s="134" t="str">
        <f>IF(Y263="","",IFERROR((RANK(Y263,$Y$2:$Y$2028,1)+COUNTIF($Y$2:Y263,Y263))-1,""))</f>
        <v/>
      </c>
      <c r="AA263" s="134" t="str">
        <f t="shared" si="266"/>
        <v/>
      </c>
      <c r="AB263" s="134" t="str">
        <f>IF(AA263="","",IFERROR((RANK(AA263,$AA$2:$AA$2028,1)+COUNTIF($AA$2:AA263,AA263))-1,""))</f>
        <v/>
      </c>
      <c r="AC263" s="134" t="str">
        <f t="shared" si="267"/>
        <v/>
      </c>
      <c r="AD263" s="134" t="str">
        <f>IF(AC263="","",IFERROR((RANK(AC263,$AC$2:$AC$2028,1)+COUNTIF($AC$2:AC263,AC263))-1,""))</f>
        <v/>
      </c>
      <c r="AE263" s="144" t="str">
        <f t="shared" ref="AE263:AE326" si="271">IF(P263=1,P263,"")</f>
        <v/>
      </c>
      <c r="AF263" s="144" t="str">
        <f>IF(AE263="","",SUM($AE$2:AE263))</f>
        <v/>
      </c>
    </row>
    <row r="264" spans="14:32" x14ac:dyDescent="0.35">
      <c r="N264" s="134" t="str">
        <f t="shared" si="269"/>
        <v/>
      </c>
      <c r="O264" s="82" t="str">
        <f t="shared" si="260"/>
        <v/>
      </c>
      <c r="P264" s="81" t="str">
        <f t="shared" si="270"/>
        <v/>
      </c>
      <c r="Q264" s="81" t="str">
        <f t="shared" si="261"/>
        <v/>
      </c>
      <c r="R264" s="135" t="str">
        <f t="shared" ca="1" si="262"/>
        <v/>
      </c>
      <c r="S264" s="134" t="str">
        <f t="shared" ca="1" si="263"/>
        <v/>
      </c>
      <c r="T264" s="134" t="str">
        <f ca="1">IF(S264=Dashboard!$D$12,S264,"")</f>
        <v/>
      </c>
      <c r="U264" s="134" t="str">
        <f t="shared" ca="1" si="264"/>
        <v/>
      </c>
      <c r="V264" s="83" t="str">
        <f ca="1">IF(U264="","",IFERROR((RANK(U264,$U$2:$U$2028,1)+COUNTIF($U$2:U264,U264))-1,""))</f>
        <v/>
      </c>
      <c r="W264" s="134" t="str">
        <f t="shared" si="268"/>
        <v/>
      </c>
      <c r="X264" s="134" t="str">
        <f>IF(W264="","",IFERROR((RANK(W264,$W$2:$W$2028,1)+COUNTIF($W$2:W264,W264))-1,""))</f>
        <v/>
      </c>
      <c r="Y264" s="134" t="str">
        <f t="shared" si="265"/>
        <v/>
      </c>
      <c r="Z264" s="134" t="str">
        <f>IF(Y264="","",IFERROR((RANK(Y264,$Y$2:$Y$2028,1)+COUNTIF($Y$2:Y264,Y264))-1,""))</f>
        <v/>
      </c>
      <c r="AA264" s="134" t="str">
        <f t="shared" si="266"/>
        <v/>
      </c>
      <c r="AB264" s="134" t="str">
        <f>IF(AA264="","",IFERROR((RANK(AA264,$AA$2:$AA$2028,1)+COUNTIF($AA$2:AA264,AA264))-1,""))</f>
        <v/>
      </c>
      <c r="AC264" s="134" t="str">
        <f t="shared" si="267"/>
        <v/>
      </c>
      <c r="AD264" s="134" t="str">
        <f>IF(AC264="","",IFERROR((RANK(AC264,$AC$2:$AC$2028,1)+COUNTIF($AC$2:AC264,AC264))-1,""))</f>
        <v/>
      </c>
      <c r="AE264" s="144" t="str">
        <f t="shared" si="271"/>
        <v/>
      </c>
      <c r="AF264" s="144" t="str">
        <f>IF(AE264="","",SUM($AE$2:AE264))</f>
        <v/>
      </c>
    </row>
    <row r="265" spans="14:32" x14ac:dyDescent="0.35">
      <c r="N265" s="134" t="str">
        <f t="shared" si="269"/>
        <v/>
      </c>
      <c r="O265" s="82" t="str">
        <f t="shared" si="260"/>
        <v/>
      </c>
      <c r="P265" s="81" t="str">
        <f t="shared" si="270"/>
        <v/>
      </c>
      <c r="Q265" s="81" t="str">
        <f t="shared" si="261"/>
        <v/>
      </c>
      <c r="R265" s="135" t="str">
        <f t="shared" ca="1" si="262"/>
        <v/>
      </c>
      <c r="S265" s="134" t="str">
        <f t="shared" ca="1" si="263"/>
        <v/>
      </c>
      <c r="T265" s="134" t="str">
        <f ca="1">IF(S265=Dashboard!$D$12,S265,"")</f>
        <v/>
      </c>
      <c r="U265" s="134" t="str">
        <f t="shared" ca="1" si="264"/>
        <v/>
      </c>
      <c r="V265" s="83" t="str">
        <f ca="1">IF(U265="","",IFERROR((RANK(U265,$U$2:$U$2028,1)+COUNTIF($U$2:U265,U265))-1,""))</f>
        <v/>
      </c>
      <c r="W265" s="134" t="str">
        <f t="shared" si="268"/>
        <v/>
      </c>
      <c r="X265" s="134" t="str">
        <f>IF(W265="","",IFERROR((RANK(W265,$W$2:$W$2028,1)+COUNTIF($W$2:W265,W265))-1,""))</f>
        <v/>
      </c>
      <c r="Y265" s="134" t="str">
        <f t="shared" si="265"/>
        <v/>
      </c>
      <c r="Z265" s="134" t="str">
        <f>IF(Y265="","",IFERROR((RANK(Y265,$Y$2:$Y$2028,1)+COUNTIF($Y$2:Y265,Y265))-1,""))</f>
        <v/>
      </c>
      <c r="AA265" s="134" t="str">
        <f t="shared" si="266"/>
        <v/>
      </c>
      <c r="AB265" s="134" t="str">
        <f>IF(AA265="","",IFERROR((RANK(AA265,$AA$2:$AA$2028,1)+COUNTIF($AA$2:AA265,AA265))-1,""))</f>
        <v/>
      </c>
      <c r="AC265" s="134" t="str">
        <f t="shared" si="267"/>
        <v/>
      </c>
      <c r="AD265" s="134" t="str">
        <f>IF(AC265="","",IFERROR((RANK(AC265,$AC$2:$AC$2028,1)+COUNTIF($AC$2:AC265,AC265))-1,""))</f>
        <v/>
      </c>
      <c r="AE265" s="144" t="str">
        <f t="shared" si="271"/>
        <v/>
      </c>
      <c r="AF265" s="144" t="str">
        <f>IF(AE265="","",SUM($AE$2:AE265))</f>
        <v/>
      </c>
    </row>
    <row r="266" spans="14:32" x14ac:dyDescent="0.35">
      <c r="N266" s="134" t="str">
        <f t="shared" si="269"/>
        <v/>
      </c>
      <c r="O266" s="82" t="str">
        <f t="shared" si="260"/>
        <v/>
      </c>
      <c r="P266" s="81" t="str">
        <f t="shared" si="270"/>
        <v/>
      </c>
      <c r="Q266" s="81" t="str">
        <f t="shared" si="261"/>
        <v/>
      </c>
      <c r="R266" s="135" t="str">
        <f t="shared" ca="1" si="262"/>
        <v/>
      </c>
      <c r="S266" s="134" t="str">
        <f t="shared" ca="1" si="263"/>
        <v/>
      </c>
      <c r="T266" s="134" t="str">
        <f ca="1">IF(S266=Dashboard!$D$12,S266,"")</f>
        <v/>
      </c>
      <c r="U266" s="134" t="str">
        <f t="shared" ca="1" si="264"/>
        <v/>
      </c>
      <c r="V266" s="83" t="str">
        <f ca="1">IF(U266="","",IFERROR((RANK(U266,$U$2:$U$2028,1)+COUNTIF($U$2:U266,U266))-1,""))</f>
        <v/>
      </c>
      <c r="W266" s="134" t="str">
        <f t="shared" si="268"/>
        <v/>
      </c>
      <c r="X266" s="134" t="str">
        <f>IF(W266="","",IFERROR((RANK(W266,$W$2:$W$2028,1)+COUNTIF($W$2:W266,W266))-1,""))</f>
        <v/>
      </c>
      <c r="Y266" s="134" t="str">
        <f t="shared" si="265"/>
        <v/>
      </c>
      <c r="Z266" s="134" t="str">
        <f>IF(Y266="","",IFERROR((RANK(Y266,$Y$2:$Y$2028,1)+COUNTIF($Y$2:Y266,Y266))-1,""))</f>
        <v/>
      </c>
      <c r="AA266" s="134" t="str">
        <f t="shared" si="266"/>
        <v/>
      </c>
      <c r="AB266" s="134" t="str">
        <f>IF(AA266="","",IFERROR((RANK(AA266,$AA$2:$AA$2028,1)+COUNTIF($AA$2:AA266,AA266))-1,""))</f>
        <v/>
      </c>
      <c r="AC266" s="134" t="str">
        <f t="shared" si="267"/>
        <v/>
      </c>
      <c r="AD266" s="134" t="str">
        <f>IF(AC266="","",IFERROR((RANK(AC266,$AC$2:$AC$2028,1)+COUNTIF($AC$2:AC266,AC266))-1,""))</f>
        <v/>
      </c>
      <c r="AE266" s="144" t="str">
        <f t="shared" si="271"/>
        <v/>
      </c>
      <c r="AF266" s="144" t="str">
        <f>IF(AE266="","",SUM($AE$2:AE266))</f>
        <v/>
      </c>
    </row>
    <row r="267" spans="14:32" x14ac:dyDescent="0.35">
      <c r="N267" s="134" t="str">
        <f t="shared" si="269"/>
        <v/>
      </c>
      <c r="O267" s="82" t="str">
        <f t="shared" si="260"/>
        <v/>
      </c>
      <c r="P267" s="81" t="str">
        <f t="shared" si="270"/>
        <v/>
      </c>
      <c r="Q267" s="81" t="str">
        <f t="shared" si="261"/>
        <v/>
      </c>
      <c r="R267" s="135" t="str">
        <f t="shared" ca="1" si="262"/>
        <v/>
      </c>
      <c r="S267" s="134" t="str">
        <f t="shared" ca="1" si="263"/>
        <v/>
      </c>
      <c r="T267" s="134" t="str">
        <f ca="1">IF(S267=Dashboard!$D$12,S267,"")</f>
        <v/>
      </c>
      <c r="U267" s="134" t="str">
        <f t="shared" ca="1" si="264"/>
        <v/>
      </c>
      <c r="V267" s="83" t="str">
        <f ca="1">IF(U267="","",IFERROR((RANK(U267,$U$2:$U$2028,1)+COUNTIF($U$2:U267,U267))-1,""))</f>
        <v/>
      </c>
      <c r="W267" s="134" t="str">
        <f t="shared" si="268"/>
        <v/>
      </c>
      <c r="X267" s="134" t="str">
        <f>IF(W267="","",IFERROR((RANK(W267,$W$2:$W$2028,1)+COUNTIF($W$2:W267,W267))-1,""))</f>
        <v/>
      </c>
      <c r="Y267" s="134" t="str">
        <f t="shared" si="265"/>
        <v/>
      </c>
      <c r="Z267" s="134" t="str">
        <f>IF(Y267="","",IFERROR((RANK(Y267,$Y$2:$Y$2028,1)+COUNTIF($Y$2:Y267,Y267))-1,""))</f>
        <v/>
      </c>
      <c r="AA267" s="134" t="str">
        <f t="shared" si="266"/>
        <v/>
      </c>
      <c r="AB267" s="134" t="str">
        <f>IF(AA267="","",IFERROR((RANK(AA267,$AA$2:$AA$2028,1)+COUNTIF($AA$2:AA267,AA267))-1,""))</f>
        <v/>
      </c>
      <c r="AC267" s="134" t="str">
        <f t="shared" si="267"/>
        <v/>
      </c>
      <c r="AD267" s="134" t="str">
        <f>IF(AC267="","",IFERROR((RANK(AC267,$AC$2:$AC$2028,1)+COUNTIF($AC$2:AC267,AC267))-1,""))</f>
        <v/>
      </c>
      <c r="AE267" s="144" t="str">
        <f t="shared" si="271"/>
        <v/>
      </c>
      <c r="AF267" s="144" t="str">
        <f>IF(AE267="","",SUM($AE$2:AE267))</f>
        <v/>
      </c>
    </row>
    <row r="268" spans="14:32" x14ac:dyDescent="0.35">
      <c r="N268" s="134" t="str">
        <f t="shared" si="269"/>
        <v/>
      </c>
      <c r="O268" s="82" t="str">
        <f t="shared" si="260"/>
        <v/>
      </c>
      <c r="P268" s="81" t="str">
        <f t="shared" si="270"/>
        <v/>
      </c>
      <c r="Q268" s="81" t="str">
        <f t="shared" si="261"/>
        <v/>
      </c>
      <c r="R268" s="135" t="str">
        <f t="shared" ca="1" si="262"/>
        <v/>
      </c>
      <c r="S268" s="134" t="str">
        <f t="shared" ca="1" si="263"/>
        <v/>
      </c>
      <c r="T268" s="134" t="str">
        <f ca="1">IF(S268=Dashboard!$D$12,S268,"")</f>
        <v/>
      </c>
      <c r="U268" s="134" t="str">
        <f t="shared" ca="1" si="264"/>
        <v/>
      </c>
      <c r="V268" s="83" t="str">
        <f ca="1">IF(U268="","",IFERROR((RANK(U268,$U$2:$U$2028,1)+COUNTIF($U$2:U268,U268))-1,""))</f>
        <v/>
      </c>
      <c r="W268" s="134" t="str">
        <f t="shared" si="268"/>
        <v/>
      </c>
      <c r="X268" s="134" t="str">
        <f>IF(W268="","",IFERROR((RANK(W268,$W$2:$W$2028,1)+COUNTIF($W$2:W268,W268))-1,""))</f>
        <v/>
      </c>
      <c r="Y268" s="134" t="str">
        <f t="shared" si="265"/>
        <v/>
      </c>
      <c r="Z268" s="134" t="str">
        <f>IF(Y268="","",IFERROR((RANK(Y268,$Y$2:$Y$2028,1)+COUNTIF($Y$2:Y268,Y268))-1,""))</f>
        <v/>
      </c>
      <c r="AA268" s="134" t="str">
        <f t="shared" si="266"/>
        <v/>
      </c>
      <c r="AB268" s="134" t="str">
        <f>IF(AA268="","",IFERROR((RANK(AA268,$AA$2:$AA$2028,1)+COUNTIF($AA$2:AA268,AA268))-1,""))</f>
        <v/>
      </c>
      <c r="AC268" s="134" t="str">
        <f t="shared" si="267"/>
        <v/>
      </c>
      <c r="AD268" s="134" t="str">
        <f>IF(AC268="","",IFERROR((RANK(AC268,$AC$2:$AC$2028,1)+COUNTIF($AC$2:AC268,AC268))-1,""))</f>
        <v/>
      </c>
      <c r="AE268" s="144" t="str">
        <f t="shared" si="271"/>
        <v/>
      </c>
      <c r="AF268" s="144" t="str">
        <f>IF(AE268="","",SUM($AE$2:AE268))</f>
        <v/>
      </c>
    </row>
    <row r="269" spans="14:32" x14ac:dyDescent="0.35">
      <c r="N269" s="134" t="str">
        <f t="shared" si="269"/>
        <v/>
      </c>
      <c r="O269" s="82" t="str">
        <f t="shared" si="260"/>
        <v/>
      </c>
      <c r="P269" s="81" t="str">
        <f t="shared" si="270"/>
        <v/>
      </c>
      <c r="Q269" s="81" t="str">
        <f t="shared" si="261"/>
        <v/>
      </c>
      <c r="R269" s="135" t="str">
        <f t="shared" ca="1" si="262"/>
        <v/>
      </c>
      <c r="S269" s="134" t="str">
        <f t="shared" ca="1" si="263"/>
        <v/>
      </c>
      <c r="T269" s="134" t="str">
        <f ca="1">IF(S269=Dashboard!$D$12,S269,"")</f>
        <v/>
      </c>
      <c r="U269" s="134" t="str">
        <f t="shared" ca="1" si="264"/>
        <v/>
      </c>
      <c r="V269" s="83" t="str">
        <f ca="1">IF(U269="","",IFERROR((RANK(U269,$U$2:$U$2028,1)+COUNTIF($U$2:U269,U269))-1,""))</f>
        <v/>
      </c>
      <c r="W269" s="134" t="str">
        <f t="shared" si="268"/>
        <v/>
      </c>
      <c r="X269" s="134" t="str">
        <f>IF(W269="","",IFERROR((RANK(W269,$W$2:$W$2028,1)+COUNTIF($W$2:W269,W269))-1,""))</f>
        <v/>
      </c>
      <c r="Y269" s="134" t="str">
        <f t="shared" si="265"/>
        <v/>
      </c>
      <c r="Z269" s="134" t="str">
        <f>IF(Y269="","",IFERROR((RANK(Y269,$Y$2:$Y$2028,1)+COUNTIF($Y$2:Y269,Y269))-1,""))</f>
        <v/>
      </c>
      <c r="AA269" s="134" t="str">
        <f t="shared" si="266"/>
        <v/>
      </c>
      <c r="AB269" s="134" t="str">
        <f>IF(AA269="","",IFERROR((RANK(AA269,$AA$2:$AA$2028,1)+COUNTIF($AA$2:AA269,AA269))-1,""))</f>
        <v/>
      </c>
      <c r="AC269" s="134" t="str">
        <f t="shared" si="267"/>
        <v/>
      </c>
      <c r="AD269" s="134" t="str">
        <f>IF(AC269="","",IFERROR((RANK(AC269,$AC$2:$AC$2028,1)+COUNTIF($AC$2:AC269,AC269))-1,""))</f>
        <v/>
      </c>
      <c r="AE269" s="144" t="str">
        <f t="shared" si="271"/>
        <v/>
      </c>
      <c r="AF269" s="144" t="str">
        <f>IF(AE269="","",SUM($AE$2:AE269))</f>
        <v/>
      </c>
    </row>
    <row r="270" spans="14:32" x14ac:dyDescent="0.35">
      <c r="N270" s="134" t="str">
        <f t="shared" si="269"/>
        <v/>
      </c>
      <c r="O270" s="82" t="str">
        <f t="shared" si="260"/>
        <v/>
      </c>
      <c r="P270" s="81" t="str">
        <f t="shared" si="270"/>
        <v/>
      </c>
      <c r="Q270" s="81" t="str">
        <f t="shared" si="261"/>
        <v/>
      </c>
      <c r="R270" s="135" t="str">
        <f t="shared" ca="1" si="262"/>
        <v/>
      </c>
      <c r="S270" s="134" t="str">
        <f t="shared" ca="1" si="263"/>
        <v/>
      </c>
      <c r="T270" s="134" t="str">
        <f ca="1">IF(S270=Dashboard!$D$12,S270,"")</f>
        <v/>
      </c>
      <c r="U270" s="134" t="str">
        <f t="shared" ca="1" si="264"/>
        <v/>
      </c>
      <c r="V270" s="83" t="str">
        <f ca="1">IF(U270="","",IFERROR((RANK(U270,$U$2:$U$2028,1)+COUNTIF($U$2:U270,U270))-1,""))</f>
        <v/>
      </c>
      <c r="W270" s="134" t="str">
        <f t="shared" si="268"/>
        <v/>
      </c>
      <c r="X270" s="134" t="str">
        <f>IF(W270="","",IFERROR((RANK(W270,$W$2:$W$2028,1)+COUNTIF($W$2:W270,W270))-1,""))</f>
        <v/>
      </c>
      <c r="Y270" s="134" t="str">
        <f t="shared" si="265"/>
        <v/>
      </c>
      <c r="Z270" s="134" t="str">
        <f>IF(Y270="","",IFERROR((RANK(Y270,$Y$2:$Y$2028,1)+COUNTIF($Y$2:Y270,Y270))-1,""))</f>
        <v/>
      </c>
      <c r="AA270" s="134" t="str">
        <f t="shared" si="266"/>
        <v/>
      </c>
      <c r="AB270" s="134" t="str">
        <f>IF(AA270="","",IFERROR((RANK(AA270,$AA$2:$AA$2028,1)+COUNTIF($AA$2:AA270,AA270))-1,""))</f>
        <v/>
      </c>
      <c r="AC270" s="134" t="str">
        <f t="shared" si="267"/>
        <v/>
      </c>
      <c r="AD270" s="134" t="str">
        <f>IF(AC270="","",IFERROR((RANK(AC270,$AC$2:$AC$2028,1)+COUNTIF($AC$2:AC270,AC270))-1,""))</f>
        <v/>
      </c>
      <c r="AE270" s="144" t="str">
        <f t="shared" si="271"/>
        <v/>
      </c>
      <c r="AF270" s="144" t="str">
        <f>IF(AE270="","",SUM($AE$2:AE270))</f>
        <v/>
      </c>
    </row>
    <row r="271" spans="14:32" x14ac:dyDescent="0.35">
      <c r="N271" s="134" t="str">
        <f t="shared" si="269"/>
        <v/>
      </c>
      <c r="O271" s="82" t="str">
        <f t="shared" si="260"/>
        <v/>
      </c>
      <c r="P271" s="81" t="str">
        <f t="shared" si="270"/>
        <v/>
      </c>
      <c r="Q271" s="81" t="str">
        <f t="shared" si="261"/>
        <v/>
      </c>
      <c r="R271" s="135" t="str">
        <f t="shared" ca="1" si="262"/>
        <v/>
      </c>
      <c r="S271" s="134" t="str">
        <f t="shared" ca="1" si="263"/>
        <v/>
      </c>
      <c r="T271" s="134" t="str">
        <f ca="1">IF(S271=Dashboard!$D$12,S271,"")</f>
        <v/>
      </c>
      <c r="U271" s="134" t="str">
        <f t="shared" ca="1" si="264"/>
        <v/>
      </c>
      <c r="V271" s="83" t="str">
        <f ca="1">IF(U271="","",IFERROR((RANK(U271,$U$2:$U$2028,1)+COUNTIF($U$2:U271,U271))-1,""))</f>
        <v/>
      </c>
      <c r="W271" s="134" t="str">
        <f t="shared" si="268"/>
        <v/>
      </c>
      <c r="X271" s="134" t="str">
        <f>IF(W271="","",IFERROR((RANK(W271,$W$2:$W$2028,1)+COUNTIF($W$2:W271,W271))-1,""))</f>
        <v/>
      </c>
      <c r="Y271" s="134" t="str">
        <f t="shared" si="265"/>
        <v/>
      </c>
      <c r="Z271" s="134" t="str">
        <f>IF(Y271="","",IFERROR((RANK(Y271,$Y$2:$Y$2028,1)+COUNTIF($Y$2:Y271,Y271))-1,""))</f>
        <v/>
      </c>
      <c r="AA271" s="134" t="str">
        <f t="shared" si="266"/>
        <v/>
      </c>
      <c r="AB271" s="134" t="str">
        <f>IF(AA271="","",IFERROR((RANK(AA271,$AA$2:$AA$2028,1)+COUNTIF($AA$2:AA271,AA271))-1,""))</f>
        <v/>
      </c>
      <c r="AC271" s="134" t="str">
        <f t="shared" si="267"/>
        <v/>
      </c>
      <c r="AD271" s="134" t="str">
        <f>IF(AC271="","",IFERROR((RANK(AC271,$AC$2:$AC$2028,1)+COUNTIF($AC$2:AC271,AC271))-1,""))</f>
        <v/>
      </c>
      <c r="AE271" s="144" t="str">
        <f t="shared" si="271"/>
        <v/>
      </c>
      <c r="AF271" s="144" t="str">
        <f>IF(AE271="","",SUM($AE$2:AE271))</f>
        <v/>
      </c>
    </row>
    <row r="272" spans="14:32" x14ac:dyDescent="0.35">
      <c r="N272" s="134" t="str">
        <f t="shared" si="269"/>
        <v/>
      </c>
      <c r="O272" s="82" t="str">
        <f t="shared" si="260"/>
        <v/>
      </c>
      <c r="P272" s="81" t="str">
        <f t="shared" si="270"/>
        <v/>
      </c>
      <c r="Q272" s="81" t="str">
        <f t="shared" si="261"/>
        <v/>
      </c>
      <c r="R272" s="135" t="str">
        <f t="shared" ca="1" si="262"/>
        <v/>
      </c>
      <c r="S272" s="134" t="str">
        <f t="shared" ca="1" si="263"/>
        <v/>
      </c>
      <c r="T272" s="134" t="str">
        <f ca="1">IF(S272=Dashboard!$D$12,S272,"")</f>
        <v/>
      </c>
      <c r="U272" s="134" t="str">
        <f t="shared" ca="1" si="264"/>
        <v/>
      </c>
      <c r="V272" s="83" t="str">
        <f ca="1">IF(U272="","",IFERROR((RANK(U272,$U$2:$U$2028,1)+COUNTIF($U$2:U272,U272))-1,""))</f>
        <v/>
      </c>
      <c r="W272" s="134" t="str">
        <f t="shared" si="268"/>
        <v/>
      </c>
      <c r="X272" s="134" t="str">
        <f>IF(W272="","",IFERROR((RANK(W272,$W$2:$W$2028,1)+COUNTIF($W$2:W272,W272))-1,""))</f>
        <v/>
      </c>
      <c r="Y272" s="134" t="str">
        <f t="shared" si="265"/>
        <v/>
      </c>
      <c r="Z272" s="134" t="str">
        <f>IF(Y272="","",IFERROR((RANK(Y272,$Y$2:$Y$2028,1)+COUNTIF($Y$2:Y272,Y272))-1,""))</f>
        <v/>
      </c>
      <c r="AA272" s="134" t="str">
        <f t="shared" si="266"/>
        <v/>
      </c>
      <c r="AB272" s="134" t="str">
        <f>IF(AA272="","",IFERROR((RANK(AA272,$AA$2:$AA$2028,1)+COUNTIF($AA$2:AA272,AA272))-1,""))</f>
        <v/>
      </c>
      <c r="AC272" s="134" t="str">
        <f t="shared" si="267"/>
        <v/>
      </c>
      <c r="AD272" s="134" t="str">
        <f>IF(AC272="","",IFERROR((RANK(AC272,$AC$2:$AC$2028,1)+COUNTIF($AC$2:AC272,AC272))-1,""))</f>
        <v/>
      </c>
      <c r="AE272" s="144" t="str">
        <f t="shared" si="271"/>
        <v/>
      </c>
      <c r="AF272" s="144" t="str">
        <f>IF(AE272="","",SUM($AE$2:AE272))</f>
        <v/>
      </c>
    </row>
    <row r="273" spans="14:32" x14ac:dyDescent="0.35">
      <c r="N273" s="134" t="str">
        <f t="shared" si="269"/>
        <v/>
      </c>
      <c r="O273" s="82" t="str">
        <f t="shared" si="260"/>
        <v/>
      </c>
      <c r="P273" s="81" t="str">
        <f t="shared" si="270"/>
        <v/>
      </c>
      <c r="Q273" s="81" t="str">
        <f t="shared" si="261"/>
        <v/>
      </c>
      <c r="R273" s="135" t="str">
        <f t="shared" ca="1" si="262"/>
        <v/>
      </c>
      <c r="S273" s="134" t="str">
        <f t="shared" ca="1" si="263"/>
        <v/>
      </c>
      <c r="T273" s="134" t="str">
        <f ca="1">IF(S273=Dashboard!$D$12,S273,"")</f>
        <v/>
      </c>
      <c r="U273" s="134" t="str">
        <f t="shared" ca="1" si="264"/>
        <v/>
      </c>
      <c r="V273" s="83" t="str">
        <f ca="1">IF(U273="","",IFERROR((RANK(U273,$U$2:$U$2028,1)+COUNTIF($U$2:U273,U273))-1,""))</f>
        <v/>
      </c>
      <c r="W273" s="134" t="str">
        <f t="shared" si="268"/>
        <v/>
      </c>
      <c r="X273" s="134" t="str">
        <f>IF(W273="","",IFERROR((RANK(W273,$W$2:$W$2028,1)+COUNTIF($W$2:W273,W273))-1,""))</f>
        <v/>
      </c>
      <c r="Y273" s="134" t="str">
        <f t="shared" si="265"/>
        <v/>
      </c>
      <c r="Z273" s="134" t="str">
        <f>IF(Y273="","",IFERROR((RANK(Y273,$Y$2:$Y$2028,1)+COUNTIF($Y$2:Y273,Y273))-1,""))</f>
        <v/>
      </c>
      <c r="AA273" s="134" t="str">
        <f t="shared" si="266"/>
        <v/>
      </c>
      <c r="AB273" s="134" t="str">
        <f>IF(AA273="","",IFERROR((RANK(AA273,$AA$2:$AA$2028,1)+COUNTIF($AA$2:AA273,AA273))-1,""))</f>
        <v/>
      </c>
      <c r="AC273" s="134" t="str">
        <f t="shared" si="267"/>
        <v/>
      </c>
      <c r="AD273" s="134" t="str">
        <f>IF(AC273="","",IFERROR((RANK(AC273,$AC$2:$AC$2028,1)+COUNTIF($AC$2:AC273,AC273))-1,""))</f>
        <v/>
      </c>
      <c r="AE273" s="144" t="str">
        <f t="shared" si="271"/>
        <v/>
      </c>
      <c r="AF273" s="144" t="str">
        <f>IF(AE273="","",SUM($AE$2:AE273))</f>
        <v/>
      </c>
    </row>
    <row r="274" spans="14:32" x14ac:dyDescent="0.35">
      <c r="N274" s="134" t="str">
        <f t="shared" si="269"/>
        <v/>
      </c>
      <c r="O274" s="82" t="str">
        <f t="shared" si="260"/>
        <v/>
      </c>
      <c r="P274" s="81" t="str">
        <f t="shared" si="270"/>
        <v/>
      </c>
      <c r="Q274" s="81" t="str">
        <f t="shared" si="261"/>
        <v/>
      </c>
      <c r="R274" s="135" t="str">
        <f t="shared" ca="1" si="262"/>
        <v/>
      </c>
      <c r="S274" s="134" t="str">
        <f t="shared" ca="1" si="263"/>
        <v/>
      </c>
      <c r="T274" s="134" t="str">
        <f ca="1">IF(S274=Dashboard!$D$12,S274,"")</f>
        <v/>
      </c>
      <c r="U274" s="134" t="str">
        <f t="shared" ca="1" si="264"/>
        <v/>
      </c>
      <c r="V274" s="83" t="str">
        <f ca="1">IF(U274="","",IFERROR((RANK(U274,$U$2:$U$2028,1)+COUNTIF($U$2:U274,U274))-1,""))</f>
        <v/>
      </c>
      <c r="W274" s="134" t="str">
        <f t="shared" si="268"/>
        <v/>
      </c>
      <c r="X274" s="134" t="str">
        <f>IF(W274="","",IFERROR((RANK(W274,$W$2:$W$2028,1)+COUNTIF($W$2:W274,W274))-1,""))</f>
        <v/>
      </c>
      <c r="Y274" s="134" t="str">
        <f t="shared" si="265"/>
        <v/>
      </c>
      <c r="Z274" s="134" t="str">
        <f>IF(Y274="","",IFERROR((RANK(Y274,$Y$2:$Y$2028,1)+COUNTIF($Y$2:Y274,Y274))-1,""))</f>
        <v/>
      </c>
      <c r="AA274" s="134" t="str">
        <f t="shared" si="266"/>
        <v/>
      </c>
      <c r="AB274" s="134" t="str">
        <f>IF(AA274="","",IFERROR((RANK(AA274,$AA$2:$AA$2028,1)+COUNTIF($AA$2:AA274,AA274))-1,""))</f>
        <v/>
      </c>
      <c r="AC274" s="134" t="str">
        <f t="shared" si="267"/>
        <v/>
      </c>
      <c r="AD274" s="134" t="str">
        <f>IF(AC274="","",IFERROR((RANK(AC274,$AC$2:$AC$2028,1)+COUNTIF($AC$2:AC274,AC274))-1,""))</f>
        <v/>
      </c>
      <c r="AE274" s="144" t="str">
        <f t="shared" si="271"/>
        <v/>
      </c>
      <c r="AF274" s="144" t="str">
        <f>IF(AE274="","",SUM($AE$2:AE274))</f>
        <v/>
      </c>
    </row>
    <row r="275" spans="14:32" x14ac:dyDescent="0.35">
      <c r="N275" s="134" t="str">
        <f t="shared" si="269"/>
        <v/>
      </c>
      <c r="O275" s="82" t="str">
        <f t="shared" si="260"/>
        <v/>
      </c>
      <c r="P275" s="81" t="str">
        <f t="shared" si="270"/>
        <v/>
      </c>
      <c r="Q275" s="81" t="str">
        <f t="shared" si="261"/>
        <v/>
      </c>
      <c r="R275" s="135" t="str">
        <f t="shared" ca="1" si="262"/>
        <v/>
      </c>
      <c r="S275" s="134" t="str">
        <f t="shared" ca="1" si="263"/>
        <v/>
      </c>
      <c r="T275" s="134" t="str">
        <f ca="1">IF(S275=Dashboard!$D$12,S275,"")</f>
        <v/>
      </c>
      <c r="U275" s="134" t="str">
        <f t="shared" ca="1" si="264"/>
        <v/>
      </c>
      <c r="V275" s="83" t="str">
        <f ca="1">IF(U275="","",IFERROR((RANK(U275,$U$2:$U$2028,1)+COUNTIF($U$2:U275,U275))-1,""))</f>
        <v/>
      </c>
      <c r="W275" s="134" t="str">
        <f t="shared" si="268"/>
        <v/>
      </c>
      <c r="X275" s="134" t="str">
        <f>IF(W275="","",IFERROR((RANK(W275,$W$2:$W$2028,1)+COUNTIF($W$2:W275,W275))-1,""))</f>
        <v/>
      </c>
      <c r="Y275" s="134" t="str">
        <f t="shared" si="265"/>
        <v/>
      </c>
      <c r="Z275" s="134" t="str">
        <f>IF(Y275="","",IFERROR((RANK(Y275,$Y$2:$Y$2028,1)+COUNTIF($Y$2:Y275,Y275))-1,""))</f>
        <v/>
      </c>
      <c r="AA275" s="134" t="str">
        <f t="shared" si="266"/>
        <v/>
      </c>
      <c r="AB275" s="134" t="str">
        <f>IF(AA275="","",IFERROR((RANK(AA275,$AA$2:$AA$2028,1)+COUNTIF($AA$2:AA275,AA275))-1,""))</f>
        <v/>
      </c>
      <c r="AC275" s="134" t="str">
        <f t="shared" si="267"/>
        <v/>
      </c>
      <c r="AD275" s="134" t="str">
        <f>IF(AC275="","",IFERROR((RANK(AC275,$AC$2:$AC$2028,1)+COUNTIF($AC$2:AC275,AC275))-1,""))</f>
        <v/>
      </c>
      <c r="AE275" s="144" t="str">
        <f t="shared" si="271"/>
        <v/>
      </c>
      <c r="AF275" s="144" t="str">
        <f>IF(AE275="","",SUM($AE$2:AE275))</f>
        <v/>
      </c>
    </row>
    <row r="276" spans="14:32" x14ac:dyDescent="0.35">
      <c r="N276" s="134" t="str">
        <f t="shared" si="269"/>
        <v/>
      </c>
      <c r="O276" s="82" t="str">
        <f t="shared" si="260"/>
        <v/>
      </c>
      <c r="P276" s="81" t="str">
        <f t="shared" si="270"/>
        <v/>
      </c>
      <c r="Q276" s="81" t="str">
        <f t="shared" si="261"/>
        <v/>
      </c>
      <c r="R276" s="135" t="str">
        <f t="shared" ca="1" si="262"/>
        <v/>
      </c>
      <c r="S276" s="134" t="str">
        <f t="shared" ca="1" si="263"/>
        <v/>
      </c>
      <c r="T276" s="134" t="str">
        <f ca="1">IF(S276=Dashboard!$D$12,S276,"")</f>
        <v/>
      </c>
      <c r="U276" s="134" t="str">
        <f t="shared" ca="1" si="264"/>
        <v/>
      </c>
      <c r="V276" s="83" t="str">
        <f ca="1">IF(U276="","",IFERROR((RANK(U276,$U$2:$U$2028,1)+COUNTIF($U$2:U276,U276))-1,""))</f>
        <v/>
      </c>
      <c r="W276" s="134" t="str">
        <f t="shared" si="268"/>
        <v/>
      </c>
      <c r="X276" s="134" t="str">
        <f>IF(W276="","",IFERROR((RANK(W276,$W$2:$W$2028,1)+COUNTIF($W$2:W276,W276))-1,""))</f>
        <v/>
      </c>
      <c r="Y276" s="134" t="str">
        <f t="shared" si="265"/>
        <v/>
      </c>
      <c r="Z276" s="134" t="str">
        <f>IF(Y276="","",IFERROR((RANK(Y276,$Y$2:$Y$2028,1)+COUNTIF($Y$2:Y276,Y276))-1,""))</f>
        <v/>
      </c>
      <c r="AA276" s="134" t="str">
        <f t="shared" si="266"/>
        <v/>
      </c>
      <c r="AB276" s="134" t="str">
        <f>IF(AA276="","",IFERROR((RANK(AA276,$AA$2:$AA$2028,1)+COUNTIF($AA$2:AA276,AA276))-1,""))</f>
        <v/>
      </c>
      <c r="AC276" s="134" t="str">
        <f t="shared" si="267"/>
        <v/>
      </c>
      <c r="AD276" s="134" t="str">
        <f>IF(AC276="","",IFERROR((RANK(AC276,$AC$2:$AC$2028,1)+COUNTIF($AC$2:AC276,AC276))-1,""))</f>
        <v/>
      </c>
      <c r="AE276" s="144" t="str">
        <f t="shared" si="271"/>
        <v/>
      </c>
      <c r="AF276" s="144" t="str">
        <f>IF(AE276="","",SUM($AE$2:AE276))</f>
        <v/>
      </c>
    </row>
    <row r="277" spans="14:32" x14ac:dyDescent="0.35">
      <c r="N277" s="134" t="str">
        <f t="shared" si="269"/>
        <v/>
      </c>
      <c r="O277" s="82" t="str">
        <f t="shared" si="260"/>
        <v/>
      </c>
      <c r="P277" s="81" t="str">
        <f t="shared" si="270"/>
        <v/>
      </c>
      <c r="Q277" s="81" t="str">
        <f t="shared" si="261"/>
        <v/>
      </c>
      <c r="R277" s="135" t="str">
        <f t="shared" ca="1" si="262"/>
        <v/>
      </c>
      <c r="S277" s="134" t="str">
        <f t="shared" ca="1" si="263"/>
        <v/>
      </c>
      <c r="T277" s="134" t="str">
        <f ca="1">IF(S277=Dashboard!$D$12,S277,"")</f>
        <v/>
      </c>
      <c r="U277" s="134" t="str">
        <f t="shared" ca="1" si="264"/>
        <v/>
      </c>
      <c r="V277" s="83" t="str">
        <f ca="1">IF(U277="","",IFERROR((RANK(U277,$U$2:$U$2028,1)+COUNTIF($U$2:U277,U277))-1,""))</f>
        <v/>
      </c>
      <c r="W277" s="134" t="str">
        <f t="shared" si="268"/>
        <v/>
      </c>
      <c r="X277" s="134" t="str">
        <f>IF(W277="","",IFERROR((RANK(W277,$W$2:$W$2028,1)+COUNTIF($W$2:W277,W277))-1,""))</f>
        <v/>
      </c>
      <c r="Y277" s="134" t="str">
        <f t="shared" si="265"/>
        <v/>
      </c>
      <c r="Z277" s="134" t="str">
        <f>IF(Y277="","",IFERROR((RANK(Y277,$Y$2:$Y$2028,1)+COUNTIF($Y$2:Y277,Y277))-1,""))</f>
        <v/>
      </c>
      <c r="AA277" s="134" t="str">
        <f t="shared" si="266"/>
        <v/>
      </c>
      <c r="AB277" s="134" t="str">
        <f>IF(AA277="","",IFERROR((RANK(AA277,$AA$2:$AA$2028,1)+COUNTIF($AA$2:AA277,AA277))-1,""))</f>
        <v/>
      </c>
      <c r="AC277" s="134" t="str">
        <f t="shared" si="267"/>
        <v/>
      </c>
      <c r="AD277" s="134" t="str">
        <f>IF(AC277="","",IFERROR((RANK(AC277,$AC$2:$AC$2028,1)+COUNTIF($AC$2:AC277,AC277))-1,""))</f>
        <v/>
      </c>
      <c r="AE277" s="144" t="str">
        <f t="shared" si="271"/>
        <v/>
      </c>
      <c r="AF277" s="144" t="str">
        <f>IF(AE277="","",SUM($AE$2:AE277))</f>
        <v/>
      </c>
    </row>
    <row r="278" spans="14:32" x14ac:dyDescent="0.35">
      <c r="N278" s="134" t="str">
        <f t="shared" si="269"/>
        <v/>
      </c>
      <c r="O278" s="82" t="str">
        <f t="shared" si="260"/>
        <v/>
      </c>
      <c r="P278" s="81" t="str">
        <f t="shared" si="270"/>
        <v/>
      </c>
      <c r="Q278" s="81" t="str">
        <f t="shared" si="261"/>
        <v/>
      </c>
      <c r="R278" s="135" t="str">
        <f t="shared" ca="1" si="262"/>
        <v/>
      </c>
      <c r="S278" s="134" t="str">
        <f t="shared" ca="1" si="263"/>
        <v/>
      </c>
      <c r="T278" s="134" t="str">
        <f ca="1">IF(S278=Dashboard!$D$12,S278,"")</f>
        <v/>
      </c>
      <c r="U278" s="134" t="str">
        <f t="shared" ca="1" si="264"/>
        <v/>
      </c>
      <c r="V278" s="83" t="str">
        <f ca="1">IF(U278="","",IFERROR((RANK(U278,$U$2:$U$2028,1)+COUNTIF($U$2:U278,U278))-1,""))</f>
        <v/>
      </c>
      <c r="W278" s="134" t="str">
        <f t="shared" si="268"/>
        <v/>
      </c>
      <c r="X278" s="134" t="str">
        <f>IF(W278="","",IFERROR((RANK(W278,$W$2:$W$2028,1)+COUNTIF($W$2:W278,W278))-1,""))</f>
        <v/>
      </c>
      <c r="Y278" s="134" t="str">
        <f t="shared" si="265"/>
        <v/>
      </c>
      <c r="Z278" s="134" t="str">
        <f>IF(Y278="","",IFERROR((RANK(Y278,$Y$2:$Y$2028,1)+COUNTIF($Y$2:Y278,Y278))-1,""))</f>
        <v/>
      </c>
      <c r="AA278" s="134" t="str">
        <f t="shared" si="266"/>
        <v/>
      </c>
      <c r="AB278" s="134" t="str">
        <f>IF(AA278="","",IFERROR((RANK(AA278,$AA$2:$AA$2028,1)+COUNTIF($AA$2:AA278,AA278))-1,""))</f>
        <v/>
      </c>
      <c r="AC278" s="134" t="str">
        <f t="shared" si="267"/>
        <v/>
      </c>
      <c r="AD278" s="134" t="str">
        <f>IF(AC278="","",IFERROR((RANK(AC278,$AC$2:$AC$2028,1)+COUNTIF($AC$2:AC278,AC278))-1,""))</f>
        <v/>
      </c>
      <c r="AE278" s="144" t="str">
        <f t="shared" si="271"/>
        <v/>
      </c>
      <c r="AF278" s="144" t="str">
        <f>IF(AE278="","",SUM($AE$2:AE278))</f>
        <v/>
      </c>
    </row>
    <row r="279" spans="14:32" x14ac:dyDescent="0.35">
      <c r="N279" s="134" t="str">
        <f t="shared" si="269"/>
        <v/>
      </c>
      <c r="O279" s="82" t="str">
        <f t="shared" si="260"/>
        <v/>
      </c>
      <c r="P279" s="81" t="str">
        <f t="shared" si="270"/>
        <v/>
      </c>
      <c r="Q279" s="81" t="str">
        <f t="shared" si="261"/>
        <v/>
      </c>
      <c r="R279" s="135" t="str">
        <f t="shared" ca="1" si="262"/>
        <v/>
      </c>
      <c r="S279" s="134" t="str">
        <f t="shared" ca="1" si="263"/>
        <v/>
      </c>
      <c r="T279" s="134" t="str">
        <f ca="1">IF(S279=Dashboard!$D$12,S279,"")</f>
        <v/>
      </c>
      <c r="U279" s="134" t="str">
        <f t="shared" ca="1" si="264"/>
        <v/>
      </c>
      <c r="V279" s="83" t="str">
        <f ca="1">IF(U279="","",IFERROR((RANK(U279,$U$2:$U$2028,1)+COUNTIF($U$2:U279,U279))-1,""))</f>
        <v/>
      </c>
      <c r="W279" s="134" t="str">
        <f t="shared" si="268"/>
        <v/>
      </c>
      <c r="X279" s="134" t="str">
        <f>IF(W279="","",IFERROR((RANK(W279,$W$2:$W$2028,1)+COUNTIF($W$2:W279,W279))-1,""))</f>
        <v/>
      </c>
      <c r="Y279" s="134" t="str">
        <f t="shared" si="265"/>
        <v/>
      </c>
      <c r="Z279" s="134" t="str">
        <f>IF(Y279="","",IFERROR((RANK(Y279,$Y$2:$Y$2028,1)+COUNTIF($Y$2:Y279,Y279))-1,""))</f>
        <v/>
      </c>
      <c r="AA279" s="134" t="str">
        <f t="shared" si="266"/>
        <v/>
      </c>
      <c r="AB279" s="134" t="str">
        <f>IF(AA279="","",IFERROR((RANK(AA279,$AA$2:$AA$2028,1)+COUNTIF($AA$2:AA279,AA279))-1,""))</f>
        <v/>
      </c>
      <c r="AC279" s="134" t="str">
        <f t="shared" si="267"/>
        <v/>
      </c>
      <c r="AD279" s="134" t="str">
        <f>IF(AC279="","",IFERROR((RANK(AC279,$AC$2:$AC$2028,1)+COUNTIF($AC$2:AC279,AC279))-1,""))</f>
        <v/>
      </c>
      <c r="AE279" s="144" t="str">
        <f t="shared" si="271"/>
        <v/>
      </c>
      <c r="AF279" s="144" t="str">
        <f>IF(AE279="","",SUM($AE$2:AE279))</f>
        <v/>
      </c>
    </row>
    <row r="280" spans="14:32" x14ac:dyDescent="0.35">
      <c r="N280" s="134" t="str">
        <f t="shared" si="269"/>
        <v/>
      </c>
      <c r="O280" s="82" t="str">
        <f t="shared" si="260"/>
        <v/>
      </c>
      <c r="P280" s="81" t="str">
        <f t="shared" si="270"/>
        <v/>
      </c>
      <c r="Q280" s="81" t="str">
        <f t="shared" si="261"/>
        <v/>
      </c>
      <c r="R280" s="135" t="str">
        <f t="shared" ca="1" si="262"/>
        <v/>
      </c>
      <c r="S280" s="134" t="str">
        <f t="shared" ca="1" si="263"/>
        <v/>
      </c>
      <c r="T280" s="134" t="str">
        <f ca="1">IF(S280=Dashboard!$D$12,S280,"")</f>
        <v/>
      </c>
      <c r="U280" s="134" t="str">
        <f t="shared" ca="1" si="264"/>
        <v/>
      </c>
      <c r="V280" s="83" t="str">
        <f ca="1">IF(U280="","",IFERROR((RANK(U280,$U$2:$U$2028,1)+COUNTIF($U$2:U280,U280))-1,""))</f>
        <v/>
      </c>
      <c r="W280" s="134" t="str">
        <f t="shared" si="268"/>
        <v/>
      </c>
      <c r="X280" s="134" t="str">
        <f>IF(W280="","",IFERROR((RANK(W280,$W$2:$W$2028,1)+COUNTIF($W$2:W280,W280))-1,""))</f>
        <v/>
      </c>
      <c r="Y280" s="134" t="str">
        <f t="shared" si="265"/>
        <v/>
      </c>
      <c r="Z280" s="134" t="str">
        <f>IF(Y280="","",IFERROR((RANK(Y280,$Y$2:$Y$2028,1)+COUNTIF($Y$2:Y280,Y280))-1,""))</f>
        <v/>
      </c>
      <c r="AA280" s="134" t="str">
        <f t="shared" si="266"/>
        <v/>
      </c>
      <c r="AB280" s="134" t="str">
        <f>IF(AA280="","",IFERROR((RANK(AA280,$AA$2:$AA$2028,1)+COUNTIF($AA$2:AA280,AA280))-1,""))</f>
        <v/>
      </c>
      <c r="AC280" s="134" t="str">
        <f t="shared" si="267"/>
        <v/>
      </c>
      <c r="AD280" s="134" t="str">
        <f>IF(AC280="","",IFERROR((RANK(AC280,$AC$2:$AC$2028,1)+COUNTIF($AC$2:AC280,AC280))-1,""))</f>
        <v/>
      </c>
      <c r="AE280" s="144" t="str">
        <f t="shared" si="271"/>
        <v/>
      </c>
      <c r="AF280" s="144" t="str">
        <f>IF(AE280="","",SUM($AE$2:AE280))</f>
        <v/>
      </c>
    </row>
    <row r="281" spans="14:32" x14ac:dyDescent="0.35">
      <c r="N281" s="134" t="str">
        <f t="shared" si="269"/>
        <v/>
      </c>
      <c r="O281" s="82" t="str">
        <f t="shared" si="260"/>
        <v/>
      </c>
      <c r="P281" s="81" t="str">
        <f t="shared" si="270"/>
        <v/>
      </c>
      <c r="Q281" s="81" t="str">
        <f t="shared" si="261"/>
        <v/>
      </c>
      <c r="R281" s="135" t="str">
        <f t="shared" ca="1" si="262"/>
        <v/>
      </c>
      <c r="S281" s="134" t="str">
        <f t="shared" ca="1" si="263"/>
        <v/>
      </c>
      <c r="T281" s="134" t="str">
        <f ca="1">IF(S281=Dashboard!$D$12,S281,"")</f>
        <v/>
      </c>
      <c r="U281" s="134" t="str">
        <f t="shared" ca="1" si="264"/>
        <v/>
      </c>
      <c r="V281" s="83" t="str">
        <f ca="1">IF(U281="","",IFERROR((RANK(U281,$U$2:$U$2028,1)+COUNTIF($U$2:U281,U281))-1,""))</f>
        <v/>
      </c>
      <c r="W281" s="134" t="str">
        <f t="shared" si="268"/>
        <v/>
      </c>
      <c r="X281" s="134" t="str">
        <f>IF(W281="","",IFERROR((RANK(W281,$W$2:$W$2028,1)+COUNTIF($W$2:W281,W281))-1,""))</f>
        <v/>
      </c>
      <c r="Y281" s="134" t="str">
        <f t="shared" si="265"/>
        <v/>
      </c>
      <c r="Z281" s="134" t="str">
        <f>IF(Y281="","",IFERROR((RANK(Y281,$Y$2:$Y$2028,1)+COUNTIF($Y$2:Y281,Y281))-1,""))</f>
        <v/>
      </c>
      <c r="AA281" s="134" t="str">
        <f t="shared" si="266"/>
        <v/>
      </c>
      <c r="AB281" s="134" t="str">
        <f>IF(AA281="","",IFERROR((RANK(AA281,$AA$2:$AA$2028,1)+COUNTIF($AA$2:AA281,AA281))-1,""))</f>
        <v/>
      </c>
      <c r="AC281" s="134" t="str">
        <f t="shared" si="267"/>
        <v/>
      </c>
      <c r="AD281" s="134" t="str">
        <f>IF(AC281="","",IFERROR((RANK(AC281,$AC$2:$AC$2028,1)+COUNTIF($AC$2:AC281,AC281))-1,""))</f>
        <v/>
      </c>
      <c r="AE281" s="144" t="str">
        <f t="shared" si="271"/>
        <v/>
      </c>
      <c r="AF281" s="144" t="str">
        <f>IF(AE281="","",SUM($AE$2:AE281))</f>
        <v/>
      </c>
    </row>
    <row r="282" spans="14:32" x14ac:dyDescent="0.35">
      <c r="N282" s="134" t="str">
        <f t="shared" si="269"/>
        <v/>
      </c>
      <c r="O282" s="82" t="str">
        <f t="shared" si="260"/>
        <v/>
      </c>
      <c r="P282" s="81" t="str">
        <f t="shared" si="270"/>
        <v/>
      </c>
      <c r="Q282" s="81" t="str">
        <f t="shared" si="261"/>
        <v/>
      </c>
      <c r="R282" s="135" t="str">
        <f t="shared" ca="1" si="262"/>
        <v/>
      </c>
      <c r="S282" s="134" t="str">
        <f t="shared" ca="1" si="263"/>
        <v/>
      </c>
      <c r="T282" s="134" t="str">
        <f ca="1">IF(S282=Dashboard!$D$12,S282,"")</f>
        <v/>
      </c>
      <c r="U282" s="134" t="str">
        <f t="shared" ca="1" si="264"/>
        <v/>
      </c>
      <c r="V282" s="83" t="str">
        <f ca="1">IF(U282="","",IFERROR((RANK(U282,$U$2:$U$2028,1)+COUNTIF($U$2:U282,U282))-1,""))</f>
        <v/>
      </c>
      <c r="W282" s="134" t="str">
        <f t="shared" si="268"/>
        <v/>
      </c>
      <c r="X282" s="134" t="str">
        <f>IF(W282="","",IFERROR((RANK(W282,$W$2:$W$2028,1)+COUNTIF($W$2:W282,W282))-1,""))</f>
        <v/>
      </c>
      <c r="Y282" s="134" t="str">
        <f t="shared" si="265"/>
        <v/>
      </c>
      <c r="Z282" s="134" t="str">
        <f>IF(Y282="","",IFERROR((RANK(Y282,$Y$2:$Y$2028,1)+COUNTIF($Y$2:Y282,Y282))-1,""))</f>
        <v/>
      </c>
      <c r="AA282" s="134" t="str">
        <f t="shared" si="266"/>
        <v/>
      </c>
      <c r="AB282" s="134" t="str">
        <f>IF(AA282="","",IFERROR((RANK(AA282,$AA$2:$AA$2028,1)+COUNTIF($AA$2:AA282,AA282))-1,""))</f>
        <v/>
      </c>
      <c r="AC282" s="134" t="str">
        <f t="shared" si="267"/>
        <v/>
      </c>
      <c r="AD282" s="134" t="str">
        <f>IF(AC282="","",IFERROR((RANK(AC282,$AC$2:$AC$2028,1)+COUNTIF($AC$2:AC282,AC282))-1,""))</f>
        <v/>
      </c>
      <c r="AE282" s="144" t="str">
        <f t="shared" si="271"/>
        <v/>
      </c>
      <c r="AF282" s="144" t="str">
        <f>IF(AE282="","",SUM($AE$2:AE282))</f>
        <v/>
      </c>
    </row>
    <row r="283" spans="14:32" x14ac:dyDescent="0.35">
      <c r="N283" s="134" t="str">
        <f t="shared" si="269"/>
        <v/>
      </c>
      <c r="O283" s="82" t="str">
        <f t="shared" si="260"/>
        <v/>
      </c>
      <c r="P283" s="81" t="str">
        <f t="shared" si="270"/>
        <v/>
      </c>
      <c r="Q283" s="81" t="str">
        <f t="shared" si="261"/>
        <v/>
      </c>
      <c r="R283" s="135" t="str">
        <f t="shared" ca="1" si="262"/>
        <v/>
      </c>
      <c r="S283" s="134" t="str">
        <f t="shared" ca="1" si="263"/>
        <v/>
      </c>
      <c r="T283" s="134" t="str">
        <f ca="1">IF(S283=Dashboard!$D$12,S283,"")</f>
        <v/>
      </c>
      <c r="U283" s="134" t="str">
        <f t="shared" ca="1" si="264"/>
        <v/>
      </c>
      <c r="V283" s="83" t="str">
        <f ca="1">IF(U283="","",IFERROR((RANK(U283,$U$2:$U$2028,1)+COUNTIF($U$2:U283,U283))-1,""))</f>
        <v/>
      </c>
      <c r="W283" s="134" t="str">
        <f t="shared" si="268"/>
        <v/>
      </c>
      <c r="X283" s="134" t="str">
        <f>IF(W283="","",IFERROR((RANK(W283,$W$2:$W$2028,1)+COUNTIF($W$2:W283,W283))-1,""))</f>
        <v/>
      </c>
      <c r="Y283" s="134" t="str">
        <f t="shared" si="265"/>
        <v/>
      </c>
      <c r="Z283" s="134" t="str">
        <f>IF(Y283="","",IFERROR((RANK(Y283,$Y$2:$Y$2028,1)+COUNTIF($Y$2:Y283,Y283))-1,""))</f>
        <v/>
      </c>
      <c r="AA283" s="134" t="str">
        <f t="shared" si="266"/>
        <v/>
      </c>
      <c r="AB283" s="134" t="str">
        <f>IF(AA283="","",IFERROR((RANK(AA283,$AA$2:$AA$2028,1)+COUNTIF($AA$2:AA283,AA283))-1,""))</f>
        <v/>
      </c>
      <c r="AC283" s="134" t="str">
        <f t="shared" si="267"/>
        <v/>
      </c>
      <c r="AD283" s="134" t="str">
        <f>IF(AC283="","",IFERROR((RANK(AC283,$AC$2:$AC$2028,1)+COUNTIF($AC$2:AC283,AC283))-1,""))</f>
        <v/>
      </c>
      <c r="AE283" s="144" t="str">
        <f t="shared" si="271"/>
        <v/>
      </c>
      <c r="AF283" s="144" t="str">
        <f>IF(AE283="","",SUM($AE$2:AE283))</f>
        <v/>
      </c>
    </row>
    <row r="284" spans="14:32" x14ac:dyDescent="0.35">
      <c r="N284" s="134" t="str">
        <f t="shared" si="269"/>
        <v/>
      </c>
      <c r="O284" s="82" t="str">
        <f t="shared" si="260"/>
        <v/>
      </c>
      <c r="P284" s="81" t="str">
        <f t="shared" si="270"/>
        <v/>
      </c>
      <c r="Q284" s="81" t="str">
        <f t="shared" si="261"/>
        <v/>
      </c>
      <c r="R284" s="135" t="str">
        <f t="shared" ca="1" si="262"/>
        <v/>
      </c>
      <c r="S284" s="134" t="str">
        <f t="shared" ca="1" si="263"/>
        <v/>
      </c>
      <c r="T284" s="134" t="str">
        <f ca="1">IF(S284=Dashboard!$D$12,S284,"")</f>
        <v/>
      </c>
      <c r="U284" s="134" t="str">
        <f t="shared" ca="1" si="264"/>
        <v/>
      </c>
      <c r="V284" s="83" t="str">
        <f ca="1">IF(U284="","",IFERROR((RANK(U284,$U$2:$U$2028,1)+COUNTIF($U$2:U284,U284))-1,""))</f>
        <v/>
      </c>
      <c r="W284" s="134" t="str">
        <f t="shared" si="268"/>
        <v/>
      </c>
      <c r="X284" s="134" t="str">
        <f>IF(W284="","",IFERROR((RANK(W284,$W$2:$W$2028,1)+COUNTIF($W$2:W284,W284))-1,""))</f>
        <v/>
      </c>
      <c r="Y284" s="134" t="str">
        <f t="shared" si="265"/>
        <v/>
      </c>
      <c r="Z284" s="134" t="str">
        <f>IF(Y284="","",IFERROR((RANK(Y284,$Y$2:$Y$2028,1)+COUNTIF($Y$2:Y284,Y284))-1,""))</f>
        <v/>
      </c>
      <c r="AA284" s="134" t="str">
        <f t="shared" si="266"/>
        <v/>
      </c>
      <c r="AB284" s="134" t="str">
        <f>IF(AA284="","",IFERROR((RANK(AA284,$AA$2:$AA$2028,1)+COUNTIF($AA$2:AA284,AA284))-1,""))</f>
        <v/>
      </c>
      <c r="AC284" s="134" t="str">
        <f t="shared" si="267"/>
        <v/>
      </c>
      <c r="AD284" s="134" t="str">
        <f>IF(AC284="","",IFERROR((RANK(AC284,$AC$2:$AC$2028,1)+COUNTIF($AC$2:AC284,AC284))-1,""))</f>
        <v/>
      </c>
      <c r="AE284" s="144" t="str">
        <f t="shared" si="271"/>
        <v/>
      </c>
      <c r="AF284" s="144" t="str">
        <f>IF(AE284="","",SUM($AE$2:AE284))</f>
        <v/>
      </c>
    </row>
    <row r="285" spans="14:32" x14ac:dyDescent="0.35">
      <c r="N285" s="134" t="str">
        <f t="shared" si="269"/>
        <v/>
      </c>
      <c r="O285" s="82" t="str">
        <f t="shared" si="260"/>
        <v/>
      </c>
      <c r="P285" s="81" t="str">
        <f t="shared" si="270"/>
        <v/>
      </c>
      <c r="Q285" s="81" t="str">
        <f t="shared" si="261"/>
        <v/>
      </c>
      <c r="R285" s="135" t="str">
        <f t="shared" ca="1" si="262"/>
        <v/>
      </c>
      <c r="S285" s="134" t="str">
        <f t="shared" ca="1" si="263"/>
        <v/>
      </c>
      <c r="T285" s="134" t="str">
        <f ca="1">IF(S285=Dashboard!$D$12,S285,"")</f>
        <v/>
      </c>
      <c r="U285" s="134" t="str">
        <f t="shared" ca="1" si="264"/>
        <v/>
      </c>
      <c r="V285" s="83" t="str">
        <f ca="1">IF(U285="","",IFERROR((RANK(U285,$U$2:$U$2028,1)+COUNTIF($U$2:U285,U285))-1,""))</f>
        <v/>
      </c>
      <c r="W285" s="134" t="str">
        <f t="shared" si="268"/>
        <v/>
      </c>
      <c r="X285" s="134" t="str">
        <f>IF(W285="","",IFERROR((RANK(W285,$W$2:$W$2028,1)+COUNTIF($W$2:W285,W285))-1,""))</f>
        <v/>
      </c>
      <c r="Y285" s="134" t="str">
        <f t="shared" si="265"/>
        <v/>
      </c>
      <c r="Z285" s="134" t="str">
        <f>IF(Y285="","",IFERROR((RANK(Y285,$Y$2:$Y$2028,1)+COUNTIF($Y$2:Y285,Y285))-1,""))</f>
        <v/>
      </c>
      <c r="AA285" s="134" t="str">
        <f t="shared" si="266"/>
        <v/>
      </c>
      <c r="AB285" s="134" t="str">
        <f>IF(AA285="","",IFERROR((RANK(AA285,$AA$2:$AA$2028,1)+COUNTIF($AA$2:AA285,AA285))-1,""))</f>
        <v/>
      </c>
      <c r="AC285" s="134" t="str">
        <f t="shared" si="267"/>
        <v/>
      </c>
      <c r="AD285" s="134" t="str">
        <f>IF(AC285="","",IFERROR((RANK(AC285,$AC$2:$AC$2028,1)+COUNTIF($AC$2:AC285,AC285))-1,""))</f>
        <v/>
      </c>
      <c r="AE285" s="144" t="str">
        <f t="shared" si="271"/>
        <v/>
      </c>
      <c r="AF285" s="144" t="str">
        <f>IF(AE285="","",SUM($AE$2:AE285))</f>
        <v/>
      </c>
    </row>
    <row r="286" spans="14:32" x14ac:dyDescent="0.35">
      <c r="N286" s="134" t="str">
        <f t="shared" si="269"/>
        <v/>
      </c>
      <c r="O286" s="82" t="str">
        <f t="shared" ref="O286:O349" si="272">IF(A286="","",N286&amp;"-"&amp;M286)</f>
        <v/>
      </c>
      <c r="P286" s="81" t="str">
        <f t="shared" si="270"/>
        <v/>
      </c>
      <c r="Q286" s="81" t="str">
        <f t="shared" ref="Q286:Q349" si="273">IF(A286="","",IF(P286=1,M286,""))</f>
        <v/>
      </c>
      <c r="R286" s="135" t="str">
        <f t="shared" ref="R286:R349" ca="1" si="274">IF(Q286="","",I286-TODAY())</f>
        <v/>
      </c>
      <c r="S286" s="134" t="str">
        <f t="shared" ref="S286:S349" ca="1" si="275">IF(R286="","",
IF(R286&lt;-90,"Pass&gt;90",IF(R286&lt;-60,"Pass 61-90",IF(R286&lt;-30,"Pass 31-60",IF(R286&lt;0,"Pass 0-30",IF(R286&lt;31,"Run 0-30",IF(R286&lt;61,"Run 31-60",IF(R286&lt;91,"Run 60-90","Run &gt;90"))))))))</f>
        <v/>
      </c>
      <c r="T286" s="134" t="str">
        <f ca="1">IF(S286=Dashboard!$D$12,S286,"")</f>
        <v/>
      </c>
      <c r="U286" s="134" t="str">
        <f t="shared" ref="U286:U349" ca="1" si="276">IF(T286="","",R286)</f>
        <v/>
      </c>
      <c r="V286" s="83" t="str">
        <f ca="1">IF(U286="","",IFERROR((RANK(U286,$U$2:$U$2028,1)+COUNTIF($U$2:U286,U286))-1,""))</f>
        <v/>
      </c>
      <c r="W286" s="134" t="str">
        <f t="shared" si="268"/>
        <v/>
      </c>
      <c r="X286" s="134" t="str">
        <f>IF(W286="","",IFERROR((RANK(W286,$W$2:$W$2028,1)+COUNTIF($W$2:W286,W286))-1,""))</f>
        <v/>
      </c>
      <c r="Y286" s="134" t="str">
        <f t="shared" ref="Y286:Y349" si="277">IF($J286=Y$1,$U286,"")</f>
        <v/>
      </c>
      <c r="Z286" s="134" t="str">
        <f>IF(Y286="","",IFERROR((RANK(Y286,$Y$2:$Y$2028,1)+COUNTIF($Y$2:Y286,Y286))-1,""))</f>
        <v/>
      </c>
      <c r="AA286" s="134" t="str">
        <f t="shared" ref="AA286:AA349" si="278">IF($J286=AA$1,$U286,"")</f>
        <v/>
      </c>
      <c r="AB286" s="134" t="str">
        <f>IF(AA286="","",IFERROR((RANK(AA286,$AA$2:$AA$2028,1)+COUNTIF($AA$2:AA286,AA286))-1,""))</f>
        <v/>
      </c>
      <c r="AC286" s="134" t="str">
        <f t="shared" ref="AC286:AC349" si="279">IF($J286=AC$1,$U286,"")</f>
        <v/>
      </c>
      <c r="AD286" s="134" t="str">
        <f>IF(AC286="","",IFERROR((RANK(AC286,$AC$2:$AC$2028,1)+COUNTIF($AC$2:AC286,AC286))-1,""))</f>
        <v/>
      </c>
      <c r="AE286" s="144" t="str">
        <f t="shared" si="271"/>
        <v/>
      </c>
      <c r="AF286" s="144" t="str">
        <f>IF(AE286="","",SUM($AE$2:AE286))</f>
        <v/>
      </c>
    </row>
    <row r="287" spans="14:32" x14ac:dyDescent="0.35">
      <c r="N287" s="134" t="str">
        <f t="shared" si="269"/>
        <v/>
      </c>
      <c r="O287" s="82" t="str">
        <f t="shared" si="272"/>
        <v/>
      </c>
      <c r="P287" s="81" t="str">
        <f t="shared" si="270"/>
        <v/>
      </c>
      <c r="Q287" s="81" t="str">
        <f t="shared" si="273"/>
        <v/>
      </c>
      <c r="R287" s="135" t="str">
        <f t="shared" ca="1" si="274"/>
        <v/>
      </c>
      <c r="S287" s="134" t="str">
        <f t="shared" ca="1" si="275"/>
        <v/>
      </c>
      <c r="T287" s="134" t="str">
        <f ca="1">IF(S287=Dashboard!$D$12,S287,"")</f>
        <v/>
      </c>
      <c r="U287" s="134" t="str">
        <f t="shared" ca="1" si="276"/>
        <v/>
      </c>
      <c r="V287" s="83" t="str">
        <f ca="1">IF(U287="","",IFERROR((RANK(U287,$U$2:$U$2028,1)+COUNTIF($U$2:U287,U287))-1,""))</f>
        <v/>
      </c>
      <c r="W287" s="134" t="str">
        <f t="shared" ref="W287:W350" si="280">IF($J287=$W$1,U287,"")</f>
        <v/>
      </c>
      <c r="X287" s="134" t="str">
        <f>IF(W287="","",IFERROR((RANK(W287,$W$2:$W$2028,1)+COUNTIF($W$2:W287,W287))-1,""))</f>
        <v/>
      </c>
      <c r="Y287" s="134" t="str">
        <f t="shared" si="277"/>
        <v/>
      </c>
      <c r="Z287" s="134" t="str">
        <f>IF(Y287="","",IFERROR((RANK(Y287,$Y$2:$Y$2028,1)+COUNTIF($Y$2:Y287,Y287))-1,""))</f>
        <v/>
      </c>
      <c r="AA287" s="134" t="str">
        <f t="shared" si="278"/>
        <v/>
      </c>
      <c r="AB287" s="134" t="str">
        <f>IF(AA287="","",IFERROR((RANK(AA287,$AA$2:$AA$2028,1)+COUNTIF($AA$2:AA287,AA287))-1,""))</f>
        <v/>
      </c>
      <c r="AC287" s="134" t="str">
        <f t="shared" si="279"/>
        <v/>
      </c>
      <c r="AD287" s="134" t="str">
        <f>IF(AC287="","",IFERROR((RANK(AC287,$AC$2:$AC$2028,1)+COUNTIF($AC$2:AC287,AC287))-1,""))</f>
        <v/>
      </c>
      <c r="AE287" s="144" t="str">
        <f t="shared" si="271"/>
        <v/>
      </c>
      <c r="AF287" s="144" t="str">
        <f>IF(AE287="","",SUM($AE$2:AE287))</f>
        <v/>
      </c>
    </row>
    <row r="288" spans="14:32" x14ac:dyDescent="0.35">
      <c r="N288" s="134" t="str">
        <f t="shared" si="269"/>
        <v/>
      </c>
      <c r="O288" s="82" t="str">
        <f t="shared" si="272"/>
        <v/>
      </c>
      <c r="P288" s="81" t="str">
        <f t="shared" si="270"/>
        <v/>
      </c>
      <c r="Q288" s="81" t="str">
        <f t="shared" si="273"/>
        <v/>
      </c>
      <c r="R288" s="135" t="str">
        <f t="shared" ca="1" si="274"/>
        <v/>
      </c>
      <c r="S288" s="134" t="str">
        <f t="shared" ca="1" si="275"/>
        <v/>
      </c>
      <c r="T288" s="134" t="str">
        <f ca="1">IF(S288=Dashboard!$D$12,S288,"")</f>
        <v/>
      </c>
      <c r="U288" s="134" t="str">
        <f t="shared" ca="1" si="276"/>
        <v/>
      </c>
      <c r="V288" s="83" t="str">
        <f ca="1">IF(U288="","",IFERROR((RANK(U288,$U$2:$U$2028,1)+COUNTIF($U$2:U288,U288))-1,""))</f>
        <v/>
      </c>
      <c r="W288" s="134" t="str">
        <f t="shared" si="280"/>
        <v/>
      </c>
      <c r="X288" s="134" t="str">
        <f>IF(W288="","",IFERROR((RANK(W288,$W$2:$W$2028,1)+COUNTIF($W$2:W288,W288))-1,""))</f>
        <v/>
      </c>
      <c r="Y288" s="134" t="str">
        <f t="shared" si="277"/>
        <v/>
      </c>
      <c r="Z288" s="134" t="str">
        <f>IF(Y288="","",IFERROR((RANK(Y288,$Y$2:$Y$2028,1)+COUNTIF($Y$2:Y288,Y288))-1,""))</f>
        <v/>
      </c>
      <c r="AA288" s="134" t="str">
        <f t="shared" si="278"/>
        <v/>
      </c>
      <c r="AB288" s="134" t="str">
        <f>IF(AA288="","",IFERROR((RANK(AA288,$AA$2:$AA$2028,1)+COUNTIF($AA$2:AA288,AA288))-1,""))</f>
        <v/>
      </c>
      <c r="AC288" s="134" t="str">
        <f t="shared" si="279"/>
        <v/>
      </c>
      <c r="AD288" s="134" t="str">
        <f>IF(AC288="","",IFERROR((RANK(AC288,$AC$2:$AC$2028,1)+COUNTIF($AC$2:AC288,AC288))-1,""))</f>
        <v/>
      </c>
      <c r="AE288" s="144" t="str">
        <f t="shared" si="271"/>
        <v/>
      </c>
      <c r="AF288" s="144" t="str">
        <f>IF(AE288="","",SUM($AE$2:AE288))</f>
        <v/>
      </c>
    </row>
    <row r="289" spans="14:32" x14ac:dyDescent="0.35">
      <c r="N289" s="134" t="str">
        <f t="shared" si="269"/>
        <v/>
      </c>
      <c r="O289" s="82" t="str">
        <f t="shared" si="272"/>
        <v/>
      </c>
      <c r="P289" s="81" t="str">
        <f t="shared" si="270"/>
        <v/>
      </c>
      <c r="Q289" s="81" t="str">
        <f t="shared" si="273"/>
        <v/>
      </c>
      <c r="R289" s="135" t="str">
        <f t="shared" ca="1" si="274"/>
        <v/>
      </c>
      <c r="S289" s="134" t="str">
        <f t="shared" ca="1" si="275"/>
        <v/>
      </c>
      <c r="T289" s="134" t="str">
        <f ca="1">IF(S289=Dashboard!$D$12,S289,"")</f>
        <v/>
      </c>
      <c r="U289" s="134" t="str">
        <f t="shared" ca="1" si="276"/>
        <v/>
      </c>
      <c r="V289" s="83" t="str">
        <f ca="1">IF(U289="","",IFERROR((RANK(U289,$U$2:$U$2028,1)+COUNTIF($U$2:U289,U289))-1,""))</f>
        <v/>
      </c>
      <c r="W289" s="134" t="str">
        <f t="shared" si="280"/>
        <v/>
      </c>
      <c r="X289" s="134" t="str">
        <f>IF(W289="","",IFERROR((RANK(W289,$W$2:$W$2028,1)+COUNTIF($W$2:W289,W289))-1,""))</f>
        <v/>
      </c>
      <c r="Y289" s="134" t="str">
        <f t="shared" si="277"/>
        <v/>
      </c>
      <c r="Z289" s="134" t="str">
        <f>IF(Y289="","",IFERROR((RANK(Y289,$Y$2:$Y$2028,1)+COUNTIF($Y$2:Y289,Y289))-1,""))</f>
        <v/>
      </c>
      <c r="AA289" s="134" t="str">
        <f t="shared" si="278"/>
        <v/>
      </c>
      <c r="AB289" s="134" t="str">
        <f>IF(AA289="","",IFERROR((RANK(AA289,$AA$2:$AA$2028,1)+COUNTIF($AA$2:AA289,AA289))-1,""))</f>
        <v/>
      </c>
      <c r="AC289" s="134" t="str">
        <f t="shared" si="279"/>
        <v/>
      </c>
      <c r="AD289" s="134" t="str">
        <f>IF(AC289="","",IFERROR((RANK(AC289,$AC$2:$AC$2028,1)+COUNTIF($AC$2:AC289,AC289))-1,""))</f>
        <v/>
      </c>
      <c r="AE289" s="144" t="str">
        <f t="shared" si="271"/>
        <v/>
      </c>
      <c r="AF289" s="144" t="str">
        <f>IF(AE289="","",SUM($AE$2:AE289))</f>
        <v/>
      </c>
    </row>
    <row r="290" spans="14:32" x14ac:dyDescent="0.35">
      <c r="N290" s="134" t="str">
        <f t="shared" si="269"/>
        <v/>
      </c>
      <c r="O290" s="82" t="str">
        <f t="shared" si="272"/>
        <v/>
      </c>
      <c r="P290" s="81" t="str">
        <f t="shared" si="270"/>
        <v/>
      </c>
      <c r="Q290" s="81" t="str">
        <f t="shared" si="273"/>
        <v/>
      </c>
      <c r="R290" s="135" t="str">
        <f t="shared" ca="1" si="274"/>
        <v/>
      </c>
      <c r="S290" s="134" t="str">
        <f t="shared" ca="1" si="275"/>
        <v/>
      </c>
      <c r="T290" s="134" t="str">
        <f ca="1">IF(S290=Dashboard!$D$12,S290,"")</f>
        <v/>
      </c>
      <c r="U290" s="134" t="str">
        <f t="shared" ca="1" si="276"/>
        <v/>
      </c>
      <c r="V290" s="83" t="str">
        <f ca="1">IF(U290="","",IFERROR((RANK(U290,$U$2:$U$2028,1)+COUNTIF($U$2:U290,U290))-1,""))</f>
        <v/>
      </c>
      <c r="W290" s="134" t="str">
        <f t="shared" si="280"/>
        <v/>
      </c>
      <c r="X290" s="134" t="str">
        <f>IF(W290="","",IFERROR((RANK(W290,$W$2:$W$2028,1)+COUNTIF($W$2:W290,W290))-1,""))</f>
        <v/>
      </c>
      <c r="Y290" s="134" t="str">
        <f t="shared" si="277"/>
        <v/>
      </c>
      <c r="Z290" s="134" t="str">
        <f>IF(Y290="","",IFERROR((RANK(Y290,$Y$2:$Y$2028,1)+COUNTIF($Y$2:Y290,Y290))-1,""))</f>
        <v/>
      </c>
      <c r="AA290" s="134" t="str">
        <f t="shared" si="278"/>
        <v/>
      </c>
      <c r="AB290" s="134" t="str">
        <f>IF(AA290="","",IFERROR((RANK(AA290,$AA$2:$AA$2028,1)+COUNTIF($AA$2:AA290,AA290))-1,""))</f>
        <v/>
      </c>
      <c r="AC290" s="134" t="str">
        <f t="shared" si="279"/>
        <v/>
      </c>
      <c r="AD290" s="134" t="str">
        <f>IF(AC290="","",IFERROR((RANK(AC290,$AC$2:$AC$2028,1)+COUNTIF($AC$2:AC290,AC290))-1,""))</f>
        <v/>
      </c>
      <c r="AE290" s="144" t="str">
        <f t="shared" si="271"/>
        <v/>
      </c>
      <c r="AF290" s="144" t="str">
        <f>IF(AE290="","",SUM($AE$2:AE290))</f>
        <v/>
      </c>
    </row>
    <row r="291" spans="14:32" x14ac:dyDescent="0.35">
      <c r="N291" s="134" t="str">
        <f t="shared" si="269"/>
        <v/>
      </c>
      <c r="O291" s="82" t="str">
        <f t="shared" si="272"/>
        <v/>
      </c>
      <c r="P291" s="81" t="str">
        <f t="shared" si="270"/>
        <v/>
      </c>
      <c r="Q291" s="81" t="str">
        <f t="shared" si="273"/>
        <v/>
      </c>
      <c r="R291" s="135" t="str">
        <f t="shared" ca="1" si="274"/>
        <v/>
      </c>
      <c r="S291" s="134" t="str">
        <f t="shared" ca="1" si="275"/>
        <v/>
      </c>
      <c r="T291" s="134" t="str">
        <f ca="1">IF(S291=Dashboard!$D$12,S291,"")</f>
        <v/>
      </c>
      <c r="U291" s="134" t="str">
        <f t="shared" ca="1" si="276"/>
        <v/>
      </c>
      <c r="V291" s="83" t="str">
        <f ca="1">IF(U291="","",IFERROR((RANK(U291,$U$2:$U$2028,1)+COUNTIF($U$2:U291,U291))-1,""))</f>
        <v/>
      </c>
      <c r="W291" s="134" t="str">
        <f t="shared" si="280"/>
        <v/>
      </c>
      <c r="X291" s="134" t="str">
        <f>IF(W291="","",IFERROR((RANK(W291,$W$2:$W$2028,1)+COUNTIF($W$2:W291,W291))-1,""))</f>
        <v/>
      </c>
      <c r="Y291" s="134" t="str">
        <f t="shared" si="277"/>
        <v/>
      </c>
      <c r="Z291" s="134" t="str">
        <f>IF(Y291="","",IFERROR((RANK(Y291,$Y$2:$Y$2028,1)+COUNTIF($Y$2:Y291,Y291))-1,""))</f>
        <v/>
      </c>
      <c r="AA291" s="134" t="str">
        <f t="shared" si="278"/>
        <v/>
      </c>
      <c r="AB291" s="134" t="str">
        <f>IF(AA291="","",IFERROR((RANK(AA291,$AA$2:$AA$2028,1)+COUNTIF($AA$2:AA291,AA291))-1,""))</f>
        <v/>
      </c>
      <c r="AC291" s="134" t="str">
        <f t="shared" si="279"/>
        <v/>
      </c>
      <c r="AD291" s="134" t="str">
        <f>IF(AC291="","",IFERROR((RANK(AC291,$AC$2:$AC$2028,1)+COUNTIF($AC$2:AC291,AC291))-1,""))</f>
        <v/>
      </c>
      <c r="AE291" s="144" t="str">
        <f t="shared" si="271"/>
        <v/>
      </c>
      <c r="AF291" s="144" t="str">
        <f>IF(AE291="","",SUM($AE$2:AE291))</f>
        <v/>
      </c>
    </row>
    <row r="292" spans="14:32" x14ac:dyDescent="0.35">
      <c r="N292" s="134" t="str">
        <f t="shared" si="269"/>
        <v/>
      </c>
      <c r="O292" s="82" t="str">
        <f t="shared" si="272"/>
        <v/>
      </c>
      <c r="P292" s="81" t="str">
        <f t="shared" si="270"/>
        <v/>
      </c>
      <c r="Q292" s="81" t="str">
        <f t="shared" si="273"/>
        <v/>
      </c>
      <c r="R292" s="135" t="str">
        <f t="shared" ca="1" si="274"/>
        <v/>
      </c>
      <c r="S292" s="134" t="str">
        <f t="shared" ca="1" si="275"/>
        <v/>
      </c>
      <c r="T292" s="134" t="str">
        <f ca="1">IF(S292=Dashboard!$D$12,S292,"")</f>
        <v/>
      </c>
      <c r="U292" s="134" t="str">
        <f t="shared" ca="1" si="276"/>
        <v/>
      </c>
      <c r="V292" s="83" t="str">
        <f ca="1">IF(U292="","",IFERROR((RANK(U292,$U$2:$U$2028,1)+COUNTIF($U$2:U292,U292))-1,""))</f>
        <v/>
      </c>
      <c r="W292" s="134" t="str">
        <f t="shared" si="280"/>
        <v/>
      </c>
      <c r="X292" s="134" t="str">
        <f>IF(W292="","",IFERROR((RANK(W292,$W$2:$W$2028,1)+COUNTIF($W$2:W292,W292))-1,""))</f>
        <v/>
      </c>
      <c r="Y292" s="134" t="str">
        <f t="shared" si="277"/>
        <v/>
      </c>
      <c r="Z292" s="134" t="str">
        <f>IF(Y292="","",IFERROR((RANK(Y292,$Y$2:$Y$2028,1)+COUNTIF($Y$2:Y292,Y292))-1,""))</f>
        <v/>
      </c>
      <c r="AA292" s="134" t="str">
        <f t="shared" si="278"/>
        <v/>
      </c>
      <c r="AB292" s="134" t="str">
        <f>IF(AA292="","",IFERROR((RANK(AA292,$AA$2:$AA$2028,1)+COUNTIF($AA$2:AA292,AA292))-1,""))</f>
        <v/>
      </c>
      <c r="AC292" s="134" t="str">
        <f t="shared" si="279"/>
        <v/>
      </c>
      <c r="AD292" s="134" t="str">
        <f>IF(AC292="","",IFERROR((RANK(AC292,$AC$2:$AC$2028,1)+COUNTIF($AC$2:AC292,AC292))-1,""))</f>
        <v/>
      </c>
      <c r="AE292" s="144" t="str">
        <f t="shared" si="271"/>
        <v/>
      </c>
      <c r="AF292" s="144" t="str">
        <f>IF(AE292="","",SUM($AE$2:AE292))</f>
        <v/>
      </c>
    </row>
    <row r="293" spans="14:32" x14ac:dyDescent="0.35">
      <c r="N293" s="134" t="str">
        <f t="shared" si="269"/>
        <v/>
      </c>
      <c r="O293" s="82" t="str">
        <f t="shared" si="272"/>
        <v/>
      </c>
      <c r="P293" s="81" t="str">
        <f t="shared" si="270"/>
        <v/>
      </c>
      <c r="Q293" s="81" t="str">
        <f t="shared" si="273"/>
        <v/>
      </c>
      <c r="R293" s="135" t="str">
        <f t="shared" ca="1" si="274"/>
        <v/>
      </c>
      <c r="S293" s="134" t="str">
        <f t="shared" ca="1" si="275"/>
        <v/>
      </c>
      <c r="T293" s="134" t="str">
        <f ca="1">IF(S293=Dashboard!$D$12,S293,"")</f>
        <v/>
      </c>
      <c r="U293" s="134" t="str">
        <f t="shared" ca="1" si="276"/>
        <v/>
      </c>
      <c r="V293" s="83" t="str">
        <f ca="1">IF(U293="","",IFERROR((RANK(U293,$U$2:$U$2028,1)+COUNTIF($U$2:U293,U293))-1,""))</f>
        <v/>
      </c>
      <c r="W293" s="134" t="str">
        <f t="shared" si="280"/>
        <v/>
      </c>
      <c r="X293" s="134" t="str">
        <f>IF(W293="","",IFERROR((RANK(W293,$W$2:$W$2028,1)+COUNTIF($W$2:W293,W293))-1,""))</f>
        <v/>
      </c>
      <c r="Y293" s="134" t="str">
        <f t="shared" si="277"/>
        <v/>
      </c>
      <c r="Z293" s="134" t="str">
        <f>IF(Y293="","",IFERROR((RANK(Y293,$Y$2:$Y$2028,1)+COUNTIF($Y$2:Y293,Y293))-1,""))</f>
        <v/>
      </c>
      <c r="AA293" s="134" t="str">
        <f t="shared" si="278"/>
        <v/>
      </c>
      <c r="AB293" s="134" t="str">
        <f>IF(AA293="","",IFERROR((RANK(AA293,$AA$2:$AA$2028,1)+COUNTIF($AA$2:AA293,AA293))-1,""))</f>
        <v/>
      </c>
      <c r="AC293" s="134" t="str">
        <f t="shared" si="279"/>
        <v/>
      </c>
      <c r="AD293" s="134" t="str">
        <f>IF(AC293="","",IFERROR((RANK(AC293,$AC$2:$AC$2028,1)+COUNTIF($AC$2:AC293,AC293))-1,""))</f>
        <v/>
      </c>
      <c r="AE293" s="144" t="str">
        <f t="shared" si="271"/>
        <v/>
      </c>
      <c r="AF293" s="144" t="str">
        <f>IF(AE293="","",SUM($AE$2:AE293))</f>
        <v/>
      </c>
    </row>
    <row r="294" spans="14:32" x14ac:dyDescent="0.35">
      <c r="N294" s="134" t="str">
        <f t="shared" si="269"/>
        <v/>
      </c>
      <c r="O294" s="82" t="str">
        <f t="shared" si="272"/>
        <v/>
      </c>
      <c r="P294" s="81" t="str">
        <f t="shared" si="270"/>
        <v/>
      </c>
      <c r="Q294" s="81" t="str">
        <f t="shared" si="273"/>
        <v/>
      </c>
      <c r="R294" s="135" t="str">
        <f t="shared" ca="1" si="274"/>
        <v/>
      </c>
      <c r="S294" s="134" t="str">
        <f t="shared" ca="1" si="275"/>
        <v/>
      </c>
      <c r="T294" s="134" t="str">
        <f ca="1">IF(S294=Dashboard!$D$12,S294,"")</f>
        <v/>
      </c>
      <c r="U294" s="134" t="str">
        <f t="shared" ca="1" si="276"/>
        <v/>
      </c>
      <c r="V294" s="83" t="str">
        <f ca="1">IF(U294="","",IFERROR((RANK(U294,$U$2:$U$2028,1)+COUNTIF($U$2:U294,U294))-1,""))</f>
        <v/>
      </c>
      <c r="W294" s="134" t="str">
        <f t="shared" si="280"/>
        <v/>
      </c>
      <c r="X294" s="134" t="str">
        <f>IF(W294="","",IFERROR((RANK(W294,$W$2:$W$2028,1)+COUNTIF($W$2:W294,W294))-1,""))</f>
        <v/>
      </c>
      <c r="Y294" s="134" t="str">
        <f t="shared" si="277"/>
        <v/>
      </c>
      <c r="Z294" s="134" t="str">
        <f>IF(Y294="","",IFERROR((RANK(Y294,$Y$2:$Y$2028,1)+COUNTIF($Y$2:Y294,Y294))-1,""))</f>
        <v/>
      </c>
      <c r="AA294" s="134" t="str">
        <f t="shared" si="278"/>
        <v/>
      </c>
      <c r="AB294" s="134" t="str">
        <f>IF(AA294="","",IFERROR((RANK(AA294,$AA$2:$AA$2028,1)+COUNTIF($AA$2:AA294,AA294))-1,""))</f>
        <v/>
      </c>
      <c r="AC294" s="134" t="str">
        <f t="shared" si="279"/>
        <v/>
      </c>
      <c r="AD294" s="134" t="str">
        <f>IF(AC294="","",IFERROR((RANK(AC294,$AC$2:$AC$2028,1)+COUNTIF($AC$2:AC294,AC294))-1,""))</f>
        <v/>
      </c>
      <c r="AE294" s="144" t="str">
        <f t="shared" si="271"/>
        <v/>
      </c>
      <c r="AF294" s="144" t="str">
        <f>IF(AE294="","",SUM($AE$2:AE294))</f>
        <v/>
      </c>
    </row>
    <row r="295" spans="14:32" x14ac:dyDescent="0.35">
      <c r="N295" s="134" t="str">
        <f t="shared" si="269"/>
        <v/>
      </c>
      <c r="O295" s="82" t="str">
        <f t="shared" si="272"/>
        <v/>
      </c>
      <c r="P295" s="81" t="str">
        <f t="shared" si="270"/>
        <v/>
      </c>
      <c r="Q295" s="81" t="str">
        <f t="shared" si="273"/>
        <v/>
      </c>
      <c r="R295" s="135" t="str">
        <f t="shared" ca="1" si="274"/>
        <v/>
      </c>
      <c r="S295" s="134" t="str">
        <f t="shared" ca="1" si="275"/>
        <v/>
      </c>
      <c r="T295" s="134" t="str">
        <f ca="1">IF(S295=Dashboard!$D$12,S295,"")</f>
        <v/>
      </c>
      <c r="U295" s="134" t="str">
        <f t="shared" ca="1" si="276"/>
        <v/>
      </c>
      <c r="V295" s="83" t="str">
        <f ca="1">IF(U295="","",IFERROR((RANK(U295,$U$2:$U$2028,1)+COUNTIF($U$2:U295,U295))-1,""))</f>
        <v/>
      </c>
      <c r="W295" s="134" t="str">
        <f t="shared" si="280"/>
        <v/>
      </c>
      <c r="X295" s="134" t="str">
        <f>IF(W295="","",IFERROR((RANK(W295,$W$2:$W$2028,1)+COUNTIF($W$2:W295,W295))-1,""))</f>
        <v/>
      </c>
      <c r="Y295" s="134" t="str">
        <f t="shared" si="277"/>
        <v/>
      </c>
      <c r="Z295" s="134" t="str">
        <f>IF(Y295="","",IFERROR((RANK(Y295,$Y$2:$Y$2028,1)+COUNTIF($Y$2:Y295,Y295))-1,""))</f>
        <v/>
      </c>
      <c r="AA295" s="134" t="str">
        <f t="shared" si="278"/>
        <v/>
      </c>
      <c r="AB295" s="134" t="str">
        <f>IF(AA295="","",IFERROR((RANK(AA295,$AA$2:$AA$2028,1)+COUNTIF($AA$2:AA295,AA295))-1,""))</f>
        <v/>
      </c>
      <c r="AC295" s="134" t="str">
        <f t="shared" si="279"/>
        <v/>
      </c>
      <c r="AD295" s="134" t="str">
        <f>IF(AC295="","",IFERROR((RANK(AC295,$AC$2:$AC$2028,1)+COUNTIF($AC$2:AC295,AC295))-1,""))</f>
        <v/>
      </c>
      <c r="AE295" s="144" t="str">
        <f t="shared" si="271"/>
        <v/>
      </c>
      <c r="AF295" s="144" t="str">
        <f>IF(AE295="","",SUM($AE$2:AE295))</f>
        <v/>
      </c>
    </row>
    <row r="296" spans="14:32" x14ac:dyDescent="0.35">
      <c r="N296" s="134" t="str">
        <f t="shared" si="269"/>
        <v/>
      </c>
      <c r="O296" s="82" t="str">
        <f t="shared" si="272"/>
        <v/>
      </c>
      <c r="P296" s="81" t="str">
        <f t="shared" si="270"/>
        <v/>
      </c>
      <c r="Q296" s="81" t="str">
        <f t="shared" si="273"/>
        <v/>
      </c>
      <c r="R296" s="135" t="str">
        <f t="shared" ca="1" si="274"/>
        <v/>
      </c>
      <c r="S296" s="134" t="str">
        <f t="shared" ca="1" si="275"/>
        <v/>
      </c>
      <c r="T296" s="134" t="str">
        <f ca="1">IF(S296=Dashboard!$D$12,S296,"")</f>
        <v/>
      </c>
      <c r="U296" s="134" t="str">
        <f t="shared" ca="1" si="276"/>
        <v/>
      </c>
      <c r="V296" s="83" t="str">
        <f ca="1">IF(U296="","",IFERROR((RANK(U296,$U$2:$U$2028,1)+COUNTIF($U$2:U296,U296))-1,""))</f>
        <v/>
      </c>
      <c r="W296" s="134" t="str">
        <f t="shared" si="280"/>
        <v/>
      </c>
      <c r="X296" s="134" t="str">
        <f>IF(W296="","",IFERROR((RANK(W296,$W$2:$W$2028,1)+COUNTIF($W$2:W296,W296))-1,""))</f>
        <v/>
      </c>
      <c r="Y296" s="134" t="str">
        <f t="shared" si="277"/>
        <v/>
      </c>
      <c r="Z296" s="134" t="str">
        <f>IF(Y296="","",IFERROR((RANK(Y296,$Y$2:$Y$2028,1)+COUNTIF($Y$2:Y296,Y296))-1,""))</f>
        <v/>
      </c>
      <c r="AA296" s="134" t="str">
        <f t="shared" si="278"/>
        <v/>
      </c>
      <c r="AB296" s="134" t="str">
        <f>IF(AA296="","",IFERROR((RANK(AA296,$AA$2:$AA$2028,1)+COUNTIF($AA$2:AA296,AA296))-1,""))</f>
        <v/>
      </c>
      <c r="AC296" s="134" t="str">
        <f t="shared" si="279"/>
        <v/>
      </c>
      <c r="AD296" s="134" t="str">
        <f>IF(AC296="","",IFERROR((RANK(AC296,$AC$2:$AC$2028,1)+COUNTIF($AC$2:AC296,AC296))-1,""))</f>
        <v/>
      </c>
      <c r="AE296" s="144" t="str">
        <f t="shared" si="271"/>
        <v/>
      </c>
      <c r="AF296" s="144" t="str">
        <f>IF(AE296="","",SUM($AE$2:AE296))</f>
        <v/>
      </c>
    </row>
    <row r="297" spans="14:32" x14ac:dyDescent="0.35">
      <c r="N297" s="134" t="str">
        <f t="shared" si="269"/>
        <v/>
      </c>
      <c r="O297" s="82" t="str">
        <f t="shared" si="272"/>
        <v/>
      </c>
      <c r="P297" s="81" t="str">
        <f t="shared" si="270"/>
        <v/>
      </c>
      <c r="Q297" s="81" t="str">
        <f t="shared" si="273"/>
        <v/>
      </c>
      <c r="R297" s="135" t="str">
        <f t="shared" ca="1" si="274"/>
        <v/>
      </c>
      <c r="S297" s="134" t="str">
        <f t="shared" ca="1" si="275"/>
        <v/>
      </c>
      <c r="T297" s="134" t="str">
        <f ca="1">IF(S297=Dashboard!$D$12,S297,"")</f>
        <v/>
      </c>
      <c r="U297" s="134" t="str">
        <f t="shared" ca="1" si="276"/>
        <v/>
      </c>
      <c r="V297" s="83" t="str">
        <f ca="1">IF(U297="","",IFERROR((RANK(U297,$U$2:$U$2028,1)+COUNTIF($U$2:U297,U297))-1,""))</f>
        <v/>
      </c>
      <c r="W297" s="134" t="str">
        <f t="shared" si="280"/>
        <v/>
      </c>
      <c r="X297" s="134" t="str">
        <f>IF(W297="","",IFERROR((RANK(W297,$W$2:$W$2028,1)+COUNTIF($W$2:W297,W297))-1,""))</f>
        <v/>
      </c>
      <c r="Y297" s="134" t="str">
        <f t="shared" si="277"/>
        <v/>
      </c>
      <c r="Z297" s="134" t="str">
        <f>IF(Y297="","",IFERROR((RANK(Y297,$Y$2:$Y$2028,1)+COUNTIF($Y$2:Y297,Y297))-1,""))</f>
        <v/>
      </c>
      <c r="AA297" s="134" t="str">
        <f t="shared" si="278"/>
        <v/>
      </c>
      <c r="AB297" s="134" t="str">
        <f>IF(AA297="","",IFERROR((RANK(AA297,$AA$2:$AA$2028,1)+COUNTIF($AA$2:AA297,AA297))-1,""))</f>
        <v/>
      </c>
      <c r="AC297" s="134" t="str">
        <f t="shared" si="279"/>
        <v/>
      </c>
      <c r="AD297" s="134" t="str">
        <f>IF(AC297="","",IFERROR((RANK(AC297,$AC$2:$AC$2028,1)+COUNTIF($AC$2:AC297,AC297))-1,""))</f>
        <v/>
      </c>
      <c r="AE297" s="144" t="str">
        <f t="shared" si="271"/>
        <v/>
      </c>
      <c r="AF297" s="144" t="str">
        <f>IF(AE297="","",SUM($AE$2:AE297))</f>
        <v/>
      </c>
    </row>
    <row r="298" spans="14:32" x14ac:dyDescent="0.35">
      <c r="N298" s="134" t="str">
        <f t="shared" si="269"/>
        <v/>
      </c>
      <c r="O298" s="82" t="str">
        <f t="shared" si="272"/>
        <v/>
      </c>
      <c r="P298" s="81" t="str">
        <f t="shared" si="270"/>
        <v/>
      </c>
      <c r="Q298" s="81" t="str">
        <f t="shared" si="273"/>
        <v/>
      </c>
      <c r="R298" s="135" t="str">
        <f t="shared" ca="1" si="274"/>
        <v/>
      </c>
      <c r="S298" s="134" t="str">
        <f t="shared" ca="1" si="275"/>
        <v/>
      </c>
      <c r="T298" s="134" t="str">
        <f ca="1">IF(S298=Dashboard!$D$12,S298,"")</f>
        <v/>
      </c>
      <c r="U298" s="134" t="str">
        <f t="shared" ca="1" si="276"/>
        <v/>
      </c>
      <c r="V298" s="83" t="str">
        <f ca="1">IF(U298="","",IFERROR((RANK(U298,$U$2:$U$2028,1)+COUNTIF($U$2:U298,U298))-1,""))</f>
        <v/>
      </c>
      <c r="W298" s="134" t="str">
        <f t="shared" si="280"/>
        <v/>
      </c>
      <c r="X298" s="134" t="str">
        <f>IF(W298="","",IFERROR((RANK(W298,$W$2:$W$2028,1)+COUNTIF($W$2:W298,W298))-1,""))</f>
        <v/>
      </c>
      <c r="Y298" s="134" t="str">
        <f t="shared" si="277"/>
        <v/>
      </c>
      <c r="Z298" s="134" t="str">
        <f>IF(Y298="","",IFERROR((RANK(Y298,$Y$2:$Y$2028,1)+COUNTIF($Y$2:Y298,Y298))-1,""))</f>
        <v/>
      </c>
      <c r="AA298" s="134" t="str">
        <f t="shared" si="278"/>
        <v/>
      </c>
      <c r="AB298" s="134" t="str">
        <f>IF(AA298="","",IFERROR((RANK(AA298,$AA$2:$AA$2028,1)+COUNTIF($AA$2:AA298,AA298))-1,""))</f>
        <v/>
      </c>
      <c r="AC298" s="134" t="str">
        <f t="shared" si="279"/>
        <v/>
      </c>
      <c r="AD298" s="134" t="str">
        <f>IF(AC298="","",IFERROR((RANK(AC298,$AC$2:$AC$2028,1)+COUNTIF($AC$2:AC298,AC298))-1,""))</f>
        <v/>
      </c>
      <c r="AE298" s="144" t="str">
        <f t="shared" si="271"/>
        <v/>
      </c>
      <c r="AF298" s="144" t="str">
        <f>IF(AE298="","",SUM($AE$2:AE298))</f>
        <v/>
      </c>
    </row>
    <row r="299" spans="14:32" x14ac:dyDescent="0.35">
      <c r="N299" s="134" t="str">
        <f t="shared" si="269"/>
        <v/>
      </c>
      <c r="O299" s="82" t="str">
        <f t="shared" si="272"/>
        <v/>
      </c>
      <c r="P299" s="81" t="str">
        <f t="shared" si="270"/>
        <v/>
      </c>
      <c r="Q299" s="81" t="str">
        <f t="shared" si="273"/>
        <v/>
      </c>
      <c r="R299" s="135" t="str">
        <f t="shared" ca="1" si="274"/>
        <v/>
      </c>
      <c r="S299" s="134" t="str">
        <f t="shared" ca="1" si="275"/>
        <v/>
      </c>
      <c r="T299" s="134" t="str">
        <f ca="1">IF(S299=Dashboard!$D$12,S299,"")</f>
        <v/>
      </c>
      <c r="U299" s="134" t="str">
        <f t="shared" ca="1" si="276"/>
        <v/>
      </c>
      <c r="V299" s="83" t="str">
        <f ca="1">IF(U299="","",IFERROR((RANK(U299,$U$2:$U$2028,1)+COUNTIF($U$2:U299,U299))-1,""))</f>
        <v/>
      </c>
      <c r="W299" s="134" t="str">
        <f t="shared" si="280"/>
        <v/>
      </c>
      <c r="X299" s="134" t="str">
        <f>IF(W299="","",IFERROR((RANK(W299,$W$2:$W$2028,1)+COUNTIF($W$2:W299,W299))-1,""))</f>
        <v/>
      </c>
      <c r="Y299" s="134" t="str">
        <f t="shared" si="277"/>
        <v/>
      </c>
      <c r="Z299" s="134" t="str">
        <f>IF(Y299="","",IFERROR((RANK(Y299,$Y$2:$Y$2028,1)+COUNTIF($Y$2:Y299,Y299))-1,""))</f>
        <v/>
      </c>
      <c r="AA299" s="134" t="str">
        <f t="shared" si="278"/>
        <v/>
      </c>
      <c r="AB299" s="134" t="str">
        <f>IF(AA299="","",IFERROR((RANK(AA299,$AA$2:$AA$2028,1)+COUNTIF($AA$2:AA299,AA299))-1,""))</f>
        <v/>
      </c>
      <c r="AC299" s="134" t="str">
        <f t="shared" si="279"/>
        <v/>
      </c>
      <c r="AD299" s="134" t="str">
        <f>IF(AC299="","",IFERROR((RANK(AC299,$AC$2:$AC$2028,1)+COUNTIF($AC$2:AC299,AC299))-1,""))</f>
        <v/>
      </c>
      <c r="AE299" s="144" t="str">
        <f t="shared" si="271"/>
        <v/>
      </c>
      <c r="AF299" s="144" t="str">
        <f>IF(AE299="","",SUM($AE$2:AE299))</f>
        <v/>
      </c>
    </row>
    <row r="300" spans="14:32" x14ac:dyDescent="0.35">
      <c r="N300" s="134" t="str">
        <f t="shared" si="269"/>
        <v/>
      </c>
      <c r="O300" s="82" t="str">
        <f t="shared" si="272"/>
        <v/>
      </c>
      <c r="P300" s="81" t="str">
        <f t="shared" si="270"/>
        <v/>
      </c>
      <c r="Q300" s="81" t="str">
        <f t="shared" si="273"/>
        <v/>
      </c>
      <c r="R300" s="135" t="str">
        <f t="shared" ca="1" si="274"/>
        <v/>
      </c>
      <c r="S300" s="134" t="str">
        <f t="shared" ca="1" si="275"/>
        <v/>
      </c>
      <c r="T300" s="134" t="str">
        <f ca="1">IF(S300=Dashboard!$D$12,S300,"")</f>
        <v/>
      </c>
      <c r="U300" s="134" t="str">
        <f t="shared" ca="1" si="276"/>
        <v/>
      </c>
      <c r="V300" s="83" t="str">
        <f ca="1">IF(U300="","",IFERROR((RANK(U300,$U$2:$U$2028,1)+COUNTIF($U$2:U300,U300))-1,""))</f>
        <v/>
      </c>
      <c r="W300" s="134" t="str">
        <f t="shared" si="280"/>
        <v/>
      </c>
      <c r="X300" s="134" t="str">
        <f>IF(W300="","",IFERROR((RANK(W300,$W$2:$W$2028,1)+COUNTIF($W$2:W300,W300))-1,""))</f>
        <v/>
      </c>
      <c r="Y300" s="134" t="str">
        <f t="shared" si="277"/>
        <v/>
      </c>
      <c r="Z300" s="134" t="str">
        <f>IF(Y300="","",IFERROR((RANK(Y300,$Y$2:$Y$2028,1)+COUNTIF($Y$2:Y300,Y300))-1,""))</f>
        <v/>
      </c>
      <c r="AA300" s="134" t="str">
        <f t="shared" si="278"/>
        <v/>
      </c>
      <c r="AB300" s="134" t="str">
        <f>IF(AA300="","",IFERROR((RANK(AA300,$AA$2:$AA$2028,1)+COUNTIF($AA$2:AA300,AA300))-1,""))</f>
        <v/>
      </c>
      <c r="AC300" s="134" t="str">
        <f t="shared" si="279"/>
        <v/>
      </c>
      <c r="AD300" s="134" t="str">
        <f>IF(AC300="","",IFERROR((RANK(AC300,$AC$2:$AC$2028,1)+COUNTIF($AC$2:AC300,AC300))-1,""))</f>
        <v/>
      </c>
      <c r="AE300" s="144" t="str">
        <f t="shared" si="271"/>
        <v/>
      </c>
      <c r="AF300" s="144" t="str">
        <f>IF(AE300="","",SUM($AE$2:AE300))</f>
        <v/>
      </c>
    </row>
    <row r="301" spans="14:32" x14ac:dyDescent="0.35">
      <c r="N301" s="134" t="str">
        <f t="shared" si="269"/>
        <v/>
      </c>
      <c r="O301" s="82" t="str">
        <f t="shared" si="272"/>
        <v/>
      </c>
      <c r="P301" s="81" t="str">
        <f t="shared" si="270"/>
        <v/>
      </c>
      <c r="Q301" s="81" t="str">
        <f t="shared" si="273"/>
        <v/>
      </c>
      <c r="R301" s="135" t="str">
        <f t="shared" ca="1" si="274"/>
        <v/>
      </c>
      <c r="S301" s="134" t="str">
        <f t="shared" ca="1" si="275"/>
        <v/>
      </c>
      <c r="T301" s="134" t="str">
        <f ca="1">IF(S301=Dashboard!$D$12,S301,"")</f>
        <v/>
      </c>
      <c r="U301" s="134" t="str">
        <f t="shared" ca="1" si="276"/>
        <v/>
      </c>
      <c r="V301" s="83" t="str">
        <f ca="1">IF(U301="","",IFERROR((RANK(U301,$U$2:$U$2028,1)+COUNTIF($U$2:U301,U301))-1,""))</f>
        <v/>
      </c>
      <c r="W301" s="134" t="str">
        <f t="shared" si="280"/>
        <v/>
      </c>
      <c r="X301" s="134" t="str">
        <f>IF(W301="","",IFERROR((RANK(W301,$W$2:$W$2028,1)+COUNTIF($W$2:W301,W301))-1,""))</f>
        <v/>
      </c>
      <c r="Y301" s="134" t="str">
        <f t="shared" si="277"/>
        <v/>
      </c>
      <c r="Z301" s="134" t="str">
        <f>IF(Y301="","",IFERROR((RANK(Y301,$Y$2:$Y$2028,1)+COUNTIF($Y$2:Y301,Y301))-1,""))</f>
        <v/>
      </c>
      <c r="AA301" s="134" t="str">
        <f t="shared" si="278"/>
        <v/>
      </c>
      <c r="AB301" s="134" t="str">
        <f>IF(AA301="","",IFERROR((RANK(AA301,$AA$2:$AA$2028,1)+COUNTIF($AA$2:AA301,AA301))-1,""))</f>
        <v/>
      </c>
      <c r="AC301" s="134" t="str">
        <f t="shared" si="279"/>
        <v/>
      </c>
      <c r="AD301" s="134" t="str">
        <f>IF(AC301="","",IFERROR((RANK(AC301,$AC$2:$AC$2028,1)+COUNTIF($AC$2:AC301,AC301))-1,""))</f>
        <v/>
      </c>
      <c r="AE301" s="144" t="str">
        <f t="shared" si="271"/>
        <v/>
      </c>
      <c r="AF301" s="144" t="str">
        <f>IF(AE301="","",SUM($AE$2:AE301))</f>
        <v/>
      </c>
    </row>
    <row r="302" spans="14:32" x14ac:dyDescent="0.35">
      <c r="N302" s="134" t="str">
        <f t="shared" si="269"/>
        <v/>
      </c>
      <c r="O302" s="82" t="str">
        <f t="shared" si="272"/>
        <v/>
      </c>
      <c r="P302" s="81" t="str">
        <f t="shared" si="270"/>
        <v/>
      </c>
      <c r="Q302" s="81" t="str">
        <f t="shared" si="273"/>
        <v/>
      </c>
      <c r="R302" s="135" t="str">
        <f t="shared" ca="1" si="274"/>
        <v/>
      </c>
      <c r="S302" s="134" t="str">
        <f t="shared" ca="1" si="275"/>
        <v/>
      </c>
      <c r="T302" s="134" t="str">
        <f ca="1">IF(S302=Dashboard!$D$12,S302,"")</f>
        <v/>
      </c>
      <c r="U302" s="134" t="str">
        <f t="shared" ca="1" si="276"/>
        <v/>
      </c>
      <c r="V302" s="83" t="str">
        <f ca="1">IF(U302="","",IFERROR((RANK(U302,$U$2:$U$2028,1)+COUNTIF($U$2:U302,U302))-1,""))</f>
        <v/>
      </c>
      <c r="W302" s="134" t="str">
        <f t="shared" si="280"/>
        <v/>
      </c>
      <c r="X302" s="134" t="str">
        <f>IF(W302="","",IFERROR((RANK(W302,$W$2:$W$2028,1)+COUNTIF($W$2:W302,W302))-1,""))</f>
        <v/>
      </c>
      <c r="Y302" s="134" t="str">
        <f t="shared" si="277"/>
        <v/>
      </c>
      <c r="Z302" s="134" t="str">
        <f>IF(Y302="","",IFERROR((RANK(Y302,$Y$2:$Y$2028,1)+COUNTIF($Y$2:Y302,Y302))-1,""))</f>
        <v/>
      </c>
      <c r="AA302" s="134" t="str">
        <f t="shared" si="278"/>
        <v/>
      </c>
      <c r="AB302" s="134" t="str">
        <f>IF(AA302="","",IFERROR((RANK(AA302,$AA$2:$AA$2028,1)+COUNTIF($AA$2:AA302,AA302))-1,""))</f>
        <v/>
      </c>
      <c r="AC302" s="134" t="str">
        <f t="shared" si="279"/>
        <v/>
      </c>
      <c r="AD302" s="134" t="str">
        <f>IF(AC302="","",IFERROR((RANK(AC302,$AC$2:$AC$2028,1)+COUNTIF($AC$2:AC302,AC302))-1,""))</f>
        <v/>
      </c>
      <c r="AE302" s="144" t="str">
        <f t="shared" si="271"/>
        <v/>
      </c>
      <c r="AF302" s="144" t="str">
        <f>IF(AE302="","",SUM($AE$2:AE302))</f>
        <v/>
      </c>
    </row>
    <row r="303" spans="14:32" x14ac:dyDescent="0.35">
      <c r="N303" s="134" t="str">
        <f t="shared" si="269"/>
        <v/>
      </c>
      <c r="O303" s="82" t="str">
        <f t="shared" si="272"/>
        <v/>
      </c>
      <c r="P303" s="81" t="str">
        <f t="shared" si="270"/>
        <v/>
      </c>
      <c r="Q303" s="81" t="str">
        <f t="shared" si="273"/>
        <v/>
      </c>
      <c r="R303" s="135" t="str">
        <f t="shared" ca="1" si="274"/>
        <v/>
      </c>
      <c r="S303" s="134" t="str">
        <f t="shared" ca="1" si="275"/>
        <v/>
      </c>
      <c r="T303" s="134" t="str">
        <f ca="1">IF(S303=Dashboard!$D$12,S303,"")</f>
        <v/>
      </c>
      <c r="U303" s="134" t="str">
        <f t="shared" ca="1" si="276"/>
        <v/>
      </c>
      <c r="V303" s="83" t="str">
        <f ca="1">IF(U303="","",IFERROR((RANK(U303,$U$2:$U$2028,1)+COUNTIF($U$2:U303,U303))-1,""))</f>
        <v/>
      </c>
      <c r="W303" s="134" t="str">
        <f t="shared" si="280"/>
        <v/>
      </c>
      <c r="X303" s="134" t="str">
        <f>IF(W303="","",IFERROR((RANK(W303,$W$2:$W$2028,1)+COUNTIF($W$2:W303,W303))-1,""))</f>
        <v/>
      </c>
      <c r="Y303" s="134" t="str">
        <f t="shared" si="277"/>
        <v/>
      </c>
      <c r="Z303" s="134" t="str">
        <f>IF(Y303="","",IFERROR((RANK(Y303,$Y$2:$Y$2028,1)+COUNTIF($Y$2:Y303,Y303))-1,""))</f>
        <v/>
      </c>
      <c r="AA303" s="134" t="str">
        <f t="shared" si="278"/>
        <v/>
      </c>
      <c r="AB303" s="134" t="str">
        <f>IF(AA303="","",IFERROR((RANK(AA303,$AA$2:$AA$2028,1)+COUNTIF($AA$2:AA303,AA303))-1,""))</f>
        <v/>
      </c>
      <c r="AC303" s="134" t="str">
        <f t="shared" si="279"/>
        <v/>
      </c>
      <c r="AD303" s="134" t="str">
        <f>IF(AC303="","",IFERROR((RANK(AC303,$AC$2:$AC$2028,1)+COUNTIF($AC$2:AC303,AC303))-1,""))</f>
        <v/>
      </c>
      <c r="AE303" s="144" t="str">
        <f t="shared" si="271"/>
        <v/>
      </c>
      <c r="AF303" s="144" t="str">
        <f>IF(AE303="","",SUM($AE$2:AE303))</f>
        <v/>
      </c>
    </row>
    <row r="304" spans="14:32" x14ac:dyDescent="0.35">
      <c r="N304" s="134" t="str">
        <f t="shared" si="269"/>
        <v/>
      </c>
      <c r="O304" s="82" t="str">
        <f t="shared" si="272"/>
        <v/>
      </c>
      <c r="P304" s="81" t="str">
        <f t="shared" si="270"/>
        <v/>
      </c>
      <c r="Q304" s="81" t="str">
        <f t="shared" si="273"/>
        <v/>
      </c>
      <c r="R304" s="135" t="str">
        <f t="shared" ca="1" si="274"/>
        <v/>
      </c>
      <c r="S304" s="134" t="str">
        <f t="shared" ca="1" si="275"/>
        <v/>
      </c>
      <c r="T304" s="134" t="str">
        <f ca="1">IF(S304=Dashboard!$D$12,S304,"")</f>
        <v/>
      </c>
      <c r="U304" s="134" t="str">
        <f t="shared" ca="1" si="276"/>
        <v/>
      </c>
      <c r="V304" s="83" t="str">
        <f ca="1">IF(U304="","",IFERROR((RANK(U304,$U$2:$U$2028,1)+COUNTIF($U$2:U304,U304))-1,""))</f>
        <v/>
      </c>
      <c r="W304" s="134" t="str">
        <f t="shared" si="280"/>
        <v/>
      </c>
      <c r="X304" s="134" t="str">
        <f>IF(W304="","",IFERROR((RANK(W304,$W$2:$W$2028,1)+COUNTIF($W$2:W304,W304))-1,""))</f>
        <v/>
      </c>
      <c r="Y304" s="134" t="str">
        <f t="shared" si="277"/>
        <v/>
      </c>
      <c r="Z304" s="134" t="str">
        <f>IF(Y304="","",IFERROR((RANK(Y304,$Y$2:$Y$2028,1)+COUNTIF($Y$2:Y304,Y304))-1,""))</f>
        <v/>
      </c>
      <c r="AA304" s="134" t="str">
        <f t="shared" si="278"/>
        <v/>
      </c>
      <c r="AB304" s="134" t="str">
        <f>IF(AA304="","",IFERROR((RANK(AA304,$AA$2:$AA$2028,1)+COUNTIF($AA$2:AA304,AA304))-1,""))</f>
        <v/>
      </c>
      <c r="AC304" s="134" t="str">
        <f t="shared" si="279"/>
        <v/>
      </c>
      <c r="AD304" s="134" t="str">
        <f>IF(AC304="","",IFERROR((RANK(AC304,$AC$2:$AC$2028,1)+COUNTIF($AC$2:AC304,AC304))-1,""))</f>
        <v/>
      </c>
      <c r="AE304" s="144" t="str">
        <f t="shared" si="271"/>
        <v/>
      </c>
      <c r="AF304" s="144" t="str">
        <f>IF(AE304="","",SUM($AE$2:AE304))</f>
        <v/>
      </c>
    </row>
    <row r="305" spans="14:32" x14ac:dyDescent="0.35">
      <c r="N305" s="134" t="str">
        <f t="shared" si="269"/>
        <v/>
      </c>
      <c r="O305" s="82" t="str">
        <f t="shared" si="272"/>
        <v/>
      </c>
      <c r="P305" s="81" t="str">
        <f t="shared" si="270"/>
        <v/>
      </c>
      <c r="Q305" s="81" t="str">
        <f t="shared" si="273"/>
        <v/>
      </c>
      <c r="R305" s="135" t="str">
        <f t="shared" ca="1" si="274"/>
        <v/>
      </c>
      <c r="S305" s="134" t="str">
        <f t="shared" ca="1" si="275"/>
        <v/>
      </c>
      <c r="T305" s="134" t="str">
        <f ca="1">IF(S305=Dashboard!$D$12,S305,"")</f>
        <v/>
      </c>
      <c r="U305" s="134" t="str">
        <f t="shared" ca="1" si="276"/>
        <v/>
      </c>
      <c r="V305" s="83" t="str">
        <f ca="1">IF(U305="","",IFERROR((RANK(U305,$U$2:$U$2028,1)+COUNTIF($U$2:U305,U305))-1,""))</f>
        <v/>
      </c>
      <c r="W305" s="134" t="str">
        <f t="shared" si="280"/>
        <v/>
      </c>
      <c r="X305" s="134" t="str">
        <f>IF(W305="","",IFERROR((RANK(W305,$W$2:$W$2028,1)+COUNTIF($W$2:W305,W305))-1,""))</f>
        <v/>
      </c>
      <c r="Y305" s="134" t="str">
        <f t="shared" si="277"/>
        <v/>
      </c>
      <c r="Z305" s="134" t="str">
        <f>IF(Y305="","",IFERROR((RANK(Y305,$Y$2:$Y$2028,1)+COUNTIF($Y$2:Y305,Y305))-1,""))</f>
        <v/>
      </c>
      <c r="AA305" s="134" t="str">
        <f t="shared" si="278"/>
        <v/>
      </c>
      <c r="AB305" s="134" t="str">
        <f>IF(AA305="","",IFERROR((RANK(AA305,$AA$2:$AA$2028,1)+COUNTIF($AA$2:AA305,AA305))-1,""))</f>
        <v/>
      </c>
      <c r="AC305" s="134" t="str">
        <f t="shared" si="279"/>
        <v/>
      </c>
      <c r="AD305" s="134" t="str">
        <f>IF(AC305="","",IFERROR((RANK(AC305,$AC$2:$AC$2028,1)+COUNTIF($AC$2:AC305,AC305))-1,""))</f>
        <v/>
      </c>
      <c r="AE305" s="144" t="str">
        <f t="shared" si="271"/>
        <v/>
      </c>
      <c r="AF305" s="144" t="str">
        <f>IF(AE305="","",SUM($AE$2:AE305))</f>
        <v/>
      </c>
    </row>
    <row r="306" spans="14:32" x14ac:dyDescent="0.35">
      <c r="N306" s="134" t="str">
        <f t="shared" si="269"/>
        <v/>
      </c>
      <c r="O306" s="82" t="str">
        <f t="shared" si="272"/>
        <v/>
      </c>
      <c r="P306" s="81" t="str">
        <f t="shared" si="270"/>
        <v/>
      </c>
      <c r="Q306" s="81" t="str">
        <f t="shared" si="273"/>
        <v/>
      </c>
      <c r="R306" s="135" t="str">
        <f t="shared" ca="1" si="274"/>
        <v/>
      </c>
      <c r="S306" s="134" t="str">
        <f t="shared" ca="1" si="275"/>
        <v/>
      </c>
      <c r="T306" s="134" t="str">
        <f ca="1">IF(S306=Dashboard!$D$12,S306,"")</f>
        <v/>
      </c>
      <c r="U306" s="134" t="str">
        <f t="shared" ca="1" si="276"/>
        <v/>
      </c>
      <c r="V306" s="83" t="str">
        <f ca="1">IF(U306="","",IFERROR((RANK(U306,$U$2:$U$2028,1)+COUNTIF($U$2:U306,U306))-1,""))</f>
        <v/>
      </c>
      <c r="W306" s="134" t="str">
        <f t="shared" si="280"/>
        <v/>
      </c>
      <c r="X306" s="134" t="str">
        <f>IF(W306="","",IFERROR((RANK(W306,$W$2:$W$2028,1)+COUNTIF($W$2:W306,W306))-1,""))</f>
        <v/>
      </c>
      <c r="Y306" s="134" t="str">
        <f t="shared" si="277"/>
        <v/>
      </c>
      <c r="Z306" s="134" t="str">
        <f>IF(Y306="","",IFERROR((RANK(Y306,$Y$2:$Y$2028,1)+COUNTIF($Y$2:Y306,Y306))-1,""))</f>
        <v/>
      </c>
      <c r="AA306" s="134" t="str">
        <f t="shared" si="278"/>
        <v/>
      </c>
      <c r="AB306" s="134" t="str">
        <f>IF(AA306="","",IFERROR((RANK(AA306,$AA$2:$AA$2028,1)+COUNTIF($AA$2:AA306,AA306))-1,""))</f>
        <v/>
      </c>
      <c r="AC306" s="134" t="str">
        <f t="shared" si="279"/>
        <v/>
      </c>
      <c r="AD306" s="134" t="str">
        <f>IF(AC306="","",IFERROR((RANK(AC306,$AC$2:$AC$2028,1)+COUNTIF($AC$2:AC306,AC306))-1,""))</f>
        <v/>
      </c>
      <c r="AE306" s="144" t="str">
        <f t="shared" si="271"/>
        <v/>
      </c>
      <c r="AF306" s="144" t="str">
        <f>IF(AE306="","",SUM($AE$2:AE306))</f>
        <v/>
      </c>
    </row>
    <row r="307" spans="14:32" x14ac:dyDescent="0.35">
      <c r="N307" s="134" t="str">
        <f t="shared" si="269"/>
        <v/>
      </c>
      <c r="O307" s="82" t="str">
        <f t="shared" si="272"/>
        <v/>
      </c>
      <c r="P307" s="81" t="str">
        <f t="shared" si="270"/>
        <v/>
      </c>
      <c r="Q307" s="81" t="str">
        <f t="shared" si="273"/>
        <v/>
      </c>
      <c r="R307" s="135" t="str">
        <f t="shared" ca="1" si="274"/>
        <v/>
      </c>
      <c r="S307" s="134" t="str">
        <f t="shared" ca="1" si="275"/>
        <v/>
      </c>
      <c r="T307" s="134" t="str">
        <f ca="1">IF(S307=Dashboard!$D$12,S307,"")</f>
        <v/>
      </c>
      <c r="U307" s="134" t="str">
        <f t="shared" ca="1" si="276"/>
        <v/>
      </c>
      <c r="V307" s="83" t="str">
        <f ca="1">IF(U307="","",IFERROR((RANK(U307,$U$2:$U$2028,1)+COUNTIF($U$2:U307,U307))-1,""))</f>
        <v/>
      </c>
      <c r="W307" s="134" t="str">
        <f t="shared" si="280"/>
        <v/>
      </c>
      <c r="X307" s="134" t="str">
        <f>IF(W307="","",IFERROR((RANK(W307,$W$2:$W$2028,1)+COUNTIF($W$2:W307,W307))-1,""))</f>
        <v/>
      </c>
      <c r="Y307" s="134" t="str">
        <f t="shared" si="277"/>
        <v/>
      </c>
      <c r="Z307" s="134" t="str">
        <f>IF(Y307="","",IFERROR((RANK(Y307,$Y$2:$Y$2028,1)+COUNTIF($Y$2:Y307,Y307))-1,""))</f>
        <v/>
      </c>
      <c r="AA307" s="134" t="str">
        <f t="shared" si="278"/>
        <v/>
      </c>
      <c r="AB307" s="134" t="str">
        <f>IF(AA307="","",IFERROR((RANK(AA307,$AA$2:$AA$2028,1)+COUNTIF($AA$2:AA307,AA307))-1,""))</f>
        <v/>
      </c>
      <c r="AC307" s="134" t="str">
        <f t="shared" si="279"/>
        <v/>
      </c>
      <c r="AD307" s="134" t="str">
        <f>IF(AC307="","",IFERROR((RANK(AC307,$AC$2:$AC$2028,1)+COUNTIF($AC$2:AC307,AC307))-1,""))</f>
        <v/>
      </c>
      <c r="AE307" s="144" t="str">
        <f t="shared" si="271"/>
        <v/>
      </c>
      <c r="AF307" s="144" t="str">
        <f>IF(AE307="","",SUM($AE$2:AE307))</f>
        <v/>
      </c>
    </row>
    <row r="308" spans="14:32" x14ac:dyDescent="0.35">
      <c r="N308" s="134" t="str">
        <f t="shared" si="269"/>
        <v/>
      </c>
      <c r="O308" s="82" t="str">
        <f t="shared" si="272"/>
        <v/>
      </c>
      <c r="P308" s="81" t="str">
        <f t="shared" si="270"/>
        <v/>
      </c>
      <c r="Q308" s="81" t="str">
        <f t="shared" si="273"/>
        <v/>
      </c>
      <c r="R308" s="135" t="str">
        <f t="shared" ca="1" si="274"/>
        <v/>
      </c>
      <c r="S308" s="134" t="str">
        <f t="shared" ca="1" si="275"/>
        <v/>
      </c>
      <c r="T308" s="134" t="str">
        <f ca="1">IF(S308=Dashboard!$D$12,S308,"")</f>
        <v/>
      </c>
      <c r="U308" s="134" t="str">
        <f t="shared" ca="1" si="276"/>
        <v/>
      </c>
      <c r="V308" s="83" t="str">
        <f ca="1">IF(U308="","",IFERROR((RANK(U308,$U$2:$U$2028,1)+COUNTIF($U$2:U308,U308))-1,""))</f>
        <v/>
      </c>
      <c r="W308" s="134" t="str">
        <f t="shared" si="280"/>
        <v/>
      </c>
      <c r="X308" s="134" t="str">
        <f>IF(W308="","",IFERROR((RANK(W308,$W$2:$W$2028,1)+COUNTIF($W$2:W308,W308))-1,""))</f>
        <v/>
      </c>
      <c r="Y308" s="134" t="str">
        <f t="shared" si="277"/>
        <v/>
      </c>
      <c r="Z308" s="134" t="str">
        <f>IF(Y308="","",IFERROR((RANK(Y308,$Y$2:$Y$2028,1)+COUNTIF($Y$2:Y308,Y308))-1,""))</f>
        <v/>
      </c>
      <c r="AA308" s="134" t="str">
        <f t="shared" si="278"/>
        <v/>
      </c>
      <c r="AB308" s="134" t="str">
        <f>IF(AA308="","",IFERROR((RANK(AA308,$AA$2:$AA$2028,1)+COUNTIF($AA$2:AA308,AA308))-1,""))</f>
        <v/>
      </c>
      <c r="AC308" s="134" t="str">
        <f t="shared" si="279"/>
        <v/>
      </c>
      <c r="AD308" s="134" t="str">
        <f>IF(AC308="","",IFERROR((RANK(AC308,$AC$2:$AC$2028,1)+COUNTIF($AC$2:AC308,AC308))-1,""))</f>
        <v/>
      </c>
      <c r="AE308" s="144" t="str">
        <f t="shared" si="271"/>
        <v/>
      </c>
      <c r="AF308" s="144" t="str">
        <f>IF(AE308="","",SUM($AE$2:AE308))</f>
        <v/>
      </c>
    </row>
    <row r="309" spans="14:32" x14ac:dyDescent="0.35">
      <c r="N309" s="134" t="str">
        <f t="shared" si="269"/>
        <v/>
      </c>
      <c r="O309" s="82" t="str">
        <f t="shared" si="272"/>
        <v/>
      </c>
      <c r="P309" s="81" t="str">
        <f t="shared" si="270"/>
        <v/>
      </c>
      <c r="Q309" s="81" t="str">
        <f t="shared" si="273"/>
        <v/>
      </c>
      <c r="R309" s="135" t="str">
        <f t="shared" ca="1" si="274"/>
        <v/>
      </c>
      <c r="S309" s="134" t="str">
        <f t="shared" ca="1" si="275"/>
        <v/>
      </c>
      <c r="T309" s="134" t="str">
        <f ca="1">IF(S309=Dashboard!$D$12,S309,"")</f>
        <v/>
      </c>
      <c r="U309" s="134" t="str">
        <f t="shared" ca="1" si="276"/>
        <v/>
      </c>
      <c r="V309" s="83" t="str">
        <f ca="1">IF(U309="","",IFERROR((RANK(U309,$U$2:$U$2028,1)+COUNTIF($U$2:U309,U309))-1,""))</f>
        <v/>
      </c>
      <c r="W309" s="134" t="str">
        <f t="shared" si="280"/>
        <v/>
      </c>
      <c r="X309" s="134" t="str">
        <f>IF(W309="","",IFERROR((RANK(W309,$W$2:$W$2028,1)+COUNTIF($W$2:W309,W309))-1,""))</f>
        <v/>
      </c>
      <c r="Y309" s="134" t="str">
        <f t="shared" si="277"/>
        <v/>
      </c>
      <c r="Z309" s="134" t="str">
        <f>IF(Y309="","",IFERROR((RANK(Y309,$Y$2:$Y$2028,1)+COUNTIF($Y$2:Y309,Y309))-1,""))</f>
        <v/>
      </c>
      <c r="AA309" s="134" t="str">
        <f t="shared" si="278"/>
        <v/>
      </c>
      <c r="AB309" s="134" t="str">
        <f>IF(AA309="","",IFERROR((RANK(AA309,$AA$2:$AA$2028,1)+COUNTIF($AA$2:AA309,AA309))-1,""))</f>
        <v/>
      </c>
      <c r="AC309" s="134" t="str">
        <f t="shared" si="279"/>
        <v/>
      </c>
      <c r="AD309" s="134" t="str">
        <f>IF(AC309="","",IFERROR((RANK(AC309,$AC$2:$AC$2028,1)+COUNTIF($AC$2:AC309,AC309))-1,""))</f>
        <v/>
      </c>
      <c r="AE309" s="144" t="str">
        <f t="shared" si="271"/>
        <v/>
      </c>
      <c r="AF309" s="144" t="str">
        <f>IF(AE309="","",SUM($AE$2:AE309))</f>
        <v/>
      </c>
    </row>
    <row r="310" spans="14:32" x14ac:dyDescent="0.35">
      <c r="N310" s="134" t="str">
        <f t="shared" si="269"/>
        <v/>
      </c>
      <c r="O310" s="82" t="str">
        <f t="shared" si="272"/>
        <v/>
      </c>
      <c r="P310" s="81" t="str">
        <f t="shared" si="270"/>
        <v/>
      </c>
      <c r="Q310" s="81" t="str">
        <f t="shared" si="273"/>
        <v/>
      </c>
      <c r="R310" s="135" t="str">
        <f t="shared" ca="1" si="274"/>
        <v/>
      </c>
      <c r="S310" s="134" t="str">
        <f t="shared" ca="1" si="275"/>
        <v/>
      </c>
      <c r="T310" s="134" t="str">
        <f ca="1">IF(S310=Dashboard!$D$12,S310,"")</f>
        <v/>
      </c>
      <c r="U310" s="134" t="str">
        <f t="shared" ca="1" si="276"/>
        <v/>
      </c>
      <c r="V310" s="83" t="str">
        <f ca="1">IF(U310="","",IFERROR((RANK(U310,$U$2:$U$2028,1)+COUNTIF($U$2:U310,U310))-1,""))</f>
        <v/>
      </c>
      <c r="W310" s="134" t="str">
        <f t="shared" si="280"/>
        <v/>
      </c>
      <c r="X310" s="134" t="str">
        <f>IF(W310="","",IFERROR((RANK(W310,$W$2:$W$2028,1)+COUNTIF($W$2:W310,W310))-1,""))</f>
        <v/>
      </c>
      <c r="Y310" s="134" t="str">
        <f t="shared" si="277"/>
        <v/>
      </c>
      <c r="Z310" s="134" t="str">
        <f>IF(Y310="","",IFERROR((RANK(Y310,$Y$2:$Y$2028,1)+COUNTIF($Y$2:Y310,Y310))-1,""))</f>
        <v/>
      </c>
      <c r="AA310" s="134" t="str">
        <f t="shared" si="278"/>
        <v/>
      </c>
      <c r="AB310" s="134" t="str">
        <f>IF(AA310="","",IFERROR((RANK(AA310,$AA$2:$AA$2028,1)+COUNTIF($AA$2:AA310,AA310))-1,""))</f>
        <v/>
      </c>
      <c r="AC310" s="134" t="str">
        <f t="shared" si="279"/>
        <v/>
      </c>
      <c r="AD310" s="134" t="str">
        <f>IF(AC310="","",IFERROR((RANK(AC310,$AC$2:$AC$2028,1)+COUNTIF($AC$2:AC310,AC310))-1,""))</f>
        <v/>
      </c>
      <c r="AE310" s="144" t="str">
        <f t="shared" si="271"/>
        <v/>
      </c>
      <c r="AF310" s="144" t="str">
        <f>IF(AE310="","",SUM($AE$2:AE310))</f>
        <v/>
      </c>
    </row>
    <row r="311" spans="14:32" x14ac:dyDescent="0.35">
      <c r="N311" s="134" t="str">
        <f t="shared" si="269"/>
        <v/>
      </c>
      <c r="O311" s="82" t="str">
        <f t="shared" si="272"/>
        <v/>
      </c>
      <c r="P311" s="81" t="str">
        <f t="shared" si="270"/>
        <v/>
      </c>
      <c r="Q311" s="81" t="str">
        <f t="shared" si="273"/>
        <v/>
      </c>
      <c r="R311" s="135" t="str">
        <f t="shared" ca="1" si="274"/>
        <v/>
      </c>
      <c r="S311" s="134" t="str">
        <f t="shared" ca="1" si="275"/>
        <v/>
      </c>
      <c r="T311" s="134" t="str">
        <f ca="1">IF(S311=Dashboard!$D$12,S311,"")</f>
        <v/>
      </c>
      <c r="U311" s="134" t="str">
        <f t="shared" ca="1" si="276"/>
        <v/>
      </c>
      <c r="V311" s="83" t="str">
        <f ca="1">IF(U311="","",IFERROR((RANK(U311,$U$2:$U$2028,1)+COUNTIF($U$2:U311,U311))-1,""))</f>
        <v/>
      </c>
      <c r="W311" s="134" t="str">
        <f t="shared" si="280"/>
        <v/>
      </c>
      <c r="X311" s="134" t="str">
        <f>IF(W311="","",IFERROR((RANK(W311,$W$2:$W$2028,1)+COUNTIF($W$2:W311,W311))-1,""))</f>
        <v/>
      </c>
      <c r="Y311" s="134" t="str">
        <f t="shared" si="277"/>
        <v/>
      </c>
      <c r="Z311" s="134" t="str">
        <f>IF(Y311="","",IFERROR((RANK(Y311,$Y$2:$Y$2028,1)+COUNTIF($Y$2:Y311,Y311))-1,""))</f>
        <v/>
      </c>
      <c r="AA311" s="134" t="str">
        <f t="shared" si="278"/>
        <v/>
      </c>
      <c r="AB311" s="134" t="str">
        <f>IF(AA311="","",IFERROR((RANK(AA311,$AA$2:$AA$2028,1)+COUNTIF($AA$2:AA311,AA311))-1,""))</f>
        <v/>
      </c>
      <c r="AC311" s="134" t="str">
        <f t="shared" si="279"/>
        <v/>
      </c>
      <c r="AD311" s="134" t="str">
        <f>IF(AC311="","",IFERROR((RANK(AC311,$AC$2:$AC$2028,1)+COUNTIF($AC$2:AC311,AC311))-1,""))</f>
        <v/>
      </c>
      <c r="AE311" s="144" t="str">
        <f t="shared" si="271"/>
        <v/>
      </c>
      <c r="AF311" s="144" t="str">
        <f>IF(AE311="","",SUM($AE$2:AE311))</f>
        <v/>
      </c>
    </row>
    <row r="312" spans="14:32" x14ac:dyDescent="0.35">
      <c r="N312" s="134" t="str">
        <f t="shared" si="269"/>
        <v/>
      </c>
      <c r="O312" s="82" t="str">
        <f t="shared" si="272"/>
        <v/>
      </c>
      <c r="P312" s="81" t="str">
        <f t="shared" si="270"/>
        <v/>
      </c>
      <c r="Q312" s="81" t="str">
        <f t="shared" si="273"/>
        <v/>
      </c>
      <c r="R312" s="135" t="str">
        <f t="shared" ca="1" si="274"/>
        <v/>
      </c>
      <c r="S312" s="134" t="str">
        <f t="shared" ca="1" si="275"/>
        <v/>
      </c>
      <c r="T312" s="134" t="str">
        <f ca="1">IF(S312=Dashboard!$D$12,S312,"")</f>
        <v/>
      </c>
      <c r="U312" s="134" t="str">
        <f t="shared" ca="1" si="276"/>
        <v/>
      </c>
      <c r="V312" s="83" t="str">
        <f ca="1">IF(U312="","",IFERROR((RANK(U312,$U$2:$U$2028,1)+COUNTIF($U$2:U312,U312))-1,""))</f>
        <v/>
      </c>
      <c r="W312" s="134" t="str">
        <f t="shared" si="280"/>
        <v/>
      </c>
      <c r="X312" s="134" t="str">
        <f>IF(W312="","",IFERROR((RANK(W312,$W$2:$W$2028,1)+COUNTIF($W$2:W312,W312))-1,""))</f>
        <v/>
      </c>
      <c r="Y312" s="134" t="str">
        <f t="shared" si="277"/>
        <v/>
      </c>
      <c r="Z312" s="134" t="str">
        <f>IF(Y312="","",IFERROR((RANK(Y312,$Y$2:$Y$2028,1)+COUNTIF($Y$2:Y312,Y312))-1,""))</f>
        <v/>
      </c>
      <c r="AA312" s="134" t="str">
        <f t="shared" si="278"/>
        <v/>
      </c>
      <c r="AB312" s="134" t="str">
        <f>IF(AA312="","",IFERROR((RANK(AA312,$AA$2:$AA$2028,1)+COUNTIF($AA$2:AA312,AA312))-1,""))</f>
        <v/>
      </c>
      <c r="AC312" s="134" t="str">
        <f t="shared" si="279"/>
        <v/>
      </c>
      <c r="AD312" s="134" t="str">
        <f>IF(AC312="","",IFERROR((RANK(AC312,$AC$2:$AC$2028,1)+COUNTIF($AC$2:AC312,AC312))-1,""))</f>
        <v/>
      </c>
      <c r="AE312" s="144" t="str">
        <f t="shared" si="271"/>
        <v/>
      </c>
      <c r="AF312" s="144" t="str">
        <f>IF(AE312="","",SUM($AE$2:AE312))</f>
        <v/>
      </c>
    </row>
    <row r="313" spans="14:32" x14ac:dyDescent="0.35">
      <c r="N313" s="134" t="str">
        <f t="shared" si="269"/>
        <v/>
      </c>
      <c r="O313" s="82" t="str">
        <f t="shared" si="272"/>
        <v/>
      </c>
      <c r="P313" s="81" t="str">
        <f t="shared" si="270"/>
        <v/>
      </c>
      <c r="Q313" s="81" t="str">
        <f t="shared" si="273"/>
        <v/>
      </c>
      <c r="R313" s="135" t="str">
        <f t="shared" ca="1" si="274"/>
        <v/>
      </c>
      <c r="S313" s="134" t="str">
        <f t="shared" ca="1" si="275"/>
        <v/>
      </c>
      <c r="T313" s="134" t="str">
        <f ca="1">IF(S313=Dashboard!$D$12,S313,"")</f>
        <v/>
      </c>
      <c r="U313" s="134" t="str">
        <f t="shared" ca="1" si="276"/>
        <v/>
      </c>
      <c r="V313" s="83" t="str">
        <f ca="1">IF(U313="","",IFERROR((RANK(U313,$U$2:$U$2028,1)+COUNTIF($U$2:U313,U313))-1,""))</f>
        <v/>
      </c>
      <c r="W313" s="134" t="str">
        <f t="shared" si="280"/>
        <v/>
      </c>
      <c r="X313" s="134" t="str">
        <f>IF(W313="","",IFERROR((RANK(W313,$W$2:$W$2028,1)+COUNTIF($W$2:W313,W313))-1,""))</f>
        <v/>
      </c>
      <c r="Y313" s="134" t="str">
        <f t="shared" si="277"/>
        <v/>
      </c>
      <c r="Z313" s="134" t="str">
        <f>IF(Y313="","",IFERROR((RANK(Y313,$Y$2:$Y$2028,1)+COUNTIF($Y$2:Y313,Y313))-1,""))</f>
        <v/>
      </c>
      <c r="AA313" s="134" t="str">
        <f t="shared" si="278"/>
        <v/>
      </c>
      <c r="AB313" s="134" t="str">
        <f>IF(AA313="","",IFERROR((RANK(AA313,$AA$2:$AA$2028,1)+COUNTIF($AA$2:AA313,AA313))-1,""))</f>
        <v/>
      </c>
      <c r="AC313" s="134" t="str">
        <f t="shared" si="279"/>
        <v/>
      </c>
      <c r="AD313" s="134" t="str">
        <f>IF(AC313="","",IFERROR((RANK(AC313,$AC$2:$AC$2028,1)+COUNTIF($AC$2:AC313,AC313))-1,""))</f>
        <v/>
      </c>
      <c r="AE313" s="144" t="str">
        <f t="shared" si="271"/>
        <v/>
      </c>
      <c r="AF313" s="144" t="str">
        <f>IF(AE313="","",SUM($AE$2:AE313))</f>
        <v/>
      </c>
    </row>
    <row r="314" spans="14:32" x14ac:dyDescent="0.35">
      <c r="N314" s="134" t="str">
        <f t="shared" si="269"/>
        <v/>
      </c>
      <c r="O314" s="82" t="str">
        <f t="shared" si="272"/>
        <v/>
      </c>
      <c r="P314" s="81" t="str">
        <f t="shared" si="270"/>
        <v/>
      </c>
      <c r="Q314" s="81" t="str">
        <f t="shared" si="273"/>
        <v/>
      </c>
      <c r="R314" s="135" t="str">
        <f t="shared" ca="1" si="274"/>
        <v/>
      </c>
      <c r="S314" s="134" t="str">
        <f t="shared" ca="1" si="275"/>
        <v/>
      </c>
      <c r="T314" s="134" t="str">
        <f ca="1">IF(S314=Dashboard!$D$12,S314,"")</f>
        <v/>
      </c>
      <c r="U314" s="134" t="str">
        <f t="shared" ca="1" si="276"/>
        <v/>
      </c>
      <c r="V314" s="83" t="str">
        <f ca="1">IF(U314="","",IFERROR((RANK(U314,$U$2:$U$2028,1)+COUNTIF($U$2:U314,U314))-1,""))</f>
        <v/>
      </c>
      <c r="W314" s="134" t="str">
        <f t="shared" si="280"/>
        <v/>
      </c>
      <c r="X314" s="134" t="str">
        <f>IF(W314="","",IFERROR((RANK(W314,$W$2:$W$2028,1)+COUNTIF($W$2:W314,W314))-1,""))</f>
        <v/>
      </c>
      <c r="Y314" s="134" t="str">
        <f t="shared" si="277"/>
        <v/>
      </c>
      <c r="Z314" s="134" t="str">
        <f>IF(Y314="","",IFERROR((RANK(Y314,$Y$2:$Y$2028,1)+COUNTIF($Y$2:Y314,Y314))-1,""))</f>
        <v/>
      </c>
      <c r="AA314" s="134" t="str">
        <f t="shared" si="278"/>
        <v/>
      </c>
      <c r="AB314" s="134" t="str">
        <f>IF(AA314="","",IFERROR((RANK(AA314,$AA$2:$AA$2028,1)+COUNTIF($AA$2:AA314,AA314))-1,""))</f>
        <v/>
      </c>
      <c r="AC314" s="134" t="str">
        <f t="shared" si="279"/>
        <v/>
      </c>
      <c r="AD314" s="134" t="str">
        <f>IF(AC314="","",IFERROR((RANK(AC314,$AC$2:$AC$2028,1)+COUNTIF($AC$2:AC314,AC314))-1,""))</f>
        <v/>
      </c>
      <c r="AE314" s="144" t="str">
        <f t="shared" si="271"/>
        <v/>
      </c>
      <c r="AF314" s="144" t="str">
        <f>IF(AE314="","",SUM($AE$2:AE314))</f>
        <v/>
      </c>
    </row>
    <row r="315" spans="14:32" x14ac:dyDescent="0.35">
      <c r="N315" s="134" t="str">
        <f t="shared" si="269"/>
        <v/>
      </c>
      <c r="O315" s="82" t="str">
        <f t="shared" si="272"/>
        <v/>
      </c>
      <c r="P315" s="81" t="str">
        <f t="shared" si="270"/>
        <v/>
      </c>
      <c r="Q315" s="81" t="str">
        <f t="shared" si="273"/>
        <v/>
      </c>
      <c r="R315" s="135" t="str">
        <f t="shared" ca="1" si="274"/>
        <v/>
      </c>
      <c r="S315" s="134" t="str">
        <f t="shared" ca="1" si="275"/>
        <v/>
      </c>
      <c r="T315" s="134" t="str">
        <f ca="1">IF(S315=Dashboard!$D$12,S315,"")</f>
        <v/>
      </c>
      <c r="U315" s="134" t="str">
        <f t="shared" ca="1" si="276"/>
        <v/>
      </c>
      <c r="V315" s="83" t="str">
        <f ca="1">IF(U315="","",IFERROR((RANK(U315,$U$2:$U$2028,1)+COUNTIF($U$2:U315,U315))-1,""))</f>
        <v/>
      </c>
      <c r="W315" s="134" t="str">
        <f t="shared" si="280"/>
        <v/>
      </c>
      <c r="X315" s="134" t="str">
        <f>IF(W315="","",IFERROR((RANK(W315,$W$2:$W$2028,1)+COUNTIF($W$2:W315,W315))-1,""))</f>
        <v/>
      </c>
      <c r="Y315" s="134" t="str">
        <f t="shared" si="277"/>
        <v/>
      </c>
      <c r="Z315" s="134" t="str">
        <f>IF(Y315="","",IFERROR((RANK(Y315,$Y$2:$Y$2028,1)+COUNTIF($Y$2:Y315,Y315))-1,""))</f>
        <v/>
      </c>
      <c r="AA315" s="134" t="str">
        <f t="shared" si="278"/>
        <v/>
      </c>
      <c r="AB315" s="134" t="str">
        <f>IF(AA315="","",IFERROR((RANK(AA315,$AA$2:$AA$2028,1)+COUNTIF($AA$2:AA315,AA315))-1,""))</f>
        <v/>
      </c>
      <c r="AC315" s="134" t="str">
        <f t="shared" si="279"/>
        <v/>
      </c>
      <c r="AD315" s="134" t="str">
        <f>IF(AC315="","",IFERROR((RANK(AC315,$AC$2:$AC$2028,1)+COUNTIF($AC$2:AC315,AC315))-1,""))</f>
        <v/>
      </c>
      <c r="AE315" s="144" t="str">
        <f t="shared" si="271"/>
        <v/>
      </c>
      <c r="AF315" s="144" t="str">
        <f>IF(AE315="","",SUM($AE$2:AE315))</f>
        <v/>
      </c>
    </row>
    <row r="316" spans="14:32" x14ac:dyDescent="0.35">
      <c r="N316" s="134" t="str">
        <f t="shared" si="269"/>
        <v/>
      </c>
      <c r="O316" s="82" t="str">
        <f t="shared" si="272"/>
        <v/>
      </c>
      <c r="P316" s="81" t="str">
        <f t="shared" si="270"/>
        <v/>
      </c>
      <c r="Q316" s="81" t="str">
        <f t="shared" si="273"/>
        <v/>
      </c>
      <c r="R316" s="135" t="str">
        <f t="shared" ca="1" si="274"/>
        <v/>
      </c>
      <c r="S316" s="134" t="str">
        <f t="shared" ca="1" si="275"/>
        <v/>
      </c>
      <c r="T316" s="134" t="str">
        <f ca="1">IF(S316=Dashboard!$D$12,S316,"")</f>
        <v/>
      </c>
      <c r="U316" s="134" t="str">
        <f t="shared" ca="1" si="276"/>
        <v/>
      </c>
      <c r="V316" s="83" t="str">
        <f ca="1">IF(U316="","",IFERROR((RANK(U316,$U$2:$U$2028,1)+COUNTIF($U$2:U316,U316))-1,""))</f>
        <v/>
      </c>
      <c r="W316" s="134" t="str">
        <f t="shared" si="280"/>
        <v/>
      </c>
      <c r="X316" s="134" t="str">
        <f>IF(W316="","",IFERROR((RANK(W316,$W$2:$W$2028,1)+COUNTIF($W$2:W316,W316))-1,""))</f>
        <v/>
      </c>
      <c r="Y316" s="134" t="str">
        <f t="shared" si="277"/>
        <v/>
      </c>
      <c r="Z316" s="134" t="str">
        <f>IF(Y316="","",IFERROR((RANK(Y316,$Y$2:$Y$2028,1)+COUNTIF($Y$2:Y316,Y316))-1,""))</f>
        <v/>
      </c>
      <c r="AA316" s="134" t="str">
        <f t="shared" si="278"/>
        <v/>
      </c>
      <c r="AB316" s="134" t="str">
        <f>IF(AA316="","",IFERROR((RANK(AA316,$AA$2:$AA$2028,1)+COUNTIF($AA$2:AA316,AA316))-1,""))</f>
        <v/>
      </c>
      <c r="AC316" s="134" t="str">
        <f t="shared" si="279"/>
        <v/>
      </c>
      <c r="AD316" s="134" t="str">
        <f>IF(AC316="","",IFERROR((RANK(AC316,$AC$2:$AC$2028,1)+COUNTIF($AC$2:AC316,AC316))-1,""))</f>
        <v/>
      </c>
      <c r="AE316" s="144" t="str">
        <f t="shared" si="271"/>
        <v/>
      </c>
      <c r="AF316" s="144" t="str">
        <f>IF(AE316="","",SUM($AE$2:AE316))</f>
        <v/>
      </c>
    </row>
    <row r="317" spans="14:32" x14ac:dyDescent="0.35">
      <c r="N317" s="134" t="str">
        <f t="shared" si="269"/>
        <v/>
      </c>
      <c r="O317" s="82" t="str">
        <f t="shared" si="272"/>
        <v/>
      </c>
      <c r="P317" s="81" t="str">
        <f t="shared" si="270"/>
        <v/>
      </c>
      <c r="Q317" s="81" t="str">
        <f t="shared" si="273"/>
        <v/>
      </c>
      <c r="R317" s="135" t="str">
        <f t="shared" ca="1" si="274"/>
        <v/>
      </c>
      <c r="S317" s="134" t="str">
        <f t="shared" ca="1" si="275"/>
        <v/>
      </c>
      <c r="T317" s="134" t="str">
        <f ca="1">IF(S317=Dashboard!$D$12,S317,"")</f>
        <v/>
      </c>
      <c r="U317" s="134" t="str">
        <f t="shared" ca="1" si="276"/>
        <v/>
      </c>
      <c r="V317" s="83" t="str">
        <f ca="1">IF(U317="","",IFERROR((RANK(U317,$U$2:$U$2028,1)+COUNTIF($U$2:U317,U317))-1,""))</f>
        <v/>
      </c>
      <c r="W317" s="134" t="str">
        <f t="shared" si="280"/>
        <v/>
      </c>
      <c r="X317" s="134" t="str">
        <f>IF(W317="","",IFERROR((RANK(W317,$W$2:$W$2028,1)+COUNTIF($W$2:W317,W317))-1,""))</f>
        <v/>
      </c>
      <c r="Y317" s="134" t="str">
        <f t="shared" si="277"/>
        <v/>
      </c>
      <c r="Z317" s="134" t="str">
        <f>IF(Y317="","",IFERROR((RANK(Y317,$Y$2:$Y$2028,1)+COUNTIF($Y$2:Y317,Y317))-1,""))</f>
        <v/>
      </c>
      <c r="AA317" s="134" t="str">
        <f t="shared" si="278"/>
        <v/>
      </c>
      <c r="AB317" s="134" t="str">
        <f>IF(AA317="","",IFERROR((RANK(AA317,$AA$2:$AA$2028,1)+COUNTIF($AA$2:AA317,AA317))-1,""))</f>
        <v/>
      </c>
      <c r="AC317" s="134" t="str">
        <f t="shared" si="279"/>
        <v/>
      </c>
      <c r="AD317" s="134" t="str">
        <f>IF(AC317="","",IFERROR((RANK(AC317,$AC$2:$AC$2028,1)+COUNTIF($AC$2:AC317,AC317))-1,""))</f>
        <v/>
      </c>
      <c r="AE317" s="144" t="str">
        <f t="shared" si="271"/>
        <v/>
      </c>
      <c r="AF317" s="144" t="str">
        <f>IF(AE317="","",SUM($AE$2:AE317))</f>
        <v/>
      </c>
    </row>
    <row r="318" spans="14:32" x14ac:dyDescent="0.35">
      <c r="N318" s="134" t="str">
        <f t="shared" si="269"/>
        <v/>
      </c>
      <c r="O318" s="82" t="str">
        <f t="shared" si="272"/>
        <v/>
      </c>
      <c r="P318" s="81" t="str">
        <f t="shared" si="270"/>
        <v/>
      </c>
      <c r="Q318" s="81" t="str">
        <f t="shared" si="273"/>
        <v/>
      </c>
      <c r="R318" s="135" t="str">
        <f t="shared" ca="1" si="274"/>
        <v/>
      </c>
      <c r="S318" s="134" t="str">
        <f t="shared" ca="1" si="275"/>
        <v/>
      </c>
      <c r="T318" s="134" t="str">
        <f ca="1">IF(S318=Dashboard!$D$12,S318,"")</f>
        <v/>
      </c>
      <c r="U318" s="134" t="str">
        <f t="shared" ca="1" si="276"/>
        <v/>
      </c>
      <c r="V318" s="83" t="str">
        <f ca="1">IF(U318="","",IFERROR((RANK(U318,$U$2:$U$2028,1)+COUNTIF($U$2:U318,U318))-1,""))</f>
        <v/>
      </c>
      <c r="W318" s="134" t="str">
        <f t="shared" si="280"/>
        <v/>
      </c>
      <c r="X318" s="134" t="str">
        <f>IF(W318="","",IFERROR((RANK(W318,$W$2:$W$2028,1)+COUNTIF($W$2:W318,W318))-1,""))</f>
        <v/>
      </c>
      <c r="Y318" s="134" t="str">
        <f t="shared" si="277"/>
        <v/>
      </c>
      <c r="Z318" s="134" t="str">
        <f>IF(Y318="","",IFERROR((RANK(Y318,$Y$2:$Y$2028,1)+COUNTIF($Y$2:Y318,Y318))-1,""))</f>
        <v/>
      </c>
      <c r="AA318" s="134" t="str">
        <f t="shared" si="278"/>
        <v/>
      </c>
      <c r="AB318" s="134" t="str">
        <f>IF(AA318="","",IFERROR((RANK(AA318,$AA$2:$AA$2028,1)+COUNTIF($AA$2:AA318,AA318))-1,""))</f>
        <v/>
      </c>
      <c r="AC318" s="134" t="str">
        <f t="shared" si="279"/>
        <v/>
      </c>
      <c r="AD318" s="134" t="str">
        <f>IF(AC318="","",IFERROR((RANK(AC318,$AC$2:$AC$2028,1)+COUNTIF($AC$2:AC318,AC318))-1,""))</f>
        <v/>
      </c>
      <c r="AE318" s="144" t="str">
        <f t="shared" si="271"/>
        <v/>
      </c>
      <c r="AF318" s="144" t="str">
        <f>IF(AE318="","",SUM($AE$2:AE318))</f>
        <v/>
      </c>
    </row>
    <row r="319" spans="14:32" x14ac:dyDescent="0.35">
      <c r="N319" s="134" t="str">
        <f t="shared" si="269"/>
        <v/>
      </c>
      <c r="O319" s="82" t="str">
        <f t="shared" si="272"/>
        <v/>
      </c>
      <c r="P319" s="81" t="str">
        <f t="shared" si="270"/>
        <v/>
      </c>
      <c r="Q319" s="81" t="str">
        <f t="shared" si="273"/>
        <v/>
      </c>
      <c r="R319" s="135" t="str">
        <f t="shared" ca="1" si="274"/>
        <v/>
      </c>
      <c r="S319" s="134" t="str">
        <f t="shared" ca="1" si="275"/>
        <v/>
      </c>
      <c r="T319" s="134" t="str">
        <f ca="1">IF(S319=Dashboard!$D$12,S319,"")</f>
        <v/>
      </c>
      <c r="U319" s="134" t="str">
        <f t="shared" ca="1" si="276"/>
        <v/>
      </c>
      <c r="V319" s="83" t="str">
        <f ca="1">IF(U319="","",IFERROR((RANK(U319,$U$2:$U$2028,1)+COUNTIF($U$2:U319,U319))-1,""))</f>
        <v/>
      </c>
      <c r="W319" s="134" t="str">
        <f t="shared" si="280"/>
        <v/>
      </c>
      <c r="X319" s="134" t="str">
        <f>IF(W319="","",IFERROR((RANK(W319,$W$2:$W$2028,1)+COUNTIF($W$2:W319,W319))-1,""))</f>
        <v/>
      </c>
      <c r="Y319" s="134" t="str">
        <f t="shared" si="277"/>
        <v/>
      </c>
      <c r="Z319" s="134" t="str">
        <f>IF(Y319="","",IFERROR((RANK(Y319,$Y$2:$Y$2028,1)+COUNTIF($Y$2:Y319,Y319))-1,""))</f>
        <v/>
      </c>
      <c r="AA319" s="134" t="str">
        <f t="shared" si="278"/>
        <v/>
      </c>
      <c r="AB319" s="134" t="str">
        <f>IF(AA319="","",IFERROR((RANK(AA319,$AA$2:$AA$2028,1)+COUNTIF($AA$2:AA319,AA319))-1,""))</f>
        <v/>
      </c>
      <c r="AC319" s="134" t="str">
        <f t="shared" si="279"/>
        <v/>
      </c>
      <c r="AD319" s="134" t="str">
        <f>IF(AC319="","",IFERROR((RANK(AC319,$AC$2:$AC$2028,1)+COUNTIF($AC$2:AC319,AC319))-1,""))</f>
        <v/>
      </c>
      <c r="AE319" s="144" t="str">
        <f t="shared" si="271"/>
        <v/>
      </c>
      <c r="AF319" s="144" t="str">
        <f>IF(AE319="","",SUM($AE$2:AE319))</f>
        <v/>
      </c>
    </row>
    <row r="320" spans="14:32" x14ac:dyDescent="0.35">
      <c r="N320" s="134" t="str">
        <f t="shared" si="269"/>
        <v/>
      </c>
      <c r="O320" s="82" t="str">
        <f t="shared" si="272"/>
        <v/>
      </c>
      <c r="P320" s="81" t="str">
        <f t="shared" si="270"/>
        <v/>
      </c>
      <c r="Q320" s="81" t="str">
        <f t="shared" si="273"/>
        <v/>
      </c>
      <c r="R320" s="135" t="str">
        <f t="shared" ca="1" si="274"/>
        <v/>
      </c>
      <c r="S320" s="134" t="str">
        <f t="shared" ca="1" si="275"/>
        <v/>
      </c>
      <c r="T320" s="134" t="str">
        <f ca="1">IF(S320=Dashboard!$D$12,S320,"")</f>
        <v/>
      </c>
      <c r="U320" s="134" t="str">
        <f t="shared" ca="1" si="276"/>
        <v/>
      </c>
      <c r="V320" s="83" t="str">
        <f ca="1">IF(U320="","",IFERROR((RANK(U320,$U$2:$U$2028,1)+COUNTIF($U$2:U320,U320))-1,""))</f>
        <v/>
      </c>
      <c r="W320" s="134" t="str">
        <f t="shared" si="280"/>
        <v/>
      </c>
      <c r="X320" s="134" t="str">
        <f>IF(W320="","",IFERROR((RANK(W320,$W$2:$W$2028,1)+COUNTIF($W$2:W320,W320))-1,""))</f>
        <v/>
      </c>
      <c r="Y320" s="134" t="str">
        <f t="shared" si="277"/>
        <v/>
      </c>
      <c r="Z320" s="134" t="str">
        <f>IF(Y320="","",IFERROR((RANK(Y320,$Y$2:$Y$2028,1)+COUNTIF($Y$2:Y320,Y320))-1,""))</f>
        <v/>
      </c>
      <c r="AA320" s="134" t="str">
        <f t="shared" si="278"/>
        <v/>
      </c>
      <c r="AB320" s="134" t="str">
        <f>IF(AA320="","",IFERROR((RANK(AA320,$AA$2:$AA$2028,1)+COUNTIF($AA$2:AA320,AA320))-1,""))</f>
        <v/>
      </c>
      <c r="AC320" s="134" t="str">
        <f t="shared" si="279"/>
        <v/>
      </c>
      <c r="AD320" s="134" t="str">
        <f>IF(AC320="","",IFERROR((RANK(AC320,$AC$2:$AC$2028,1)+COUNTIF($AC$2:AC320,AC320))-1,""))</f>
        <v/>
      </c>
      <c r="AE320" s="144" t="str">
        <f t="shared" si="271"/>
        <v/>
      </c>
      <c r="AF320" s="144" t="str">
        <f>IF(AE320="","",SUM($AE$2:AE320))</f>
        <v/>
      </c>
    </row>
    <row r="321" spans="14:32" x14ac:dyDescent="0.35">
      <c r="N321" s="134" t="str">
        <f t="shared" si="269"/>
        <v/>
      </c>
      <c r="O321" s="82" t="str">
        <f t="shared" si="272"/>
        <v/>
      </c>
      <c r="P321" s="81" t="str">
        <f t="shared" si="270"/>
        <v/>
      </c>
      <c r="Q321" s="81" t="str">
        <f t="shared" si="273"/>
        <v/>
      </c>
      <c r="R321" s="135" t="str">
        <f t="shared" ca="1" si="274"/>
        <v/>
      </c>
      <c r="S321" s="134" t="str">
        <f t="shared" ca="1" si="275"/>
        <v/>
      </c>
      <c r="T321" s="134" t="str">
        <f ca="1">IF(S321=Dashboard!$D$12,S321,"")</f>
        <v/>
      </c>
      <c r="U321" s="134" t="str">
        <f t="shared" ca="1" si="276"/>
        <v/>
      </c>
      <c r="V321" s="83" t="str">
        <f ca="1">IF(U321="","",IFERROR((RANK(U321,$U$2:$U$2028,1)+COUNTIF($U$2:U321,U321))-1,""))</f>
        <v/>
      </c>
      <c r="W321" s="134" t="str">
        <f t="shared" si="280"/>
        <v/>
      </c>
      <c r="X321" s="134" t="str">
        <f>IF(W321="","",IFERROR((RANK(W321,$W$2:$W$2028,1)+COUNTIF($W$2:W321,W321))-1,""))</f>
        <v/>
      </c>
      <c r="Y321" s="134" t="str">
        <f t="shared" si="277"/>
        <v/>
      </c>
      <c r="Z321" s="134" t="str">
        <f>IF(Y321="","",IFERROR((RANK(Y321,$Y$2:$Y$2028,1)+COUNTIF($Y$2:Y321,Y321))-1,""))</f>
        <v/>
      </c>
      <c r="AA321" s="134" t="str">
        <f t="shared" si="278"/>
        <v/>
      </c>
      <c r="AB321" s="134" t="str">
        <f>IF(AA321="","",IFERROR((RANK(AA321,$AA$2:$AA$2028,1)+COUNTIF($AA$2:AA321,AA321))-1,""))</f>
        <v/>
      </c>
      <c r="AC321" s="134" t="str">
        <f t="shared" si="279"/>
        <v/>
      </c>
      <c r="AD321" s="134" t="str">
        <f>IF(AC321="","",IFERROR((RANK(AC321,$AC$2:$AC$2028,1)+COUNTIF($AC$2:AC321,AC321))-1,""))</f>
        <v/>
      </c>
      <c r="AE321" s="144" t="str">
        <f t="shared" si="271"/>
        <v/>
      </c>
      <c r="AF321" s="144" t="str">
        <f>IF(AE321="","",SUM($AE$2:AE321))</f>
        <v/>
      </c>
    </row>
    <row r="322" spans="14:32" x14ac:dyDescent="0.35">
      <c r="N322" s="134" t="str">
        <f t="shared" ref="N322:N385" si="281">IF(A322="","",COUNTIFS(M:M,M322,H:H,"&lt;"&amp;H322)+1)</f>
        <v/>
      </c>
      <c r="O322" s="82" t="str">
        <f t="shared" si="272"/>
        <v/>
      </c>
      <c r="P322" s="81" t="str">
        <f t="shared" ref="P322:P385" si="282">IF(A322="","",COUNTIFS(M:M,M322,H:H,"&gt;"&amp;H322)+1)</f>
        <v/>
      </c>
      <c r="Q322" s="81" t="str">
        <f t="shared" si="273"/>
        <v/>
      </c>
      <c r="R322" s="135" t="str">
        <f t="shared" ca="1" si="274"/>
        <v/>
      </c>
      <c r="S322" s="134" t="str">
        <f t="shared" ca="1" si="275"/>
        <v/>
      </c>
      <c r="T322" s="134" t="str">
        <f ca="1">IF(S322=Dashboard!$D$12,S322,"")</f>
        <v/>
      </c>
      <c r="U322" s="134" t="str">
        <f t="shared" ca="1" si="276"/>
        <v/>
      </c>
      <c r="V322" s="83" t="str">
        <f ca="1">IF(U322="","",IFERROR((RANK(U322,$U$2:$U$2028,1)+COUNTIF($U$2:U322,U322))-1,""))</f>
        <v/>
      </c>
      <c r="W322" s="134" t="str">
        <f t="shared" si="280"/>
        <v/>
      </c>
      <c r="X322" s="134" t="str">
        <f>IF(W322="","",IFERROR((RANK(W322,$W$2:$W$2028,1)+COUNTIF($W$2:W322,W322))-1,""))</f>
        <v/>
      </c>
      <c r="Y322" s="134" t="str">
        <f t="shared" si="277"/>
        <v/>
      </c>
      <c r="Z322" s="134" t="str">
        <f>IF(Y322="","",IFERROR((RANK(Y322,$Y$2:$Y$2028,1)+COUNTIF($Y$2:Y322,Y322))-1,""))</f>
        <v/>
      </c>
      <c r="AA322" s="134" t="str">
        <f t="shared" si="278"/>
        <v/>
      </c>
      <c r="AB322" s="134" t="str">
        <f>IF(AA322="","",IFERROR((RANK(AA322,$AA$2:$AA$2028,1)+COUNTIF($AA$2:AA322,AA322))-1,""))</f>
        <v/>
      </c>
      <c r="AC322" s="134" t="str">
        <f t="shared" si="279"/>
        <v/>
      </c>
      <c r="AD322" s="134" t="str">
        <f>IF(AC322="","",IFERROR((RANK(AC322,$AC$2:$AC$2028,1)+COUNTIF($AC$2:AC322,AC322))-1,""))</f>
        <v/>
      </c>
      <c r="AE322" s="144" t="str">
        <f t="shared" si="271"/>
        <v/>
      </c>
      <c r="AF322" s="144" t="str">
        <f>IF(AE322="","",SUM($AE$2:AE322))</f>
        <v/>
      </c>
    </row>
    <row r="323" spans="14:32" x14ac:dyDescent="0.35">
      <c r="N323" s="134" t="str">
        <f t="shared" si="281"/>
        <v/>
      </c>
      <c r="O323" s="82" t="str">
        <f t="shared" si="272"/>
        <v/>
      </c>
      <c r="P323" s="81" t="str">
        <f t="shared" si="282"/>
        <v/>
      </c>
      <c r="Q323" s="81" t="str">
        <f t="shared" si="273"/>
        <v/>
      </c>
      <c r="R323" s="135" t="str">
        <f t="shared" ca="1" si="274"/>
        <v/>
      </c>
      <c r="S323" s="134" t="str">
        <f t="shared" ca="1" si="275"/>
        <v/>
      </c>
      <c r="T323" s="134" t="str">
        <f ca="1">IF(S323=Dashboard!$D$12,S323,"")</f>
        <v/>
      </c>
      <c r="U323" s="134" t="str">
        <f t="shared" ca="1" si="276"/>
        <v/>
      </c>
      <c r="V323" s="83" t="str">
        <f ca="1">IF(U323="","",IFERROR((RANK(U323,$U$2:$U$2028,1)+COUNTIF($U$2:U323,U323))-1,""))</f>
        <v/>
      </c>
      <c r="W323" s="134" t="str">
        <f t="shared" si="280"/>
        <v/>
      </c>
      <c r="X323" s="134" t="str">
        <f>IF(W323="","",IFERROR((RANK(W323,$W$2:$W$2028,1)+COUNTIF($W$2:W323,W323))-1,""))</f>
        <v/>
      </c>
      <c r="Y323" s="134" t="str">
        <f t="shared" si="277"/>
        <v/>
      </c>
      <c r="Z323" s="134" t="str">
        <f>IF(Y323="","",IFERROR((RANK(Y323,$Y$2:$Y$2028,1)+COUNTIF($Y$2:Y323,Y323))-1,""))</f>
        <v/>
      </c>
      <c r="AA323" s="134" t="str">
        <f t="shared" si="278"/>
        <v/>
      </c>
      <c r="AB323" s="134" t="str">
        <f>IF(AA323="","",IFERROR((RANK(AA323,$AA$2:$AA$2028,1)+COUNTIF($AA$2:AA323,AA323))-1,""))</f>
        <v/>
      </c>
      <c r="AC323" s="134" t="str">
        <f t="shared" si="279"/>
        <v/>
      </c>
      <c r="AD323" s="134" t="str">
        <f>IF(AC323="","",IFERROR((RANK(AC323,$AC$2:$AC$2028,1)+COUNTIF($AC$2:AC323,AC323))-1,""))</f>
        <v/>
      </c>
      <c r="AE323" s="144" t="str">
        <f t="shared" si="271"/>
        <v/>
      </c>
      <c r="AF323" s="144" t="str">
        <f>IF(AE323="","",SUM($AE$2:AE323))</f>
        <v/>
      </c>
    </row>
    <row r="324" spans="14:32" x14ac:dyDescent="0.35">
      <c r="N324" s="134" t="str">
        <f t="shared" si="281"/>
        <v/>
      </c>
      <c r="O324" s="82" t="str">
        <f t="shared" si="272"/>
        <v/>
      </c>
      <c r="P324" s="81" t="str">
        <f t="shared" si="282"/>
        <v/>
      </c>
      <c r="Q324" s="81" t="str">
        <f t="shared" si="273"/>
        <v/>
      </c>
      <c r="R324" s="135" t="str">
        <f t="shared" ca="1" si="274"/>
        <v/>
      </c>
      <c r="S324" s="134" t="str">
        <f t="shared" ca="1" si="275"/>
        <v/>
      </c>
      <c r="T324" s="134" t="str">
        <f ca="1">IF(S324=Dashboard!$D$12,S324,"")</f>
        <v/>
      </c>
      <c r="U324" s="134" t="str">
        <f t="shared" ca="1" si="276"/>
        <v/>
      </c>
      <c r="V324" s="83" t="str">
        <f ca="1">IF(U324="","",IFERROR((RANK(U324,$U$2:$U$2028,1)+COUNTIF($U$2:U324,U324))-1,""))</f>
        <v/>
      </c>
      <c r="W324" s="134" t="str">
        <f t="shared" si="280"/>
        <v/>
      </c>
      <c r="X324" s="134" t="str">
        <f>IF(W324="","",IFERROR((RANK(W324,$W$2:$W$2028,1)+COUNTIF($W$2:W324,W324))-1,""))</f>
        <v/>
      </c>
      <c r="Y324" s="134" t="str">
        <f t="shared" si="277"/>
        <v/>
      </c>
      <c r="Z324" s="134" t="str">
        <f>IF(Y324="","",IFERROR((RANK(Y324,$Y$2:$Y$2028,1)+COUNTIF($Y$2:Y324,Y324))-1,""))</f>
        <v/>
      </c>
      <c r="AA324" s="134" t="str">
        <f t="shared" si="278"/>
        <v/>
      </c>
      <c r="AB324" s="134" t="str">
        <f>IF(AA324="","",IFERROR((RANK(AA324,$AA$2:$AA$2028,1)+COUNTIF($AA$2:AA324,AA324))-1,""))</f>
        <v/>
      </c>
      <c r="AC324" s="134" t="str">
        <f t="shared" si="279"/>
        <v/>
      </c>
      <c r="AD324" s="134" t="str">
        <f>IF(AC324="","",IFERROR((RANK(AC324,$AC$2:$AC$2028,1)+COUNTIF($AC$2:AC324,AC324))-1,""))</f>
        <v/>
      </c>
      <c r="AE324" s="144" t="str">
        <f t="shared" si="271"/>
        <v/>
      </c>
      <c r="AF324" s="144" t="str">
        <f>IF(AE324="","",SUM($AE$2:AE324))</f>
        <v/>
      </c>
    </row>
    <row r="325" spans="14:32" x14ac:dyDescent="0.35">
      <c r="N325" s="134" t="str">
        <f t="shared" si="281"/>
        <v/>
      </c>
      <c r="O325" s="82" t="str">
        <f t="shared" si="272"/>
        <v/>
      </c>
      <c r="P325" s="81" t="str">
        <f t="shared" si="282"/>
        <v/>
      </c>
      <c r="Q325" s="81" t="str">
        <f t="shared" si="273"/>
        <v/>
      </c>
      <c r="R325" s="135" t="str">
        <f t="shared" ca="1" si="274"/>
        <v/>
      </c>
      <c r="S325" s="134" t="str">
        <f t="shared" ca="1" si="275"/>
        <v/>
      </c>
      <c r="T325" s="134" t="str">
        <f ca="1">IF(S325=Dashboard!$D$12,S325,"")</f>
        <v/>
      </c>
      <c r="U325" s="134" t="str">
        <f t="shared" ca="1" si="276"/>
        <v/>
      </c>
      <c r="V325" s="83" t="str">
        <f ca="1">IF(U325="","",IFERROR((RANK(U325,$U$2:$U$2028,1)+COUNTIF($U$2:U325,U325))-1,""))</f>
        <v/>
      </c>
      <c r="W325" s="134" t="str">
        <f t="shared" si="280"/>
        <v/>
      </c>
      <c r="X325" s="134" t="str">
        <f>IF(W325="","",IFERROR((RANK(W325,$W$2:$W$2028,1)+COUNTIF($W$2:W325,W325))-1,""))</f>
        <v/>
      </c>
      <c r="Y325" s="134" t="str">
        <f t="shared" si="277"/>
        <v/>
      </c>
      <c r="Z325" s="134" t="str">
        <f>IF(Y325="","",IFERROR((RANK(Y325,$Y$2:$Y$2028,1)+COUNTIF($Y$2:Y325,Y325))-1,""))</f>
        <v/>
      </c>
      <c r="AA325" s="134" t="str">
        <f t="shared" si="278"/>
        <v/>
      </c>
      <c r="AB325" s="134" t="str">
        <f>IF(AA325="","",IFERROR((RANK(AA325,$AA$2:$AA$2028,1)+COUNTIF($AA$2:AA325,AA325))-1,""))</f>
        <v/>
      </c>
      <c r="AC325" s="134" t="str">
        <f t="shared" si="279"/>
        <v/>
      </c>
      <c r="AD325" s="134" t="str">
        <f>IF(AC325="","",IFERROR((RANK(AC325,$AC$2:$AC$2028,1)+COUNTIF($AC$2:AC325,AC325))-1,""))</f>
        <v/>
      </c>
      <c r="AE325" s="144" t="str">
        <f t="shared" si="271"/>
        <v/>
      </c>
      <c r="AF325" s="144" t="str">
        <f>IF(AE325="","",SUM($AE$2:AE325))</f>
        <v/>
      </c>
    </row>
    <row r="326" spans="14:32" x14ac:dyDescent="0.35">
      <c r="N326" s="134" t="str">
        <f t="shared" si="281"/>
        <v/>
      </c>
      <c r="O326" s="82" t="str">
        <f t="shared" si="272"/>
        <v/>
      </c>
      <c r="P326" s="81" t="str">
        <f t="shared" si="282"/>
        <v/>
      </c>
      <c r="Q326" s="81" t="str">
        <f t="shared" si="273"/>
        <v/>
      </c>
      <c r="R326" s="135" t="str">
        <f t="shared" ca="1" si="274"/>
        <v/>
      </c>
      <c r="S326" s="134" t="str">
        <f t="shared" ca="1" si="275"/>
        <v/>
      </c>
      <c r="T326" s="134" t="str">
        <f ca="1">IF(S326=Dashboard!$D$12,S326,"")</f>
        <v/>
      </c>
      <c r="U326" s="134" t="str">
        <f t="shared" ca="1" si="276"/>
        <v/>
      </c>
      <c r="V326" s="83" t="str">
        <f ca="1">IF(U326="","",IFERROR((RANK(U326,$U$2:$U$2028,1)+COUNTIF($U$2:U326,U326))-1,""))</f>
        <v/>
      </c>
      <c r="W326" s="134" t="str">
        <f t="shared" si="280"/>
        <v/>
      </c>
      <c r="X326" s="134" t="str">
        <f>IF(W326="","",IFERROR((RANK(W326,$W$2:$W$2028,1)+COUNTIF($W$2:W326,W326))-1,""))</f>
        <v/>
      </c>
      <c r="Y326" s="134" t="str">
        <f t="shared" si="277"/>
        <v/>
      </c>
      <c r="Z326" s="134" t="str">
        <f>IF(Y326="","",IFERROR((RANK(Y326,$Y$2:$Y$2028,1)+COUNTIF($Y$2:Y326,Y326))-1,""))</f>
        <v/>
      </c>
      <c r="AA326" s="134" t="str">
        <f t="shared" si="278"/>
        <v/>
      </c>
      <c r="AB326" s="134" t="str">
        <f>IF(AA326="","",IFERROR((RANK(AA326,$AA$2:$AA$2028,1)+COUNTIF($AA$2:AA326,AA326))-1,""))</f>
        <v/>
      </c>
      <c r="AC326" s="134" t="str">
        <f t="shared" si="279"/>
        <v/>
      </c>
      <c r="AD326" s="134" t="str">
        <f>IF(AC326="","",IFERROR((RANK(AC326,$AC$2:$AC$2028,1)+COUNTIF($AC$2:AC326,AC326))-1,""))</f>
        <v/>
      </c>
      <c r="AE326" s="144" t="str">
        <f t="shared" si="271"/>
        <v/>
      </c>
      <c r="AF326" s="144" t="str">
        <f>IF(AE326="","",SUM($AE$2:AE326))</f>
        <v/>
      </c>
    </row>
    <row r="327" spans="14:32" x14ac:dyDescent="0.35">
      <c r="N327" s="134" t="str">
        <f t="shared" si="281"/>
        <v/>
      </c>
      <c r="O327" s="82" t="str">
        <f t="shared" si="272"/>
        <v/>
      </c>
      <c r="P327" s="81" t="str">
        <f t="shared" si="282"/>
        <v/>
      </c>
      <c r="Q327" s="81" t="str">
        <f t="shared" si="273"/>
        <v/>
      </c>
      <c r="R327" s="135" t="str">
        <f t="shared" ca="1" si="274"/>
        <v/>
      </c>
      <c r="S327" s="134" t="str">
        <f t="shared" ca="1" si="275"/>
        <v/>
      </c>
      <c r="T327" s="134" t="str">
        <f ca="1">IF(S327=Dashboard!$D$12,S327,"")</f>
        <v/>
      </c>
      <c r="U327" s="134" t="str">
        <f t="shared" ca="1" si="276"/>
        <v/>
      </c>
      <c r="V327" s="83" t="str">
        <f ca="1">IF(U327="","",IFERROR((RANK(U327,$U$2:$U$2028,1)+COUNTIF($U$2:U327,U327))-1,""))</f>
        <v/>
      </c>
      <c r="W327" s="134" t="str">
        <f t="shared" si="280"/>
        <v/>
      </c>
      <c r="X327" s="134" t="str">
        <f>IF(W327="","",IFERROR((RANK(W327,$W$2:$W$2028,1)+COUNTIF($W$2:W327,W327))-1,""))</f>
        <v/>
      </c>
      <c r="Y327" s="134" t="str">
        <f t="shared" si="277"/>
        <v/>
      </c>
      <c r="Z327" s="134" t="str">
        <f>IF(Y327="","",IFERROR((RANK(Y327,$Y$2:$Y$2028,1)+COUNTIF($Y$2:Y327,Y327))-1,""))</f>
        <v/>
      </c>
      <c r="AA327" s="134" t="str">
        <f t="shared" si="278"/>
        <v/>
      </c>
      <c r="AB327" s="134" t="str">
        <f>IF(AA327="","",IFERROR((RANK(AA327,$AA$2:$AA$2028,1)+COUNTIF($AA$2:AA327,AA327))-1,""))</f>
        <v/>
      </c>
      <c r="AC327" s="134" t="str">
        <f t="shared" si="279"/>
        <v/>
      </c>
      <c r="AD327" s="134" t="str">
        <f>IF(AC327="","",IFERROR((RANK(AC327,$AC$2:$AC$2028,1)+COUNTIF($AC$2:AC327,AC327))-1,""))</f>
        <v/>
      </c>
      <c r="AE327" s="144" t="str">
        <f t="shared" ref="AE327:AE390" si="283">IF(P327=1,P327,"")</f>
        <v/>
      </c>
      <c r="AF327" s="144" t="str">
        <f>IF(AE327="","",SUM($AE$2:AE327))</f>
        <v/>
      </c>
    </row>
    <row r="328" spans="14:32" x14ac:dyDescent="0.35">
      <c r="N328" s="134" t="str">
        <f t="shared" si="281"/>
        <v/>
      </c>
      <c r="O328" s="82" t="str">
        <f t="shared" si="272"/>
        <v/>
      </c>
      <c r="P328" s="81" t="str">
        <f t="shared" si="282"/>
        <v/>
      </c>
      <c r="Q328" s="81" t="str">
        <f t="shared" si="273"/>
        <v/>
      </c>
      <c r="R328" s="135" t="str">
        <f t="shared" ca="1" si="274"/>
        <v/>
      </c>
      <c r="S328" s="134" t="str">
        <f t="shared" ca="1" si="275"/>
        <v/>
      </c>
      <c r="T328" s="134" t="str">
        <f ca="1">IF(S328=Dashboard!$D$12,S328,"")</f>
        <v/>
      </c>
      <c r="U328" s="134" t="str">
        <f t="shared" ca="1" si="276"/>
        <v/>
      </c>
      <c r="V328" s="83" t="str">
        <f ca="1">IF(U328="","",IFERROR((RANK(U328,$U$2:$U$2028,1)+COUNTIF($U$2:U328,U328))-1,""))</f>
        <v/>
      </c>
      <c r="W328" s="134" t="str">
        <f t="shared" si="280"/>
        <v/>
      </c>
      <c r="X328" s="134" t="str">
        <f>IF(W328="","",IFERROR((RANK(W328,$W$2:$W$2028,1)+COUNTIF($W$2:W328,W328))-1,""))</f>
        <v/>
      </c>
      <c r="Y328" s="134" t="str">
        <f t="shared" si="277"/>
        <v/>
      </c>
      <c r="Z328" s="134" t="str">
        <f>IF(Y328="","",IFERROR((RANK(Y328,$Y$2:$Y$2028,1)+COUNTIF($Y$2:Y328,Y328))-1,""))</f>
        <v/>
      </c>
      <c r="AA328" s="134" t="str">
        <f t="shared" si="278"/>
        <v/>
      </c>
      <c r="AB328" s="134" t="str">
        <f>IF(AA328="","",IFERROR((RANK(AA328,$AA$2:$AA$2028,1)+COUNTIF($AA$2:AA328,AA328))-1,""))</f>
        <v/>
      </c>
      <c r="AC328" s="134" t="str">
        <f t="shared" si="279"/>
        <v/>
      </c>
      <c r="AD328" s="134" t="str">
        <f>IF(AC328="","",IFERROR((RANK(AC328,$AC$2:$AC$2028,1)+COUNTIF($AC$2:AC328,AC328))-1,""))</f>
        <v/>
      </c>
      <c r="AE328" s="144" t="str">
        <f t="shared" si="283"/>
        <v/>
      </c>
      <c r="AF328" s="144" t="str">
        <f>IF(AE328="","",SUM($AE$2:AE328))</f>
        <v/>
      </c>
    </row>
    <row r="329" spans="14:32" x14ac:dyDescent="0.35">
      <c r="N329" s="134" t="str">
        <f t="shared" si="281"/>
        <v/>
      </c>
      <c r="O329" s="82" t="str">
        <f t="shared" si="272"/>
        <v/>
      </c>
      <c r="P329" s="81" t="str">
        <f t="shared" si="282"/>
        <v/>
      </c>
      <c r="Q329" s="81" t="str">
        <f t="shared" si="273"/>
        <v/>
      </c>
      <c r="R329" s="135" t="str">
        <f t="shared" ca="1" si="274"/>
        <v/>
      </c>
      <c r="S329" s="134" t="str">
        <f t="shared" ca="1" si="275"/>
        <v/>
      </c>
      <c r="T329" s="134" t="str">
        <f ca="1">IF(S329=Dashboard!$D$12,S329,"")</f>
        <v/>
      </c>
      <c r="U329" s="134" t="str">
        <f t="shared" ca="1" si="276"/>
        <v/>
      </c>
      <c r="V329" s="83" t="str">
        <f ca="1">IF(U329="","",IFERROR((RANK(U329,$U$2:$U$2028,1)+COUNTIF($U$2:U329,U329))-1,""))</f>
        <v/>
      </c>
      <c r="W329" s="134" t="str">
        <f t="shared" si="280"/>
        <v/>
      </c>
      <c r="X329" s="134" t="str">
        <f>IF(W329="","",IFERROR((RANK(W329,$W$2:$W$2028,1)+COUNTIF($W$2:W329,W329))-1,""))</f>
        <v/>
      </c>
      <c r="Y329" s="134" t="str">
        <f t="shared" si="277"/>
        <v/>
      </c>
      <c r="Z329" s="134" t="str">
        <f>IF(Y329="","",IFERROR((RANK(Y329,$Y$2:$Y$2028,1)+COUNTIF($Y$2:Y329,Y329))-1,""))</f>
        <v/>
      </c>
      <c r="AA329" s="134" t="str">
        <f t="shared" si="278"/>
        <v/>
      </c>
      <c r="AB329" s="134" t="str">
        <f>IF(AA329="","",IFERROR((RANK(AA329,$AA$2:$AA$2028,1)+COUNTIF($AA$2:AA329,AA329))-1,""))</f>
        <v/>
      </c>
      <c r="AC329" s="134" t="str">
        <f t="shared" si="279"/>
        <v/>
      </c>
      <c r="AD329" s="134" t="str">
        <f>IF(AC329="","",IFERROR((RANK(AC329,$AC$2:$AC$2028,1)+COUNTIF($AC$2:AC329,AC329))-1,""))</f>
        <v/>
      </c>
      <c r="AE329" s="144" t="str">
        <f t="shared" si="283"/>
        <v/>
      </c>
      <c r="AF329" s="144" t="str">
        <f>IF(AE329="","",SUM($AE$2:AE329))</f>
        <v/>
      </c>
    </row>
    <row r="330" spans="14:32" x14ac:dyDescent="0.35">
      <c r="N330" s="134" t="str">
        <f t="shared" si="281"/>
        <v/>
      </c>
      <c r="O330" s="82" t="str">
        <f t="shared" si="272"/>
        <v/>
      </c>
      <c r="P330" s="81" t="str">
        <f t="shared" si="282"/>
        <v/>
      </c>
      <c r="Q330" s="81" t="str">
        <f t="shared" si="273"/>
        <v/>
      </c>
      <c r="R330" s="135" t="str">
        <f t="shared" ca="1" si="274"/>
        <v/>
      </c>
      <c r="S330" s="134" t="str">
        <f t="shared" ca="1" si="275"/>
        <v/>
      </c>
      <c r="T330" s="134" t="str">
        <f ca="1">IF(S330=Dashboard!$D$12,S330,"")</f>
        <v/>
      </c>
      <c r="U330" s="134" t="str">
        <f t="shared" ca="1" si="276"/>
        <v/>
      </c>
      <c r="V330" s="83" t="str">
        <f ca="1">IF(U330="","",IFERROR((RANK(U330,$U$2:$U$2028,1)+COUNTIF($U$2:U330,U330))-1,""))</f>
        <v/>
      </c>
      <c r="W330" s="134" t="str">
        <f t="shared" si="280"/>
        <v/>
      </c>
      <c r="X330" s="134" t="str">
        <f>IF(W330="","",IFERROR((RANK(W330,$W$2:$W$2028,1)+COUNTIF($W$2:W330,W330))-1,""))</f>
        <v/>
      </c>
      <c r="Y330" s="134" t="str">
        <f t="shared" si="277"/>
        <v/>
      </c>
      <c r="Z330" s="134" t="str">
        <f>IF(Y330="","",IFERROR((RANK(Y330,$Y$2:$Y$2028,1)+COUNTIF($Y$2:Y330,Y330))-1,""))</f>
        <v/>
      </c>
      <c r="AA330" s="134" t="str">
        <f t="shared" si="278"/>
        <v/>
      </c>
      <c r="AB330" s="134" t="str">
        <f>IF(AA330="","",IFERROR((RANK(AA330,$AA$2:$AA$2028,1)+COUNTIF($AA$2:AA330,AA330))-1,""))</f>
        <v/>
      </c>
      <c r="AC330" s="134" t="str">
        <f t="shared" si="279"/>
        <v/>
      </c>
      <c r="AD330" s="134" t="str">
        <f>IF(AC330="","",IFERROR((RANK(AC330,$AC$2:$AC$2028,1)+COUNTIF($AC$2:AC330,AC330))-1,""))</f>
        <v/>
      </c>
      <c r="AE330" s="144" t="str">
        <f t="shared" si="283"/>
        <v/>
      </c>
      <c r="AF330" s="144" t="str">
        <f>IF(AE330="","",SUM($AE$2:AE330))</f>
        <v/>
      </c>
    </row>
    <row r="331" spans="14:32" x14ac:dyDescent="0.35">
      <c r="N331" s="134" t="str">
        <f t="shared" si="281"/>
        <v/>
      </c>
      <c r="O331" s="82" t="str">
        <f t="shared" si="272"/>
        <v/>
      </c>
      <c r="P331" s="81" t="str">
        <f t="shared" si="282"/>
        <v/>
      </c>
      <c r="Q331" s="81" t="str">
        <f t="shared" si="273"/>
        <v/>
      </c>
      <c r="R331" s="135" t="str">
        <f t="shared" ca="1" si="274"/>
        <v/>
      </c>
      <c r="S331" s="134" t="str">
        <f t="shared" ca="1" si="275"/>
        <v/>
      </c>
      <c r="T331" s="134" t="str">
        <f ca="1">IF(S331=Dashboard!$D$12,S331,"")</f>
        <v/>
      </c>
      <c r="U331" s="134" t="str">
        <f t="shared" ca="1" si="276"/>
        <v/>
      </c>
      <c r="V331" s="83" t="str">
        <f ca="1">IF(U331="","",IFERROR((RANK(U331,$U$2:$U$2028,1)+COUNTIF($U$2:U331,U331))-1,""))</f>
        <v/>
      </c>
      <c r="W331" s="134" t="str">
        <f t="shared" si="280"/>
        <v/>
      </c>
      <c r="X331" s="134" t="str">
        <f>IF(W331="","",IFERROR((RANK(W331,$W$2:$W$2028,1)+COUNTIF($W$2:W331,W331))-1,""))</f>
        <v/>
      </c>
      <c r="Y331" s="134" t="str">
        <f t="shared" si="277"/>
        <v/>
      </c>
      <c r="Z331" s="134" t="str">
        <f>IF(Y331="","",IFERROR((RANK(Y331,$Y$2:$Y$2028,1)+COUNTIF($Y$2:Y331,Y331))-1,""))</f>
        <v/>
      </c>
      <c r="AA331" s="134" t="str">
        <f t="shared" si="278"/>
        <v/>
      </c>
      <c r="AB331" s="134" t="str">
        <f>IF(AA331="","",IFERROR((RANK(AA331,$AA$2:$AA$2028,1)+COUNTIF($AA$2:AA331,AA331))-1,""))</f>
        <v/>
      </c>
      <c r="AC331" s="134" t="str">
        <f t="shared" si="279"/>
        <v/>
      </c>
      <c r="AD331" s="134" t="str">
        <f>IF(AC331="","",IFERROR((RANK(AC331,$AC$2:$AC$2028,1)+COUNTIF($AC$2:AC331,AC331))-1,""))</f>
        <v/>
      </c>
      <c r="AE331" s="144" t="str">
        <f t="shared" si="283"/>
        <v/>
      </c>
      <c r="AF331" s="144" t="str">
        <f>IF(AE331="","",SUM($AE$2:AE331))</f>
        <v/>
      </c>
    </row>
    <row r="332" spans="14:32" x14ac:dyDescent="0.35">
      <c r="N332" s="134" t="str">
        <f t="shared" si="281"/>
        <v/>
      </c>
      <c r="O332" s="82" t="str">
        <f t="shared" si="272"/>
        <v/>
      </c>
      <c r="P332" s="81" t="str">
        <f t="shared" si="282"/>
        <v/>
      </c>
      <c r="Q332" s="81" t="str">
        <f t="shared" si="273"/>
        <v/>
      </c>
      <c r="R332" s="135" t="str">
        <f t="shared" ca="1" si="274"/>
        <v/>
      </c>
      <c r="S332" s="134" t="str">
        <f t="shared" ca="1" si="275"/>
        <v/>
      </c>
      <c r="T332" s="134" t="str">
        <f ca="1">IF(S332=Dashboard!$D$12,S332,"")</f>
        <v/>
      </c>
      <c r="U332" s="134" t="str">
        <f t="shared" ca="1" si="276"/>
        <v/>
      </c>
      <c r="V332" s="83" t="str">
        <f ca="1">IF(U332="","",IFERROR((RANK(U332,$U$2:$U$2028,1)+COUNTIF($U$2:U332,U332))-1,""))</f>
        <v/>
      </c>
      <c r="W332" s="134" t="str">
        <f t="shared" si="280"/>
        <v/>
      </c>
      <c r="X332" s="134" t="str">
        <f>IF(W332="","",IFERROR((RANK(W332,$W$2:$W$2028,1)+COUNTIF($W$2:W332,W332))-1,""))</f>
        <v/>
      </c>
      <c r="Y332" s="134" t="str">
        <f t="shared" si="277"/>
        <v/>
      </c>
      <c r="Z332" s="134" t="str">
        <f>IF(Y332="","",IFERROR((RANK(Y332,$Y$2:$Y$2028,1)+COUNTIF($Y$2:Y332,Y332))-1,""))</f>
        <v/>
      </c>
      <c r="AA332" s="134" t="str">
        <f t="shared" si="278"/>
        <v/>
      </c>
      <c r="AB332" s="134" t="str">
        <f>IF(AA332="","",IFERROR((RANK(AA332,$AA$2:$AA$2028,1)+COUNTIF($AA$2:AA332,AA332))-1,""))</f>
        <v/>
      </c>
      <c r="AC332" s="134" t="str">
        <f t="shared" si="279"/>
        <v/>
      </c>
      <c r="AD332" s="134" t="str">
        <f>IF(AC332="","",IFERROR((RANK(AC332,$AC$2:$AC$2028,1)+COUNTIF($AC$2:AC332,AC332))-1,""))</f>
        <v/>
      </c>
      <c r="AE332" s="144" t="str">
        <f t="shared" si="283"/>
        <v/>
      </c>
      <c r="AF332" s="144" t="str">
        <f>IF(AE332="","",SUM($AE$2:AE332))</f>
        <v/>
      </c>
    </row>
    <row r="333" spans="14:32" x14ac:dyDescent="0.35">
      <c r="N333" s="134" t="str">
        <f t="shared" si="281"/>
        <v/>
      </c>
      <c r="O333" s="82" t="str">
        <f t="shared" si="272"/>
        <v/>
      </c>
      <c r="P333" s="81" t="str">
        <f t="shared" si="282"/>
        <v/>
      </c>
      <c r="Q333" s="81" t="str">
        <f t="shared" si="273"/>
        <v/>
      </c>
      <c r="R333" s="135" t="str">
        <f t="shared" ca="1" si="274"/>
        <v/>
      </c>
      <c r="S333" s="134" t="str">
        <f t="shared" ca="1" si="275"/>
        <v/>
      </c>
      <c r="T333" s="134" t="str">
        <f ca="1">IF(S333=Dashboard!$D$12,S333,"")</f>
        <v/>
      </c>
      <c r="U333" s="134" t="str">
        <f t="shared" ca="1" si="276"/>
        <v/>
      </c>
      <c r="V333" s="83" t="str">
        <f ca="1">IF(U333="","",IFERROR((RANK(U333,$U$2:$U$2028,1)+COUNTIF($U$2:U333,U333))-1,""))</f>
        <v/>
      </c>
      <c r="W333" s="134" t="str">
        <f t="shared" si="280"/>
        <v/>
      </c>
      <c r="X333" s="134" t="str">
        <f>IF(W333="","",IFERROR((RANK(W333,$W$2:$W$2028,1)+COUNTIF($W$2:W333,W333))-1,""))</f>
        <v/>
      </c>
      <c r="Y333" s="134" t="str">
        <f t="shared" si="277"/>
        <v/>
      </c>
      <c r="Z333" s="134" t="str">
        <f>IF(Y333="","",IFERROR((RANK(Y333,$Y$2:$Y$2028,1)+COUNTIF($Y$2:Y333,Y333))-1,""))</f>
        <v/>
      </c>
      <c r="AA333" s="134" t="str">
        <f t="shared" si="278"/>
        <v/>
      </c>
      <c r="AB333" s="134" t="str">
        <f>IF(AA333="","",IFERROR((RANK(AA333,$AA$2:$AA$2028,1)+COUNTIF($AA$2:AA333,AA333))-1,""))</f>
        <v/>
      </c>
      <c r="AC333" s="134" t="str">
        <f t="shared" si="279"/>
        <v/>
      </c>
      <c r="AD333" s="134" t="str">
        <f>IF(AC333="","",IFERROR((RANK(AC333,$AC$2:$AC$2028,1)+COUNTIF($AC$2:AC333,AC333))-1,""))</f>
        <v/>
      </c>
      <c r="AE333" s="144" t="str">
        <f t="shared" si="283"/>
        <v/>
      </c>
      <c r="AF333" s="144" t="str">
        <f>IF(AE333="","",SUM($AE$2:AE333))</f>
        <v/>
      </c>
    </row>
    <row r="334" spans="14:32" x14ac:dyDescent="0.35">
      <c r="N334" s="134" t="str">
        <f t="shared" si="281"/>
        <v/>
      </c>
      <c r="O334" s="82" t="str">
        <f t="shared" si="272"/>
        <v/>
      </c>
      <c r="P334" s="81" t="str">
        <f t="shared" si="282"/>
        <v/>
      </c>
      <c r="Q334" s="81" t="str">
        <f t="shared" si="273"/>
        <v/>
      </c>
      <c r="R334" s="135" t="str">
        <f t="shared" ca="1" si="274"/>
        <v/>
      </c>
      <c r="S334" s="134" t="str">
        <f t="shared" ca="1" si="275"/>
        <v/>
      </c>
      <c r="T334" s="134" t="str">
        <f ca="1">IF(S334=Dashboard!$D$12,S334,"")</f>
        <v/>
      </c>
      <c r="U334" s="134" t="str">
        <f t="shared" ca="1" si="276"/>
        <v/>
      </c>
      <c r="V334" s="83" t="str">
        <f ca="1">IF(U334="","",IFERROR((RANK(U334,$U$2:$U$2028,1)+COUNTIF($U$2:U334,U334))-1,""))</f>
        <v/>
      </c>
      <c r="W334" s="134" t="str">
        <f t="shared" si="280"/>
        <v/>
      </c>
      <c r="X334" s="134" t="str">
        <f>IF(W334="","",IFERROR((RANK(W334,$W$2:$W$2028,1)+COUNTIF($W$2:W334,W334))-1,""))</f>
        <v/>
      </c>
      <c r="Y334" s="134" t="str">
        <f t="shared" si="277"/>
        <v/>
      </c>
      <c r="Z334" s="134" t="str">
        <f>IF(Y334="","",IFERROR((RANK(Y334,$Y$2:$Y$2028,1)+COUNTIF($Y$2:Y334,Y334))-1,""))</f>
        <v/>
      </c>
      <c r="AA334" s="134" t="str">
        <f t="shared" si="278"/>
        <v/>
      </c>
      <c r="AB334" s="134" t="str">
        <f>IF(AA334="","",IFERROR((RANK(AA334,$AA$2:$AA$2028,1)+COUNTIF($AA$2:AA334,AA334))-1,""))</f>
        <v/>
      </c>
      <c r="AC334" s="134" t="str">
        <f t="shared" si="279"/>
        <v/>
      </c>
      <c r="AD334" s="134" t="str">
        <f>IF(AC334="","",IFERROR((RANK(AC334,$AC$2:$AC$2028,1)+COUNTIF($AC$2:AC334,AC334))-1,""))</f>
        <v/>
      </c>
      <c r="AE334" s="144" t="str">
        <f t="shared" si="283"/>
        <v/>
      </c>
      <c r="AF334" s="144" t="str">
        <f>IF(AE334="","",SUM($AE$2:AE334))</f>
        <v/>
      </c>
    </row>
    <row r="335" spans="14:32" x14ac:dyDescent="0.35">
      <c r="N335" s="134" t="str">
        <f t="shared" si="281"/>
        <v/>
      </c>
      <c r="O335" s="82" t="str">
        <f t="shared" si="272"/>
        <v/>
      </c>
      <c r="P335" s="81" t="str">
        <f t="shared" si="282"/>
        <v/>
      </c>
      <c r="Q335" s="81" t="str">
        <f t="shared" si="273"/>
        <v/>
      </c>
      <c r="R335" s="135" t="str">
        <f t="shared" ca="1" si="274"/>
        <v/>
      </c>
      <c r="S335" s="134" t="str">
        <f t="shared" ca="1" si="275"/>
        <v/>
      </c>
      <c r="T335" s="134" t="str">
        <f ca="1">IF(S335=Dashboard!$D$12,S335,"")</f>
        <v/>
      </c>
      <c r="U335" s="134" t="str">
        <f t="shared" ca="1" si="276"/>
        <v/>
      </c>
      <c r="V335" s="83" t="str">
        <f ca="1">IF(U335="","",IFERROR((RANK(U335,$U$2:$U$2028,1)+COUNTIF($U$2:U335,U335))-1,""))</f>
        <v/>
      </c>
      <c r="W335" s="134" t="str">
        <f t="shared" si="280"/>
        <v/>
      </c>
      <c r="X335" s="134" t="str">
        <f>IF(W335="","",IFERROR((RANK(W335,$W$2:$W$2028,1)+COUNTIF($W$2:W335,W335))-1,""))</f>
        <v/>
      </c>
      <c r="Y335" s="134" t="str">
        <f t="shared" si="277"/>
        <v/>
      </c>
      <c r="Z335" s="134" t="str">
        <f>IF(Y335="","",IFERROR((RANK(Y335,$Y$2:$Y$2028,1)+COUNTIF($Y$2:Y335,Y335))-1,""))</f>
        <v/>
      </c>
      <c r="AA335" s="134" t="str">
        <f t="shared" si="278"/>
        <v/>
      </c>
      <c r="AB335" s="134" t="str">
        <f>IF(AA335="","",IFERROR((RANK(AA335,$AA$2:$AA$2028,1)+COUNTIF($AA$2:AA335,AA335))-1,""))</f>
        <v/>
      </c>
      <c r="AC335" s="134" t="str">
        <f t="shared" si="279"/>
        <v/>
      </c>
      <c r="AD335" s="134" t="str">
        <f>IF(AC335="","",IFERROR((RANK(AC335,$AC$2:$AC$2028,1)+COUNTIF($AC$2:AC335,AC335))-1,""))</f>
        <v/>
      </c>
      <c r="AE335" s="144" t="str">
        <f t="shared" si="283"/>
        <v/>
      </c>
      <c r="AF335" s="144" t="str">
        <f>IF(AE335="","",SUM($AE$2:AE335))</f>
        <v/>
      </c>
    </row>
    <row r="336" spans="14:32" x14ac:dyDescent="0.35">
      <c r="N336" s="134" t="str">
        <f t="shared" si="281"/>
        <v/>
      </c>
      <c r="O336" s="82" t="str">
        <f t="shared" si="272"/>
        <v/>
      </c>
      <c r="P336" s="81" t="str">
        <f t="shared" si="282"/>
        <v/>
      </c>
      <c r="Q336" s="81" t="str">
        <f t="shared" si="273"/>
        <v/>
      </c>
      <c r="R336" s="135" t="str">
        <f t="shared" ca="1" si="274"/>
        <v/>
      </c>
      <c r="S336" s="134" t="str">
        <f t="shared" ca="1" si="275"/>
        <v/>
      </c>
      <c r="T336" s="134" t="str">
        <f ca="1">IF(S336=Dashboard!$D$12,S336,"")</f>
        <v/>
      </c>
      <c r="U336" s="134" t="str">
        <f t="shared" ca="1" si="276"/>
        <v/>
      </c>
      <c r="V336" s="83" t="str">
        <f ca="1">IF(U336="","",IFERROR((RANK(U336,$U$2:$U$2028,1)+COUNTIF($U$2:U336,U336))-1,""))</f>
        <v/>
      </c>
      <c r="W336" s="134" t="str">
        <f t="shared" si="280"/>
        <v/>
      </c>
      <c r="X336" s="134" t="str">
        <f>IF(W336="","",IFERROR((RANK(W336,$W$2:$W$2028,1)+COUNTIF($W$2:W336,W336))-1,""))</f>
        <v/>
      </c>
      <c r="Y336" s="134" t="str">
        <f t="shared" si="277"/>
        <v/>
      </c>
      <c r="Z336" s="134" t="str">
        <f>IF(Y336="","",IFERROR((RANK(Y336,$Y$2:$Y$2028,1)+COUNTIF($Y$2:Y336,Y336))-1,""))</f>
        <v/>
      </c>
      <c r="AA336" s="134" t="str">
        <f t="shared" si="278"/>
        <v/>
      </c>
      <c r="AB336" s="134" t="str">
        <f>IF(AA336="","",IFERROR((RANK(AA336,$AA$2:$AA$2028,1)+COUNTIF($AA$2:AA336,AA336))-1,""))</f>
        <v/>
      </c>
      <c r="AC336" s="134" t="str">
        <f t="shared" si="279"/>
        <v/>
      </c>
      <c r="AD336" s="134" t="str">
        <f>IF(AC336="","",IFERROR((RANK(AC336,$AC$2:$AC$2028,1)+COUNTIF($AC$2:AC336,AC336))-1,""))</f>
        <v/>
      </c>
      <c r="AE336" s="144" t="str">
        <f t="shared" si="283"/>
        <v/>
      </c>
      <c r="AF336" s="144" t="str">
        <f>IF(AE336="","",SUM($AE$2:AE336))</f>
        <v/>
      </c>
    </row>
    <row r="337" spans="14:32" x14ac:dyDescent="0.35">
      <c r="N337" s="134" t="str">
        <f t="shared" si="281"/>
        <v/>
      </c>
      <c r="O337" s="82" t="str">
        <f t="shared" si="272"/>
        <v/>
      </c>
      <c r="P337" s="81" t="str">
        <f t="shared" si="282"/>
        <v/>
      </c>
      <c r="Q337" s="81" t="str">
        <f t="shared" si="273"/>
        <v/>
      </c>
      <c r="R337" s="135" t="str">
        <f t="shared" ca="1" si="274"/>
        <v/>
      </c>
      <c r="S337" s="134" t="str">
        <f t="shared" ca="1" si="275"/>
        <v/>
      </c>
      <c r="T337" s="134" t="str">
        <f ca="1">IF(S337=Dashboard!$D$12,S337,"")</f>
        <v/>
      </c>
      <c r="U337" s="134" t="str">
        <f t="shared" ca="1" si="276"/>
        <v/>
      </c>
      <c r="V337" s="83" t="str">
        <f ca="1">IF(U337="","",IFERROR((RANK(U337,$U$2:$U$2028,1)+COUNTIF($U$2:U337,U337))-1,""))</f>
        <v/>
      </c>
      <c r="W337" s="134" t="str">
        <f t="shared" si="280"/>
        <v/>
      </c>
      <c r="X337" s="134" t="str">
        <f>IF(W337="","",IFERROR((RANK(W337,$W$2:$W$2028,1)+COUNTIF($W$2:W337,W337))-1,""))</f>
        <v/>
      </c>
      <c r="Y337" s="134" t="str">
        <f t="shared" si="277"/>
        <v/>
      </c>
      <c r="Z337" s="134" t="str">
        <f>IF(Y337="","",IFERROR((RANK(Y337,$Y$2:$Y$2028,1)+COUNTIF($Y$2:Y337,Y337))-1,""))</f>
        <v/>
      </c>
      <c r="AA337" s="134" t="str">
        <f t="shared" si="278"/>
        <v/>
      </c>
      <c r="AB337" s="134" t="str">
        <f>IF(AA337="","",IFERROR((RANK(AA337,$AA$2:$AA$2028,1)+COUNTIF($AA$2:AA337,AA337))-1,""))</f>
        <v/>
      </c>
      <c r="AC337" s="134" t="str">
        <f t="shared" si="279"/>
        <v/>
      </c>
      <c r="AD337" s="134" t="str">
        <f>IF(AC337="","",IFERROR((RANK(AC337,$AC$2:$AC$2028,1)+COUNTIF($AC$2:AC337,AC337))-1,""))</f>
        <v/>
      </c>
      <c r="AE337" s="144" t="str">
        <f t="shared" si="283"/>
        <v/>
      </c>
      <c r="AF337" s="144" t="str">
        <f>IF(AE337="","",SUM($AE$2:AE337))</f>
        <v/>
      </c>
    </row>
    <row r="338" spans="14:32" x14ac:dyDescent="0.35">
      <c r="N338" s="134" t="str">
        <f t="shared" si="281"/>
        <v/>
      </c>
      <c r="O338" s="82" t="str">
        <f t="shared" si="272"/>
        <v/>
      </c>
      <c r="P338" s="81" t="str">
        <f t="shared" si="282"/>
        <v/>
      </c>
      <c r="Q338" s="81" t="str">
        <f t="shared" si="273"/>
        <v/>
      </c>
      <c r="R338" s="135" t="str">
        <f t="shared" ca="1" si="274"/>
        <v/>
      </c>
      <c r="S338" s="134" t="str">
        <f t="shared" ca="1" si="275"/>
        <v/>
      </c>
      <c r="T338" s="134" t="str">
        <f ca="1">IF(S338=Dashboard!$D$12,S338,"")</f>
        <v/>
      </c>
      <c r="U338" s="134" t="str">
        <f t="shared" ca="1" si="276"/>
        <v/>
      </c>
      <c r="V338" s="83" t="str">
        <f ca="1">IF(U338="","",IFERROR((RANK(U338,$U$2:$U$2028,1)+COUNTIF($U$2:U338,U338))-1,""))</f>
        <v/>
      </c>
      <c r="W338" s="134" t="str">
        <f t="shared" si="280"/>
        <v/>
      </c>
      <c r="X338" s="134" t="str">
        <f>IF(W338="","",IFERROR((RANK(W338,$W$2:$W$2028,1)+COUNTIF($W$2:W338,W338))-1,""))</f>
        <v/>
      </c>
      <c r="Y338" s="134" t="str">
        <f t="shared" si="277"/>
        <v/>
      </c>
      <c r="Z338" s="134" t="str">
        <f>IF(Y338="","",IFERROR((RANK(Y338,$Y$2:$Y$2028,1)+COUNTIF($Y$2:Y338,Y338))-1,""))</f>
        <v/>
      </c>
      <c r="AA338" s="134" t="str">
        <f t="shared" si="278"/>
        <v/>
      </c>
      <c r="AB338" s="134" t="str">
        <f>IF(AA338="","",IFERROR((RANK(AA338,$AA$2:$AA$2028,1)+COUNTIF($AA$2:AA338,AA338))-1,""))</f>
        <v/>
      </c>
      <c r="AC338" s="134" t="str">
        <f t="shared" si="279"/>
        <v/>
      </c>
      <c r="AD338" s="134" t="str">
        <f>IF(AC338="","",IFERROR((RANK(AC338,$AC$2:$AC$2028,1)+COUNTIF($AC$2:AC338,AC338))-1,""))</f>
        <v/>
      </c>
      <c r="AE338" s="144" t="str">
        <f t="shared" si="283"/>
        <v/>
      </c>
      <c r="AF338" s="144" t="str">
        <f>IF(AE338="","",SUM($AE$2:AE338))</f>
        <v/>
      </c>
    </row>
    <row r="339" spans="14:32" x14ac:dyDescent="0.35">
      <c r="N339" s="134" t="str">
        <f t="shared" si="281"/>
        <v/>
      </c>
      <c r="O339" s="82" t="str">
        <f t="shared" si="272"/>
        <v/>
      </c>
      <c r="P339" s="81" t="str">
        <f t="shared" si="282"/>
        <v/>
      </c>
      <c r="Q339" s="81" t="str">
        <f t="shared" si="273"/>
        <v/>
      </c>
      <c r="R339" s="135" t="str">
        <f t="shared" ca="1" si="274"/>
        <v/>
      </c>
      <c r="S339" s="134" t="str">
        <f t="shared" ca="1" si="275"/>
        <v/>
      </c>
      <c r="T339" s="134" t="str">
        <f ca="1">IF(S339=Dashboard!$D$12,S339,"")</f>
        <v/>
      </c>
      <c r="U339" s="134" t="str">
        <f t="shared" ca="1" si="276"/>
        <v/>
      </c>
      <c r="V339" s="83" t="str">
        <f ca="1">IF(U339="","",IFERROR((RANK(U339,$U$2:$U$2028,1)+COUNTIF($U$2:U339,U339))-1,""))</f>
        <v/>
      </c>
      <c r="W339" s="134" t="str">
        <f t="shared" si="280"/>
        <v/>
      </c>
      <c r="X339" s="134" t="str">
        <f>IF(W339="","",IFERROR((RANK(W339,$W$2:$W$2028,1)+COUNTIF($W$2:W339,W339))-1,""))</f>
        <v/>
      </c>
      <c r="Y339" s="134" t="str">
        <f t="shared" si="277"/>
        <v/>
      </c>
      <c r="Z339" s="134" t="str">
        <f>IF(Y339="","",IFERROR((RANK(Y339,$Y$2:$Y$2028,1)+COUNTIF($Y$2:Y339,Y339))-1,""))</f>
        <v/>
      </c>
      <c r="AA339" s="134" t="str">
        <f t="shared" si="278"/>
        <v/>
      </c>
      <c r="AB339" s="134" t="str">
        <f>IF(AA339="","",IFERROR((RANK(AA339,$AA$2:$AA$2028,1)+COUNTIF($AA$2:AA339,AA339))-1,""))</f>
        <v/>
      </c>
      <c r="AC339" s="134" t="str">
        <f t="shared" si="279"/>
        <v/>
      </c>
      <c r="AD339" s="134" t="str">
        <f>IF(AC339="","",IFERROR((RANK(AC339,$AC$2:$AC$2028,1)+COUNTIF($AC$2:AC339,AC339))-1,""))</f>
        <v/>
      </c>
      <c r="AE339" s="144" t="str">
        <f t="shared" si="283"/>
        <v/>
      </c>
      <c r="AF339" s="144" t="str">
        <f>IF(AE339="","",SUM($AE$2:AE339))</f>
        <v/>
      </c>
    </row>
    <row r="340" spans="14:32" x14ac:dyDescent="0.35">
      <c r="N340" s="134" t="str">
        <f t="shared" si="281"/>
        <v/>
      </c>
      <c r="O340" s="82" t="str">
        <f t="shared" si="272"/>
        <v/>
      </c>
      <c r="P340" s="81" t="str">
        <f t="shared" si="282"/>
        <v/>
      </c>
      <c r="Q340" s="81" t="str">
        <f t="shared" si="273"/>
        <v/>
      </c>
      <c r="R340" s="135" t="str">
        <f t="shared" ca="1" si="274"/>
        <v/>
      </c>
      <c r="S340" s="134" t="str">
        <f t="shared" ca="1" si="275"/>
        <v/>
      </c>
      <c r="T340" s="134" t="str">
        <f ca="1">IF(S340=Dashboard!$D$12,S340,"")</f>
        <v/>
      </c>
      <c r="U340" s="134" t="str">
        <f t="shared" ca="1" si="276"/>
        <v/>
      </c>
      <c r="V340" s="83" t="str">
        <f ca="1">IF(U340="","",IFERROR((RANK(U340,$U$2:$U$2028,1)+COUNTIF($U$2:U340,U340))-1,""))</f>
        <v/>
      </c>
      <c r="W340" s="134" t="str">
        <f t="shared" si="280"/>
        <v/>
      </c>
      <c r="X340" s="134" t="str">
        <f>IF(W340="","",IFERROR((RANK(W340,$W$2:$W$2028,1)+COUNTIF($W$2:W340,W340))-1,""))</f>
        <v/>
      </c>
      <c r="Y340" s="134" t="str">
        <f t="shared" si="277"/>
        <v/>
      </c>
      <c r="Z340" s="134" t="str">
        <f>IF(Y340="","",IFERROR((RANK(Y340,$Y$2:$Y$2028,1)+COUNTIF($Y$2:Y340,Y340))-1,""))</f>
        <v/>
      </c>
      <c r="AA340" s="134" t="str">
        <f t="shared" si="278"/>
        <v/>
      </c>
      <c r="AB340" s="134" t="str">
        <f>IF(AA340="","",IFERROR((RANK(AA340,$AA$2:$AA$2028,1)+COUNTIF($AA$2:AA340,AA340))-1,""))</f>
        <v/>
      </c>
      <c r="AC340" s="134" t="str">
        <f t="shared" si="279"/>
        <v/>
      </c>
      <c r="AD340" s="134" t="str">
        <f>IF(AC340="","",IFERROR((RANK(AC340,$AC$2:$AC$2028,1)+COUNTIF($AC$2:AC340,AC340))-1,""))</f>
        <v/>
      </c>
      <c r="AE340" s="144" t="str">
        <f t="shared" si="283"/>
        <v/>
      </c>
      <c r="AF340" s="144" t="str">
        <f>IF(AE340="","",SUM($AE$2:AE340))</f>
        <v/>
      </c>
    </row>
    <row r="341" spans="14:32" x14ac:dyDescent="0.35">
      <c r="N341" s="134" t="str">
        <f t="shared" si="281"/>
        <v/>
      </c>
      <c r="O341" s="82" t="str">
        <f t="shared" si="272"/>
        <v/>
      </c>
      <c r="P341" s="81" t="str">
        <f t="shared" si="282"/>
        <v/>
      </c>
      <c r="Q341" s="81" t="str">
        <f t="shared" si="273"/>
        <v/>
      </c>
      <c r="R341" s="135" t="str">
        <f t="shared" ca="1" si="274"/>
        <v/>
      </c>
      <c r="S341" s="134" t="str">
        <f t="shared" ca="1" si="275"/>
        <v/>
      </c>
      <c r="T341" s="134" t="str">
        <f ca="1">IF(S341=Dashboard!$D$12,S341,"")</f>
        <v/>
      </c>
      <c r="U341" s="134" t="str">
        <f t="shared" ca="1" si="276"/>
        <v/>
      </c>
      <c r="V341" s="83" t="str">
        <f ca="1">IF(U341="","",IFERROR((RANK(U341,$U$2:$U$2028,1)+COUNTIF($U$2:U341,U341))-1,""))</f>
        <v/>
      </c>
      <c r="W341" s="134" t="str">
        <f t="shared" si="280"/>
        <v/>
      </c>
      <c r="X341" s="134" t="str">
        <f>IF(W341="","",IFERROR((RANK(W341,$W$2:$W$2028,1)+COUNTIF($W$2:W341,W341))-1,""))</f>
        <v/>
      </c>
      <c r="Y341" s="134" t="str">
        <f t="shared" si="277"/>
        <v/>
      </c>
      <c r="Z341" s="134" t="str">
        <f>IF(Y341="","",IFERROR((RANK(Y341,$Y$2:$Y$2028,1)+COUNTIF($Y$2:Y341,Y341))-1,""))</f>
        <v/>
      </c>
      <c r="AA341" s="134" t="str">
        <f t="shared" si="278"/>
        <v/>
      </c>
      <c r="AB341" s="134" t="str">
        <f>IF(AA341="","",IFERROR((RANK(AA341,$AA$2:$AA$2028,1)+COUNTIF($AA$2:AA341,AA341))-1,""))</f>
        <v/>
      </c>
      <c r="AC341" s="134" t="str">
        <f t="shared" si="279"/>
        <v/>
      </c>
      <c r="AD341" s="134" t="str">
        <f>IF(AC341="","",IFERROR((RANK(AC341,$AC$2:$AC$2028,1)+COUNTIF($AC$2:AC341,AC341))-1,""))</f>
        <v/>
      </c>
      <c r="AE341" s="144" t="str">
        <f t="shared" si="283"/>
        <v/>
      </c>
      <c r="AF341" s="144" t="str">
        <f>IF(AE341="","",SUM($AE$2:AE341))</f>
        <v/>
      </c>
    </row>
    <row r="342" spans="14:32" x14ac:dyDescent="0.35">
      <c r="N342" s="134" t="str">
        <f t="shared" si="281"/>
        <v/>
      </c>
      <c r="O342" s="82" t="str">
        <f t="shared" si="272"/>
        <v/>
      </c>
      <c r="P342" s="81" t="str">
        <f t="shared" si="282"/>
        <v/>
      </c>
      <c r="Q342" s="81" t="str">
        <f t="shared" si="273"/>
        <v/>
      </c>
      <c r="R342" s="135" t="str">
        <f t="shared" ca="1" si="274"/>
        <v/>
      </c>
      <c r="S342" s="134" t="str">
        <f t="shared" ca="1" si="275"/>
        <v/>
      </c>
      <c r="T342" s="134" t="str">
        <f ca="1">IF(S342=Dashboard!$D$12,S342,"")</f>
        <v/>
      </c>
      <c r="U342" s="134" t="str">
        <f t="shared" ca="1" si="276"/>
        <v/>
      </c>
      <c r="V342" s="83" t="str">
        <f ca="1">IF(U342="","",IFERROR((RANK(U342,$U$2:$U$2028,1)+COUNTIF($U$2:U342,U342))-1,""))</f>
        <v/>
      </c>
      <c r="W342" s="134" t="str">
        <f t="shared" si="280"/>
        <v/>
      </c>
      <c r="X342" s="134" t="str">
        <f>IF(W342="","",IFERROR((RANK(W342,$W$2:$W$2028,1)+COUNTIF($W$2:W342,W342))-1,""))</f>
        <v/>
      </c>
      <c r="Y342" s="134" t="str">
        <f t="shared" si="277"/>
        <v/>
      </c>
      <c r="Z342" s="134" t="str">
        <f>IF(Y342="","",IFERROR((RANK(Y342,$Y$2:$Y$2028,1)+COUNTIF($Y$2:Y342,Y342))-1,""))</f>
        <v/>
      </c>
      <c r="AA342" s="134" t="str">
        <f t="shared" si="278"/>
        <v/>
      </c>
      <c r="AB342" s="134" t="str">
        <f>IF(AA342="","",IFERROR((RANK(AA342,$AA$2:$AA$2028,1)+COUNTIF($AA$2:AA342,AA342))-1,""))</f>
        <v/>
      </c>
      <c r="AC342" s="134" t="str">
        <f t="shared" si="279"/>
        <v/>
      </c>
      <c r="AD342" s="134" t="str">
        <f>IF(AC342="","",IFERROR((RANK(AC342,$AC$2:$AC$2028,1)+COUNTIF($AC$2:AC342,AC342))-1,""))</f>
        <v/>
      </c>
      <c r="AE342" s="144" t="str">
        <f t="shared" si="283"/>
        <v/>
      </c>
      <c r="AF342" s="144" t="str">
        <f>IF(AE342="","",SUM($AE$2:AE342))</f>
        <v/>
      </c>
    </row>
    <row r="343" spans="14:32" x14ac:dyDescent="0.35">
      <c r="N343" s="134" t="str">
        <f t="shared" si="281"/>
        <v/>
      </c>
      <c r="O343" s="82" t="str">
        <f t="shared" si="272"/>
        <v/>
      </c>
      <c r="P343" s="81" t="str">
        <f t="shared" si="282"/>
        <v/>
      </c>
      <c r="Q343" s="81" t="str">
        <f t="shared" si="273"/>
        <v/>
      </c>
      <c r="R343" s="135" t="str">
        <f t="shared" ca="1" si="274"/>
        <v/>
      </c>
      <c r="S343" s="134" t="str">
        <f t="shared" ca="1" si="275"/>
        <v/>
      </c>
      <c r="T343" s="134" t="str">
        <f ca="1">IF(S343=Dashboard!$D$12,S343,"")</f>
        <v/>
      </c>
      <c r="U343" s="134" t="str">
        <f t="shared" ca="1" si="276"/>
        <v/>
      </c>
      <c r="V343" s="83" t="str">
        <f ca="1">IF(U343="","",IFERROR((RANK(U343,$U$2:$U$2028,1)+COUNTIF($U$2:U343,U343))-1,""))</f>
        <v/>
      </c>
      <c r="W343" s="134" t="str">
        <f t="shared" si="280"/>
        <v/>
      </c>
      <c r="X343" s="134" t="str">
        <f>IF(W343="","",IFERROR((RANK(W343,$W$2:$W$2028,1)+COUNTIF($W$2:W343,W343))-1,""))</f>
        <v/>
      </c>
      <c r="Y343" s="134" t="str">
        <f t="shared" si="277"/>
        <v/>
      </c>
      <c r="Z343" s="134" t="str">
        <f>IF(Y343="","",IFERROR((RANK(Y343,$Y$2:$Y$2028,1)+COUNTIF($Y$2:Y343,Y343))-1,""))</f>
        <v/>
      </c>
      <c r="AA343" s="134" t="str">
        <f t="shared" si="278"/>
        <v/>
      </c>
      <c r="AB343" s="134" t="str">
        <f>IF(AA343="","",IFERROR((RANK(AA343,$AA$2:$AA$2028,1)+COUNTIF($AA$2:AA343,AA343))-1,""))</f>
        <v/>
      </c>
      <c r="AC343" s="134" t="str">
        <f t="shared" si="279"/>
        <v/>
      </c>
      <c r="AD343" s="134" t="str">
        <f>IF(AC343="","",IFERROR((RANK(AC343,$AC$2:$AC$2028,1)+COUNTIF($AC$2:AC343,AC343))-1,""))</f>
        <v/>
      </c>
      <c r="AE343" s="144" t="str">
        <f t="shared" si="283"/>
        <v/>
      </c>
      <c r="AF343" s="144" t="str">
        <f>IF(AE343="","",SUM($AE$2:AE343))</f>
        <v/>
      </c>
    </row>
    <row r="344" spans="14:32" x14ac:dyDescent="0.35">
      <c r="N344" s="134" t="str">
        <f t="shared" si="281"/>
        <v/>
      </c>
      <c r="O344" s="82" t="str">
        <f t="shared" si="272"/>
        <v/>
      </c>
      <c r="P344" s="81" t="str">
        <f t="shared" si="282"/>
        <v/>
      </c>
      <c r="Q344" s="81" t="str">
        <f t="shared" si="273"/>
        <v/>
      </c>
      <c r="R344" s="135" t="str">
        <f t="shared" ca="1" si="274"/>
        <v/>
      </c>
      <c r="S344" s="134" t="str">
        <f t="shared" ca="1" si="275"/>
        <v/>
      </c>
      <c r="T344" s="134" t="str">
        <f ca="1">IF(S344=Dashboard!$D$12,S344,"")</f>
        <v/>
      </c>
      <c r="U344" s="134" t="str">
        <f t="shared" ca="1" si="276"/>
        <v/>
      </c>
      <c r="V344" s="83" t="str">
        <f ca="1">IF(U344="","",IFERROR((RANK(U344,$U$2:$U$2028,1)+COUNTIF($U$2:U344,U344))-1,""))</f>
        <v/>
      </c>
      <c r="W344" s="134" t="str">
        <f t="shared" si="280"/>
        <v/>
      </c>
      <c r="X344" s="134" t="str">
        <f>IF(W344="","",IFERROR((RANK(W344,$W$2:$W$2028,1)+COUNTIF($W$2:W344,W344))-1,""))</f>
        <v/>
      </c>
      <c r="Y344" s="134" t="str">
        <f t="shared" si="277"/>
        <v/>
      </c>
      <c r="Z344" s="134" t="str">
        <f>IF(Y344="","",IFERROR((RANK(Y344,$Y$2:$Y$2028,1)+COUNTIF($Y$2:Y344,Y344))-1,""))</f>
        <v/>
      </c>
      <c r="AA344" s="134" t="str">
        <f t="shared" si="278"/>
        <v/>
      </c>
      <c r="AB344" s="134" t="str">
        <f>IF(AA344="","",IFERROR((RANK(AA344,$AA$2:$AA$2028,1)+COUNTIF($AA$2:AA344,AA344))-1,""))</f>
        <v/>
      </c>
      <c r="AC344" s="134" t="str">
        <f t="shared" si="279"/>
        <v/>
      </c>
      <c r="AD344" s="134" t="str">
        <f>IF(AC344="","",IFERROR((RANK(AC344,$AC$2:$AC$2028,1)+COUNTIF($AC$2:AC344,AC344))-1,""))</f>
        <v/>
      </c>
      <c r="AE344" s="144" t="str">
        <f t="shared" si="283"/>
        <v/>
      </c>
      <c r="AF344" s="144" t="str">
        <f>IF(AE344="","",SUM($AE$2:AE344))</f>
        <v/>
      </c>
    </row>
    <row r="345" spans="14:32" x14ac:dyDescent="0.35">
      <c r="N345" s="134" t="str">
        <f t="shared" si="281"/>
        <v/>
      </c>
      <c r="O345" s="82" t="str">
        <f t="shared" si="272"/>
        <v/>
      </c>
      <c r="P345" s="81" t="str">
        <f t="shared" si="282"/>
        <v/>
      </c>
      <c r="Q345" s="81" t="str">
        <f t="shared" si="273"/>
        <v/>
      </c>
      <c r="R345" s="135" t="str">
        <f t="shared" ca="1" si="274"/>
        <v/>
      </c>
      <c r="S345" s="134" t="str">
        <f t="shared" ca="1" si="275"/>
        <v/>
      </c>
      <c r="T345" s="134" t="str">
        <f ca="1">IF(S345=Dashboard!$D$12,S345,"")</f>
        <v/>
      </c>
      <c r="U345" s="134" t="str">
        <f t="shared" ca="1" si="276"/>
        <v/>
      </c>
      <c r="V345" s="83" t="str">
        <f ca="1">IF(U345="","",IFERROR((RANK(U345,$U$2:$U$2028,1)+COUNTIF($U$2:U345,U345))-1,""))</f>
        <v/>
      </c>
      <c r="W345" s="134" t="str">
        <f t="shared" si="280"/>
        <v/>
      </c>
      <c r="X345" s="134" t="str">
        <f>IF(W345="","",IFERROR((RANK(W345,$W$2:$W$2028,1)+COUNTIF($W$2:W345,W345))-1,""))</f>
        <v/>
      </c>
      <c r="Y345" s="134" t="str">
        <f t="shared" si="277"/>
        <v/>
      </c>
      <c r="Z345" s="134" t="str">
        <f>IF(Y345="","",IFERROR((RANK(Y345,$Y$2:$Y$2028,1)+COUNTIF($Y$2:Y345,Y345))-1,""))</f>
        <v/>
      </c>
      <c r="AA345" s="134" t="str">
        <f t="shared" si="278"/>
        <v/>
      </c>
      <c r="AB345" s="134" t="str">
        <f>IF(AA345="","",IFERROR((RANK(AA345,$AA$2:$AA$2028,1)+COUNTIF($AA$2:AA345,AA345))-1,""))</f>
        <v/>
      </c>
      <c r="AC345" s="134" t="str">
        <f t="shared" si="279"/>
        <v/>
      </c>
      <c r="AD345" s="134" t="str">
        <f>IF(AC345="","",IFERROR((RANK(AC345,$AC$2:$AC$2028,1)+COUNTIF($AC$2:AC345,AC345))-1,""))</f>
        <v/>
      </c>
      <c r="AE345" s="144" t="str">
        <f t="shared" si="283"/>
        <v/>
      </c>
      <c r="AF345" s="144" t="str">
        <f>IF(AE345="","",SUM($AE$2:AE345))</f>
        <v/>
      </c>
    </row>
    <row r="346" spans="14:32" x14ac:dyDescent="0.35">
      <c r="N346" s="134" t="str">
        <f t="shared" si="281"/>
        <v/>
      </c>
      <c r="O346" s="82" t="str">
        <f t="shared" si="272"/>
        <v/>
      </c>
      <c r="P346" s="81" t="str">
        <f t="shared" si="282"/>
        <v/>
      </c>
      <c r="Q346" s="81" t="str">
        <f t="shared" si="273"/>
        <v/>
      </c>
      <c r="R346" s="135" t="str">
        <f t="shared" ca="1" si="274"/>
        <v/>
      </c>
      <c r="S346" s="134" t="str">
        <f t="shared" ca="1" si="275"/>
        <v/>
      </c>
      <c r="T346" s="134" t="str">
        <f ca="1">IF(S346=Dashboard!$D$12,S346,"")</f>
        <v/>
      </c>
      <c r="U346" s="134" t="str">
        <f t="shared" ca="1" si="276"/>
        <v/>
      </c>
      <c r="V346" s="83" t="str">
        <f ca="1">IF(U346="","",IFERROR((RANK(U346,$U$2:$U$2028,1)+COUNTIF($U$2:U346,U346))-1,""))</f>
        <v/>
      </c>
      <c r="W346" s="134" t="str">
        <f t="shared" si="280"/>
        <v/>
      </c>
      <c r="X346" s="134" t="str">
        <f>IF(W346="","",IFERROR((RANK(W346,$W$2:$W$2028,1)+COUNTIF($W$2:W346,W346))-1,""))</f>
        <v/>
      </c>
      <c r="Y346" s="134" t="str">
        <f t="shared" si="277"/>
        <v/>
      </c>
      <c r="Z346" s="134" t="str">
        <f>IF(Y346="","",IFERROR((RANK(Y346,$Y$2:$Y$2028,1)+COUNTIF($Y$2:Y346,Y346))-1,""))</f>
        <v/>
      </c>
      <c r="AA346" s="134" t="str">
        <f t="shared" si="278"/>
        <v/>
      </c>
      <c r="AB346" s="134" t="str">
        <f>IF(AA346="","",IFERROR((RANK(AA346,$AA$2:$AA$2028,1)+COUNTIF($AA$2:AA346,AA346))-1,""))</f>
        <v/>
      </c>
      <c r="AC346" s="134" t="str">
        <f t="shared" si="279"/>
        <v/>
      </c>
      <c r="AD346" s="134" t="str">
        <f>IF(AC346="","",IFERROR((RANK(AC346,$AC$2:$AC$2028,1)+COUNTIF($AC$2:AC346,AC346))-1,""))</f>
        <v/>
      </c>
      <c r="AE346" s="144" t="str">
        <f t="shared" si="283"/>
        <v/>
      </c>
      <c r="AF346" s="144" t="str">
        <f>IF(AE346="","",SUM($AE$2:AE346))</f>
        <v/>
      </c>
    </row>
    <row r="347" spans="14:32" x14ac:dyDescent="0.35">
      <c r="N347" s="134" t="str">
        <f t="shared" si="281"/>
        <v/>
      </c>
      <c r="O347" s="82" t="str">
        <f t="shared" si="272"/>
        <v/>
      </c>
      <c r="P347" s="81" t="str">
        <f t="shared" si="282"/>
        <v/>
      </c>
      <c r="Q347" s="81" t="str">
        <f t="shared" si="273"/>
        <v/>
      </c>
      <c r="R347" s="135" t="str">
        <f t="shared" ca="1" si="274"/>
        <v/>
      </c>
      <c r="S347" s="134" t="str">
        <f t="shared" ca="1" si="275"/>
        <v/>
      </c>
      <c r="T347" s="134" t="str">
        <f ca="1">IF(S347=Dashboard!$D$12,S347,"")</f>
        <v/>
      </c>
      <c r="U347" s="134" t="str">
        <f t="shared" ca="1" si="276"/>
        <v/>
      </c>
      <c r="V347" s="83" t="str">
        <f ca="1">IF(U347="","",IFERROR((RANK(U347,$U$2:$U$2028,1)+COUNTIF($U$2:U347,U347))-1,""))</f>
        <v/>
      </c>
      <c r="W347" s="134" t="str">
        <f t="shared" si="280"/>
        <v/>
      </c>
      <c r="X347" s="134" t="str">
        <f>IF(W347="","",IFERROR((RANK(W347,$W$2:$W$2028,1)+COUNTIF($W$2:W347,W347))-1,""))</f>
        <v/>
      </c>
      <c r="Y347" s="134" t="str">
        <f t="shared" si="277"/>
        <v/>
      </c>
      <c r="Z347" s="134" t="str">
        <f>IF(Y347="","",IFERROR((RANK(Y347,$Y$2:$Y$2028,1)+COUNTIF($Y$2:Y347,Y347))-1,""))</f>
        <v/>
      </c>
      <c r="AA347" s="134" t="str">
        <f t="shared" si="278"/>
        <v/>
      </c>
      <c r="AB347" s="134" t="str">
        <f>IF(AA347="","",IFERROR((RANK(AA347,$AA$2:$AA$2028,1)+COUNTIF($AA$2:AA347,AA347))-1,""))</f>
        <v/>
      </c>
      <c r="AC347" s="134" t="str">
        <f t="shared" si="279"/>
        <v/>
      </c>
      <c r="AD347" s="134" t="str">
        <f>IF(AC347="","",IFERROR((RANK(AC347,$AC$2:$AC$2028,1)+COUNTIF($AC$2:AC347,AC347))-1,""))</f>
        <v/>
      </c>
      <c r="AE347" s="144" t="str">
        <f t="shared" si="283"/>
        <v/>
      </c>
      <c r="AF347" s="144" t="str">
        <f>IF(AE347="","",SUM($AE$2:AE347))</f>
        <v/>
      </c>
    </row>
    <row r="348" spans="14:32" x14ac:dyDescent="0.35">
      <c r="N348" s="134" t="str">
        <f t="shared" si="281"/>
        <v/>
      </c>
      <c r="O348" s="82" t="str">
        <f t="shared" si="272"/>
        <v/>
      </c>
      <c r="P348" s="81" t="str">
        <f t="shared" si="282"/>
        <v/>
      </c>
      <c r="Q348" s="81" t="str">
        <f t="shared" si="273"/>
        <v/>
      </c>
      <c r="R348" s="135" t="str">
        <f t="shared" ca="1" si="274"/>
        <v/>
      </c>
      <c r="S348" s="134" t="str">
        <f t="shared" ca="1" si="275"/>
        <v/>
      </c>
      <c r="T348" s="134" t="str">
        <f ca="1">IF(S348=Dashboard!$D$12,S348,"")</f>
        <v/>
      </c>
      <c r="U348" s="134" t="str">
        <f t="shared" ca="1" si="276"/>
        <v/>
      </c>
      <c r="V348" s="83" t="str">
        <f ca="1">IF(U348="","",IFERROR((RANK(U348,$U$2:$U$2028,1)+COUNTIF($U$2:U348,U348))-1,""))</f>
        <v/>
      </c>
      <c r="W348" s="134" t="str">
        <f t="shared" si="280"/>
        <v/>
      </c>
      <c r="X348" s="134" t="str">
        <f>IF(W348="","",IFERROR((RANK(W348,$W$2:$W$2028,1)+COUNTIF($W$2:W348,W348))-1,""))</f>
        <v/>
      </c>
      <c r="Y348" s="134" t="str">
        <f t="shared" si="277"/>
        <v/>
      </c>
      <c r="Z348" s="134" t="str">
        <f>IF(Y348="","",IFERROR((RANK(Y348,$Y$2:$Y$2028,1)+COUNTIF($Y$2:Y348,Y348))-1,""))</f>
        <v/>
      </c>
      <c r="AA348" s="134" t="str">
        <f t="shared" si="278"/>
        <v/>
      </c>
      <c r="AB348" s="134" t="str">
        <f>IF(AA348="","",IFERROR((RANK(AA348,$AA$2:$AA$2028,1)+COUNTIF($AA$2:AA348,AA348))-1,""))</f>
        <v/>
      </c>
      <c r="AC348" s="134" t="str">
        <f t="shared" si="279"/>
        <v/>
      </c>
      <c r="AD348" s="134" t="str">
        <f>IF(AC348="","",IFERROR((RANK(AC348,$AC$2:$AC$2028,1)+COUNTIF($AC$2:AC348,AC348))-1,""))</f>
        <v/>
      </c>
      <c r="AE348" s="144" t="str">
        <f t="shared" si="283"/>
        <v/>
      </c>
      <c r="AF348" s="144" t="str">
        <f>IF(AE348="","",SUM($AE$2:AE348))</f>
        <v/>
      </c>
    </row>
    <row r="349" spans="14:32" x14ac:dyDescent="0.35">
      <c r="N349" s="134" t="str">
        <f t="shared" si="281"/>
        <v/>
      </c>
      <c r="O349" s="82" t="str">
        <f t="shared" si="272"/>
        <v/>
      </c>
      <c r="P349" s="81" t="str">
        <f t="shared" si="282"/>
        <v/>
      </c>
      <c r="Q349" s="81" t="str">
        <f t="shared" si="273"/>
        <v/>
      </c>
      <c r="R349" s="135" t="str">
        <f t="shared" ca="1" si="274"/>
        <v/>
      </c>
      <c r="S349" s="134" t="str">
        <f t="shared" ca="1" si="275"/>
        <v/>
      </c>
      <c r="T349" s="134" t="str">
        <f ca="1">IF(S349=Dashboard!$D$12,S349,"")</f>
        <v/>
      </c>
      <c r="U349" s="134" t="str">
        <f t="shared" ca="1" si="276"/>
        <v/>
      </c>
      <c r="V349" s="83" t="str">
        <f ca="1">IF(U349="","",IFERROR((RANK(U349,$U$2:$U$2028,1)+COUNTIF($U$2:U349,U349))-1,""))</f>
        <v/>
      </c>
      <c r="W349" s="134" t="str">
        <f t="shared" si="280"/>
        <v/>
      </c>
      <c r="X349" s="134" t="str">
        <f>IF(W349="","",IFERROR((RANK(W349,$W$2:$W$2028,1)+COUNTIF($W$2:W349,W349))-1,""))</f>
        <v/>
      </c>
      <c r="Y349" s="134" t="str">
        <f t="shared" si="277"/>
        <v/>
      </c>
      <c r="Z349" s="134" t="str">
        <f>IF(Y349="","",IFERROR((RANK(Y349,$Y$2:$Y$2028,1)+COUNTIF($Y$2:Y349,Y349))-1,""))</f>
        <v/>
      </c>
      <c r="AA349" s="134" t="str">
        <f t="shared" si="278"/>
        <v/>
      </c>
      <c r="AB349" s="134" t="str">
        <f>IF(AA349="","",IFERROR((RANK(AA349,$AA$2:$AA$2028,1)+COUNTIF($AA$2:AA349,AA349))-1,""))</f>
        <v/>
      </c>
      <c r="AC349" s="134" t="str">
        <f t="shared" si="279"/>
        <v/>
      </c>
      <c r="AD349" s="134" t="str">
        <f>IF(AC349="","",IFERROR((RANK(AC349,$AC$2:$AC$2028,1)+COUNTIF($AC$2:AC349,AC349))-1,""))</f>
        <v/>
      </c>
      <c r="AE349" s="144" t="str">
        <f t="shared" si="283"/>
        <v/>
      </c>
      <c r="AF349" s="144" t="str">
        <f>IF(AE349="","",SUM($AE$2:AE349))</f>
        <v/>
      </c>
    </row>
    <row r="350" spans="14:32" x14ac:dyDescent="0.35">
      <c r="N350" s="134" t="str">
        <f t="shared" si="281"/>
        <v/>
      </c>
      <c r="O350" s="82" t="str">
        <f t="shared" ref="O350:O413" si="284">IF(A350="","",N350&amp;"-"&amp;M350)</f>
        <v/>
      </c>
      <c r="P350" s="81" t="str">
        <f t="shared" si="282"/>
        <v/>
      </c>
      <c r="Q350" s="81" t="str">
        <f t="shared" ref="Q350:Q413" si="285">IF(A350="","",IF(P350=1,M350,""))</f>
        <v/>
      </c>
      <c r="R350" s="135" t="str">
        <f t="shared" ref="R350:R413" ca="1" si="286">IF(Q350="","",I350-TODAY())</f>
        <v/>
      </c>
      <c r="S350" s="134" t="str">
        <f t="shared" ref="S350:S413" ca="1" si="287">IF(R350="","",
IF(R350&lt;-90,"Pass&gt;90",IF(R350&lt;-60,"Pass 61-90",IF(R350&lt;-30,"Pass 31-60",IF(R350&lt;0,"Pass 0-30",IF(R350&lt;31,"Run 0-30",IF(R350&lt;61,"Run 31-60",IF(R350&lt;91,"Run 60-90","Run &gt;90"))))))))</f>
        <v/>
      </c>
      <c r="T350" s="134" t="str">
        <f ca="1">IF(S350=Dashboard!$D$12,S350,"")</f>
        <v/>
      </c>
      <c r="U350" s="134" t="str">
        <f t="shared" ref="U350:U413" ca="1" si="288">IF(T350="","",R350)</f>
        <v/>
      </c>
      <c r="V350" s="83" t="str">
        <f ca="1">IF(U350="","",IFERROR((RANK(U350,$U$2:$U$2028,1)+COUNTIF($U$2:U350,U350))-1,""))</f>
        <v/>
      </c>
      <c r="W350" s="134" t="str">
        <f t="shared" si="280"/>
        <v/>
      </c>
      <c r="X350" s="134" t="str">
        <f>IF(W350="","",IFERROR((RANK(W350,$W$2:$W$2028,1)+COUNTIF($W$2:W350,W350))-1,""))</f>
        <v/>
      </c>
      <c r="Y350" s="134" t="str">
        <f t="shared" ref="Y350:Y413" si="289">IF($J350=Y$1,$U350,"")</f>
        <v/>
      </c>
      <c r="Z350" s="134" t="str">
        <f>IF(Y350="","",IFERROR((RANK(Y350,$Y$2:$Y$2028,1)+COUNTIF($Y$2:Y350,Y350))-1,""))</f>
        <v/>
      </c>
      <c r="AA350" s="134" t="str">
        <f t="shared" ref="AA350:AA413" si="290">IF($J350=AA$1,$U350,"")</f>
        <v/>
      </c>
      <c r="AB350" s="134" t="str">
        <f>IF(AA350="","",IFERROR((RANK(AA350,$AA$2:$AA$2028,1)+COUNTIF($AA$2:AA350,AA350))-1,""))</f>
        <v/>
      </c>
      <c r="AC350" s="134" t="str">
        <f t="shared" ref="AC350:AC413" si="291">IF($J350=AC$1,$U350,"")</f>
        <v/>
      </c>
      <c r="AD350" s="134" t="str">
        <f>IF(AC350="","",IFERROR((RANK(AC350,$AC$2:$AC$2028,1)+COUNTIF($AC$2:AC350,AC350))-1,""))</f>
        <v/>
      </c>
      <c r="AE350" s="144" t="str">
        <f t="shared" si="283"/>
        <v/>
      </c>
      <c r="AF350" s="144" t="str">
        <f>IF(AE350="","",SUM($AE$2:AE350))</f>
        <v/>
      </c>
    </row>
    <row r="351" spans="14:32" x14ac:dyDescent="0.35">
      <c r="N351" s="134" t="str">
        <f t="shared" si="281"/>
        <v/>
      </c>
      <c r="O351" s="82" t="str">
        <f t="shared" si="284"/>
        <v/>
      </c>
      <c r="P351" s="81" t="str">
        <f t="shared" si="282"/>
        <v/>
      </c>
      <c r="Q351" s="81" t="str">
        <f t="shared" si="285"/>
        <v/>
      </c>
      <c r="R351" s="135" t="str">
        <f t="shared" ca="1" si="286"/>
        <v/>
      </c>
      <c r="S351" s="134" t="str">
        <f t="shared" ca="1" si="287"/>
        <v/>
      </c>
      <c r="T351" s="134" t="str">
        <f ca="1">IF(S351=Dashboard!$D$12,S351,"")</f>
        <v/>
      </c>
      <c r="U351" s="134" t="str">
        <f t="shared" ca="1" si="288"/>
        <v/>
      </c>
      <c r="V351" s="83" t="str">
        <f ca="1">IF(U351="","",IFERROR((RANK(U351,$U$2:$U$2028,1)+COUNTIF($U$2:U351,U351))-1,""))</f>
        <v/>
      </c>
      <c r="W351" s="134" t="str">
        <f t="shared" ref="W351:W414" si="292">IF($J351=$W$1,U351,"")</f>
        <v/>
      </c>
      <c r="X351" s="134" t="str">
        <f>IF(W351="","",IFERROR((RANK(W351,$W$2:$W$2028,1)+COUNTIF($W$2:W351,W351))-1,""))</f>
        <v/>
      </c>
      <c r="Y351" s="134" t="str">
        <f t="shared" si="289"/>
        <v/>
      </c>
      <c r="Z351" s="134" t="str">
        <f>IF(Y351="","",IFERROR((RANK(Y351,$Y$2:$Y$2028,1)+COUNTIF($Y$2:Y351,Y351))-1,""))</f>
        <v/>
      </c>
      <c r="AA351" s="134" t="str">
        <f t="shared" si="290"/>
        <v/>
      </c>
      <c r="AB351" s="134" t="str">
        <f>IF(AA351="","",IFERROR((RANK(AA351,$AA$2:$AA$2028,1)+COUNTIF($AA$2:AA351,AA351))-1,""))</f>
        <v/>
      </c>
      <c r="AC351" s="134" t="str">
        <f t="shared" si="291"/>
        <v/>
      </c>
      <c r="AD351" s="134" t="str">
        <f>IF(AC351="","",IFERROR((RANK(AC351,$AC$2:$AC$2028,1)+COUNTIF($AC$2:AC351,AC351))-1,""))</f>
        <v/>
      </c>
      <c r="AE351" s="144" t="str">
        <f t="shared" si="283"/>
        <v/>
      </c>
      <c r="AF351" s="144" t="str">
        <f>IF(AE351="","",SUM($AE$2:AE351))</f>
        <v/>
      </c>
    </row>
    <row r="352" spans="14:32" x14ac:dyDescent="0.35">
      <c r="N352" s="134" t="str">
        <f t="shared" si="281"/>
        <v/>
      </c>
      <c r="O352" s="82" t="str">
        <f t="shared" si="284"/>
        <v/>
      </c>
      <c r="P352" s="81" t="str">
        <f t="shared" si="282"/>
        <v/>
      </c>
      <c r="Q352" s="81" t="str">
        <f t="shared" si="285"/>
        <v/>
      </c>
      <c r="R352" s="135" t="str">
        <f t="shared" ca="1" si="286"/>
        <v/>
      </c>
      <c r="S352" s="134" t="str">
        <f t="shared" ca="1" si="287"/>
        <v/>
      </c>
      <c r="T352" s="134" t="str">
        <f ca="1">IF(S352=Dashboard!$D$12,S352,"")</f>
        <v/>
      </c>
      <c r="U352" s="134" t="str">
        <f t="shared" ca="1" si="288"/>
        <v/>
      </c>
      <c r="V352" s="83" t="str">
        <f ca="1">IF(U352="","",IFERROR((RANK(U352,$U$2:$U$2028,1)+COUNTIF($U$2:U352,U352))-1,""))</f>
        <v/>
      </c>
      <c r="W352" s="134" t="str">
        <f t="shared" si="292"/>
        <v/>
      </c>
      <c r="X352" s="134" t="str">
        <f>IF(W352="","",IFERROR((RANK(W352,$W$2:$W$2028,1)+COUNTIF($W$2:W352,W352))-1,""))</f>
        <v/>
      </c>
      <c r="Y352" s="134" t="str">
        <f t="shared" si="289"/>
        <v/>
      </c>
      <c r="Z352" s="134" t="str">
        <f>IF(Y352="","",IFERROR((RANK(Y352,$Y$2:$Y$2028,1)+COUNTIF($Y$2:Y352,Y352))-1,""))</f>
        <v/>
      </c>
      <c r="AA352" s="134" t="str">
        <f t="shared" si="290"/>
        <v/>
      </c>
      <c r="AB352" s="134" t="str">
        <f>IF(AA352="","",IFERROR((RANK(AA352,$AA$2:$AA$2028,1)+COUNTIF($AA$2:AA352,AA352))-1,""))</f>
        <v/>
      </c>
      <c r="AC352" s="134" t="str">
        <f t="shared" si="291"/>
        <v/>
      </c>
      <c r="AD352" s="134" t="str">
        <f>IF(AC352="","",IFERROR((RANK(AC352,$AC$2:$AC$2028,1)+COUNTIF($AC$2:AC352,AC352))-1,""))</f>
        <v/>
      </c>
      <c r="AE352" s="144" t="str">
        <f t="shared" si="283"/>
        <v/>
      </c>
      <c r="AF352" s="144" t="str">
        <f>IF(AE352="","",SUM($AE$2:AE352))</f>
        <v/>
      </c>
    </row>
    <row r="353" spans="14:32" x14ac:dyDescent="0.35">
      <c r="N353" s="134" t="str">
        <f t="shared" si="281"/>
        <v/>
      </c>
      <c r="O353" s="82" t="str">
        <f t="shared" si="284"/>
        <v/>
      </c>
      <c r="P353" s="81" t="str">
        <f t="shared" si="282"/>
        <v/>
      </c>
      <c r="Q353" s="81" t="str">
        <f t="shared" si="285"/>
        <v/>
      </c>
      <c r="R353" s="135" t="str">
        <f t="shared" ca="1" si="286"/>
        <v/>
      </c>
      <c r="S353" s="134" t="str">
        <f t="shared" ca="1" si="287"/>
        <v/>
      </c>
      <c r="T353" s="134" t="str">
        <f ca="1">IF(S353=Dashboard!$D$12,S353,"")</f>
        <v/>
      </c>
      <c r="U353" s="134" t="str">
        <f t="shared" ca="1" si="288"/>
        <v/>
      </c>
      <c r="V353" s="83" t="str">
        <f ca="1">IF(U353="","",IFERROR((RANK(U353,$U$2:$U$2028,1)+COUNTIF($U$2:U353,U353))-1,""))</f>
        <v/>
      </c>
      <c r="W353" s="134" t="str">
        <f t="shared" si="292"/>
        <v/>
      </c>
      <c r="X353" s="134" t="str">
        <f>IF(W353="","",IFERROR((RANK(W353,$W$2:$W$2028,1)+COUNTIF($W$2:W353,W353))-1,""))</f>
        <v/>
      </c>
      <c r="Y353" s="134" t="str">
        <f t="shared" si="289"/>
        <v/>
      </c>
      <c r="Z353" s="134" t="str">
        <f>IF(Y353="","",IFERROR((RANK(Y353,$Y$2:$Y$2028,1)+COUNTIF($Y$2:Y353,Y353))-1,""))</f>
        <v/>
      </c>
      <c r="AA353" s="134" t="str">
        <f t="shared" si="290"/>
        <v/>
      </c>
      <c r="AB353" s="134" t="str">
        <f>IF(AA353="","",IFERROR((RANK(AA353,$AA$2:$AA$2028,1)+COUNTIF($AA$2:AA353,AA353))-1,""))</f>
        <v/>
      </c>
      <c r="AC353" s="134" t="str">
        <f t="shared" si="291"/>
        <v/>
      </c>
      <c r="AD353" s="134" t="str">
        <f>IF(AC353="","",IFERROR((RANK(AC353,$AC$2:$AC$2028,1)+COUNTIF($AC$2:AC353,AC353))-1,""))</f>
        <v/>
      </c>
      <c r="AE353" s="144" t="str">
        <f t="shared" si="283"/>
        <v/>
      </c>
      <c r="AF353" s="144" t="str">
        <f>IF(AE353="","",SUM($AE$2:AE353))</f>
        <v/>
      </c>
    </row>
    <row r="354" spans="14:32" x14ac:dyDescent="0.35">
      <c r="N354" s="134" t="str">
        <f t="shared" si="281"/>
        <v/>
      </c>
      <c r="O354" s="82" t="str">
        <f t="shared" si="284"/>
        <v/>
      </c>
      <c r="P354" s="81" t="str">
        <f t="shared" si="282"/>
        <v/>
      </c>
      <c r="Q354" s="81" t="str">
        <f t="shared" si="285"/>
        <v/>
      </c>
      <c r="R354" s="135" t="str">
        <f t="shared" ca="1" si="286"/>
        <v/>
      </c>
      <c r="S354" s="134" t="str">
        <f t="shared" ca="1" si="287"/>
        <v/>
      </c>
      <c r="T354" s="134" t="str">
        <f ca="1">IF(S354=Dashboard!$D$12,S354,"")</f>
        <v/>
      </c>
      <c r="U354" s="134" t="str">
        <f t="shared" ca="1" si="288"/>
        <v/>
      </c>
      <c r="V354" s="83" t="str">
        <f ca="1">IF(U354="","",IFERROR((RANK(U354,$U$2:$U$2028,1)+COUNTIF($U$2:U354,U354))-1,""))</f>
        <v/>
      </c>
      <c r="W354" s="134" t="str">
        <f t="shared" si="292"/>
        <v/>
      </c>
      <c r="X354" s="134" t="str">
        <f>IF(W354="","",IFERROR((RANK(W354,$W$2:$W$2028,1)+COUNTIF($W$2:W354,W354))-1,""))</f>
        <v/>
      </c>
      <c r="Y354" s="134" t="str">
        <f t="shared" si="289"/>
        <v/>
      </c>
      <c r="Z354" s="134" t="str">
        <f>IF(Y354="","",IFERROR((RANK(Y354,$Y$2:$Y$2028,1)+COUNTIF($Y$2:Y354,Y354))-1,""))</f>
        <v/>
      </c>
      <c r="AA354" s="134" t="str">
        <f t="shared" si="290"/>
        <v/>
      </c>
      <c r="AB354" s="134" t="str">
        <f>IF(AA354="","",IFERROR((RANK(AA354,$AA$2:$AA$2028,1)+COUNTIF($AA$2:AA354,AA354))-1,""))</f>
        <v/>
      </c>
      <c r="AC354" s="134" t="str">
        <f t="shared" si="291"/>
        <v/>
      </c>
      <c r="AD354" s="134" t="str">
        <f>IF(AC354="","",IFERROR((RANK(AC354,$AC$2:$AC$2028,1)+COUNTIF($AC$2:AC354,AC354))-1,""))</f>
        <v/>
      </c>
      <c r="AE354" s="144" t="str">
        <f t="shared" si="283"/>
        <v/>
      </c>
      <c r="AF354" s="144" t="str">
        <f>IF(AE354="","",SUM($AE$2:AE354))</f>
        <v/>
      </c>
    </row>
    <row r="355" spans="14:32" x14ac:dyDescent="0.35">
      <c r="N355" s="134" t="str">
        <f t="shared" si="281"/>
        <v/>
      </c>
      <c r="O355" s="82" t="str">
        <f t="shared" si="284"/>
        <v/>
      </c>
      <c r="P355" s="81" t="str">
        <f t="shared" si="282"/>
        <v/>
      </c>
      <c r="Q355" s="81" t="str">
        <f t="shared" si="285"/>
        <v/>
      </c>
      <c r="R355" s="135" t="str">
        <f t="shared" ca="1" si="286"/>
        <v/>
      </c>
      <c r="S355" s="134" t="str">
        <f t="shared" ca="1" si="287"/>
        <v/>
      </c>
      <c r="T355" s="134" t="str">
        <f ca="1">IF(S355=Dashboard!$D$12,S355,"")</f>
        <v/>
      </c>
      <c r="U355" s="134" t="str">
        <f t="shared" ca="1" si="288"/>
        <v/>
      </c>
      <c r="V355" s="83" t="str">
        <f ca="1">IF(U355="","",IFERROR((RANK(U355,$U$2:$U$2028,1)+COUNTIF($U$2:U355,U355))-1,""))</f>
        <v/>
      </c>
      <c r="W355" s="134" t="str">
        <f t="shared" si="292"/>
        <v/>
      </c>
      <c r="X355" s="134" t="str">
        <f>IF(W355="","",IFERROR((RANK(W355,$W$2:$W$2028,1)+COUNTIF($W$2:W355,W355))-1,""))</f>
        <v/>
      </c>
      <c r="Y355" s="134" t="str">
        <f t="shared" si="289"/>
        <v/>
      </c>
      <c r="Z355" s="134" t="str">
        <f>IF(Y355="","",IFERROR((RANK(Y355,$Y$2:$Y$2028,1)+COUNTIF($Y$2:Y355,Y355))-1,""))</f>
        <v/>
      </c>
      <c r="AA355" s="134" t="str">
        <f t="shared" si="290"/>
        <v/>
      </c>
      <c r="AB355" s="134" t="str">
        <f>IF(AA355="","",IFERROR((RANK(AA355,$AA$2:$AA$2028,1)+COUNTIF($AA$2:AA355,AA355))-1,""))</f>
        <v/>
      </c>
      <c r="AC355" s="134" t="str">
        <f t="shared" si="291"/>
        <v/>
      </c>
      <c r="AD355" s="134" t="str">
        <f>IF(AC355="","",IFERROR((RANK(AC355,$AC$2:$AC$2028,1)+COUNTIF($AC$2:AC355,AC355))-1,""))</f>
        <v/>
      </c>
      <c r="AE355" s="144" t="str">
        <f t="shared" si="283"/>
        <v/>
      </c>
      <c r="AF355" s="144" t="str">
        <f>IF(AE355="","",SUM($AE$2:AE355))</f>
        <v/>
      </c>
    </row>
    <row r="356" spans="14:32" x14ac:dyDescent="0.35">
      <c r="N356" s="134" t="str">
        <f t="shared" si="281"/>
        <v/>
      </c>
      <c r="O356" s="82" t="str">
        <f t="shared" si="284"/>
        <v/>
      </c>
      <c r="P356" s="81" t="str">
        <f t="shared" si="282"/>
        <v/>
      </c>
      <c r="Q356" s="81" t="str">
        <f t="shared" si="285"/>
        <v/>
      </c>
      <c r="R356" s="135" t="str">
        <f t="shared" ca="1" si="286"/>
        <v/>
      </c>
      <c r="S356" s="134" t="str">
        <f t="shared" ca="1" si="287"/>
        <v/>
      </c>
      <c r="T356" s="134" t="str">
        <f ca="1">IF(S356=Dashboard!$D$12,S356,"")</f>
        <v/>
      </c>
      <c r="U356" s="134" t="str">
        <f t="shared" ca="1" si="288"/>
        <v/>
      </c>
      <c r="V356" s="83" t="str">
        <f ca="1">IF(U356="","",IFERROR((RANK(U356,$U$2:$U$2028,1)+COUNTIF($U$2:U356,U356))-1,""))</f>
        <v/>
      </c>
      <c r="W356" s="134" t="str">
        <f t="shared" si="292"/>
        <v/>
      </c>
      <c r="X356" s="134" t="str">
        <f>IF(W356="","",IFERROR((RANK(W356,$W$2:$W$2028,1)+COUNTIF($W$2:W356,W356))-1,""))</f>
        <v/>
      </c>
      <c r="Y356" s="134" t="str">
        <f t="shared" si="289"/>
        <v/>
      </c>
      <c r="Z356" s="134" t="str">
        <f>IF(Y356="","",IFERROR((RANK(Y356,$Y$2:$Y$2028,1)+COUNTIF($Y$2:Y356,Y356))-1,""))</f>
        <v/>
      </c>
      <c r="AA356" s="134" t="str">
        <f t="shared" si="290"/>
        <v/>
      </c>
      <c r="AB356" s="134" t="str">
        <f>IF(AA356="","",IFERROR((RANK(AA356,$AA$2:$AA$2028,1)+COUNTIF($AA$2:AA356,AA356))-1,""))</f>
        <v/>
      </c>
      <c r="AC356" s="134" t="str">
        <f t="shared" si="291"/>
        <v/>
      </c>
      <c r="AD356" s="134" t="str">
        <f>IF(AC356="","",IFERROR((RANK(AC356,$AC$2:$AC$2028,1)+COUNTIF($AC$2:AC356,AC356))-1,""))</f>
        <v/>
      </c>
      <c r="AE356" s="144" t="str">
        <f t="shared" si="283"/>
        <v/>
      </c>
      <c r="AF356" s="144" t="str">
        <f>IF(AE356="","",SUM($AE$2:AE356))</f>
        <v/>
      </c>
    </row>
    <row r="357" spans="14:32" x14ac:dyDescent="0.35">
      <c r="N357" s="134" t="str">
        <f t="shared" si="281"/>
        <v/>
      </c>
      <c r="O357" s="82" t="str">
        <f t="shared" si="284"/>
        <v/>
      </c>
      <c r="P357" s="81" t="str">
        <f t="shared" si="282"/>
        <v/>
      </c>
      <c r="Q357" s="81" t="str">
        <f t="shared" si="285"/>
        <v/>
      </c>
      <c r="R357" s="135" t="str">
        <f t="shared" ca="1" si="286"/>
        <v/>
      </c>
      <c r="S357" s="134" t="str">
        <f t="shared" ca="1" si="287"/>
        <v/>
      </c>
      <c r="T357" s="134" t="str">
        <f ca="1">IF(S357=Dashboard!$D$12,S357,"")</f>
        <v/>
      </c>
      <c r="U357" s="134" t="str">
        <f t="shared" ca="1" si="288"/>
        <v/>
      </c>
      <c r="V357" s="83" t="str">
        <f ca="1">IF(U357="","",IFERROR((RANK(U357,$U$2:$U$2028,1)+COUNTIF($U$2:U357,U357))-1,""))</f>
        <v/>
      </c>
      <c r="W357" s="134" t="str">
        <f t="shared" si="292"/>
        <v/>
      </c>
      <c r="X357" s="134" t="str">
        <f>IF(W357="","",IFERROR((RANK(W357,$W$2:$W$2028,1)+COUNTIF($W$2:W357,W357))-1,""))</f>
        <v/>
      </c>
      <c r="Y357" s="134" t="str">
        <f t="shared" si="289"/>
        <v/>
      </c>
      <c r="Z357" s="134" t="str">
        <f>IF(Y357="","",IFERROR((RANK(Y357,$Y$2:$Y$2028,1)+COUNTIF($Y$2:Y357,Y357))-1,""))</f>
        <v/>
      </c>
      <c r="AA357" s="134" t="str">
        <f t="shared" si="290"/>
        <v/>
      </c>
      <c r="AB357" s="134" t="str">
        <f>IF(AA357="","",IFERROR((RANK(AA357,$AA$2:$AA$2028,1)+COUNTIF($AA$2:AA357,AA357))-1,""))</f>
        <v/>
      </c>
      <c r="AC357" s="134" t="str">
        <f t="shared" si="291"/>
        <v/>
      </c>
      <c r="AD357" s="134" t="str">
        <f>IF(AC357="","",IFERROR((RANK(AC357,$AC$2:$AC$2028,1)+COUNTIF($AC$2:AC357,AC357))-1,""))</f>
        <v/>
      </c>
      <c r="AE357" s="144" t="str">
        <f t="shared" si="283"/>
        <v/>
      </c>
      <c r="AF357" s="144" t="str">
        <f>IF(AE357="","",SUM($AE$2:AE357))</f>
        <v/>
      </c>
    </row>
    <row r="358" spans="14:32" x14ac:dyDescent="0.35">
      <c r="N358" s="134" t="str">
        <f t="shared" si="281"/>
        <v/>
      </c>
      <c r="O358" s="82" t="str">
        <f t="shared" si="284"/>
        <v/>
      </c>
      <c r="P358" s="81" t="str">
        <f t="shared" si="282"/>
        <v/>
      </c>
      <c r="Q358" s="81" t="str">
        <f t="shared" si="285"/>
        <v/>
      </c>
      <c r="R358" s="135" t="str">
        <f t="shared" ca="1" si="286"/>
        <v/>
      </c>
      <c r="S358" s="134" t="str">
        <f t="shared" ca="1" si="287"/>
        <v/>
      </c>
      <c r="T358" s="134" t="str">
        <f ca="1">IF(S358=Dashboard!$D$12,S358,"")</f>
        <v/>
      </c>
      <c r="U358" s="134" t="str">
        <f t="shared" ca="1" si="288"/>
        <v/>
      </c>
      <c r="V358" s="83" t="str">
        <f ca="1">IF(U358="","",IFERROR((RANK(U358,$U$2:$U$2028,1)+COUNTIF($U$2:U358,U358))-1,""))</f>
        <v/>
      </c>
      <c r="W358" s="134" t="str">
        <f t="shared" si="292"/>
        <v/>
      </c>
      <c r="X358" s="134" t="str">
        <f>IF(W358="","",IFERROR((RANK(W358,$W$2:$W$2028,1)+COUNTIF($W$2:W358,W358))-1,""))</f>
        <v/>
      </c>
      <c r="Y358" s="134" t="str">
        <f t="shared" si="289"/>
        <v/>
      </c>
      <c r="Z358" s="134" t="str">
        <f>IF(Y358="","",IFERROR((RANK(Y358,$Y$2:$Y$2028,1)+COUNTIF($Y$2:Y358,Y358))-1,""))</f>
        <v/>
      </c>
      <c r="AA358" s="134" t="str">
        <f t="shared" si="290"/>
        <v/>
      </c>
      <c r="AB358" s="134" t="str">
        <f>IF(AA358="","",IFERROR((RANK(AA358,$AA$2:$AA$2028,1)+COUNTIF($AA$2:AA358,AA358))-1,""))</f>
        <v/>
      </c>
      <c r="AC358" s="134" t="str">
        <f t="shared" si="291"/>
        <v/>
      </c>
      <c r="AD358" s="134" t="str">
        <f>IF(AC358="","",IFERROR((RANK(AC358,$AC$2:$AC$2028,1)+COUNTIF($AC$2:AC358,AC358))-1,""))</f>
        <v/>
      </c>
      <c r="AE358" s="144" t="str">
        <f t="shared" si="283"/>
        <v/>
      </c>
      <c r="AF358" s="144" t="str">
        <f>IF(AE358="","",SUM($AE$2:AE358))</f>
        <v/>
      </c>
    </row>
    <row r="359" spans="14:32" x14ac:dyDescent="0.35">
      <c r="N359" s="134" t="str">
        <f t="shared" si="281"/>
        <v/>
      </c>
      <c r="O359" s="82" t="str">
        <f t="shared" si="284"/>
        <v/>
      </c>
      <c r="P359" s="81" t="str">
        <f t="shared" si="282"/>
        <v/>
      </c>
      <c r="Q359" s="81" t="str">
        <f t="shared" si="285"/>
        <v/>
      </c>
      <c r="R359" s="135" t="str">
        <f t="shared" ca="1" si="286"/>
        <v/>
      </c>
      <c r="S359" s="134" t="str">
        <f t="shared" ca="1" si="287"/>
        <v/>
      </c>
      <c r="T359" s="134" t="str">
        <f ca="1">IF(S359=Dashboard!$D$12,S359,"")</f>
        <v/>
      </c>
      <c r="U359" s="134" t="str">
        <f t="shared" ca="1" si="288"/>
        <v/>
      </c>
      <c r="V359" s="83" t="str">
        <f ca="1">IF(U359="","",IFERROR((RANK(U359,$U$2:$U$2028,1)+COUNTIF($U$2:U359,U359))-1,""))</f>
        <v/>
      </c>
      <c r="W359" s="134" t="str">
        <f t="shared" si="292"/>
        <v/>
      </c>
      <c r="X359" s="134" t="str">
        <f>IF(W359="","",IFERROR((RANK(W359,$W$2:$W$2028,1)+COUNTIF($W$2:W359,W359))-1,""))</f>
        <v/>
      </c>
      <c r="Y359" s="134" t="str">
        <f t="shared" si="289"/>
        <v/>
      </c>
      <c r="Z359" s="134" t="str">
        <f>IF(Y359="","",IFERROR((RANK(Y359,$Y$2:$Y$2028,1)+COUNTIF($Y$2:Y359,Y359))-1,""))</f>
        <v/>
      </c>
      <c r="AA359" s="134" t="str">
        <f t="shared" si="290"/>
        <v/>
      </c>
      <c r="AB359" s="134" t="str">
        <f>IF(AA359="","",IFERROR((RANK(AA359,$AA$2:$AA$2028,1)+COUNTIF($AA$2:AA359,AA359))-1,""))</f>
        <v/>
      </c>
      <c r="AC359" s="134" t="str">
        <f t="shared" si="291"/>
        <v/>
      </c>
      <c r="AD359" s="134" t="str">
        <f>IF(AC359="","",IFERROR((RANK(AC359,$AC$2:$AC$2028,1)+COUNTIF($AC$2:AC359,AC359))-1,""))</f>
        <v/>
      </c>
      <c r="AE359" s="144" t="str">
        <f t="shared" si="283"/>
        <v/>
      </c>
      <c r="AF359" s="144" t="str">
        <f>IF(AE359="","",SUM($AE$2:AE359))</f>
        <v/>
      </c>
    </row>
    <row r="360" spans="14:32" x14ac:dyDescent="0.35">
      <c r="N360" s="134" t="str">
        <f t="shared" si="281"/>
        <v/>
      </c>
      <c r="O360" s="82" t="str">
        <f t="shared" si="284"/>
        <v/>
      </c>
      <c r="P360" s="81" t="str">
        <f t="shared" si="282"/>
        <v/>
      </c>
      <c r="Q360" s="81" t="str">
        <f t="shared" si="285"/>
        <v/>
      </c>
      <c r="R360" s="135" t="str">
        <f t="shared" ca="1" si="286"/>
        <v/>
      </c>
      <c r="S360" s="134" t="str">
        <f t="shared" ca="1" si="287"/>
        <v/>
      </c>
      <c r="T360" s="134" t="str">
        <f ca="1">IF(S360=Dashboard!$D$12,S360,"")</f>
        <v/>
      </c>
      <c r="U360" s="134" t="str">
        <f t="shared" ca="1" si="288"/>
        <v/>
      </c>
      <c r="V360" s="83" t="str">
        <f ca="1">IF(U360="","",IFERROR((RANK(U360,$U$2:$U$2028,1)+COUNTIF($U$2:U360,U360))-1,""))</f>
        <v/>
      </c>
      <c r="W360" s="134" t="str">
        <f t="shared" si="292"/>
        <v/>
      </c>
      <c r="X360" s="134" t="str">
        <f>IF(W360="","",IFERROR((RANK(W360,$W$2:$W$2028,1)+COUNTIF($W$2:W360,W360))-1,""))</f>
        <v/>
      </c>
      <c r="Y360" s="134" t="str">
        <f t="shared" si="289"/>
        <v/>
      </c>
      <c r="Z360" s="134" t="str">
        <f>IF(Y360="","",IFERROR((RANK(Y360,$Y$2:$Y$2028,1)+COUNTIF($Y$2:Y360,Y360))-1,""))</f>
        <v/>
      </c>
      <c r="AA360" s="134" t="str">
        <f t="shared" si="290"/>
        <v/>
      </c>
      <c r="AB360" s="134" t="str">
        <f>IF(AA360="","",IFERROR((RANK(AA360,$AA$2:$AA$2028,1)+COUNTIF($AA$2:AA360,AA360))-1,""))</f>
        <v/>
      </c>
      <c r="AC360" s="134" t="str">
        <f t="shared" si="291"/>
        <v/>
      </c>
      <c r="AD360" s="134" t="str">
        <f>IF(AC360="","",IFERROR((RANK(AC360,$AC$2:$AC$2028,1)+COUNTIF($AC$2:AC360,AC360))-1,""))</f>
        <v/>
      </c>
      <c r="AE360" s="144" t="str">
        <f t="shared" si="283"/>
        <v/>
      </c>
      <c r="AF360" s="144" t="str">
        <f>IF(AE360="","",SUM($AE$2:AE360))</f>
        <v/>
      </c>
    </row>
    <row r="361" spans="14:32" x14ac:dyDescent="0.35">
      <c r="N361" s="134" t="str">
        <f t="shared" si="281"/>
        <v/>
      </c>
      <c r="O361" s="82" t="str">
        <f t="shared" si="284"/>
        <v/>
      </c>
      <c r="P361" s="81" t="str">
        <f t="shared" si="282"/>
        <v/>
      </c>
      <c r="Q361" s="81" t="str">
        <f t="shared" si="285"/>
        <v/>
      </c>
      <c r="R361" s="135" t="str">
        <f t="shared" ca="1" si="286"/>
        <v/>
      </c>
      <c r="S361" s="134" t="str">
        <f t="shared" ca="1" si="287"/>
        <v/>
      </c>
      <c r="T361" s="134" t="str">
        <f ca="1">IF(S361=Dashboard!$D$12,S361,"")</f>
        <v/>
      </c>
      <c r="U361" s="134" t="str">
        <f t="shared" ca="1" si="288"/>
        <v/>
      </c>
      <c r="V361" s="83" t="str">
        <f ca="1">IF(U361="","",IFERROR((RANK(U361,$U$2:$U$2028,1)+COUNTIF($U$2:U361,U361))-1,""))</f>
        <v/>
      </c>
      <c r="W361" s="134" t="str">
        <f t="shared" si="292"/>
        <v/>
      </c>
      <c r="X361" s="134" t="str">
        <f>IF(W361="","",IFERROR((RANK(W361,$W$2:$W$2028,1)+COUNTIF($W$2:W361,W361))-1,""))</f>
        <v/>
      </c>
      <c r="Y361" s="134" t="str">
        <f t="shared" si="289"/>
        <v/>
      </c>
      <c r="Z361" s="134" t="str">
        <f>IF(Y361="","",IFERROR((RANK(Y361,$Y$2:$Y$2028,1)+COUNTIF($Y$2:Y361,Y361))-1,""))</f>
        <v/>
      </c>
      <c r="AA361" s="134" t="str">
        <f t="shared" si="290"/>
        <v/>
      </c>
      <c r="AB361" s="134" t="str">
        <f>IF(AA361="","",IFERROR((RANK(AA361,$AA$2:$AA$2028,1)+COUNTIF($AA$2:AA361,AA361))-1,""))</f>
        <v/>
      </c>
      <c r="AC361" s="134" t="str">
        <f t="shared" si="291"/>
        <v/>
      </c>
      <c r="AD361" s="134" t="str">
        <f>IF(AC361="","",IFERROR((RANK(AC361,$AC$2:$AC$2028,1)+COUNTIF($AC$2:AC361,AC361))-1,""))</f>
        <v/>
      </c>
      <c r="AE361" s="144" t="str">
        <f t="shared" si="283"/>
        <v/>
      </c>
      <c r="AF361" s="144" t="str">
        <f>IF(AE361="","",SUM($AE$2:AE361))</f>
        <v/>
      </c>
    </row>
    <row r="362" spans="14:32" x14ac:dyDescent="0.35">
      <c r="N362" s="134" t="str">
        <f t="shared" si="281"/>
        <v/>
      </c>
      <c r="O362" s="82" t="str">
        <f t="shared" si="284"/>
        <v/>
      </c>
      <c r="P362" s="81" t="str">
        <f t="shared" si="282"/>
        <v/>
      </c>
      <c r="Q362" s="81" t="str">
        <f t="shared" si="285"/>
        <v/>
      </c>
      <c r="R362" s="135" t="str">
        <f t="shared" ca="1" si="286"/>
        <v/>
      </c>
      <c r="S362" s="134" t="str">
        <f t="shared" ca="1" si="287"/>
        <v/>
      </c>
      <c r="T362" s="134" t="str">
        <f ca="1">IF(S362=Dashboard!$D$12,S362,"")</f>
        <v/>
      </c>
      <c r="U362" s="134" t="str">
        <f t="shared" ca="1" si="288"/>
        <v/>
      </c>
      <c r="V362" s="83" t="str">
        <f ca="1">IF(U362="","",IFERROR((RANK(U362,$U$2:$U$2028,1)+COUNTIF($U$2:U362,U362))-1,""))</f>
        <v/>
      </c>
      <c r="W362" s="134" t="str">
        <f t="shared" si="292"/>
        <v/>
      </c>
      <c r="X362" s="134" t="str">
        <f>IF(W362="","",IFERROR((RANK(W362,$W$2:$W$2028,1)+COUNTIF($W$2:W362,W362))-1,""))</f>
        <v/>
      </c>
      <c r="Y362" s="134" t="str">
        <f t="shared" si="289"/>
        <v/>
      </c>
      <c r="Z362" s="134" t="str">
        <f>IF(Y362="","",IFERROR((RANK(Y362,$Y$2:$Y$2028,1)+COUNTIF($Y$2:Y362,Y362))-1,""))</f>
        <v/>
      </c>
      <c r="AA362" s="134" t="str">
        <f t="shared" si="290"/>
        <v/>
      </c>
      <c r="AB362" s="134" t="str">
        <f>IF(AA362="","",IFERROR((RANK(AA362,$AA$2:$AA$2028,1)+COUNTIF($AA$2:AA362,AA362))-1,""))</f>
        <v/>
      </c>
      <c r="AC362" s="134" t="str">
        <f t="shared" si="291"/>
        <v/>
      </c>
      <c r="AD362" s="134" t="str">
        <f>IF(AC362="","",IFERROR((RANK(AC362,$AC$2:$AC$2028,1)+COUNTIF($AC$2:AC362,AC362))-1,""))</f>
        <v/>
      </c>
      <c r="AE362" s="144" t="str">
        <f t="shared" si="283"/>
        <v/>
      </c>
      <c r="AF362" s="144" t="str">
        <f>IF(AE362="","",SUM($AE$2:AE362))</f>
        <v/>
      </c>
    </row>
    <row r="363" spans="14:32" x14ac:dyDescent="0.35">
      <c r="N363" s="134" t="str">
        <f t="shared" si="281"/>
        <v/>
      </c>
      <c r="O363" s="82" t="str">
        <f t="shared" si="284"/>
        <v/>
      </c>
      <c r="P363" s="81" t="str">
        <f t="shared" si="282"/>
        <v/>
      </c>
      <c r="Q363" s="81" t="str">
        <f t="shared" si="285"/>
        <v/>
      </c>
      <c r="R363" s="135" t="str">
        <f t="shared" ca="1" si="286"/>
        <v/>
      </c>
      <c r="S363" s="134" t="str">
        <f t="shared" ca="1" si="287"/>
        <v/>
      </c>
      <c r="T363" s="134" t="str">
        <f ca="1">IF(S363=Dashboard!$D$12,S363,"")</f>
        <v/>
      </c>
      <c r="U363" s="134" t="str">
        <f t="shared" ca="1" si="288"/>
        <v/>
      </c>
      <c r="V363" s="83" t="str">
        <f ca="1">IF(U363="","",IFERROR((RANK(U363,$U$2:$U$2028,1)+COUNTIF($U$2:U363,U363))-1,""))</f>
        <v/>
      </c>
      <c r="W363" s="134" t="str">
        <f t="shared" si="292"/>
        <v/>
      </c>
      <c r="X363" s="134" t="str">
        <f>IF(W363="","",IFERROR((RANK(W363,$W$2:$W$2028,1)+COUNTIF($W$2:W363,W363))-1,""))</f>
        <v/>
      </c>
      <c r="Y363" s="134" t="str">
        <f t="shared" si="289"/>
        <v/>
      </c>
      <c r="Z363" s="134" t="str">
        <f>IF(Y363="","",IFERROR((RANK(Y363,$Y$2:$Y$2028,1)+COUNTIF($Y$2:Y363,Y363))-1,""))</f>
        <v/>
      </c>
      <c r="AA363" s="134" t="str">
        <f t="shared" si="290"/>
        <v/>
      </c>
      <c r="AB363" s="134" t="str">
        <f>IF(AA363="","",IFERROR((RANK(AA363,$AA$2:$AA$2028,1)+COUNTIF($AA$2:AA363,AA363))-1,""))</f>
        <v/>
      </c>
      <c r="AC363" s="134" t="str">
        <f t="shared" si="291"/>
        <v/>
      </c>
      <c r="AD363" s="134" t="str">
        <f>IF(AC363="","",IFERROR((RANK(AC363,$AC$2:$AC$2028,1)+COUNTIF($AC$2:AC363,AC363))-1,""))</f>
        <v/>
      </c>
      <c r="AE363" s="144" t="str">
        <f t="shared" si="283"/>
        <v/>
      </c>
      <c r="AF363" s="144" t="str">
        <f>IF(AE363="","",SUM($AE$2:AE363))</f>
        <v/>
      </c>
    </row>
    <row r="364" spans="14:32" x14ac:dyDescent="0.35">
      <c r="N364" s="134" t="str">
        <f t="shared" si="281"/>
        <v/>
      </c>
      <c r="O364" s="82" t="str">
        <f t="shared" si="284"/>
        <v/>
      </c>
      <c r="P364" s="81" t="str">
        <f t="shared" si="282"/>
        <v/>
      </c>
      <c r="Q364" s="81" t="str">
        <f t="shared" si="285"/>
        <v/>
      </c>
      <c r="R364" s="135" t="str">
        <f t="shared" ca="1" si="286"/>
        <v/>
      </c>
      <c r="S364" s="134" t="str">
        <f t="shared" ca="1" si="287"/>
        <v/>
      </c>
      <c r="T364" s="134" t="str">
        <f ca="1">IF(S364=Dashboard!$D$12,S364,"")</f>
        <v/>
      </c>
      <c r="U364" s="134" t="str">
        <f t="shared" ca="1" si="288"/>
        <v/>
      </c>
      <c r="V364" s="83" t="str">
        <f ca="1">IF(U364="","",IFERROR((RANK(U364,$U$2:$U$2028,1)+COUNTIF($U$2:U364,U364))-1,""))</f>
        <v/>
      </c>
      <c r="W364" s="134" t="str">
        <f t="shared" si="292"/>
        <v/>
      </c>
      <c r="X364" s="134" t="str">
        <f>IF(W364="","",IFERROR((RANK(W364,$W$2:$W$2028,1)+COUNTIF($W$2:W364,W364))-1,""))</f>
        <v/>
      </c>
      <c r="Y364" s="134" t="str">
        <f t="shared" si="289"/>
        <v/>
      </c>
      <c r="Z364" s="134" t="str">
        <f>IF(Y364="","",IFERROR((RANK(Y364,$Y$2:$Y$2028,1)+COUNTIF($Y$2:Y364,Y364))-1,""))</f>
        <v/>
      </c>
      <c r="AA364" s="134" t="str">
        <f t="shared" si="290"/>
        <v/>
      </c>
      <c r="AB364" s="134" t="str">
        <f>IF(AA364="","",IFERROR((RANK(AA364,$AA$2:$AA$2028,1)+COUNTIF($AA$2:AA364,AA364))-1,""))</f>
        <v/>
      </c>
      <c r="AC364" s="134" t="str">
        <f t="shared" si="291"/>
        <v/>
      </c>
      <c r="AD364" s="134" t="str">
        <f>IF(AC364="","",IFERROR((RANK(AC364,$AC$2:$AC$2028,1)+COUNTIF($AC$2:AC364,AC364))-1,""))</f>
        <v/>
      </c>
      <c r="AE364" s="144" t="str">
        <f t="shared" si="283"/>
        <v/>
      </c>
      <c r="AF364" s="144" t="str">
        <f>IF(AE364="","",SUM($AE$2:AE364))</f>
        <v/>
      </c>
    </row>
    <row r="365" spans="14:32" x14ac:dyDescent="0.35">
      <c r="N365" s="134" t="str">
        <f t="shared" si="281"/>
        <v/>
      </c>
      <c r="O365" s="82" t="str">
        <f t="shared" si="284"/>
        <v/>
      </c>
      <c r="P365" s="81" t="str">
        <f t="shared" si="282"/>
        <v/>
      </c>
      <c r="Q365" s="81" t="str">
        <f t="shared" si="285"/>
        <v/>
      </c>
      <c r="R365" s="135" t="str">
        <f t="shared" ca="1" si="286"/>
        <v/>
      </c>
      <c r="S365" s="134" t="str">
        <f t="shared" ca="1" si="287"/>
        <v/>
      </c>
      <c r="T365" s="134" t="str">
        <f ca="1">IF(S365=Dashboard!$D$12,S365,"")</f>
        <v/>
      </c>
      <c r="U365" s="134" t="str">
        <f t="shared" ca="1" si="288"/>
        <v/>
      </c>
      <c r="V365" s="83" t="str">
        <f ca="1">IF(U365="","",IFERROR((RANK(U365,$U$2:$U$2028,1)+COUNTIF($U$2:U365,U365))-1,""))</f>
        <v/>
      </c>
      <c r="W365" s="134" t="str">
        <f t="shared" si="292"/>
        <v/>
      </c>
      <c r="X365" s="134" t="str">
        <f>IF(W365="","",IFERROR((RANK(W365,$W$2:$W$2028,1)+COUNTIF($W$2:W365,W365))-1,""))</f>
        <v/>
      </c>
      <c r="Y365" s="134" t="str">
        <f t="shared" si="289"/>
        <v/>
      </c>
      <c r="Z365" s="134" t="str">
        <f>IF(Y365="","",IFERROR((RANK(Y365,$Y$2:$Y$2028,1)+COUNTIF($Y$2:Y365,Y365))-1,""))</f>
        <v/>
      </c>
      <c r="AA365" s="134" t="str">
        <f t="shared" si="290"/>
        <v/>
      </c>
      <c r="AB365" s="134" t="str">
        <f>IF(AA365="","",IFERROR((RANK(AA365,$AA$2:$AA$2028,1)+COUNTIF($AA$2:AA365,AA365))-1,""))</f>
        <v/>
      </c>
      <c r="AC365" s="134" t="str">
        <f t="shared" si="291"/>
        <v/>
      </c>
      <c r="AD365" s="134" t="str">
        <f>IF(AC365="","",IFERROR((RANK(AC365,$AC$2:$AC$2028,1)+COUNTIF($AC$2:AC365,AC365))-1,""))</f>
        <v/>
      </c>
      <c r="AE365" s="144" t="str">
        <f t="shared" si="283"/>
        <v/>
      </c>
      <c r="AF365" s="144" t="str">
        <f>IF(AE365="","",SUM($AE$2:AE365))</f>
        <v/>
      </c>
    </row>
    <row r="366" spans="14:32" x14ac:dyDescent="0.35">
      <c r="N366" s="134" t="str">
        <f t="shared" si="281"/>
        <v/>
      </c>
      <c r="O366" s="82" t="str">
        <f t="shared" si="284"/>
        <v/>
      </c>
      <c r="P366" s="81" t="str">
        <f t="shared" si="282"/>
        <v/>
      </c>
      <c r="Q366" s="81" t="str">
        <f t="shared" si="285"/>
        <v/>
      </c>
      <c r="R366" s="135" t="str">
        <f t="shared" ca="1" si="286"/>
        <v/>
      </c>
      <c r="S366" s="134" t="str">
        <f t="shared" ca="1" si="287"/>
        <v/>
      </c>
      <c r="T366" s="134" t="str">
        <f ca="1">IF(S366=Dashboard!$D$12,S366,"")</f>
        <v/>
      </c>
      <c r="U366" s="134" t="str">
        <f t="shared" ca="1" si="288"/>
        <v/>
      </c>
      <c r="V366" s="83" t="str">
        <f ca="1">IF(U366="","",IFERROR((RANK(U366,$U$2:$U$2028,1)+COUNTIF($U$2:U366,U366))-1,""))</f>
        <v/>
      </c>
      <c r="W366" s="134" t="str">
        <f t="shared" si="292"/>
        <v/>
      </c>
      <c r="X366" s="134" t="str">
        <f>IF(W366="","",IFERROR((RANK(W366,$W$2:$W$2028,1)+COUNTIF($W$2:W366,W366))-1,""))</f>
        <v/>
      </c>
      <c r="Y366" s="134" t="str">
        <f t="shared" si="289"/>
        <v/>
      </c>
      <c r="Z366" s="134" t="str">
        <f>IF(Y366="","",IFERROR((RANK(Y366,$Y$2:$Y$2028,1)+COUNTIF($Y$2:Y366,Y366))-1,""))</f>
        <v/>
      </c>
      <c r="AA366" s="134" t="str">
        <f t="shared" si="290"/>
        <v/>
      </c>
      <c r="AB366" s="134" t="str">
        <f>IF(AA366="","",IFERROR((RANK(AA366,$AA$2:$AA$2028,1)+COUNTIF($AA$2:AA366,AA366))-1,""))</f>
        <v/>
      </c>
      <c r="AC366" s="134" t="str">
        <f t="shared" si="291"/>
        <v/>
      </c>
      <c r="AD366" s="134" t="str">
        <f>IF(AC366="","",IFERROR((RANK(AC366,$AC$2:$AC$2028,1)+COUNTIF($AC$2:AC366,AC366))-1,""))</f>
        <v/>
      </c>
      <c r="AE366" s="144" t="str">
        <f t="shared" si="283"/>
        <v/>
      </c>
      <c r="AF366" s="144" t="str">
        <f>IF(AE366="","",SUM($AE$2:AE366))</f>
        <v/>
      </c>
    </row>
    <row r="367" spans="14:32" x14ac:dyDescent="0.35">
      <c r="N367" s="134" t="str">
        <f t="shared" si="281"/>
        <v/>
      </c>
      <c r="O367" s="82" t="str">
        <f t="shared" si="284"/>
        <v/>
      </c>
      <c r="P367" s="81" t="str">
        <f t="shared" si="282"/>
        <v/>
      </c>
      <c r="Q367" s="81" t="str">
        <f t="shared" si="285"/>
        <v/>
      </c>
      <c r="R367" s="135" t="str">
        <f t="shared" ca="1" si="286"/>
        <v/>
      </c>
      <c r="S367" s="134" t="str">
        <f t="shared" ca="1" si="287"/>
        <v/>
      </c>
      <c r="T367" s="134" t="str">
        <f ca="1">IF(S367=Dashboard!$D$12,S367,"")</f>
        <v/>
      </c>
      <c r="U367" s="134" t="str">
        <f t="shared" ca="1" si="288"/>
        <v/>
      </c>
      <c r="V367" s="83" t="str">
        <f ca="1">IF(U367="","",IFERROR((RANK(U367,$U$2:$U$2028,1)+COUNTIF($U$2:U367,U367))-1,""))</f>
        <v/>
      </c>
      <c r="W367" s="134" t="str">
        <f t="shared" si="292"/>
        <v/>
      </c>
      <c r="X367" s="134" t="str">
        <f>IF(W367="","",IFERROR((RANK(W367,$W$2:$W$2028,1)+COUNTIF($W$2:W367,W367))-1,""))</f>
        <v/>
      </c>
      <c r="Y367" s="134" t="str">
        <f t="shared" si="289"/>
        <v/>
      </c>
      <c r="Z367" s="134" t="str">
        <f>IF(Y367="","",IFERROR((RANK(Y367,$Y$2:$Y$2028,1)+COUNTIF($Y$2:Y367,Y367))-1,""))</f>
        <v/>
      </c>
      <c r="AA367" s="134" t="str">
        <f t="shared" si="290"/>
        <v/>
      </c>
      <c r="AB367" s="134" t="str">
        <f>IF(AA367="","",IFERROR((RANK(AA367,$AA$2:$AA$2028,1)+COUNTIF($AA$2:AA367,AA367))-1,""))</f>
        <v/>
      </c>
      <c r="AC367" s="134" t="str">
        <f t="shared" si="291"/>
        <v/>
      </c>
      <c r="AD367" s="134" t="str">
        <f>IF(AC367="","",IFERROR((RANK(AC367,$AC$2:$AC$2028,1)+COUNTIF($AC$2:AC367,AC367))-1,""))</f>
        <v/>
      </c>
      <c r="AE367" s="144" t="str">
        <f t="shared" si="283"/>
        <v/>
      </c>
      <c r="AF367" s="144" t="str">
        <f>IF(AE367="","",SUM($AE$2:AE367))</f>
        <v/>
      </c>
    </row>
    <row r="368" spans="14:32" x14ac:dyDescent="0.35">
      <c r="N368" s="134" t="str">
        <f t="shared" si="281"/>
        <v/>
      </c>
      <c r="O368" s="82" t="str">
        <f t="shared" si="284"/>
        <v/>
      </c>
      <c r="P368" s="81" t="str">
        <f t="shared" si="282"/>
        <v/>
      </c>
      <c r="Q368" s="81" t="str">
        <f t="shared" si="285"/>
        <v/>
      </c>
      <c r="R368" s="135" t="str">
        <f t="shared" ca="1" si="286"/>
        <v/>
      </c>
      <c r="S368" s="134" t="str">
        <f t="shared" ca="1" si="287"/>
        <v/>
      </c>
      <c r="T368" s="134" t="str">
        <f ca="1">IF(S368=Dashboard!$D$12,S368,"")</f>
        <v/>
      </c>
      <c r="U368" s="134" t="str">
        <f t="shared" ca="1" si="288"/>
        <v/>
      </c>
      <c r="V368" s="83" t="str">
        <f ca="1">IF(U368="","",IFERROR((RANK(U368,$U$2:$U$2028,1)+COUNTIF($U$2:U368,U368))-1,""))</f>
        <v/>
      </c>
      <c r="W368" s="134" t="str">
        <f t="shared" si="292"/>
        <v/>
      </c>
      <c r="X368" s="134" t="str">
        <f>IF(W368="","",IFERROR((RANK(W368,$W$2:$W$2028,1)+COUNTIF($W$2:W368,W368))-1,""))</f>
        <v/>
      </c>
      <c r="Y368" s="134" t="str">
        <f t="shared" si="289"/>
        <v/>
      </c>
      <c r="Z368" s="134" t="str">
        <f>IF(Y368="","",IFERROR((RANK(Y368,$Y$2:$Y$2028,1)+COUNTIF($Y$2:Y368,Y368))-1,""))</f>
        <v/>
      </c>
      <c r="AA368" s="134" t="str">
        <f t="shared" si="290"/>
        <v/>
      </c>
      <c r="AB368" s="134" t="str">
        <f>IF(AA368="","",IFERROR((RANK(AA368,$AA$2:$AA$2028,1)+COUNTIF($AA$2:AA368,AA368))-1,""))</f>
        <v/>
      </c>
      <c r="AC368" s="134" t="str">
        <f t="shared" si="291"/>
        <v/>
      </c>
      <c r="AD368" s="134" t="str">
        <f>IF(AC368="","",IFERROR((RANK(AC368,$AC$2:$AC$2028,1)+COUNTIF($AC$2:AC368,AC368))-1,""))</f>
        <v/>
      </c>
      <c r="AE368" s="144" t="str">
        <f t="shared" si="283"/>
        <v/>
      </c>
      <c r="AF368" s="144" t="str">
        <f>IF(AE368="","",SUM($AE$2:AE368))</f>
        <v/>
      </c>
    </row>
    <row r="369" spans="14:32" x14ac:dyDescent="0.35">
      <c r="N369" s="134" t="str">
        <f t="shared" si="281"/>
        <v/>
      </c>
      <c r="O369" s="82" t="str">
        <f t="shared" si="284"/>
        <v/>
      </c>
      <c r="P369" s="81" t="str">
        <f t="shared" si="282"/>
        <v/>
      </c>
      <c r="Q369" s="81" t="str">
        <f t="shared" si="285"/>
        <v/>
      </c>
      <c r="R369" s="135" t="str">
        <f t="shared" ca="1" si="286"/>
        <v/>
      </c>
      <c r="S369" s="134" t="str">
        <f t="shared" ca="1" si="287"/>
        <v/>
      </c>
      <c r="T369" s="134" t="str">
        <f ca="1">IF(S369=Dashboard!$D$12,S369,"")</f>
        <v/>
      </c>
      <c r="U369" s="134" t="str">
        <f t="shared" ca="1" si="288"/>
        <v/>
      </c>
      <c r="V369" s="83" t="str">
        <f ca="1">IF(U369="","",IFERROR((RANK(U369,$U$2:$U$2028,1)+COUNTIF($U$2:U369,U369))-1,""))</f>
        <v/>
      </c>
      <c r="W369" s="134" t="str">
        <f t="shared" si="292"/>
        <v/>
      </c>
      <c r="X369" s="134" t="str">
        <f>IF(W369="","",IFERROR((RANK(W369,$W$2:$W$2028,1)+COUNTIF($W$2:W369,W369))-1,""))</f>
        <v/>
      </c>
      <c r="Y369" s="134" t="str">
        <f t="shared" si="289"/>
        <v/>
      </c>
      <c r="Z369" s="134" t="str">
        <f>IF(Y369="","",IFERROR((RANK(Y369,$Y$2:$Y$2028,1)+COUNTIF($Y$2:Y369,Y369))-1,""))</f>
        <v/>
      </c>
      <c r="AA369" s="134" t="str">
        <f t="shared" si="290"/>
        <v/>
      </c>
      <c r="AB369" s="134" t="str">
        <f>IF(AA369="","",IFERROR((RANK(AA369,$AA$2:$AA$2028,1)+COUNTIF($AA$2:AA369,AA369))-1,""))</f>
        <v/>
      </c>
      <c r="AC369" s="134" t="str">
        <f t="shared" si="291"/>
        <v/>
      </c>
      <c r="AD369" s="134" t="str">
        <f>IF(AC369="","",IFERROR((RANK(AC369,$AC$2:$AC$2028,1)+COUNTIF($AC$2:AC369,AC369))-1,""))</f>
        <v/>
      </c>
      <c r="AE369" s="144" t="str">
        <f t="shared" si="283"/>
        <v/>
      </c>
      <c r="AF369" s="144" t="str">
        <f>IF(AE369="","",SUM($AE$2:AE369))</f>
        <v/>
      </c>
    </row>
    <row r="370" spans="14:32" x14ac:dyDescent="0.35">
      <c r="N370" s="134" t="str">
        <f t="shared" si="281"/>
        <v/>
      </c>
      <c r="O370" s="82" t="str">
        <f t="shared" si="284"/>
        <v/>
      </c>
      <c r="P370" s="81" t="str">
        <f t="shared" si="282"/>
        <v/>
      </c>
      <c r="Q370" s="81" t="str">
        <f t="shared" si="285"/>
        <v/>
      </c>
      <c r="R370" s="135" t="str">
        <f t="shared" ca="1" si="286"/>
        <v/>
      </c>
      <c r="S370" s="134" t="str">
        <f t="shared" ca="1" si="287"/>
        <v/>
      </c>
      <c r="T370" s="134" t="str">
        <f ca="1">IF(S370=Dashboard!$D$12,S370,"")</f>
        <v/>
      </c>
      <c r="U370" s="134" t="str">
        <f t="shared" ca="1" si="288"/>
        <v/>
      </c>
      <c r="V370" s="83" t="str">
        <f ca="1">IF(U370="","",IFERROR((RANK(U370,$U$2:$U$2028,1)+COUNTIF($U$2:U370,U370))-1,""))</f>
        <v/>
      </c>
      <c r="W370" s="134" t="str">
        <f t="shared" si="292"/>
        <v/>
      </c>
      <c r="X370" s="134" t="str">
        <f>IF(W370="","",IFERROR((RANK(W370,$W$2:$W$2028,1)+COUNTIF($W$2:W370,W370))-1,""))</f>
        <v/>
      </c>
      <c r="Y370" s="134" t="str">
        <f t="shared" si="289"/>
        <v/>
      </c>
      <c r="Z370" s="134" t="str">
        <f>IF(Y370="","",IFERROR((RANK(Y370,$Y$2:$Y$2028,1)+COUNTIF($Y$2:Y370,Y370))-1,""))</f>
        <v/>
      </c>
      <c r="AA370" s="134" t="str">
        <f t="shared" si="290"/>
        <v/>
      </c>
      <c r="AB370" s="134" t="str">
        <f>IF(AA370="","",IFERROR((RANK(AA370,$AA$2:$AA$2028,1)+COUNTIF($AA$2:AA370,AA370))-1,""))</f>
        <v/>
      </c>
      <c r="AC370" s="134" t="str">
        <f t="shared" si="291"/>
        <v/>
      </c>
      <c r="AD370" s="134" t="str">
        <f>IF(AC370="","",IFERROR((RANK(AC370,$AC$2:$AC$2028,1)+COUNTIF($AC$2:AC370,AC370))-1,""))</f>
        <v/>
      </c>
      <c r="AE370" s="144" t="str">
        <f t="shared" si="283"/>
        <v/>
      </c>
      <c r="AF370" s="144" t="str">
        <f>IF(AE370="","",SUM($AE$2:AE370))</f>
        <v/>
      </c>
    </row>
    <row r="371" spans="14:32" x14ac:dyDescent="0.35">
      <c r="N371" s="134" t="str">
        <f t="shared" si="281"/>
        <v/>
      </c>
      <c r="O371" s="82" t="str">
        <f t="shared" si="284"/>
        <v/>
      </c>
      <c r="P371" s="81" t="str">
        <f t="shared" si="282"/>
        <v/>
      </c>
      <c r="Q371" s="81" t="str">
        <f t="shared" si="285"/>
        <v/>
      </c>
      <c r="R371" s="135" t="str">
        <f t="shared" ca="1" si="286"/>
        <v/>
      </c>
      <c r="S371" s="134" t="str">
        <f t="shared" ca="1" si="287"/>
        <v/>
      </c>
      <c r="T371" s="134" t="str">
        <f ca="1">IF(S371=Dashboard!$D$12,S371,"")</f>
        <v/>
      </c>
      <c r="U371" s="134" t="str">
        <f t="shared" ca="1" si="288"/>
        <v/>
      </c>
      <c r="V371" s="83" t="str">
        <f ca="1">IF(U371="","",IFERROR((RANK(U371,$U$2:$U$2028,1)+COUNTIF($U$2:U371,U371))-1,""))</f>
        <v/>
      </c>
      <c r="W371" s="134" t="str">
        <f t="shared" si="292"/>
        <v/>
      </c>
      <c r="X371" s="134" t="str">
        <f>IF(W371="","",IFERROR((RANK(W371,$W$2:$W$2028,1)+COUNTIF($W$2:W371,W371))-1,""))</f>
        <v/>
      </c>
      <c r="Y371" s="134" t="str">
        <f t="shared" si="289"/>
        <v/>
      </c>
      <c r="Z371" s="134" t="str">
        <f>IF(Y371="","",IFERROR((RANK(Y371,$Y$2:$Y$2028,1)+COUNTIF($Y$2:Y371,Y371))-1,""))</f>
        <v/>
      </c>
      <c r="AA371" s="134" t="str">
        <f t="shared" si="290"/>
        <v/>
      </c>
      <c r="AB371" s="134" t="str">
        <f>IF(AA371="","",IFERROR((RANK(AA371,$AA$2:$AA$2028,1)+COUNTIF($AA$2:AA371,AA371))-1,""))</f>
        <v/>
      </c>
      <c r="AC371" s="134" t="str">
        <f t="shared" si="291"/>
        <v/>
      </c>
      <c r="AD371" s="134" t="str">
        <f>IF(AC371="","",IFERROR((RANK(AC371,$AC$2:$AC$2028,1)+COUNTIF($AC$2:AC371,AC371))-1,""))</f>
        <v/>
      </c>
      <c r="AE371" s="144" t="str">
        <f t="shared" si="283"/>
        <v/>
      </c>
      <c r="AF371" s="144" t="str">
        <f>IF(AE371="","",SUM($AE$2:AE371))</f>
        <v/>
      </c>
    </row>
    <row r="372" spans="14:32" x14ac:dyDescent="0.35">
      <c r="N372" s="134" t="str">
        <f t="shared" si="281"/>
        <v/>
      </c>
      <c r="O372" s="82" t="str">
        <f t="shared" si="284"/>
        <v/>
      </c>
      <c r="P372" s="81" t="str">
        <f t="shared" si="282"/>
        <v/>
      </c>
      <c r="Q372" s="81" t="str">
        <f t="shared" si="285"/>
        <v/>
      </c>
      <c r="R372" s="135" t="str">
        <f t="shared" ca="1" si="286"/>
        <v/>
      </c>
      <c r="S372" s="134" t="str">
        <f t="shared" ca="1" si="287"/>
        <v/>
      </c>
      <c r="T372" s="134" t="str">
        <f ca="1">IF(S372=Dashboard!$D$12,S372,"")</f>
        <v/>
      </c>
      <c r="U372" s="134" t="str">
        <f t="shared" ca="1" si="288"/>
        <v/>
      </c>
      <c r="V372" s="83" t="str">
        <f ca="1">IF(U372="","",IFERROR((RANK(U372,$U$2:$U$2028,1)+COUNTIF($U$2:U372,U372))-1,""))</f>
        <v/>
      </c>
      <c r="W372" s="134" t="str">
        <f t="shared" si="292"/>
        <v/>
      </c>
      <c r="X372" s="134" t="str">
        <f>IF(W372="","",IFERROR((RANK(W372,$W$2:$W$2028,1)+COUNTIF($W$2:W372,W372))-1,""))</f>
        <v/>
      </c>
      <c r="Y372" s="134" t="str">
        <f t="shared" si="289"/>
        <v/>
      </c>
      <c r="Z372" s="134" t="str">
        <f>IF(Y372="","",IFERROR((RANK(Y372,$Y$2:$Y$2028,1)+COUNTIF($Y$2:Y372,Y372))-1,""))</f>
        <v/>
      </c>
      <c r="AA372" s="134" t="str">
        <f t="shared" si="290"/>
        <v/>
      </c>
      <c r="AB372" s="134" t="str">
        <f>IF(AA372="","",IFERROR((RANK(AA372,$AA$2:$AA$2028,1)+COUNTIF($AA$2:AA372,AA372))-1,""))</f>
        <v/>
      </c>
      <c r="AC372" s="134" t="str">
        <f t="shared" si="291"/>
        <v/>
      </c>
      <c r="AD372" s="134" t="str">
        <f>IF(AC372="","",IFERROR((RANK(AC372,$AC$2:$AC$2028,1)+COUNTIF($AC$2:AC372,AC372))-1,""))</f>
        <v/>
      </c>
      <c r="AE372" s="144" t="str">
        <f t="shared" si="283"/>
        <v/>
      </c>
      <c r="AF372" s="144" t="str">
        <f>IF(AE372="","",SUM($AE$2:AE372))</f>
        <v/>
      </c>
    </row>
    <row r="373" spans="14:32" x14ac:dyDescent="0.35">
      <c r="N373" s="134" t="str">
        <f t="shared" si="281"/>
        <v/>
      </c>
      <c r="O373" s="82" t="str">
        <f t="shared" si="284"/>
        <v/>
      </c>
      <c r="P373" s="81" t="str">
        <f t="shared" si="282"/>
        <v/>
      </c>
      <c r="Q373" s="81" t="str">
        <f t="shared" si="285"/>
        <v/>
      </c>
      <c r="R373" s="135" t="str">
        <f t="shared" ca="1" si="286"/>
        <v/>
      </c>
      <c r="S373" s="134" t="str">
        <f t="shared" ca="1" si="287"/>
        <v/>
      </c>
      <c r="T373" s="134" t="str">
        <f ca="1">IF(S373=Dashboard!$D$12,S373,"")</f>
        <v/>
      </c>
      <c r="U373" s="134" t="str">
        <f t="shared" ca="1" si="288"/>
        <v/>
      </c>
      <c r="V373" s="83" t="str">
        <f ca="1">IF(U373="","",IFERROR((RANK(U373,$U$2:$U$2028,1)+COUNTIF($U$2:U373,U373))-1,""))</f>
        <v/>
      </c>
      <c r="W373" s="134" t="str">
        <f t="shared" si="292"/>
        <v/>
      </c>
      <c r="X373" s="134" t="str">
        <f>IF(W373="","",IFERROR((RANK(W373,$W$2:$W$2028,1)+COUNTIF($W$2:W373,W373))-1,""))</f>
        <v/>
      </c>
      <c r="Y373" s="134" t="str">
        <f t="shared" si="289"/>
        <v/>
      </c>
      <c r="Z373" s="134" t="str">
        <f>IF(Y373="","",IFERROR((RANK(Y373,$Y$2:$Y$2028,1)+COUNTIF($Y$2:Y373,Y373))-1,""))</f>
        <v/>
      </c>
      <c r="AA373" s="134" t="str">
        <f t="shared" si="290"/>
        <v/>
      </c>
      <c r="AB373" s="134" t="str">
        <f>IF(AA373="","",IFERROR((RANK(AA373,$AA$2:$AA$2028,1)+COUNTIF($AA$2:AA373,AA373))-1,""))</f>
        <v/>
      </c>
      <c r="AC373" s="134" t="str">
        <f t="shared" si="291"/>
        <v/>
      </c>
      <c r="AD373" s="134" t="str">
        <f>IF(AC373="","",IFERROR((RANK(AC373,$AC$2:$AC$2028,1)+COUNTIF($AC$2:AC373,AC373))-1,""))</f>
        <v/>
      </c>
      <c r="AE373" s="144" t="str">
        <f t="shared" si="283"/>
        <v/>
      </c>
      <c r="AF373" s="144" t="str">
        <f>IF(AE373="","",SUM($AE$2:AE373))</f>
        <v/>
      </c>
    </row>
    <row r="374" spans="14:32" x14ac:dyDescent="0.35">
      <c r="N374" s="134" t="str">
        <f t="shared" si="281"/>
        <v/>
      </c>
      <c r="O374" s="82" t="str">
        <f t="shared" si="284"/>
        <v/>
      </c>
      <c r="P374" s="81" t="str">
        <f t="shared" si="282"/>
        <v/>
      </c>
      <c r="Q374" s="81" t="str">
        <f t="shared" si="285"/>
        <v/>
      </c>
      <c r="R374" s="135" t="str">
        <f t="shared" ca="1" si="286"/>
        <v/>
      </c>
      <c r="S374" s="134" t="str">
        <f t="shared" ca="1" si="287"/>
        <v/>
      </c>
      <c r="T374" s="134" t="str">
        <f ca="1">IF(S374=Dashboard!$D$12,S374,"")</f>
        <v/>
      </c>
      <c r="U374" s="134" t="str">
        <f t="shared" ca="1" si="288"/>
        <v/>
      </c>
      <c r="V374" s="83" t="str">
        <f ca="1">IF(U374="","",IFERROR((RANK(U374,$U$2:$U$2028,1)+COUNTIF($U$2:U374,U374))-1,""))</f>
        <v/>
      </c>
      <c r="W374" s="134" t="str">
        <f t="shared" si="292"/>
        <v/>
      </c>
      <c r="X374" s="134" t="str">
        <f>IF(W374="","",IFERROR((RANK(W374,$W$2:$W$2028,1)+COUNTIF($W$2:W374,W374))-1,""))</f>
        <v/>
      </c>
      <c r="Y374" s="134" t="str">
        <f t="shared" si="289"/>
        <v/>
      </c>
      <c r="Z374" s="134" t="str">
        <f>IF(Y374="","",IFERROR((RANK(Y374,$Y$2:$Y$2028,1)+COUNTIF($Y$2:Y374,Y374))-1,""))</f>
        <v/>
      </c>
      <c r="AA374" s="134" t="str">
        <f t="shared" si="290"/>
        <v/>
      </c>
      <c r="AB374" s="134" t="str">
        <f>IF(AA374="","",IFERROR((RANK(AA374,$AA$2:$AA$2028,1)+COUNTIF($AA$2:AA374,AA374))-1,""))</f>
        <v/>
      </c>
      <c r="AC374" s="134" t="str">
        <f t="shared" si="291"/>
        <v/>
      </c>
      <c r="AD374" s="134" t="str">
        <f>IF(AC374="","",IFERROR((RANK(AC374,$AC$2:$AC$2028,1)+COUNTIF($AC$2:AC374,AC374))-1,""))</f>
        <v/>
      </c>
      <c r="AE374" s="144" t="str">
        <f t="shared" si="283"/>
        <v/>
      </c>
      <c r="AF374" s="144" t="str">
        <f>IF(AE374="","",SUM($AE$2:AE374))</f>
        <v/>
      </c>
    </row>
    <row r="375" spans="14:32" x14ac:dyDescent="0.35">
      <c r="N375" s="134" t="str">
        <f t="shared" si="281"/>
        <v/>
      </c>
      <c r="O375" s="82" t="str">
        <f t="shared" si="284"/>
        <v/>
      </c>
      <c r="P375" s="81" t="str">
        <f t="shared" si="282"/>
        <v/>
      </c>
      <c r="Q375" s="81" t="str">
        <f t="shared" si="285"/>
        <v/>
      </c>
      <c r="R375" s="135" t="str">
        <f t="shared" ca="1" si="286"/>
        <v/>
      </c>
      <c r="S375" s="134" t="str">
        <f t="shared" ca="1" si="287"/>
        <v/>
      </c>
      <c r="T375" s="134" t="str">
        <f ca="1">IF(S375=Dashboard!$D$12,S375,"")</f>
        <v/>
      </c>
      <c r="U375" s="134" t="str">
        <f t="shared" ca="1" si="288"/>
        <v/>
      </c>
      <c r="V375" s="83" t="str">
        <f ca="1">IF(U375="","",IFERROR((RANK(U375,$U$2:$U$2028,1)+COUNTIF($U$2:U375,U375))-1,""))</f>
        <v/>
      </c>
      <c r="W375" s="134" t="str">
        <f t="shared" si="292"/>
        <v/>
      </c>
      <c r="X375" s="134" t="str">
        <f>IF(W375="","",IFERROR((RANK(W375,$W$2:$W$2028,1)+COUNTIF($W$2:W375,W375))-1,""))</f>
        <v/>
      </c>
      <c r="Y375" s="134" t="str">
        <f t="shared" si="289"/>
        <v/>
      </c>
      <c r="Z375" s="134" t="str">
        <f>IF(Y375="","",IFERROR((RANK(Y375,$Y$2:$Y$2028,1)+COUNTIF($Y$2:Y375,Y375))-1,""))</f>
        <v/>
      </c>
      <c r="AA375" s="134" t="str">
        <f t="shared" si="290"/>
        <v/>
      </c>
      <c r="AB375" s="134" t="str">
        <f>IF(AA375="","",IFERROR((RANK(AA375,$AA$2:$AA$2028,1)+COUNTIF($AA$2:AA375,AA375))-1,""))</f>
        <v/>
      </c>
      <c r="AC375" s="134" t="str">
        <f t="shared" si="291"/>
        <v/>
      </c>
      <c r="AD375" s="134" t="str">
        <f>IF(AC375="","",IFERROR((RANK(AC375,$AC$2:$AC$2028,1)+COUNTIF($AC$2:AC375,AC375))-1,""))</f>
        <v/>
      </c>
      <c r="AE375" s="144" t="str">
        <f t="shared" si="283"/>
        <v/>
      </c>
      <c r="AF375" s="144" t="str">
        <f>IF(AE375="","",SUM($AE$2:AE375))</f>
        <v/>
      </c>
    </row>
    <row r="376" spans="14:32" x14ac:dyDescent="0.35">
      <c r="N376" s="134" t="str">
        <f t="shared" si="281"/>
        <v/>
      </c>
      <c r="O376" s="82" t="str">
        <f t="shared" si="284"/>
        <v/>
      </c>
      <c r="P376" s="81" t="str">
        <f t="shared" si="282"/>
        <v/>
      </c>
      <c r="Q376" s="81" t="str">
        <f t="shared" si="285"/>
        <v/>
      </c>
      <c r="R376" s="135" t="str">
        <f t="shared" ca="1" si="286"/>
        <v/>
      </c>
      <c r="S376" s="134" t="str">
        <f t="shared" ca="1" si="287"/>
        <v/>
      </c>
      <c r="T376" s="134" t="str">
        <f ca="1">IF(S376=Dashboard!$D$12,S376,"")</f>
        <v/>
      </c>
      <c r="U376" s="134" t="str">
        <f t="shared" ca="1" si="288"/>
        <v/>
      </c>
      <c r="V376" s="83" t="str">
        <f ca="1">IF(U376="","",IFERROR((RANK(U376,$U$2:$U$2028,1)+COUNTIF($U$2:U376,U376))-1,""))</f>
        <v/>
      </c>
      <c r="W376" s="134" t="str">
        <f t="shared" si="292"/>
        <v/>
      </c>
      <c r="X376" s="134" t="str">
        <f>IF(W376="","",IFERROR((RANK(W376,$W$2:$W$2028,1)+COUNTIF($W$2:W376,W376))-1,""))</f>
        <v/>
      </c>
      <c r="Y376" s="134" t="str">
        <f t="shared" si="289"/>
        <v/>
      </c>
      <c r="Z376" s="134" t="str">
        <f>IF(Y376="","",IFERROR((RANK(Y376,$Y$2:$Y$2028,1)+COUNTIF($Y$2:Y376,Y376))-1,""))</f>
        <v/>
      </c>
      <c r="AA376" s="134" t="str">
        <f t="shared" si="290"/>
        <v/>
      </c>
      <c r="AB376" s="134" t="str">
        <f>IF(AA376="","",IFERROR((RANK(AA376,$AA$2:$AA$2028,1)+COUNTIF($AA$2:AA376,AA376))-1,""))</f>
        <v/>
      </c>
      <c r="AC376" s="134" t="str">
        <f t="shared" si="291"/>
        <v/>
      </c>
      <c r="AD376" s="134" t="str">
        <f>IF(AC376="","",IFERROR((RANK(AC376,$AC$2:$AC$2028,1)+COUNTIF($AC$2:AC376,AC376))-1,""))</f>
        <v/>
      </c>
      <c r="AE376" s="144" t="str">
        <f t="shared" si="283"/>
        <v/>
      </c>
      <c r="AF376" s="144" t="str">
        <f>IF(AE376="","",SUM($AE$2:AE376))</f>
        <v/>
      </c>
    </row>
    <row r="377" spans="14:32" x14ac:dyDescent="0.35">
      <c r="N377" s="134" t="str">
        <f t="shared" si="281"/>
        <v/>
      </c>
      <c r="O377" s="82" t="str">
        <f t="shared" si="284"/>
        <v/>
      </c>
      <c r="P377" s="81" t="str">
        <f t="shared" si="282"/>
        <v/>
      </c>
      <c r="Q377" s="81" t="str">
        <f t="shared" si="285"/>
        <v/>
      </c>
      <c r="R377" s="135" t="str">
        <f t="shared" ca="1" si="286"/>
        <v/>
      </c>
      <c r="S377" s="134" t="str">
        <f t="shared" ca="1" si="287"/>
        <v/>
      </c>
      <c r="T377" s="134" t="str">
        <f ca="1">IF(S377=Dashboard!$D$12,S377,"")</f>
        <v/>
      </c>
      <c r="U377" s="134" t="str">
        <f t="shared" ca="1" si="288"/>
        <v/>
      </c>
      <c r="V377" s="83" t="str">
        <f ca="1">IF(U377="","",IFERROR((RANK(U377,$U$2:$U$2028,1)+COUNTIF($U$2:U377,U377))-1,""))</f>
        <v/>
      </c>
      <c r="W377" s="134" t="str">
        <f t="shared" si="292"/>
        <v/>
      </c>
      <c r="X377" s="134" t="str">
        <f>IF(W377="","",IFERROR((RANK(W377,$W$2:$W$2028,1)+COUNTIF($W$2:W377,W377))-1,""))</f>
        <v/>
      </c>
      <c r="Y377" s="134" t="str">
        <f t="shared" si="289"/>
        <v/>
      </c>
      <c r="Z377" s="134" t="str">
        <f>IF(Y377="","",IFERROR((RANK(Y377,$Y$2:$Y$2028,1)+COUNTIF($Y$2:Y377,Y377))-1,""))</f>
        <v/>
      </c>
      <c r="AA377" s="134" t="str">
        <f t="shared" si="290"/>
        <v/>
      </c>
      <c r="AB377" s="134" t="str">
        <f>IF(AA377="","",IFERROR((RANK(AA377,$AA$2:$AA$2028,1)+COUNTIF($AA$2:AA377,AA377))-1,""))</f>
        <v/>
      </c>
      <c r="AC377" s="134" t="str">
        <f t="shared" si="291"/>
        <v/>
      </c>
      <c r="AD377" s="134" t="str">
        <f>IF(AC377="","",IFERROR((RANK(AC377,$AC$2:$AC$2028,1)+COUNTIF($AC$2:AC377,AC377))-1,""))</f>
        <v/>
      </c>
      <c r="AE377" s="144" t="str">
        <f t="shared" si="283"/>
        <v/>
      </c>
      <c r="AF377" s="144" t="str">
        <f>IF(AE377="","",SUM($AE$2:AE377))</f>
        <v/>
      </c>
    </row>
    <row r="378" spans="14:32" x14ac:dyDescent="0.35">
      <c r="N378" s="134" t="str">
        <f t="shared" si="281"/>
        <v/>
      </c>
      <c r="O378" s="82" t="str">
        <f t="shared" si="284"/>
        <v/>
      </c>
      <c r="P378" s="81" t="str">
        <f t="shared" si="282"/>
        <v/>
      </c>
      <c r="Q378" s="81" t="str">
        <f t="shared" si="285"/>
        <v/>
      </c>
      <c r="R378" s="135" t="str">
        <f t="shared" ca="1" si="286"/>
        <v/>
      </c>
      <c r="S378" s="134" t="str">
        <f t="shared" ca="1" si="287"/>
        <v/>
      </c>
      <c r="T378" s="134" t="str">
        <f ca="1">IF(S378=Dashboard!$D$12,S378,"")</f>
        <v/>
      </c>
      <c r="U378" s="134" t="str">
        <f t="shared" ca="1" si="288"/>
        <v/>
      </c>
      <c r="V378" s="83" t="str">
        <f ca="1">IF(U378="","",IFERROR((RANK(U378,$U$2:$U$2028,1)+COUNTIF($U$2:U378,U378))-1,""))</f>
        <v/>
      </c>
      <c r="W378" s="134" t="str">
        <f t="shared" si="292"/>
        <v/>
      </c>
      <c r="X378" s="134" t="str">
        <f>IF(W378="","",IFERROR((RANK(W378,$W$2:$W$2028,1)+COUNTIF($W$2:W378,W378))-1,""))</f>
        <v/>
      </c>
      <c r="Y378" s="134" t="str">
        <f t="shared" si="289"/>
        <v/>
      </c>
      <c r="Z378" s="134" t="str">
        <f>IF(Y378="","",IFERROR((RANK(Y378,$Y$2:$Y$2028,1)+COUNTIF($Y$2:Y378,Y378))-1,""))</f>
        <v/>
      </c>
      <c r="AA378" s="134" t="str">
        <f t="shared" si="290"/>
        <v/>
      </c>
      <c r="AB378" s="134" t="str">
        <f>IF(AA378="","",IFERROR((RANK(AA378,$AA$2:$AA$2028,1)+COUNTIF($AA$2:AA378,AA378))-1,""))</f>
        <v/>
      </c>
      <c r="AC378" s="134" t="str">
        <f t="shared" si="291"/>
        <v/>
      </c>
      <c r="AD378" s="134" t="str">
        <f>IF(AC378="","",IFERROR((RANK(AC378,$AC$2:$AC$2028,1)+COUNTIF($AC$2:AC378,AC378))-1,""))</f>
        <v/>
      </c>
      <c r="AE378" s="144" t="str">
        <f t="shared" si="283"/>
        <v/>
      </c>
      <c r="AF378" s="144" t="str">
        <f>IF(AE378="","",SUM($AE$2:AE378))</f>
        <v/>
      </c>
    </row>
    <row r="379" spans="14:32" x14ac:dyDescent="0.35">
      <c r="N379" s="134" t="str">
        <f t="shared" si="281"/>
        <v/>
      </c>
      <c r="O379" s="82" t="str">
        <f t="shared" si="284"/>
        <v/>
      </c>
      <c r="P379" s="81" t="str">
        <f t="shared" si="282"/>
        <v/>
      </c>
      <c r="Q379" s="81" t="str">
        <f t="shared" si="285"/>
        <v/>
      </c>
      <c r="R379" s="135" t="str">
        <f t="shared" ca="1" si="286"/>
        <v/>
      </c>
      <c r="S379" s="134" t="str">
        <f t="shared" ca="1" si="287"/>
        <v/>
      </c>
      <c r="T379" s="134" t="str">
        <f ca="1">IF(S379=Dashboard!$D$12,S379,"")</f>
        <v/>
      </c>
      <c r="U379" s="134" t="str">
        <f t="shared" ca="1" si="288"/>
        <v/>
      </c>
      <c r="V379" s="83" t="str">
        <f ca="1">IF(U379="","",IFERROR((RANK(U379,$U$2:$U$2028,1)+COUNTIF($U$2:U379,U379))-1,""))</f>
        <v/>
      </c>
      <c r="W379" s="134" t="str">
        <f t="shared" si="292"/>
        <v/>
      </c>
      <c r="X379" s="134" t="str">
        <f>IF(W379="","",IFERROR((RANK(W379,$W$2:$W$2028,1)+COUNTIF($W$2:W379,W379))-1,""))</f>
        <v/>
      </c>
      <c r="Y379" s="134" t="str">
        <f t="shared" si="289"/>
        <v/>
      </c>
      <c r="Z379" s="134" t="str">
        <f>IF(Y379="","",IFERROR((RANK(Y379,$Y$2:$Y$2028,1)+COUNTIF($Y$2:Y379,Y379))-1,""))</f>
        <v/>
      </c>
      <c r="AA379" s="134" t="str">
        <f t="shared" si="290"/>
        <v/>
      </c>
      <c r="AB379" s="134" t="str">
        <f>IF(AA379="","",IFERROR((RANK(AA379,$AA$2:$AA$2028,1)+COUNTIF($AA$2:AA379,AA379))-1,""))</f>
        <v/>
      </c>
      <c r="AC379" s="134" t="str">
        <f t="shared" si="291"/>
        <v/>
      </c>
      <c r="AD379" s="134" t="str">
        <f>IF(AC379="","",IFERROR((RANK(AC379,$AC$2:$AC$2028,1)+COUNTIF($AC$2:AC379,AC379))-1,""))</f>
        <v/>
      </c>
      <c r="AE379" s="144" t="str">
        <f t="shared" si="283"/>
        <v/>
      </c>
      <c r="AF379" s="144" t="str">
        <f>IF(AE379="","",SUM($AE$2:AE379))</f>
        <v/>
      </c>
    </row>
    <row r="380" spans="14:32" x14ac:dyDescent="0.35">
      <c r="N380" s="134" t="str">
        <f t="shared" si="281"/>
        <v/>
      </c>
      <c r="O380" s="82" t="str">
        <f t="shared" si="284"/>
        <v/>
      </c>
      <c r="P380" s="81" t="str">
        <f t="shared" si="282"/>
        <v/>
      </c>
      <c r="Q380" s="81" t="str">
        <f t="shared" si="285"/>
        <v/>
      </c>
      <c r="R380" s="135" t="str">
        <f t="shared" ca="1" si="286"/>
        <v/>
      </c>
      <c r="S380" s="134" t="str">
        <f t="shared" ca="1" si="287"/>
        <v/>
      </c>
      <c r="T380" s="134" t="str">
        <f ca="1">IF(S380=Dashboard!$D$12,S380,"")</f>
        <v/>
      </c>
      <c r="U380" s="134" t="str">
        <f t="shared" ca="1" si="288"/>
        <v/>
      </c>
      <c r="V380" s="83" t="str">
        <f ca="1">IF(U380="","",IFERROR((RANK(U380,$U$2:$U$2028,1)+COUNTIF($U$2:U380,U380))-1,""))</f>
        <v/>
      </c>
      <c r="W380" s="134" t="str">
        <f t="shared" si="292"/>
        <v/>
      </c>
      <c r="X380" s="134" t="str">
        <f>IF(W380="","",IFERROR((RANK(W380,$W$2:$W$2028,1)+COUNTIF($W$2:W380,W380))-1,""))</f>
        <v/>
      </c>
      <c r="Y380" s="134" t="str">
        <f t="shared" si="289"/>
        <v/>
      </c>
      <c r="Z380" s="134" t="str">
        <f>IF(Y380="","",IFERROR((RANK(Y380,$Y$2:$Y$2028,1)+COUNTIF($Y$2:Y380,Y380))-1,""))</f>
        <v/>
      </c>
      <c r="AA380" s="134" t="str">
        <f t="shared" si="290"/>
        <v/>
      </c>
      <c r="AB380" s="134" t="str">
        <f>IF(AA380="","",IFERROR((RANK(AA380,$AA$2:$AA$2028,1)+COUNTIF($AA$2:AA380,AA380))-1,""))</f>
        <v/>
      </c>
      <c r="AC380" s="134" t="str">
        <f t="shared" si="291"/>
        <v/>
      </c>
      <c r="AD380" s="134" t="str">
        <f>IF(AC380="","",IFERROR((RANK(AC380,$AC$2:$AC$2028,1)+COUNTIF($AC$2:AC380,AC380))-1,""))</f>
        <v/>
      </c>
      <c r="AE380" s="144" t="str">
        <f t="shared" si="283"/>
        <v/>
      </c>
      <c r="AF380" s="144" t="str">
        <f>IF(AE380="","",SUM($AE$2:AE380))</f>
        <v/>
      </c>
    </row>
    <row r="381" spans="14:32" x14ac:dyDescent="0.35">
      <c r="N381" s="134" t="str">
        <f t="shared" si="281"/>
        <v/>
      </c>
      <c r="O381" s="82" t="str">
        <f t="shared" si="284"/>
        <v/>
      </c>
      <c r="P381" s="81" t="str">
        <f t="shared" si="282"/>
        <v/>
      </c>
      <c r="Q381" s="81" t="str">
        <f t="shared" si="285"/>
        <v/>
      </c>
      <c r="R381" s="135" t="str">
        <f t="shared" ca="1" si="286"/>
        <v/>
      </c>
      <c r="S381" s="134" t="str">
        <f t="shared" ca="1" si="287"/>
        <v/>
      </c>
      <c r="T381" s="134" t="str">
        <f ca="1">IF(S381=Dashboard!$D$12,S381,"")</f>
        <v/>
      </c>
      <c r="U381" s="134" t="str">
        <f t="shared" ca="1" si="288"/>
        <v/>
      </c>
      <c r="V381" s="83" t="str">
        <f ca="1">IF(U381="","",IFERROR((RANK(U381,$U$2:$U$2028,1)+COUNTIF($U$2:U381,U381))-1,""))</f>
        <v/>
      </c>
      <c r="W381" s="134" t="str">
        <f t="shared" si="292"/>
        <v/>
      </c>
      <c r="X381" s="134" t="str">
        <f>IF(W381="","",IFERROR((RANK(W381,$W$2:$W$2028,1)+COUNTIF($W$2:W381,W381))-1,""))</f>
        <v/>
      </c>
      <c r="Y381" s="134" t="str">
        <f t="shared" si="289"/>
        <v/>
      </c>
      <c r="Z381" s="134" t="str">
        <f>IF(Y381="","",IFERROR((RANK(Y381,$Y$2:$Y$2028,1)+COUNTIF($Y$2:Y381,Y381))-1,""))</f>
        <v/>
      </c>
      <c r="AA381" s="134" t="str">
        <f t="shared" si="290"/>
        <v/>
      </c>
      <c r="AB381" s="134" t="str">
        <f>IF(AA381="","",IFERROR((RANK(AA381,$AA$2:$AA$2028,1)+COUNTIF($AA$2:AA381,AA381))-1,""))</f>
        <v/>
      </c>
      <c r="AC381" s="134" t="str">
        <f t="shared" si="291"/>
        <v/>
      </c>
      <c r="AD381" s="134" t="str">
        <f>IF(AC381="","",IFERROR((RANK(AC381,$AC$2:$AC$2028,1)+COUNTIF($AC$2:AC381,AC381))-1,""))</f>
        <v/>
      </c>
      <c r="AE381" s="144" t="str">
        <f t="shared" si="283"/>
        <v/>
      </c>
      <c r="AF381" s="144" t="str">
        <f>IF(AE381="","",SUM($AE$2:AE381))</f>
        <v/>
      </c>
    </row>
    <row r="382" spans="14:32" x14ac:dyDescent="0.35">
      <c r="N382" s="134" t="str">
        <f t="shared" si="281"/>
        <v/>
      </c>
      <c r="O382" s="82" t="str">
        <f t="shared" si="284"/>
        <v/>
      </c>
      <c r="P382" s="81" t="str">
        <f t="shared" si="282"/>
        <v/>
      </c>
      <c r="Q382" s="81" t="str">
        <f t="shared" si="285"/>
        <v/>
      </c>
      <c r="R382" s="135" t="str">
        <f t="shared" ca="1" si="286"/>
        <v/>
      </c>
      <c r="S382" s="134" t="str">
        <f t="shared" ca="1" si="287"/>
        <v/>
      </c>
      <c r="T382" s="134" t="str">
        <f ca="1">IF(S382=Dashboard!$D$12,S382,"")</f>
        <v/>
      </c>
      <c r="U382" s="134" t="str">
        <f t="shared" ca="1" si="288"/>
        <v/>
      </c>
      <c r="V382" s="83" t="str">
        <f ca="1">IF(U382="","",IFERROR((RANK(U382,$U$2:$U$2028,1)+COUNTIF($U$2:U382,U382))-1,""))</f>
        <v/>
      </c>
      <c r="W382" s="134" t="str">
        <f t="shared" si="292"/>
        <v/>
      </c>
      <c r="X382" s="134" t="str">
        <f>IF(W382="","",IFERROR((RANK(W382,$W$2:$W$2028,1)+COUNTIF($W$2:W382,W382))-1,""))</f>
        <v/>
      </c>
      <c r="Y382" s="134" t="str">
        <f t="shared" si="289"/>
        <v/>
      </c>
      <c r="Z382" s="134" t="str">
        <f>IF(Y382="","",IFERROR((RANK(Y382,$Y$2:$Y$2028,1)+COUNTIF($Y$2:Y382,Y382))-1,""))</f>
        <v/>
      </c>
      <c r="AA382" s="134" t="str">
        <f t="shared" si="290"/>
        <v/>
      </c>
      <c r="AB382" s="134" t="str">
        <f>IF(AA382="","",IFERROR((RANK(AA382,$AA$2:$AA$2028,1)+COUNTIF($AA$2:AA382,AA382))-1,""))</f>
        <v/>
      </c>
      <c r="AC382" s="134" t="str">
        <f t="shared" si="291"/>
        <v/>
      </c>
      <c r="AD382" s="134" t="str">
        <f>IF(AC382="","",IFERROR((RANK(AC382,$AC$2:$AC$2028,1)+COUNTIF($AC$2:AC382,AC382))-1,""))</f>
        <v/>
      </c>
      <c r="AE382" s="144" t="str">
        <f t="shared" si="283"/>
        <v/>
      </c>
      <c r="AF382" s="144" t="str">
        <f>IF(AE382="","",SUM($AE$2:AE382))</f>
        <v/>
      </c>
    </row>
    <row r="383" spans="14:32" x14ac:dyDescent="0.35">
      <c r="N383" s="134" t="str">
        <f t="shared" si="281"/>
        <v/>
      </c>
      <c r="O383" s="82" t="str">
        <f t="shared" si="284"/>
        <v/>
      </c>
      <c r="P383" s="81" t="str">
        <f t="shared" si="282"/>
        <v/>
      </c>
      <c r="Q383" s="81" t="str">
        <f t="shared" si="285"/>
        <v/>
      </c>
      <c r="R383" s="135" t="str">
        <f t="shared" ca="1" si="286"/>
        <v/>
      </c>
      <c r="S383" s="134" t="str">
        <f t="shared" ca="1" si="287"/>
        <v/>
      </c>
      <c r="T383" s="134" t="str">
        <f ca="1">IF(S383=Dashboard!$D$12,S383,"")</f>
        <v/>
      </c>
      <c r="U383" s="134" t="str">
        <f t="shared" ca="1" si="288"/>
        <v/>
      </c>
      <c r="V383" s="83" t="str">
        <f ca="1">IF(U383="","",IFERROR((RANK(U383,$U$2:$U$2028,1)+COUNTIF($U$2:U383,U383))-1,""))</f>
        <v/>
      </c>
      <c r="W383" s="134" t="str">
        <f t="shared" si="292"/>
        <v/>
      </c>
      <c r="X383" s="134" t="str">
        <f>IF(W383="","",IFERROR((RANK(W383,$W$2:$W$2028,1)+COUNTIF($W$2:W383,W383))-1,""))</f>
        <v/>
      </c>
      <c r="Y383" s="134" t="str">
        <f t="shared" si="289"/>
        <v/>
      </c>
      <c r="Z383" s="134" t="str">
        <f>IF(Y383="","",IFERROR((RANK(Y383,$Y$2:$Y$2028,1)+COUNTIF($Y$2:Y383,Y383))-1,""))</f>
        <v/>
      </c>
      <c r="AA383" s="134" t="str">
        <f t="shared" si="290"/>
        <v/>
      </c>
      <c r="AB383" s="134" t="str">
        <f>IF(AA383="","",IFERROR((RANK(AA383,$AA$2:$AA$2028,1)+COUNTIF($AA$2:AA383,AA383))-1,""))</f>
        <v/>
      </c>
      <c r="AC383" s="134" t="str">
        <f t="shared" si="291"/>
        <v/>
      </c>
      <c r="AD383" s="134" t="str">
        <f>IF(AC383="","",IFERROR((RANK(AC383,$AC$2:$AC$2028,1)+COUNTIF($AC$2:AC383,AC383))-1,""))</f>
        <v/>
      </c>
      <c r="AE383" s="144" t="str">
        <f t="shared" si="283"/>
        <v/>
      </c>
      <c r="AF383" s="144" t="str">
        <f>IF(AE383="","",SUM($AE$2:AE383))</f>
        <v/>
      </c>
    </row>
    <row r="384" spans="14:32" x14ac:dyDescent="0.35">
      <c r="N384" s="134" t="str">
        <f t="shared" si="281"/>
        <v/>
      </c>
      <c r="O384" s="82" t="str">
        <f t="shared" si="284"/>
        <v/>
      </c>
      <c r="P384" s="81" t="str">
        <f t="shared" si="282"/>
        <v/>
      </c>
      <c r="Q384" s="81" t="str">
        <f t="shared" si="285"/>
        <v/>
      </c>
      <c r="R384" s="135" t="str">
        <f t="shared" ca="1" si="286"/>
        <v/>
      </c>
      <c r="S384" s="134" t="str">
        <f t="shared" ca="1" si="287"/>
        <v/>
      </c>
      <c r="T384" s="134" t="str">
        <f ca="1">IF(S384=Dashboard!$D$12,S384,"")</f>
        <v/>
      </c>
      <c r="U384" s="134" t="str">
        <f t="shared" ca="1" si="288"/>
        <v/>
      </c>
      <c r="V384" s="83" t="str">
        <f ca="1">IF(U384="","",IFERROR((RANK(U384,$U$2:$U$2028,1)+COUNTIF($U$2:U384,U384))-1,""))</f>
        <v/>
      </c>
      <c r="W384" s="134" t="str">
        <f t="shared" si="292"/>
        <v/>
      </c>
      <c r="X384" s="134" t="str">
        <f>IF(W384="","",IFERROR((RANK(W384,$W$2:$W$2028,1)+COUNTIF($W$2:W384,W384))-1,""))</f>
        <v/>
      </c>
      <c r="Y384" s="134" t="str">
        <f t="shared" si="289"/>
        <v/>
      </c>
      <c r="Z384" s="134" t="str">
        <f>IF(Y384="","",IFERROR((RANK(Y384,$Y$2:$Y$2028,1)+COUNTIF($Y$2:Y384,Y384))-1,""))</f>
        <v/>
      </c>
      <c r="AA384" s="134" t="str">
        <f t="shared" si="290"/>
        <v/>
      </c>
      <c r="AB384" s="134" t="str">
        <f>IF(AA384="","",IFERROR((RANK(AA384,$AA$2:$AA$2028,1)+COUNTIF($AA$2:AA384,AA384))-1,""))</f>
        <v/>
      </c>
      <c r="AC384" s="134" t="str">
        <f t="shared" si="291"/>
        <v/>
      </c>
      <c r="AD384" s="134" t="str">
        <f>IF(AC384="","",IFERROR((RANK(AC384,$AC$2:$AC$2028,1)+COUNTIF($AC$2:AC384,AC384))-1,""))</f>
        <v/>
      </c>
      <c r="AE384" s="144" t="str">
        <f t="shared" si="283"/>
        <v/>
      </c>
      <c r="AF384" s="144" t="str">
        <f>IF(AE384="","",SUM($AE$2:AE384))</f>
        <v/>
      </c>
    </row>
    <row r="385" spans="14:32" x14ac:dyDescent="0.35">
      <c r="N385" s="134" t="str">
        <f t="shared" si="281"/>
        <v/>
      </c>
      <c r="O385" s="82" t="str">
        <f t="shared" si="284"/>
        <v/>
      </c>
      <c r="P385" s="81" t="str">
        <f t="shared" si="282"/>
        <v/>
      </c>
      <c r="Q385" s="81" t="str">
        <f t="shared" si="285"/>
        <v/>
      </c>
      <c r="R385" s="135" t="str">
        <f t="shared" ca="1" si="286"/>
        <v/>
      </c>
      <c r="S385" s="134" t="str">
        <f t="shared" ca="1" si="287"/>
        <v/>
      </c>
      <c r="T385" s="134" t="str">
        <f ca="1">IF(S385=Dashboard!$D$12,S385,"")</f>
        <v/>
      </c>
      <c r="U385" s="134" t="str">
        <f t="shared" ca="1" si="288"/>
        <v/>
      </c>
      <c r="V385" s="83" t="str">
        <f ca="1">IF(U385="","",IFERROR((RANK(U385,$U$2:$U$2028,1)+COUNTIF($U$2:U385,U385))-1,""))</f>
        <v/>
      </c>
      <c r="W385" s="134" t="str">
        <f t="shared" si="292"/>
        <v/>
      </c>
      <c r="X385" s="134" t="str">
        <f>IF(W385="","",IFERROR((RANK(W385,$W$2:$W$2028,1)+COUNTIF($W$2:W385,W385))-1,""))</f>
        <v/>
      </c>
      <c r="Y385" s="134" t="str">
        <f t="shared" si="289"/>
        <v/>
      </c>
      <c r="Z385" s="134" t="str">
        <f>IF(Y385="","",IFERROR((RANK(Y385,$Y$2:$Y$2028,1)+COUNTIF($Y$2:Y385,Y385))-1,""))</f>
        <v/>
      </c>
      <c r="AA385" s="134" t="str">
        <f t="shared" si="290"/>
        <v/>
      </c>
      <c r="AB385" s="134" t="str">
        <f>IF(AA385="","",IFERROR((RANK(AA385,$AA$2:$AA$2028,1)+COUNTIF($AA$2:AA385,AA385))-1,""))</f>
        <v/>
      </c>
      <c r="AC385" s="134" t="str">
        <f t="shared" si="291"/>
        <v/>
      </c>
      <c r="AD385" s="134" t="str">
        <f>IF(AC385="","",IFERROR((RANK(AC385,$AC$2:$AC$2028,1)+COUNTIF($AC$2:AC385,AC385))-1,""))</f>
        <v/>
      </c>
      <c r="AE385" s="144" t="str">
        <f t="shared" si="283"/>
        <v/>
      </c>
      <c r="AF385" s="144" t="str">
        <f>IF(AE385="","",SUM($AE$2:AE385))</f>
        <v/>
      </c>
    </row>
    <row r="386" spans="14:32" x14ac:dyDescent="0.35">
      <c r="N386" s="134" t="str">
        <f t="shared" ref="N386:N449" si="293">IF(A386="","",COUNTIFS(M:M,M386,H:H,"&lt;"&amp;H386)+1)</f>
        <v/>
      </c>
      <c r="O386" s="82" t="str">
        <f t="shared" si="284"/>
        <v/>
      </c>
      <c r="P386" s="81" t="str">
        <f t="shared" ref="P386:P449" si="294">IF(A386="","",COUNTIFS(M:M,M386,H:H,"&gt;"&amp;H386)+1)</f>
        <v/>
      </c>
      <c r="Q386" s="81" t="str">
        <f t="shared" si="285"/>
        <v/>
      </c>
      <c r="R386" s="135" t="str">
        <f t="shared" ca="1" si="286"/>
        <v/>
      </c>
      <c r="S386" s="134" t="str">
        <f t="shared" ca="1" si="287"/>
        <v/>
      </c>
      <c r="T386" s="134" t="str">
        <f ca="1">IF(S386=Dashboard!$D$12,S386,"")</f>
        <v/>
      </c>
      <c r="U386" s="134" t="str">
        <f t="shared" ca="1" si="288"/>
        <v/>
      </c>
      <c r="V386" s="83" t="str">
        <f ca="1">IF(U386="","",IFERROR((RANK(U386,$U$2:$U$2028,1)+COUNTIF($U$2:U386,U386))-1,""))</f>
        <v/>
      </c>
      <c r="W386" s="134" t="str">
        <f t="shared" si="292"/>
        <v/>
      </c>
      <c r="X386" s="134" t="str">
        <f>IF(W386="","",IFERROR((RANK(W386,$W$2:$W$2028,1)+COUNTIF($W$2:W386,W386))-1,""))</f>
        <v/>
      </c>
      <c r="Y386" s="134" t="str">
        <f t="shared" si="289"/>
        <v/>
      </c>
      <c r="Z386" s="134" t="str">
        <f>IF(Y386="","",IFERROR((RANK(Y386,$Y$2:$Y$2028,1)+COUNTIF($Y$2:Y386,Y386))-1,""))</f>
        <v/>
      </c>
      <c r="AA386" s="134" t="str">
        <f t="shared" si="290"/>
        <v/>
      </c>
      <c r="AB386" s="134" t="str">
        <f>IF(AA386="","",IFERROR((RANK(AA386,$AA$2:$AA$2028,1)+COUNTIF($AA$2:AA386,AA386))-1,""))</f>
        <v/>
      </c>
      <c r="AC386" s="134" t="str">
        <f t="shared" si="291"/>
        <v/>
      </c>
      <c r="AD386" s="134" t="str">
        <f>IF(AC386="","",IFERROR((RANK(AC386,$AC$2:$AC$2028,1)+COUNTIF($AC$2:AC386,AC386))-1,""))</f>
        <v/>
      </c>
      <c r="AE386" s="144" t="str">
        <f t="shared" si="283"/>
        <v/>
      </c>
      <c r="AF386" s="144" t="str">
        <f>IF(AE386="","",SUM($AE$2:AE386))</f>
        <v/>
      </c>
    </row>
    <row r="387" spans="14:32" x14ac:dyDescent="0.35">
      <c r="N387" s="134" t="str">
        <f t="shared" si="293"/>
        <v/>
      </c>
      <c r="O387" s="82" t="str">
        <f t="shared" si="284"/>
        <v/>
      </c>
      <c r="P387" s="81" t="str">
        <f t="shared" si="294"/>
        <v/>
      </c>
      <c r="Q387" s="81" t="str">
        <f t="shared" si="285"/>
        <v/>
      </c>
      <c r="R387" s="135" t="str">
        <f t="shared" ca="1" si="286"/>
        <v/>
      </c>
      <c r="S387" s="134" t="str">
        <f t="shared" ca="1" si="287"/>
        <v/>
      </c>
      <c r="T387" s="134" t="str">
        <f ca="1">IF(S387=Dashboard!$D$12,S387,"")</f>
        <v/>
      </c>
      <c r="U387" s="134" t="str">
        <f t="shared" ca="1" si="288"/>
        <v/>
      </c>
      <c r="V387" s="83" t="str">
        <f ca="1">IF(U387="","",IFERROR((RANK(U387,$U$2:$U$2028,1)+COUNTIF($U$2:U387,U387))-1,""))</f>
        <v/>
      </c>
      <c r="W387" s="134" t="str">
        <f t="shared" si="292"/>
        <v/>
      </c>
      <c r="X387" s="134" t="str">
        <f>IF(W387="","",IFERROR((RANK(W387,$W$2:$W$2028,1)+COUNTIF($W$2:W387,W387))-1,""))</f>
        <v/>
      </c>
      <c r="Y387" s="134" t="str">
        <f t="shared" si="289"/>
        <v/>
      </c>
      <c r="Z387" s="134" t="str">
        <f>IF(Y387="","",IFERROR((RANK(Y387,$Y$2:$Y$2028,1)+COUNTIF($Y$2:Y387,Y387))-1,""))</f>
        <v/>
      </c>
      <c r="AA387" s="134" t="str">
        <f t="shared" si="290"/>
        <v/>
      </c>
      <c r="AB387" s="134" t="str">
        <f>IF(AA387="","",IFERROR((RANK(AA387,$AA$2:$AA$2028,1)+COUNTIF($AA$2:AA387,AA387))-1,""))</f>
        <v/>
      </c>
      <c r="AC387" s="134" t="str">
        <f t="shared" si="291"/>
        <v/>
      </c>
      <c r="AD387" s="134" t="str">
        <f>IF(AC387="","",IFERROR((RANK(AC387,$AC$2:$AC$2028,1)+COUNTIF($AC$2:AC387,AC387))-1,""))</f>
        <v/>
      </c>
      <c r="AE387" s="144" t="str">
        <f t="shared" si="283"/>
        <v/>
      </c>
      <c r="AF387" s="144" t="str">
        <f>IF(AE387="","",SUM($AE$2:AE387))</f>
        <v/>
      </c>
    </row>
    <row r="388" spans="14:32" x14ac:dyDescent="0.35">
      <c r="N388" s="134" t="str">
        <f t="shared" si="293"/>
        <v/>
      </c>
      <c r="O388" s="82" t="str">
        <f t="shared" si="284"/>
        <v/>
      </c>
      <c r="P388" s="81" t="str">
        <f t="shared" si="294"/>
        <v/>
      </c>
      <c r="Q388" s="81" t="str">
        <f t="shared" si="285"/>
        <v/>
      </c>
      <c r="R388" s="135" t="str">
        <f t="shared" ca="1" si="286"/>
        <v/>
      </c>
      <c r="S388" s="134" t="str">
        <f t="shared" ca="1" si="287"/>
        <v/>
      </c>
      <c r="T388" s="134" t="str">
        <f ca="1">IF(S388=Dashboard!$D$12,S388,"")</f>
        <v/>
      </c>
      <c r="U388" s="134" t="str">
        <f t="shared" ca="1" si="288"/>
        <v/>
      </c>
      <c r="V388" s="83" t="str">
        <f ca="1">IF(U388="","",IFERROR((RANK(U388,$U$2:$U$2028,1)+COUNTIF($U$2:U388,U388))-1,""))</f>
        <v/>
      </c>
      <c r="W388" s="134" t="str">
        <f t="shared" si="292"/>
        <v/>
      </c>
      <c r="X388" s="134" t="str">
        <f>IF(W388="","",IFERROR((RANK(W388,$W$2:$W$2028,1)+COUNTIF($W$2:W388,W388))-1,""))</f>
        <v/>
      </c>
      <c r="Y388" s="134" t="str">
        <f t="shared" si="289"/>
        <v/>
      </c>
      <c r="Z388" s="134" t="str">
        <f>IF(Y388="","",IFERROR((RANK(Y388,$Y$2:$Y$2028,1)+COUNTIF($Y$2:Y388,Y388))-1,""))</f>
        <v/>
      </c>
      <c r="AA388" s="134" t="str">
        <f t="shared" si="290"/>
        <v/>
      </c>
      <c r="AB388" s="134" t="str">
        <f>IF(AA388="","",IFERROR((RANK(AA388,$AA$2:$AA$2028,1)+COUNTIF($AA$2:AA388,AA388))-1,""))</f>
        <v/>
      </c>
      <c r="AC388" s="134" t="str">
        <f t="shared" si="291"/>
        <v/>
      </c>
      <c r="AD388" s="134" t="str">
        <f>IF(AC388="","",IFERROR((RANK(AC388,$AC$2:$AC$2028,1)+COUNTIF($AC$2:AC388,AC388))-1,""))</f>
        <v/>
      </c>
      <c r="AE388" s="144" t="str">
        <f t="shared" si="283"/>
        <v/>
      </c>
      <c r="AF388" s="144" t="str">
        <f>IF(AE388="","",SUM($AE$2:AE388))</f>
        <v/>
      </c>
    </row>
    <row r="389" spans="14:32" x14ac:dyDescent="0.35">
      <c r="N389" s="134" t="str">
        <f t="shared" si="293"/>
        <v/>
      </c>
      <c r="O389" s="82" t="str">
        <f t="shared" si="284"/>
        <v/>
      </c>
      <c r="P389" s="81" t="str">
        <f t="shared" si="294"/>
        <v/>
      </c>
      <c r="Q389" s="81" t="str">
        <f t="shared" si="285"/>
        <v/>
      </c>
      <c r="R389" s="135" t="str">
        <f t="shared" ca="1" si="286"/>
        <v/>
      </c>
      <c r="S389" s="134" t="str">
        <f t="shared" ca="1" si="287"/>
        <v/>
      </c>
      <c r="T389" s="134" t="str">
        <f ca="1">IF(S389=Dashboard!$D$12,S389,"")</f>
        <v/>
      </c>
      <c r="U389" s="134" t="str">
        <f t="shared" ca="1" si="288"/>
        <v/>
      </c>
      <c r="V389" s="83" t="str">
        <f ca="1">IF(U389="","",IFERROR((RANK(U389,$U$2:$U$2028,1)+COUNTIF($U$2:U389,U389))-1,""))</f>
        <v/>
      </c>
      <c r="W389" s="134" t="str">
        <f t="shared" si="292"/>
        <v/>
      </c>
      <c r="X389" s="134" t="str">
        <f>IF(W389="","",IFERROR((RANK(W389,$W$2:$W$2028,1)+COUNTIF($W$2:W389,W389))-1,""))</f>
        <v/>
      </c>
      <c r="Y389" s="134" t="str">
        <f t="shared" si="289"/>
        <v/>
      </c>
      <c r="Z389" s="134" t="str">
        <f>IF(Y389="","",IFERROR((RANK(Y389,$Y$2:$Y$2028,1)+COUNTIF($Y$2:Y389,Y389))-1,""))</f>
        <v/>
      </c>
      <c r="AA389" s="134" t="str">
        <f t="shared" si="290"/>
        <v/>
      </c>
      <c r="AB389" s="134" t="str">
        <f>IF(AA389="","",IFERROR((RANK(AA389,$AA$2:$AA$2028,1)+COUNTIF($AA$2:AA389,AA389))-1,""))</f>
        <v/>
      </c>
      <c r="AC389" s="134" t="str">
        <f t="shared" si="291"/>
        <v/>
      </c>
      <c r="AD389" s="134" t="str">
        <f>IF(AC389="","",IFERROR((RANK(AC389,$AC$2:$AC$2028,1)+COUNTIF($AC$2:AC389,AC389))-1,""))</f>
        <v/>
      </c>
      <c r="AE389" s="144" t="str">
        <f t="shared" si="283"/>
        <v/>
      </c>
      <c r="AF389" s="144" t="str">
        <f>IF(AE389="","",SUM($AE$2:AE389))</f>
        <v/>
      </c>
    </row>
    <row r="390" spans="14:32" x14ac:dyDescent="0.35">
      <c r="N390" s="134" t="str">
        <f t="shared" si="293"/>
        <v/>
      </c>
      <c r="O390" s="82" t="str">
        <f t="shared" si="284"/>
        <v/>
      </c>
      <c r="P390" s="81" t="str">
        <f t="shared" si="294"/>
        <v/>
      </c>
      <c r="Q390" s="81" t="str">
        <f t="shared" si="285"/>
        <v/>
      </c>
      <c r="R390" s="135" t="str">
        <f t="shared" ca="1" si="286"/>
        <v/>
      </c>
      <c r="S390" s="134" t="str">
        <f t="shared" ca="1" si="287"/>
        <v/>
      </c>
      <c r="T390" s="134" t="str">
        <f ca="1">IF(S390=Dashboard!$D$12,S390,"")</f>
        <v/>
      </c>
      <c r="U390" s="134" t="str">
        <f t="shared" ca="1" si="288"/>
        <v/>
      </c>
      <c r="V390" s="83" t="str">
        <f ca="1">IF(U390="","",IFERROR((RANK(U390,$U$2:$U$2028,1)+COUNTIF($U$2:U390,U390))-1,""))</f>
        <v/>
      </c>
      <c r="W390" s="134" t="str">
        <f t="shared" si="292"/>
        <v/>
      </c>
      <c r="X390" s="134" t="str">
        <f>IF(W390="","",IFERROR((RANK(W390,$W$2:$W$2028,1)+COUNTIF($W$2:W390,W390))-1,""))</f>
        <v/>
      </c>
      <c r="Y390" s="134" t="str">
        <f t="shared" si="289"/>
        <v/>
      </c>
      <c r="Z390" s="134" t="str">
        <f>IF(Y390="","",IFERROR((RANK(Y390,$Y$2:$Y$2028,1)+COUNTIF($Y$2:Y390,Y390))-1,""))</f>
        <v/>
      </c>
      <c r="AA390" s="134" t="str">
        <f t="shared" si="290"/>
        <v/>
      </c>
      <c r="AB390" s="134" t="str">
        <f>IF(AA390="","",IFERROR((RANK(AA390,$AA$2:$AA$2028,1)+COUNTIF($AA$2:AA390,AA390))-1,""))</f>
        <v/>
      </c>
      <c r="AC390" s="134" t="str">
        <f t="shared" si="291"/>
        <v/>
      </c>
      <c r="AD390" s="134" t="str">
        <f>IF(AC390="","",IFERROR((RANK(AC390,$AC$2:$AC$2028,1)+COUNTIF($AC$2:AC390,AC390))-1,""))</f>
        <v/>
      </c>
      <c r="AE390" s="144" t="str">
        <f t="shared" si="283"/>
        <v/>
      </c>
      <c r="AF390" s="144" t="str">
        <f>IF(AE390="","",SUM($AE$2:AE390))</f>
        <v/>
      </c>
    </row>
    <row r="391" spans="14:32" x14ac:dyDescent="0.35">
      <c r="N391" s="134" t="str">
        <f t="shared" si="293"/>
        <v/>
      </c>
      <c r="O391" s="82" t="str">
        <f t="shared" si="284"/>
        <v/>
      </c>
      <c r="P391" s="81" t="str">
        <f t="shared" si="294"/>
        <v/>
      </c>
      <c r="Q391" s="81" t="str">
        <f t="shared" si="285"/>
        <v/>
      </c>
      <c r="R391" s="135" t="str">
        <f t="shared" ca="1" si="286"/>
        <v/>
      </c>
      <c r="S391" s="134" t="str">
        <f t="shared" ca="1" si="287"/>
        <v/>
      </c>
      <c r="T391" s="134" t="str">
        <f ca="1">IF(S391=Dashboard!$D$12,S391,"")</f>
        <v/>
      </c>
      <c r="U391" s="134" t="str">
        <f t="shared" ca="1" si="288"/>
        <v/>
      </c>
      <c r="V391" s="83" t="str">
        <f ca="1">IF(U391="","",IFERROR((RANK(U391,$U$2:$U$2028,1)+COUNTIF($U$2:U391,U391))-1,""))</f>
        <v/>
      </c>
      <c r="W391" s="134" t="str">
        <f t="shared" si="292"/>
        <v/>
      </c>
      <c r="X391" s="134" t="str">
        <f>IF(W391="","",IFERROR((RANK(W391,$W$2:$W$2028,1)+COUNTIF($W$2:W391,W391))-1,""))</f>
        <v/>
      </c>
      <c r="Y391" s="134" t="str">
        <f t="shared" si="289"/>
        <v/>
      </c>
      <c r="Z391" s="134" t="str">
        <f>IF(Y391="","",IFERROR((RANK(Y391,$Y$2:$Y$2028,1)+COUNTIF($Y$2:Y391,Y391))-1,""))</f>
        <v/>
      </c>
      <c r="AA391" s="134" t="str">
        <f t="shared" si="290"/>
        <v/>
      </c>
      <c r="AB391" s="134" t="str">
        <f>IF(AA391="","",IFERROR((RANK(AA391,$AA$2:$AA$2028,1)+COUNTIF($AA$2:AA391,AA391))-1,""))</f>
        <v/>
      </c>
      <c r="AC391" s="134" t="str">
        <f t="shared" si="291"/>
        <v/>
      </c>
      <c r="AD391" s="134" t="str">
        <f>IF(AC391="","",IFERROR((RANK(AC391,$AC$2:$AC$2028,1)+COUNTIF($AC$2:AC391,AC391))-1,""))</f>
        <v/>
      </c>
      <c r="AE391" s="144" t="str">
        <f t="shared" ref="AE391:AE454" si="295">IF(P391=1,P391,"")</f>
        <v/>
      </c>
      <c r="AF391" s="144" t="str">
        <f>IF(AE391="","",SUM($AE$2:AE391))</f>
        <v/>
      </c>
    </row>
    <row r="392" spans="14:32" x14ac:dyDescent="0.35">
      <c r="N392" s="134" t="str">
        <f t="shared" si="293"/>
        <v/>
      </c>
      <c r="O392" s="82" t="str">
        <f t="shared" si="284"/>
        <v/>
      </c>
      <c r="P392" s="81" t="str">
        <f t="shared" si="294"/>
        <v/>
      </c>
      <c r="Q392" s="81" t="str">
        <f t="shared" si="285"/>
        <v/>
      </c>
      <c r="R392" s="135" t="str">
        <f t="shared" ca="1" si="286"/>
        <v/>
      </c>
      <c r="S392" s="134" t="str">
        <f t="shared" ca="1" si="287"/>
        <v/>
      </c>
      <c r="T392" s="134" t="str">
        <f ca="1">IF(S392=Dashboard!$D$12,S392,"")</f>
        <v/>
      </c>
      <c r="U392" s="134" t="str">
        <f t="shared" ca="1" si="288"/>
        <v/>
      </c>
      <c r="V392" s="83" t="str">
        <f ca="1">IF(U392="","",IFERROR((RANK(U392,$U$2:$U$2028,1)+COUNTIF($U$2:U392,U392))-1,""))</f>
        <v/>
      </c>
      <c r="W392" s="134" t="str">
        <f t="shared" si="292"/>
        <v/>
      </c>
      <c r="X392" s="134" t="str">
        <f>IF(W392="","",IFERROR((RANK(W392,$W$2:$W$2028,1)+COUNTIF($W$2:W392,W392))-1,""))</f>
        <v/>
      </c>
      <c r="Y392" s="134" t="str">
        <f t="shared" si="289"/>
        <v/>
      </c>
      <c r="Z392" s="134" t="str">
        <f>IF(Y392="","",IFERROR((RANK(Y392,$Y$2:$Y$2028,1)+COUNTIF($Y$2:Y392,Y392))-1,""))</f>
        <v/>
      </c>
      <c r="AA392" s="134" t="str">
        <f t="shared" si="290"/>
        <v/>
      </c>
      <c r="AB392" s="134" t="str">
        <f>IF(AA392="","",IFERROR((RANK(AA392,$AA$2:$AA$2028,1)+COUNTIF($AA$2:AA392,AA392))-1,""))</f>
        <v/>
      </c>
      <c r="AC392" s="134" t="str">
        <f t="shared" si="291"/>
        <v/>
      </c>
      <c r="AD392" s="134" t="str">
        <f>IF(AC392="","",IFERROR((RANK(AC392,$AC$2:$AC$2028,1)+COUNTIF($AC$2:AC392,AC392))-1,""))</f>
        <v/>
      </c>
      <c r="AE392" s="144" t="str">
        <f t="shared" si="295"/>
        <v/>
      </c>
      <c r="AF392" s="144" t="str">
        <f>IF(AE392="","",SUM($AE$2:AE392))</f>
        <v/>
      </c>
    </row>
    <row r="393" spans="14:32" x14ac:dyDescent="0.35">
      <c r="N393" s="134" t="str">
        <f t="shared" si="293"/>
        <v/>
      </c>
      <c r="O393" s="82" t="str">
        <f t="shared" si="284"/>
        <v/>
      </c>
      <c r="P393" s="81" t="str">
        <f t="shared" si="294"/>
        <v/>
      </c>
      <c r="Q393" s="81" t="str">
        <f t="shared" si="285"/>
        <v/>
      </c>
      <c r="R393" s="135" t="str">
        <f t="shared" ca="1" si="286"/>
        <v/>
      </c>
      <c r="S393" s="134" t="str">
        <f t="shared" ca="1" si="287"/>
        <v/>
      </c>
      <c r="T393" s="134" t="str">
        <f ca="1">IF(S393=Dashboard!$D$12,S393,"")</f>
        <v/>
      </c>
      <c r="U393" s="134" t="str">
        <f t="shared" ca="1" si="288"/>
        <v/>
      </c>
      <c r="V393" s="83" t="str">
        <f ca="1">IF(U393="","",IFERROR((RANK(U393,$U$2:$U$2028,1)+COUNTIF($U$2:U393,U393))-1,""))</f>
        <v/>
      </c>
      <c r="W393" s="134" t="str">
        <f t="shared" si="292"/>
        <v/>
      </c>
      <c r="X393" s="134" t="str">
        <f>IF(W393="","",IFERROR((RANK(W393,$W$2:$W$2028,1)+COUNTIF($W$2:W393,W393))-1,""))</f>
        <v/>
      </c>
      <c r="Y393" s="134" t="str">
        <f t="shared" si="289"/>
        <v/>
      </c>
      <c r="Z393" s="134" t="str">
        <f>IF(Y393="","",IFERROR((RANK(Y393,$Y$2:$Y$2028,1)+COUNTIF($Y$2:Y393,Y393))-1,""))</f>
        <v/>
      </c>
      <c r="AA393" s="134" t="str">
        <f t="shared" si="290"/>
        <v/>
      </c>
      <c r="AB393" s="134" t="str">
        <f>IF(AA393="","",IFERROR((RANK(AA393,$AA$2:$AA$2028,1)+COUNTIF($AA$2:AA393,AA393))-1,""))</f>
        <v/>
      </c>
      <c r="AC393" s="134" t="str">
        <f t="shared" si="291"/>
        <v/>
      </c>
      <c r="AD393" s="134" t="str">
        <f>IF(AC393="","",IFERROR((RANK(AC393,$AC$2:$AC$2028,1)+COUNTIF($AC$2:AC393,AC393))-1,""))</f>
        <v/>
      </c>
      <c r="AE393" s="144" t="str">
        <f t="shared" si="295"/>
        <v/>
      </c>
      <c r="AF393" s="144" t="str">
        <f>IF(AE393="","",SUM($AE$2:AE393))</f>
        <v/>
      </c>
    </row>
    <row r="394" spans="14:32" x14ac:dyDescent="0.35">
      <c r="N394" s="134" t="str">
        <f t="shared" si="293"/>
        <v/>
      </c>
      <c r="O394" s="82" t="str">
        <f t="shared" si="284"/>
        <v/>
      </c>
      <c r="P394" s="81" t="str">
        <f t="shared" si="294"/>
        <v/>
      </c>
      <c r="Q394" s="81" t="str">
        <f t="shared" si="285"/>
        <v/>
      </c>
      <c r="R394" s="135" t="str">
        <f t="shared" ca="1" si="286"/>
        <v/>
      </c>
      <c r="S394" s="134" t="str">
        <f t="shared" ca="1" si="287"/>
        <v/>
      </c>
      <c r="T394" s="134" t="str">
        <f ca="1">IF(S394=Dashboard!$D$12,S394,"")</f>
        <v/>
      </c>
      <c r="U394" s="134" t="str">
        <f t="shared" ca="1" si="288"/>
        <v/>
      </c>
      <c r="V394" s="83" t="str">
        <f ca="1">IF(U394="","",IFERROR((RANK(U394,$U$2:$U$2028,1)+COUNTIF($U$2:U394,U394))-1,""))</f>
        <v/>
      </c>
      <c r="W394" s="134" t="str">
        <f t="shared" si="292"/>
        <v/>
      </c>
      <c r="X394" s="134" t="str">
        <f>IF(W394="","",IFERROR((RANK(W394,$W$2:$W$2028,1)+COUNTIF($W$2:W394,W394))-1,""))</f>
        <v/>
      </c>
      <c r="Y394" s="134" t="str">
        <f t="shared" si="289"/>
        <v/>
      </c>
      <c r="Z394" s="134" t="str">
        <f>IF(Y394="","",IFERROR((RANK(Y394,$Y$2:$Y$2028,1)+COUNTIF($Y$2:Y394,Y394))-1,""))</f>
        <v/>
      </c>
      <c r="AA394" s="134" t="str">
        <f t="shared" si="290"/>
        <v/>
      </c>
      <c r="AB394" s="134" t="str">
        <f>IF(AA394="","",IFERROR((RANK(AA394,$AA$2:$AA$2028,1)+COUNTIF($AA$2:AA394,AA394))-1,""))</f>
        <v/>
      </c>
      <c r="AC394" s="134" t="str">
        <f t="shared" si="291"/>
        <v/>
      </c>
      <c r="AD394" s="134" t="str">
        <f>IF(AC394="","",IFERROR((RANK(AC394,$AC$2:$AC$2028,1)+COUNTIF($AC$2:AC394,AC394))-1,""))</f>
        <v/>
      </c>
      <c r="AE394" s="144" t="str">
        <f t="shared" si="295"/>
        <v/>
      </c>
      <c r="AF394" s="144" t="str">
        <f>IF(AE394="","",SUM($AE$2:AE394))</f>
        <v/>
      </c>
    </row>
    <row r="395" spans="14:32" x14ac:dyDescent="0.35">
      <c r="N395" s="134" t="str">
        <f t="shared" si="293"/>
        <v/>
      </c>
      <c r="O395" s="82" t="str">
        <f t="shared" si="284"/>
        <v/>
      </c>
      <c r="P395" s="81" t="str">
        <f t="shared" si="294"/>
        <v/>
      </c>
      <c r="Q395" s="81" t="str">
        <f t="shared" si="285"/>
        <v/>
      </c>
      <c r="R395" s="135" t="str">
        <f t="shared" ca="1" si="286"/>
        <v/>
      </c>
      <c r="S395" s="134" t="str">
        <f t="shared" ca="1" si="287"/>
        <v/>
      </c>
      <c r="T395" s="134" t="str">
        <f ca="1">IF(S395=Dashboard!$D$12,S395,"")</f>
        <v/>
      </c>
      <c r="U395" s="134" t="str">
        <f t="shared" ca="1" si="288"/>
        <v/>
      </c>
      <c r="V395" s="83" t="str">
        <f ca="1">IF(U395="","",IFERROR((RANK(U395,$U$2:$U$2028,1)+COUNTIF($U$2:U395,U395))-1,""))</f>
        <v/>
      </c>
      <c r="W395" s="134" t="str">
        <f t="shared" si="292"/>
        <v/>
      </c>
      <c r="X395" s="134" t="str">
        <f>IF(W395="","",IFERROR((RANK(W395,$W$2:$W$2028,1)+COUNTIF($W$2:W395,W395))-1,""))</f>
        <v/>
      </c>
      <c r="Y395" s="134" t="str">
        <f t="shared" si="289"/>
        <v/>
      </c>
      <c r="Z395" s="134" t="str">
        <f>IF(Y395="","",IFERROR((RANK(Y395,$Y$2:$Y$2028,1)+COUNTIF($Y$2:Y395,Y395))-1,""))</f>
        <v/>
      </c>
      <c r="AA395" s="134" t="str">
        <f t="shared" si="290"/>
        <v/>
      </c>
      <c r="AB395" s="134" t="str">
        <f>IF(AA395="","",IFERROR((RANK(AA395,$AA$2:$AA$2028,1)+COUNTIF($AA$2:AA395,AA395))-1,""))</f>
        <v/>
      </c>
      <c r="AC395" s="134" t="str">
        <f t="shared" si="291"/>
        <v/>
      </c>
      <c r="AD395" s="134" t="str">
        <f>IF(AC395="","",IFERROR((RANK(AC395,$AC$2:$AC$2028,1)+COUNTIF($AC$2:AC395,AC395))-1,""))</f>
        <v/>
      </c>
      <c r="AE395" s="144" t="str">
        <f t="shared" si="295"/>
        <v/>
      </c>
      <c r="AF395" s="144" t="str">
        <f>IF(AE395="","",SUM($AE$2:AE395))</f>
        <v/>
      </c>
    </row>
    <row r="396" spans="14:32" x14ac:dyDescent="0.35">
      <c r="N396" s="134" t="str">
        <f t="shared" si="293"/>
        <v/>
      </c>
      <c r="O396" s="82" t="str">
        <f t="shared" si="284"/>
        <v/>
      </c>
      <c r="P396" s="81" t="str">
        <f t="shared" si="294"/>
        <v/>
      </c>
      <c r="Q396" s="81" t="str">
        <f t="shared" si="285"/>
        <v/>
      </c>
      <c r="R396" s="135" t="str">
        <f t="shared" ca="1" si="286"/>
        <v/>
      </c>
      <c r="S396" s="134" t="str">
        <f t="shared" ca="1" si="287"/>
        <v/>
      </c>
      <c r="T396" s="134" t="str">
        <f ca="1">IF(S396=Dashboard!$D$12,S396,"")</f>
        <v/>
      </c>
      <c r="U396" s="134" t="str">
        <f t="shared" ca="1" si="288"/>
        <v/>
      </c>
      <c r="V396" s="83" t="str">
        <f ca="1">IF(U396="","",IFERROR((RANK(U396,$U$2:$U$2028,1)+COUNTIF($U$2:U396,U396))-1,""))</f>
        <v/>
      </c>
      <c r="W396" s="134" t="str">
        <f t="shared" si="292"/>
        <v/>
      </c>
      <c r="X396" s="134" t="str">
        <f>IF(W396="","",IFERROR((RANK(W396,$W$2:$W$2028,1)+COUNTIF($W$2:W396,W396))-1,""))</f>
        <v/>
      </c>
      <c r="Y396" s="134" t="str">
        <f t="shared" si="289"/>
        <v/>
      </c>
      <c r="Z396" s="134" t="str">
        <f>IF(Y396="","",IFERROR((RANK(Y396,$Y$2:$Y$2028,1)+COUNTIF($Y$2:Y396,Y396))-1,""))</f>
        <v/>
      </c>
      <c r="AA396" s="134" t="str">
        <f t="shared" si="290"/>
        <v/>
      </c>
      <c r="AB396" s="134" t="str">
        <f>IF(AA396="","",IFERROR((RANK(AA396,$AA$2:$AA$2028,1)+COUNTIF($AA$2:AA396,AA396))-1,""))</f>
        <v/>
      </c>
      <c r="AC396" s="134" t="str">
        <f t="shared" si="291"/>
        <v/>
      </c>
      <c r="AD396" s="134" t="str">
        <f>IF(AC396="","",IFERROR((RANK(AC396,$AC$2:$AC$2028,1)+COUNTIF($AC$2:AC396,AC396))-1,""))</f>
        <v/>
      </c>
      <c r="AE396" s="144" t="str">
        <f t="shared" si="295"/>
        <v/>
      </c>
      <c r="AF396" s="144" t="str">
        <f>IF(AE396="","",SUM($AE$2:AE396))</f>
        <v/>
      </c>
    </row>
    <row r="397" spans="14:32" x14ac:dyDescent="0.35">
      <c r="N397" s="134" t="str">
        <f t="shared" si="293"/>
        <v/>
      </c>
      <c r="O397" s="82" t="str">
        <f t="shared" si="284"/>
        <v/>
      </c>
      <c r="P397" s="81" t="str">
        <f t="shared" si="294"/>
        <v/>
      </c>
      <c r="Q397" s="81" t="str">
        <f t="shared" si="285"/>
        <v/>
      </c>
      <c r="R397" s="135" t="str">
        <f t="shared" ca="1" si="286"/>
        <v/>
      </c>
      <c r="S397" s="134" t="str">
        <f t="shared" ca="1" si="287"/>
        <v/>
      </c>
      <c r="T397" s="134" t="str">
        <f ca="1">IF(S397=Dashboard!$D$12,S397,"")</f>
        <v/>
      </c>
      <c r="U397" s="134" t="str">
        <f t="shared" ca="1" si="288"/>
        <v/>
      </c>
      <c r="V397" s="83" t="str">
        <f ca="1">IF(U397="","",IFERROR((RANK(U397,$U$2:$U$2028,1)+COUNTIF($U$2:U397,U397))-1,""))</f>
        <v/>
      </c>
      <c r="W397" s="134" t="str">
        <f t="shared" si="292"/>
        <v/>
      </c>
      <c r="X397" s="134" t="str">
        <f>IF(W397="","",IFERROR((RANK(W397,$W$2:$W$2028,1)+COUNTIF($W$2:W397,W397))-1,""))</f>
        <v/>
      </c>
      <c r="Y397" s="134" t="str">
        <f t="shared" si="289"/>
        <v/>
      </c>
      <c r="Z397" s="134" t="str">
        <f>IF(Y397="","",IFERROR((RANK(Y397,$Y$2:$Y$2028,1)+COUNTIF($Y$2:Y397,Y397))-1,""))</f>
        <v/>
      </c>
      <c r="AA397" s="134" t="str">
        <f t="shared" si="290"/>
        <v/>
      </c>
      <c r="AB397" s="134" t="str">
        <f>IF(AA397="","",IFERROR((RANK(AA397,$AA$2:$AA$2028,1)+COUNTIF($AA$2:AA397,AA397))-1,""))</f>
        <v/>
      </c>
      <c r="AC397" s="134" t="str">
        <f t="shared" si="291"/>
        <v/>
      </c>
      <c r="AD397" s="134" t="str">
        <f>IF(AC397="","",IFERROR((RANK(AC397,$AC$2:$AC$2028,1)+COUNTIF($AC$2:AC397,AC397))-1,""))</f>
        <v/>
      </c>
      <c r="AE397" s="144" t="str">
        <f t="shared" si="295"/>
        <v/>
      </c>
      <c r="AF397" s="144" t="str">
        <f>IF(AE397="","",SUM($AE$2:AE397))</f>
        <v/>
      </c>
    </row>
    <row r="398" spans="14:32" x14ac:dyDescent="0.35">
      <c r="N398" s="134" t="str">
        <f t="shared" si="293"/>
        <v/>
      </c>
      <c r="O398" s="82" t="str">
        <f t="shared" si="284"/>
        <v/>
      </c>
      <c r="P398" s="81" t="str">
        <f t="shared" si="294"/>
        <v/>
      </c>
      <c r="Q398" s="81" t="str">
        <f t="shared" si="285"/>
        <v/>
      </c>
      <c r="R398" s="135" t="str">
        <f t="shared" ca="1" si="286"/>
        <v/>
      </c>
      <c r="S398" s="134" t="str">
        <f t="shared" ca="1" si="287"/>
        <v/>
      </c>
      <c r="T398" s="134" t="str">
        <f ca="1">IF(S398=Dashboard!$D$12,S398,"")</f>
        <v/>
      </c>
      <c r="U398" s="134" t="str">
        <f t="shared" ca="1" si="288"/>
        <v/>
      </c>
      <c r="V398" s="83" t="str">
        <f ca="1">IF(U398="","",IFERROR((RANK(U398,$U$2:$U$2028,1)+COUNTIF($U$2:U398,U398))-1,""))</f>
        <v/>
      </c>
      <c r="W398" s="134" t="str">
        <f t="shared" si="292"/>
        <v/>
      </c>
      <c r="X398" s="134" t="str">
        <f>IF(W398="","",IFERROR((RANK(W398,$W$2:$W$2028,1)+COUNTIF($W$2:W398,W398))-1,""))</f>
        <v/>
      </c>
      <c r="Y398" s="134" t="str">
        <f t="shared" si="289"/>
        <v/>
      </c>
      <c r="Z398" s="134" t="str">
        <f>IF(Y398="","",IFERROR((RANK(Y398,$Y$2:$Y$2028,1)+COUNTIF($Y$2:Y398,Y398))-1,""))</f>
        <v/>
      </c>
      <c r="AA398" s="134" t="str">
        <f t="shared" si="290"/>
        <v/>
      </c>
      <c r="AB398" s="134" t="str">
        <f>IF(AA398="","",IFERROR((RANK(AA398,$AA$2:$AA$2028,1)+COUNTIF($AA$2:AA398,AA398))-1,""))</f>
        <v/>
      </c>
      <c r="AC398" s="134" t="str">
        <f t="shared" si="291"/>
        <v/>
      </c>
      <c r="AD398" s="134" t="str">
        <f>IF(AC398="","",IFERROR((RANK(AC398,$AC$2:$AC$2028,1)+COUNTIF($AC$2:AC398,AC398))-1,""))</f>
        <v/>
      </c>
      <c r="AE398" s="144" t="str">
        <f t="shared" si="295"/>
        <v/>
      </c>
      <c r="AF398" s="144" t="str">
        <f>IF(AE398="","",SUM($AE$2:AE398))</f>
        <v/>
      </c>
    </row>
    <row r="399" spans="14:32" x14ac:dyDescent="0.35">
      <c r="N399" s="134" t="str">
        <f t="shared" si="293"/>
        <v/>
      </c>
      <c r="O399" s="82" t="str">
        <f t="shared" si="284"/>
        <v/>
      </c>
      <c r="P399" s="81" t="str">
        <f t="shared" si="294"/>
        <v/>
      </c>
      <c r="Q399" s="81" t="str">
        <f t="shared" si="285"/>
        <v/>
      </c>
      <c r="R399" s="135" t="str">
        <f t="shared" ca="1" si="286"/>
        <v/>
      </c>
      <c r="S399" s="134" t="str">
        <f t="shared" ca="1" si="287"/>
        <v/>
      </c>
      <c r="T399" s="134" t="str">
        <f ca="1">IF(S399=Dashboard!$D$12,S399,"")</f>
        <v/>
      </c>
      <c r="U399" s="134" t="str">
        <f t="shared" ca="1" si="288"/>
        <v/>
      </c>
      <c r="V399" s="83" t="str">
        <f ca="1">IF(U399="","",IFERROR((RANK(U399,$U$2:$U$2028,1)+COUNTIF($U$2:U399,U399))-1,""))</f>
        <v/>
      </c>
      <c r="W399" s="134" t="str">
        <f t="shared" si="292"/>
        <v/>
      </c>
      <c r="X399" s="134" t="str">
        <f>IF(W399="","",IFERROR((RANK(W399,$W$2:$W$2028,1)+COUNTIF($W$2:W399,W399))-1,""))</f>
        <v/>
      </c>
      <c r="Y399" s="134" t="str">
        <f t="shared" si="289"/>
        <v/>
      </c>
      <c r="Z399" s="134" t="str">
        <f>IF(Y399="","",IFERROR((RANK(Y399,$Y$2:$Y$2028,1)+COUNTIF($Y$2:Y399,Y399))-1,""))</f>
        <v/>
      </c>
      <c r="AA399" s="134" t="str">
        <f t="shared" si="290"/>
        <v/>
      </c>
      <c r="AB399" s="134" t="str">
        <f>IF(AA399="","",IFERROR((RANK(AA399,$AA$2:$AA$2028,1)+COUNTIF($AA$2:AA399,AA399))-1,""))</f>
        <v/>
      </c>
      <c r="AC399" s="134" t="str">
        <f t="shared" si="291"/>
        <v/>
      </c>
      <c r="AD399" s="134" t="str">
        <f>IF(AC399="","",IFERROR((RANK(AC399,$AC$2:$AC$2028,1)+COUNTIF($AC$2:AC399,AC399))-1,""))</f>
        <v/>
      </c>
      <c r="AE399" s="144" t="str">
        <f t="shared" si="295"/>
        <v/>
      </c>
      <c r="AF399" s="144" t="str">
        <f>IF(AE399="","",SUM($AE$2:AE399))</f>
        <v/>
      </c>
    </row>
    <row r="400" spans="14:32" x14ac:dyDescent="0.35">
      <c r="N400" s="134" t="str">
        <f t="shared" si="293"/>
        <v/>
      </c>
      <c r="O400" s="82" t="str">
        <f t="shared" si="284"/>
        <v/>
      </c>
      <c r="P400" s="81" t="str">
        <f t="shared" si="294"/>
        <v/>
      </c>
      <c r="Q400" s="81" t="str">
        <f t="shared" si="285"/>
        <v/>
      </c>
      <c r="R400" s="135" t="str">
        <f t="shared" ca="1" si="286"/>
        <v/>
      </c>
      <c r="S400" s="134" t="str">
        <f t="shared" ca="1" si="287"/>
        <v/>
      </c>
      <c r="T400" s="134" t="str">
        <f ca="1">IF(S400=Dashboard!$D$12,S400,"")</f>
        <v/>
      </c>
      <c r="U400" s="134" t="str">
        <f t="shared" ca="1" si="288"/>
        <v/>
      </c>
      <c r="V400" s="83" t="str">
        <f ca="1">IF(U400="","",IFERROR((RANK(U400,$U$2:$U$2028,1)+COUNTIF($U$2:U400,U400))-1,""))</f>
        <v/>
      </c>
      <c r="W400" s="134" t="str">
        <f t="shared" si="292"/>
        <v/>
      </c>
      <c r="X400" s="134" t="str">
        <f>IF(W400="","",IFERROR((RANK(W400,$W$2:$W$2028,1)+COUNTIF($W$2:W400,W400))-1,""))</f>
        <v/>
      </c>
      <c r="Y400" s="134" t="str">
        <f t="shared" si="289"/>
        <v/>
      </c>
      <c r="Z400" s="134" t="str">
        <f>IF(Y400="","",IFERROR((RANK(Y400,$Y$2:$Y$2028,1)+COUNTIF($Y$2:Y400,Y400))-1,""))</f>
        <v/>
      </c>
      <c r="AA400" s="134" t="str">
        <f t="shared" si="290"/>
        <v/>
      </c>
      <c r="AB400" s="134" t="str">
        <f>IF(AA400="","",IFERROR((RANK(AA400,$AA$2:$AA$2028,1)+COUNTIF($AA$2:AA400,AA400))-1,""))</f>
        <v/>
      </c>
      <c r="AC400" s="134" t="str">
        <f t="shared" si="291"/>
        <v/>
      </c>
      <c r="AD400" s="134" t="str">
        <f>IF(AC400="","",IFERROR((RANK(AC400,$AC$2:$AC$2028,1)+COUNTIF($AC$2:AC400,AC400))-1,""))</f>
        <v/>
      </c>
      <c r="AE400" s="144" t="str">
        <f t="shared" si="295"/>
        <v/>
      </c>
      <c r="AF400" s="144" t="str">
        <f>IF(AE400="","",SUM($AE$2:AE400))</f>
        <v/>
      </c>
    </row>
    <row r="401" spans="14:32" x14ac:dyDescent="0.35">
      <c r="N401" s="134" t="str">
        <f t="shared" si="293"/>
        <v/>
      </c>
      <c r="O401" s="82" t="str">
        <f t="shared" si="284"/>
        <v/>
      </c>
      <c r="P401" s="81" t="str">
        <f t="shared" si="294"/>
        <v/>
      </c>
      <c r="Q401" s="81" t="str">
        <f t="shared" si="285"/>
        <v/>
      </c>
      <c r="R401" s="135" t="str">
        <f t="shared" ca="1" si="286"/>
        <v/>
      </c>
      <c r="S401" s="134" t="str">
        <f t="shared" ca="1" si="287"/>
        <v/>
      </c>
      <c r="T401" s="134" t="str">
        <f ca="1">IF(S401=Dashboard!$D$12,S401,"")</f>
        <v/>
      </c>
      <c r="U401" s="134" t="str">
        <f t="shared" ca="1" si="288"/>
        <v/>
      </c>
      <c r="V401" s="83" t="str">
        <f ca="1">IF(U401="","",IFERROR((RANK(U401,$U$2:$U$2028,1)+COUNTIF($U$2:U401,U401))-1,""))</f>
        <v/>
      </c>
      <c r="W401" s="134" t="str">
        <f t="shared" si="292"/>
        <v/>
      </c>
      <c r="X401" s="134" t="str">
        <f>IF(W401="","",IFERROR((RANK(W401,$W$2:$W$2028,1)+COUNTIF($W$2:W401,W401))-1,""))</f>
        <v/>
      </c>
      <c r="Y401" s="134" t="str">
        <f t="shared" si="289"/>
        <v/>
      </c>
      <c r="Z401" s="134" t="str">
        <f>IF(Y401="","",IFERROR((RANK(Y401,$Y$2:$Y$2028,1)+COUNTIF($Y$2:Y401,Y401))-1,""))</f>
        <v/>
      </c>
      <c r="AA401" s="134" t="str">
        <f t="shared" si="290"/>
        <v/>
      </c>
      <c r="AB401" s="134" t="str">
        <f>IF(AA401="","",IFERROR((RANK(AA401,$AA$2:$AA$2028,1)+COUNTIF($AA$2:AA401,AA401))-1,""))</f>
        <v/>
      </c>
      <c r="AC401" s="134" t="str">
        <f t="shared" si="291"/>
        <v/>
      </c>
      <c r="AD401" s="134" t="str">
        <f>IF(AC401="","",IFERROR((RANK(AC401,$AC$2:$AC$2028,1)+COUNTIF($AC$2:AC401,AC401))-1,""))</f>
        <v/>
      </c>
      <c r="AE401" s="144" t="str">
        <f t="shared" si="295"/>
        <v/>
      </c>
      <c r="AF401" s="144" t="str">
        <f>IF(AE401="","",SUM($AE$2:AE401))</f>
        <v/>
      </c>
    </row>
    <row r="402" spans="14:32" x14ac:dyDescent="0.35">
      <c r="N402" s="134" t="str">
        <f t="shared" si="293"/>
        <v/>
      </c>
      <c r="O402" s="82" t="str">
        <f t="shared" si="284"/>
        <v/>
      </c>
      <c r="P402" s="81" t="str">
        <f t="shared" si="294"/>
        <v/>
      </c>
      <c r="Q402" s="81" t="str">
        <f t="shared" si="285"/>
        <v/>
      </c>
      <c r="R402" s="135" t="str">
        <f t="shared" ca="1" si="286"/>
        <v/>
      </c>
      <c r="S402" s="134" t="str">
        <f t="shared" ca="1" si="287"/>
        <v/>
      </c>
      <c r="T402" s="134" t="str">
        <f ca="1">IF(S402=Dashboard!$D$12,S402,"")</f>
        <v/>
      </c>
      <c r="U402" s="134" t="str">
        <f t="shared" ca="1" si="288"/>
        <v/>
      </c>
      <c r="V402" s="83" t="str">
        <f ca="1">IF(U402="","",IFERROR((RANK(U402,$U$2:$U$2028,1)+COUNTIF($U$2:U402,U402))-1,""))</f>
        <v/>
      </c>
      <c r="W402" s="134" t="str">
        <f t="shared" si="292"/>
        <v/>
      </c>
      <c r="X402" s="134" t="str">
        <f>IF(W402="","",IFERROR((RANK(W402,$W$2:$W$2028,1)+COUNTIF($W$2:W402,W402))-1,""))</f>
        <v/>
      </c>
      <c r="Y402" s="134" t="str">
        <f t="shared" si="289"/>
        <v/>
      </c>
      <c r="Z402" s="134" t="str">
        <f>IF(Y402="","",IFERROR((RANK(Y402,$Y$2:$Y$2028,1)+COUNTIF($Y$2:Y402,Y402))-1,""))</f>
        <v/>
      </c>
      <c r="AA402" s="134" t="str">
        <f t="shared" si="290"/>
        <v/>
      </c>
      <c r="AB402" s="134" t="str">
        <f>IF(AA402="","",IFERROR((RANK(AA402,$AA$2:$AA$2028,1)+COUNTIF($AA$2:AA402,AA402))-1,""))</f>
        <v/>
      </c>
      <c r="AC402" s="134" t="str">
        <f t="shared" si="291"/>
        <v/>
      </c>
      <c r="AD402" s="134" t="str">
        <f>IF(AC402="","",IFERROR((RANK(AC402,$AC$2:$AC$2028,1)+COUNTIF($AC$2:AC402,AC402))-1,""))</f>
        <v/>
      </c>
      <c r="AE402" s="144" t="str">
        <f t="shared" si="295"/>
        <v/>
      </c>
      <c r="AF402" s="144" t="str">
        <f>IF(AE402="","",SUM($AE$2:AE402))</f>
        <v/>
      </c>
    </row>
    <row r="403" spans="14:32" x14ac:dyDescent="0.35">
      <c r="N403" s="134" t="str">
        <f t="shared" si="293"/>
        <v/>
      </c>
      <c r="O403" s="82" t="str">
        <f t="shared" si="284"/>
        <v/>
      </c>
      <c r="P403" s="81" t="str">
        <f t="shared" si="294"/>
        <v/>
      </c>
      <c r="Q403" s="81" t="str">
        <f t="shared" si="285"/>
        <v/>
      </c>
      <c r="R403" s="135" t="str">
        <f t="shared" ca="1" si="286"/>
        <v/>
      </c>
      <c r="S403" s="134" t="str">
        <f t="shared" ca="1" si="287"/>
        <v/>
      </c>
      <c r="T403" s="134" t="str">
        <f ca="1">IF(S403=Dashboard!$D$12,S403,"")</f>
        <v/>
      </c>
      <c r="U403" s="134" t="str">
        <f t="shared" ca="1" si="288"/>
        <v/>
      </c>
      <c r="V403" s="83" t="str">
        <f ca="1">IF(U403="","",IFERROR((RANK(U403,$U$2:$U$2028,1)+COUNTIF($U$2:U403,U403))-1,""))</f>
        <v/>
      </c>
      <c r="W403" s="134" t="str">
        <f t="shared" si="292"/>
        <v/>
      </c>
      <c r="X403" s="134" t="str">
        <f>IF(W403="","",IFERROR((RANK(W403,$W$2:$W$2028,1)+COUNTIF($W$2:W403,W403))-1,""))</f>
        <v/>
      </c>
      <c r="Y403" s="134" t="str">
        <f t="shared" si="289"/>
        <v/>
      </c>
      <c r="Z403" s="134" t="str">
        <f>IF(Y403="","",IFERROR((RANK(Y403,$Y$2:$Y$2028,1)+COUNTIF($Y$2:Y403,Y403))-1,""))</f>
        <v/>
      </c>
      <c r="AA403" s="134" t="str">
        <f t="shared" si="290"/>
        <v/>
      </c>
      <c r="AB403" s="134" t="str">
        <f>IF(AA403="","",IFERROR((RANK(AA403,$AA$2:$AA$2028,1)+COUNTIF($AA$2:AA403,AA403))-1,""))</f>
        <v/>
      </c>
      <c r="AC403" s="134" t="str">
        <f t="shared" si="291"/>
        <v/>
      </c>
      <c r="AD403" s="134" t="str">
        <f>IF(AC403="","",IFERROR((RANK(AC403,$AC$2:$AC$2028,1)+COUNTIF($AC$2:AC403,AC403))-1,""))</f>
        <v/>
      </c>
      <c r="AE403" s="144" t="str">
        <f t="shared" si="295"/>
        <v/>
      </c>
      <c r="AF403" s="144" t="str">
        <f>IF(AE403="","",SUM($AE$2:AE403))</f>
        <v/>
      </c>
    </row>
    <row r="404" spans="14:32" x14ac:dyDescent="0.35">
      <c r="N404" s="134" t="str">
        <f t="shared" si="293"/>
        <v/>
      </c>
      <c r="O404" s="82" t="str">
        <f t="shared" si="284"/>
        <v/>
      </c>
      <c r="P404" s="81" t="str">
        <f t="shared" si="294"/>
        <v/>
      </c>
      <c r="Q404" s="81" t="str">
        <f t="shared" si="285"/>
        <v/>
      </c>
      <c r="R404" s="135" t="str">
        <f t="shared" ca="1" si="286"/>
        <v/>
      </c>
      <c r="S404" s="134" t="str">
        <f t="shared" ca="1" si="287"/>
        <v/>
      </c>
      <c r="T404" s="134" t="str">
        <f ca="1">IF(S404=Dashboard!$D$12,S404,"")</f>
        <v/>
      </c>
      <c r="U404" s="134" t="str">
        <f t="shared" ca="1" si="288"/>
        <v/>
      </c>
      <c r="V404" s="83" t="str">
        <f ca="1">IF(U404="","",IFERROR((RANK(U404,$U$2:$U$2028,1)+COUNTIF($U$2:U404,U404))-1,""))</f>
        <v/>
      </c>
      <c r="W404" s="134" t="str">
        <f t="shared" si="292"/>
        <v/>
      </c>
      <c r="X404" s="134" t="str">
        <f>IF(W404="","",IFERROR((RANK(W404,$W$2:$W$2028,1)+COUNTIF($W$2:W404,W404))-1,""))</f>
        <v/>
      </c>
      <c r="Y404" s="134" t="str">
        <f t="shared" si="289"/>
        <v/>
      </c>
      <c r="Z404" s="134" t="str">
        <f>IF(Y404="","",IFERROR((RANK(Y404,$Y$2:$Y$2028,1)+COUNTIF($Y$2:Y404,Y404))-1,""))</f>
        <v/>
      </c>
      <c r="AA404" s="134" t="str">
        <f t="shared" si="290"/>
        <v/>
      </c>
      <c r="AB404" s="134" t="str">
        <f>IF(AA404="","",IFERROR((RANK(AA404,$AA$2:$AA$2028,1)+COUNTIF($AA$2:AA404,AA404))-1,""))</f>
        <v/>
      </c>
      <c r="AC404" s="134" t="str">
        <f t="shared" si="291"/>
        <v/>
      </c>
      <c r="AD404" s="134" t="str">
        <f>IF(AC404="","",IFERROR((RANK(AC404,$AC$2:$AC$2028,1)+COUNTIF($AC$2:AC404,AC404))-1,""))</f>
        <v/>
      </c>
      <c r="AE404" s="144" t="str">
        <f t="shared" si="295"/>
        <v/>
      </c>
      <c r="AF404" s="144" t="str">
        <f>IF(AE404="","",SUM($AE$2:AE404))</f>
        <v/>
      </c>
    </row>
    <row r="405" spans="14:32" x14ac:dyDescent="0.35">
      <c r="N405" s="134" t="str">
        <f t="shared" si="293"/>
        <v/>
      </c>
      <c r="O405" s="82" t="str">
        <f t="shared" si="284"/>
        <v/>
      </c>
      <c r="P405" s="81" t="str">
        <f t="shared" si="294"/>
        <v/>
      </c>
      <c r="Q405" s="81" t="str">
        <f t="shared" si="285"/>
        <v/>
      </c>
      <c r="R405" s="135" t="str">
        <f t="shared" ca="1" si="286"/>
        <v/>
      </c>
      <c r="S405" s="134" t="str">
        <f t="shared" ca="1" si="287"/>
        <v/>
      </c>
      <c r="T405" s="134" t="str">
        <f ca="1">IF(S405=Dashboard!$D$12,S405,"")</f>
        <v/>
      </c>
      <c r="U405" s="134" t="str">
        <f t="shared" ca="1" si="288"/>
        <v/>
      </c>
      <c r="V405" s="83" t="str">
        <f ca="1">IF(U405="","",IFERROR((RANK(U405,$U$2:$U$2028,1)+COUNTIF($U$2:U405,U405))-1,""))</f>
        <v/>
      </c>
      <c r="W405" s="134" t="str">
        <f t="shared" si="292"/>
        <v/>
      </c>
      <c r="X405" s="134" t="str">
        <f>IF(W405="","",IFERROR((RANK(W405,$W$2:$W$2028,1)+COUNTIF($W$2:W405,W405))-1,""))</f>
        <v/>
      </c>
      <c r="Y405" s="134" t="str">
        <f t="shared" si="289"/>
        <v/>
      </c>
      <c r="Z405" s="134" t="str">
        <f>IF(Y405="","",IFERROR((RANK(Y405,$Y$2:$Y$2028,1)+COUNTIF($Y$2:Y405,Y405))-1,""))</f>
        <v/>
      </c>
      <c r="AA405" s="134" t="str">
        <f t="shared" si="290"/>
        <v/>
      </c>
      <c r="AB405" s="134" t="str">
        <f>IF(AA405="","",IFERROR((RANK(AA405,$AA$2:$AA$2028,1)+COUNTIF($AA$2:AA405,AA405))-1,""))</f>
        <v/>
      </c>
      <c r="AC405" s="134" t="str">
        <f t="shared" si="291"/>
        <v/>
      </c>
      <c r="AD405" s="134" t="str">
        <f>IF(AC405="","",IFERROR((RANK(AC405,$AC$2:$AC$2028,1)+COUNTIF($AC$2:AC405,AC405))-1,""))</f>
        <v/>
      </c>
      <c r="AE405" s="144" t="str">
        <f t="shared" si="295"/>
        <v/>
      </c>
      <c r="AF405" s="144" t="str">
        <f>IF(AE405="","",SUM($AE$2:AE405))</f>
        <v/>
      </c>
    </row>
    <row r="406" spans="14:32" x14ac:dyDescent="0.35">
      <c r="N406" s="134" t="str">
        <f t="shared" si="293"/>
        <v/>
      </c>
      <c r="O406" s="82" t="str">
        <f t="shared" si="284"/>
        <v/>
      </c>
      <c r="P406" s="81" t="str">
        <f t="shared" si="294"/>
        <v/>
      </c>
      <c r="Q406" s="81" t="str">
        <f t="shared" si="285"/>
        <v/>
      </c>
      <c r="R406" s="135" t="str">
        <f t="shared" ca="1" si="286"/>
        <v/>
      </c>
      <c r="S406" s="134" t="str">
        <f t="shared" ca="1" si="287"/>
        <v/>
      </c>
      <c r="T406" s="134" t="str">
        <f ca="1">IF(S406=Dashboard!$D$12,S406,"")</f>
        <v/>
      </c>
      <c r="U406" s="134" t="str">
        <f t="shared" ca="1" si="288"/>
        <v/>
      </c>
      <c r="V406" s="83" t="str">
        <f ca="1">IF(U406="","",IFERROR((RANK(U406,$U$2:$U$2028,1)+COUNTIF($U$2:U406,U406))-1,""))</f>
        <v/>
      </c>
      <c r="W406" s="134" t="str">
        <f t="shared" si="292"/>
        <v/>
      </c>
      <c r="X406" s="134" t="str">
        <f>IF(W406="","",IFERROR((RANK(W406,$W$2:$W$2028,1)+COUNTIF($W$2:W406,W406))-1,""))</f>
        <v/>
      </c>
      <c r="Y406" s="134" t="str">
        <f t="shared" si="289"/>
        <v/>
      </c>
      <c r="Z406" s="134" t="str">
        <f>IF(Y406="","",IFERROR((RANK(Y406,$Y$2:$Y$2028,1)+COUNTIF($Y$2:Y406,Y406))-1,""))</f>
        <v/>
      </c>
      <c r="AA406" s="134" t="str">
        <f t="shared" si="290"/>
        <v/>
      </c>
      <c r="AB406" s="134" t="str">
        <f>IF(AA406="","",IFERROR((RANK(AA406,$AA$2:$AA$2028,1)+COUNTIF($AA$2:AA406,AA406))-1,""))</f>
        <v/>
      </c>
      <c r="AC406" s="134" t="str">
        <f t="shared" si="291"/>
        <v/>
      </c>
      <c r="AD406" s="134" t="str">
        <f>IF(AC406="","",IFERROR((RANK(AC406,$AC$2:$AC$2028,1)+COUNTIF($AC$2:AC406,AC406))-1,""))</f>
        <v/>
      </c>
      <c r="AE406" s="144" t="str">
        <f t="shared" si="295"/>
        <v/>
      </c>
      <c r="AF406" s="144" t="str">
        <f>IF(AE406="","",SUM($AE$2:AE406))</f>
        <v/>
      </c>
    </row>
    <row r="407" spans="14:32" x14ac:dyDescent="0.35">
      <c r="N407" s="134" t="str">
        <f t="shared" si="293"/>
        <v/>
      </c>
      <c r="O407" s="82" t="str">
        <f t="shared" si="284"/>
        <v/>
      </c>
      <c r="P407" s="81" t="str">
        <f t="shared" si="294"/>
        <v/>
      </c>
      <c r="Q407" s="81" t="str">
        <f t="shared" si="285"/>
        <v/>
      </c>
      <c r="R407" s="135" t="str">
        <f t="shared" ca="1" si="286"/>
        <v/>
      </c>
      <c r="S407" s="134" t="str">
        <f t="shared" ca="1" si="287"/>
        <v/>
      </c>
      <c r="T407" s="134" t="str">
        <f ca="1">IF(S407=Dashboard!$D$12,S407,"")</f>
        <v/>
      </c>
      <c r="U407" s="134" t="str">
        <f t="shared" ca="1" si="288"/>
        <v/>
      </c>
      <c r="V407" s="83" t="str">
        <f ca="1">IF(U407="","",IFERROR((RANK(U407,$U$2:$U$2028,1)+COUNTIF($U$2:U407,U407))-1,""))</f>
        <v/>
      </c>
      <c r="W407" s="134" t="str">
        <f t="shared" si="292"/>
        <v/>
      </c>
      <c r="X407" s="134" t="str">
        <f>IF(W407="","",IFERROR((RANK(W407,$W$2:$W$2028,1)+COUNTIF($W$2:W407,W407))-1,""))</f>
        <v/>
      </c>
      <c r="Y407" s="134" t="str">
        <f t="shared" si="289"/>
        <v/>
      </c>
      <c r="Z407" s="134" t="str">
        <f>IF(Y407="","",IFERROR((RANK(Y407,$Y$2:$Y$2028,1)+COUNTIF($Y$2:Y407,Y407))-1,""))</f>
        <v/>
      </c>
      <c r="AA407" s="134" t="str">
        <f t="shared" si="290"/>
        <v/>
      </c>
      <c r="AB407" s="134" t="str">
        <f>IF(AA407="","",IFERROR((RANK(AA407,$AA$2:$AA$2028,1)+COUNTIF($AA$2:AA407,AA407))-1,""))</f>
        <v/>
      </c>
      <c r="AC407" s="134" t="str">
        <f t="shared" si="291"/>
        <v/>
      </c>
      <c r="AD407" s="134" t="str">
        <f>IF(AC407="","",IFERROR((RANK(AC407,$AC$2:$AC$2028,1)+COUNTIF($AC$2:AC407,AC407))-1,""))</f>
        <v/>
      </c>
      <c r="AE407" s="144" t="str">
        <f t="shared" si="295"/>
        <v/>
      </c>
      <c r="AF407" s="144" t="str">
        <f>IF(AE407="","",SUM($AE$2:AE407))</f>
        <v/>
      </c>
    </row>
    <row r="408" spans="14:32" x14ac:dyDescent="0.35">
      <c r="N408" s="134" t="str">
        <f t="shared" si="293"/>
        <v/>
      </c>
      <c r="O408" s="82" t="str">
        <f t="shared" si="284"/>
        <v/>
      </c>
      <c r="P408" s="81" t="str">
        <f t="shared" si="294"/>
        <v/>
      </c>
      <c r="Q408" s="81" t="str">
        <f t="shared" si="285"/>
        <v/>
      </c>
      <c r="R408" s="135" t="str">
        <f t="shared" ca="1" si="286"/>
        <v/>
      </c>
      <c r="S408" s="134" t="str">
        <f t="shared" ca="1" si="287"/>
        <v/>
      </c>
      <c r="T408" s="134" t="str">
        <f ca="1">IF(S408=Dashboard!$D$12,S408,"")</f>
        <v/>
      </c>
      <c r="U408" s="134" t="str">
        <f t="shared" ca="1" si="288"/>
        <v/>
      </c>
      <c r="V408" s="83" t="str">
        <f ca="1">IF(U408="","",IFERROR((RANK(U408,$U$2:$U$2028,1)+COUNTIF($U$2:U408,U408))-1,""))</f>
        <v/>
      </c>
      <c r="W408" s="134" t="str">
        <f t="shared" si="292"/>
        <v/>
      </c>
      <c r="X408" s="134" t="str">
        <f>IF(W408="","",IFERROR((RANK(W408,$W$2:$W$2028,1)+COUNTIF($W$2:W408,W408))-1,""))</f>
        <v/>
      </c>
      <c r="Y408" s="134" t="str">
        <f t="shared" si="289"/>
        <v/>
      </c>
      <c r="Z408" s="134" t="str">
        <f>IF(Y408="","",IFERROR((RANK(Y408,$Y$2:$Y$2028,1)+COUNTIF($Y$2:Y408,Y408))-1,""))</f>
        <v/>
      </c>
      <c r="AA408" s="134" t="str">
        <f t="shared" si="290"/>
        <v/>
      </c>
      <c r="AB408" s="134" t="str">
        <f>IF(AA408="","",IFERROR((RANK(AA408,$AA$2:$AA$2028,1)+COUNTIF($AA$2:AA408,AA408))-1,""))</f>
        <v/>
      </c>
      <c r="AC408" s="134" t="str">
        <f t="shared" si="291"/>
        <v/>
      </c>
      <c r="AD408" s="134" t="str">
        <f>IF(AC408="","",IFERROR((RANK(AC408,$AC$2:$AC$2028,1)+COUNTIF($AC$2:AC408,AC408))-1,""))</f>
        <v/>
      </c>
      <c r="AE408" s="144" t="str">
        <f t="shared" si="295"/>
        <v/>
      </c>
      <c r="AF408" s="144" t="str">
        <f>IF(AE408="","",SUM($AE$2:AE408))</f>
        <v/>
      </c>
    </row>
    <row r="409" spans="14:32" x14ac:dyDescent="0.35">
      <c r="N409" s="134" t="str">
        <f t="shared" si="293"/>
        <v/>
      </c>
      <c r="O409" s="82" t="str">
        <f t="shared" si="284"/>
        <v/>
      </c>
      <c r="P409" s="81" t="str">
        <f t="shared" si="294"/>
        <v/>
      </c>
      <c r="Q409" s="81" t="str">
        <f t="shared" si="285"/>
        <v/>
      </c>
      <c r="R409" s="135" t="str">
        <f t="shared" ca="1" si="286"/>
        <v/>
      </c>
      <c r="S409" s="134" t="str">
        <f t="shared" ca="1" si="287"/>
        <v/>
      </c>
      <c r="T409" s="134" t="str">
        <f ca="1">IF(S409=Dashboard!$D$12,S409,"")</f>
        <v/>
      </c>
      <c r="U409" s="134" t="str">
        <f t="shared" ca="1" si="288"/>
        <v/>
      </c>
      <c r="V409" s="83" t="str">
        <f ca="1">IF(U409="","",IFERROR((RANK(U409,$U$2:$U$2028,1)+COUNTIF($U$2:U409,U409))-1,""))</f>
        <v/>
      </c>
      <c r="W409" s="134" t="str">
        <f t="shared" si="292"/>
        <v/>
      </c>
      <c r="X409" s="134" t="str">
        <f>IF(W409="","",IFERROR((RANK(W409,$W$2:$W$2028,1)+COUNTIF($W$2:W409,W409))-1,""))</f>
        <v/>
      </c>
      <c r="Y409" s="134" t="str">
        <f t="shared" si="289"/>
        <v/>
      </c>
      <c r="Z409" s="134" t="str">
        <f>IF(Y409="","",IFERROR((RANK(Y409,$Y$2:$Y$2028,1)+COUNTIF($Y$2:Y409,Y409))-1,""))</f>
        <v/>
      </c>
      <c r="AA409" s="134" t="str">
        <f t="shared" si="290"/>
        <v/>
      </c>
      <c r="AB409" s="134" t="str">
        <f>IF(AA409="","",IFERROR((RANK(AA409,$AA$2:$AA$2028,1)+COUNTIF($AA$2:AA409,AA409))-1,""))</f>
        <v/>
      </c>
      <c r="AC409" s="134" t="str">
        <f t="shared" si="291"/>
        <v/>
      </c>
      <c r="AD409" s="134" t="str">
        <f>IF(AC409="","",IFERROR((RANK(AC409,$AC$2:$AC$2028,1)+COUNTIF($AC$2:AC409,AC409))-1,""))</f>
        <v/>
      </c>
      <c r="AE409" s="144" t="str">
        <f t="shared" si="295"/>
        <v/>
      </c>
      <c r="AF409" s="144" t="str">
        <f>IF(AE409="","",SUM($AE$2:AE409))</f>
        <v/>
      </c>
    </row>
    <row r="410" spans="14:32" x14ac:dyDescent="0.35">
      <c r="N410" s="134" t="str">
        <f t="shared" si="293"/>
        <v/>
      </c>
      <c r="O410" s="82" t="str">
        <f t="shared" si="284"/>
        <v/>
      </c>
      <c r="P410" s="81" t="str">
        <f t="shared" si="294"/>
        <v/>
      </c>
      <c r="Q410" s="81" t="str">
        <f t="shared" si="285"/>
        <v/>
      </c>
      <c r="R410" s="135" t="str">
        <f t="shared" ca="1" si="286"/>
        <v/>
      </c>
      <c r="S410" s="134" t="str">
        <f t="shared" ca="1" si="287"/>
        <v/>
      </c>
      <c r="T410" s="134" t="str">
        <f ca="1">IF(S410=Dashboard!$D$12,S410,"")</f>
        <v/>
      </c>
      <c r="U410" s="134" t="str">
        <f t="shared" ca="1" si="288"/>
        <v/>
      </c>
      <c r="V410" s="83" t="str">
        <f ca="1">IF(U410="","",IFERROR((RANK(U410,$U$2:$U$2028,1)+COUNTIF($U$2:U410,U410))-1,""))</f>
        <v/>
      </c>
      <c r="W410" s="134" t="str">
        <f t="shared" si="292"/>
        <v/>
      </c>
      <c r="X410" s="134" t="str">
        <f>IF(W410="","",IFERROR((RANK(W410,$W$2:$W$2028,1)+COUNTIF($W$2:W410,W410))-1,""))</f>
        <v/>
      </c>
      <c r="Y410" s="134" t="str">
        <f t="shared" si="289"/>
        <v/>
      </c>
      <c r="Z410" s="134" t="str">
        <f>IF(Y410="","",IFERROR((RANK(Y410,$Y$2:$Y$2028,1)+COUNTIF($Y$2:Y410,Y410))-1,""))</f>
        <v/>
      </c>
      <c r="AA410" s="134" t="str">
        <f t="shared" si="290"/>
        <v/>
      </c>
      <c r="AB410" s="134" t="str">
        <f>IF(AA410="","",IFERROR((RANK(AA410,$AA$2:$AA$2028,1)+COUNTIF($AA$2:AA410,AA410))-1,""))</f>
        <v/>
      </c>
      <c r="AC410" s="134" t="str">
        <f t="shared" si="291"/>
        <v/>
      </c>
      <c r="AD410" s="134" t="str">
        <f>IF(AC410="","",IFERROR((RANK(AC410,$AC$2:$AC$2028,1)+COUNTIF($AC$2:AC410,AC410))-1,""))</f>
        <v/>
      </c>
      <c r="AE410" s="144" t="str">
        <f t="shared" si="295"/>
        <v/>
      </c>
      <c r="AF410" s="144" t="str">
        <f>IF(AE410="","",SUM($AE$2:AE410))</f>
        <v/>
      </c>
    </row>
    <row r="411" spans="14:32" x14ac:dyDescent="0.35">
      <c r="N411" s="134" t="str">
        <f t="shared" si="293"/>
        <v/>
      </c>
      <c r="O411" s="82" t="str">
        <f t="shared" si="284"/>
        <v/>
      </c>
      <c r="P411" s="81" t="str">
        <f t="shared" si="294"/>
        <v/>
      </c>
      <c r="Q411" s="81" t="str">
        <f t="shared" si="285"/>
        <v/>
      </c>
      <c r="R411" s="135" t="str">
        <f t="shared" ca="1" si="286"/>
        <v/>
      </c>
      <c r="S411" s="134" t="str">
        <f t="shared" ca="1" si="287"/>
        <v/>
      </c>
      <c r="T411" s="134" t="str">
        <f ca="1">IF(S411=Dashboard!$D$12,S411,"")</f>
        <v/>
      </c>
      <c r="U411" s="134" t="str">
        <f t="shared" ca="1" si="288"/>
        <v/>
      </c>
      <c r="V411" s="83" t="str">
        <f ca="1">IF(U411="","",IFERROR((RANK(U411,$U$2:$U$2028,1)+COUNTIF($U$2:U411,U411))-1,""))</f>
        <v/>
      </c>
      <c r="W411" s="134" t="str">
        <f t="shared" si="292"/>
        <v/>
      </c>
      <c r="X411" s="134" t="str">
        <f>IF(W411="","",IFERROR((RANK(W411,$W$2:$W$2028,1)+COUNTIF($W$2:W411,W411))-1,""))</f>
        <v/>
      </c>
      <c r="Y411" s="134" t="str">
        <f t="shared" si="289"/>
        <v/>
      </c>
      <c r="Z411" s="134" t="str">
        <f>IF(Y411="","",IFERROR((RANK(Y411,$Y$2:$Y$2028,1)+COUNTIF($Y$2:Y411,Y411))-1,""))</f>
        <v/>
      </c>
      <c r="AA411" s="134" t="str">
        <f t="shared" si="290"/>
        <v/>
      </c>
      <c r="AB411" s="134" t="str">
        <f>IF(AA411="","",IFERROR((RANK(AA411,$AA$2:$AA$2028,1)+COUNTIF($AA$2:AA411,AA411))-1,""))</f>
        <v/>
      </c>
      <c r="AC411" s="134" t="str">
        <f t="shared" si="291"/>
        <v/>
      </c>
      <c r="AD411" s="134" t="str">
        <f>IF(AC411="","",IFERROR((RANK(AC411,$AC$2:$AC$2028,1)+COUNTIF($AC$2:AC411,AC411))-1,""))</f>
        <v/>
      </c>
      <c r="AE411" s="144" t="str">
        <f t="shared" si="295"/>
        <v/>
      </c>
      <c r="AF411" s="144" t="str">
        <f>IF(AE411="","",SUM($AE$2:AE411))</f>
        <v/>
      </c>
    </row>
    <row r="412" spans="14:32" x14ac:dyDescent="0.35">
      <c r="N412" s="134" t="str">
        <f t="shared" si="293"/>
        <v/>
      </c>
      <c r="O412" s="82" t="str">
        <f t="shared" si="284"/>
        <v/>
      </c>
      <c r="P412" s="81" t="str">
        <f t="shared" si="294"/>
        <v/>
      </c>
      <c r="Q412" s="81" t="str">
        <f t="shared" si="285"/>
        <v/>
      </c>
      <c r="R412" s="135" t="str">
        <f t="shared" ca="1" si="286"/>
        <v/>
      </c>
      <c r="S412" s="134" t="str">
        <f t="shared" ca="1" si="287"/>
        <v/>
      </c>
      <c r="T412" s="134" t="str">
        <f ca="1">IF(S412=Dashboard!$D$12,S412,"")</f>
        <v/>
      </c>
      <c r="U412" s="134" t="str">
        <f t="shared" ca="1" si="288"/>
        <v/>
      </c>
      <c r="V412" s="83" t="str">
        <f ca="1">IF(U412="","",IFERROR((RANK(U412,$U$2:$U$2028,1)+COUNTIF($U$2:U412,U412))-1,""))</f>
        <v/>
      </c>
      <c r="W412" s="134" t="str">
        <f t="shared" si="292"/>
        <v/>
      </c>
      <c r="X412" s="134" t="str">
        <f>IF(W412="","",IFERROR((RANK(W412,$W$2:$W$2028,1)+COUNTIF($W$2:W412,W412))-1,""))</f>
        <v/>
      </c>
      <c r="Y412" s="134" t="str">
        <f t="shared" si="289"/>
        <v/>
      </c>
      <c r="Z412" s="134" t="str">
        <f>IF(Y412="","",IFERROR((RANK(Y412,$Y$2:$Y$2028,1)+COUNTIF($Y$2:Y412,Y412))-1,""))</f>
        <v/>
      </c>
      <c r="AA412" s="134" t="str">
        <f t="shared" si="290"/>
        <v/>
      </c>
      <c r="AB412" s="134" t="str">
        <f>IF(AA412="","",IFERROR((RANK(AA412,$AA$2:$AA$2028,1)+COUNTIF($AA$2:AA412,AA412))-1,""))</f>
        <v/>
      </c>
      <c r="AC412" s="134" t="str">
        <f t="shared" si="291"/>
        <v/>
      </c>
      <c r="AD412" s="134" t="str">
        <f>IF(AC412="","",IFERROR((RANK(AC412,$AC$2:$AC$2028,1)+COUNTIF($AC$2:AC412,AC412))-1,""))</f>
        <v/>
      </c>
      <c r="AE412" s="144" t="str">
        <f t="shared" si="295"/>
        <v/>
      </c>
      <c r="AF412" s="144" t="str">
        <f>IF(AE412="","",SUM($AE$2:AE412))</f>
        <v/>
      </c>
    </row>
    <row r="413" spans="14:32" x14ac:dyDescent="0.35">
      <c r="N413" s="134" t="str">
        <f t="shared" si="293"/>
        <v/>
      </c>
      <c r="O413" s="82" t="str">
        <f t="shared" si="284"/>
        <v/>
      </c>
      <c r="P413" s="81" t="str">
        <f t="shared" si="294"/>
        <v/>
      </c>
      <c r="Q413" s="81" t="str">
        <f t="shared" si="285"/>
        <v/>
      </c>
      <c r="R413" s="135" t="str">
        <f t="shared" ca="1" si="286"/>
        <v/>
      </c>
      <c r="S413" s="134" t="str">
        <f t="shared" ca="1" si="287"/>
        <v/>
      </c>
      <c r="T413" s="134" t="str">
        <f ca="1">IF(S413=Dashboard!$D$12,S413,"")</f>
        <v/>
      </c>
      <c r="U413" s="134" t="str">
        <f t="shared" ca="1" si="288"/>
        <v/>
      </c>
      <c r="V413" s="83" t="str">
        <f ca="1">IF(U413="","",IFERROR((RANK(U413,$U$2:$U$2028,1)+COUNTIF($U$2:U413,U413))-1,""))</f>
        <v/>
      </c>
      <c r="W413" s="134" t="str">
        <f t="shared" si="292"/>
        <v/>
      </c>
      <c r="X413" s="134" t="str">
        <f>IF(W413="","",IFERROR((RANK(W413,$W$2:$W$2028,1)+COUNTIF($W$2:W413,W413))-1,""))</f>
        <v/>
      </c>
      <c r="Y413" s="134" t="str">
        <f t="shared" si="289"/>
        <v/>
      </c>
      <c r="Z413" s="134" t="str">
        <f>IF(Y413="","",IFERROR((RANK(Y413,$Y$2:$Y$2028,1)+COUNTIF($Y$2:Y413,Y413))-1,""))</f>
        <v/>
      </c>
      <c r="AA413" s="134" t="str">
        <f t="shared" si="290"/>
        <v/>
      </c>
      <c r="AB413" s="134" t="str">
        <f>IF(AA413="","",IFERROR((RANK(AA413,$AA$2:$AA$2028,1)+COUNTIF($AA$2:AA413,AA413))-1,""))</f>
        <v/>
      </c>
      <c r="AC413" s="134" t="str">
        <f t="shared" si="291"/>
        <v/>
      </c>
      <c r="AD413" s="134" t="str">
        <f>IF(AC413="","",IFERROR((RANK(AC413,$AC$2:$AC$2028,1)+COUNTIF($AC$2:AC413,AC413))-1,""))</f>
        <v/>
      </c>
      <c r="AE413" s="144" t="str">
        <f t="shared" si="295"/>
        <v/>
      </c>
      <c r="AF413" s="144" t="str">
        <f>IF(AE413="","",SUM($AE$2:AE413))</f>
        <v/>
      </c>
    </row>
    <row r="414" spans="14:32" x14ac:dyDescent="0.35">
      <c r="N414" s="134" t="str">
        <f t="shared" si="293"/>
        <v/>
      </c>
      <c r="O414" s="82" t="str">
        <f t="shared" ref="O414:O477" si="296">IF(A414="","",N414&amp;"-"&amp;M414)</f>
        <v/>
      </c>
      <c r="P414" s="81" t="str">
        <f t="shared" si="294"/>
        <v/>
      </c>
      <c r="Q414" s="81" t="str">
        <f t="shared" ref="Q414:Q477" si="297">IF(A414="","",IF(P414=1,M414,""))</f>
        <v/>
      </c>
      <c r="R414" s="135" t="str">
        <f t="shared" ref="R414:R477" ca="1" si="298">IF(Q414="","",I414-TODAY())</f>
        <v/>
      </c>
      <c r="S414" s="134" t="str">
        <f t="shared" ref="S414:S477" ca="1" si="299">IF(R414="","",
IF(R414&lt;-90,"Pass&gt;90",IF(R414&lt;-60,"Pass 61-90",IF(R414&lt;-30,"Pass 31-60",IF(R414&lt;0,"Pass 0-30",IF(R414&lt;31,"Run 0-30",IF(R414&lt;61,"Run 31-60",IF(R414&lt;91,"Run 60-90","Run &gt;90"))))))))</f>
        <v/>
      </c>
      <c r="T414" s="134" t="str">
        <f ca="1">IF(S414=Dashboard!$D$12,S414,"")</f>
        <v/>
      </c>
      <c r="U414" s="134" t="str">
        <f t="shared" ref="U414:U477" ca="1" si="300">IF(T414="","",R414)</f>
        <v/>
      </c>
      <c r="V414" s="83" t="str">
        <f ca="1">IF(U414="","",IFERROR((RANK(U414,$U$2:$U$2028,1)+COUNTIF($U$2:U414,U414))-1,""))</f>
        <v/>
      </c>
      <c r="W414" s="134" t="str">
        <f t="shared" si="292"/>
        <v/>
      </c>
      <c r="X414" s="134" t="str">
        <f>IF(W414="","",IFERROR((RANK(W414,$W$2:$W$2028,1)+COUNTIF($W$2:W414,W414))-1,""))</f>
        <v/>
      </c>
      <c r="Y414" s="134" t="str">
        <f t="shared" ref="Y414:Y477" si="301">IF($J414=Y$1,$U414,"")</f>
        <v/>
      </c>
      <c r="Z414" s="134" t="str">
        <f>IF(Y414="","",IFERROR((RANK(Y414,$Y$2:$Y$2028,1)+COUNTIF($Y$2:Y414,Y414))-1,""))</f>
        <v/>
      </c>
      <c r="AA414" s="134" t="str">
        <f t="shared" ref="AA414:AA477" si="302">IF($J414=AA$1,$U414,"")</f>
        <v/>
      </c>
      <c r="AB414" s="134" t="str">
        <f>IF(AA414="","",IFERROR((RANK(AA414,$AA$2:$AA$2028,1)+COUNTIF($AA$2:AA414,AA414))-1,""))</f>
        <v/>
      </c>
      <c r="AC414" s="134" t="str">
        <f t="shared" ref="AC414:AC477" si="303">IF($J414=AC$1,$U414,"")</f>
        <v/>
      </c>
      <c r="AD414" s="134" t="str">
        <f>IF(AC414="","",IFERROR((RANK(AC414,$AC$2:$AC$2028,1)+COUNTIF($AC$2:AC414,AC414))-1,""))</f>
        <v/>
      </c>
      <c r="AE414" s="144" t="str">
        <f t="shared" si="295"/>
        <v/>
      </c>
      <c r="AF414" s="144" t="str">
        <f>IF(AE414="","",SUM($AE$2:AE414))</f>
        <v/>
      </c>
    </row>
    <row r="415" spans="14:32" x14ac:dyDescent="0.35">
      <c r="N415" s="134" t="str">
        <f t="shared" si="293"/>
        <v/>
      </c>
      <c r="O415" s="82" t="str">
        <f t="shared" si="296"/>
        <v/>
      </c>
      <c r="P415" s="81" t="str">
        <f t="shared" si="294"/>
        <v/>
      </c>
      <c r="Q415" s="81" t="str">
        <f t="shared" si="297"/>
        <v/>
      </c>
      <c r="R415" s="135" t="str">
        <f t="shared" ca="1" si="298"/>
        <v/>
      </c>
      <c r="S415" s="134" t="str">
        <f t="shared" ca="1" si="299"/>
        <v/>
      </c>
      <c r="T415" s="134" t="str">
        <f ca="1">IF(S415=Dashboard!$D$12,S415,"")</f>
        <v/>
      </c>
      <c r="U415" s="134" t="str">
        <f t="shared" ca="1" si="300"/>
        <v/>
      </c>
      <c r="V415" s="83" t="str">
        <f ca="1">IF(U415="","",IFERROR((RANK(U415,$U$2:$U$2028,1)+COUNTIF($U$2:U415,U415))-1,""))</f>
        <v/>
      </c>
      <c r="W415" s="134" t="str">
        <f t="shared" ref="W415:W478" si="304">IF($J415=$W$1,U415,"")</f>
        <v/>
      </c>
      <c r="X415" s="134" t="str">
        <f>IF(W415="","",IFERROR((RANK(W415,$W$2:$W$2028,1)+COUNTIF($W$2:W415,W415))-1,""))</f>
        <v/>
      </c>
      <c r="Y415" s="134" t="str">
        <f t="shared" si="301"/>
        <v/>
      </c>
      <c r="Z415" s="134" t="str">
        <f>IF(Y415="","",IFERROR((RANK(Y415,$Y$2:$Y$2028,1)+COUNTIF($Y$2:Y415,Y415))-1,""))</f>
        <v/>
      </c>
      <c r="AA415" s="134" t="str">
        <f t="shared" si="302"/>
        <v/>
      </c>
      <c r="AB415" s="134" t="str">
        <f>IF(AA415="","",IFERROR((RANK(AA415,$AA$2:$AA$2028,1)+COUNTIF($AA$2:AA415,AA415))-1,""))</f>
        <v/>
      </c>
      <c r="AC415" s="134" t="str">
        <f t="shared" si="303"/>
        <v/>
      </c>
      <c r="AD415" s="134" t="str">
        <f>IF(AC415="","",IFERROR((RANK(AC415,$AC$2:$AC$2028,1)+COUNTIF($AC$2:AC415,AC415))-1,""))</f>
        <v/>
      </c>
      <c r="AE415" s="144" t="str">
        <f t="shared" si="295"/>
        <v/>
      </c>
      <c r="AF415" s="144" t="str">
        <f>IF(AE415="","",SUM($AE$2:AE415))</f>
        <v/>
      </c>
    </row>
    <row r="416" spans="14:32" x14ac:dyDescent="0.35">
      <c r="N416" s="134" t="str">
        <f t="shared" si="293"/>
        <v/>
      </c>
      <c r="O416" s="82" t="str">
        <f t="shared" si="296"/>
        <v/>
      </c>
      <c r="P416" s="81" t="str">
        <f t="shared" si="294"/>
        <v/>
      </c>
      <c r="Q416" s="81" t="str">
        <f t="shared" si="297"/>
        <v/>
      </c>
      <c r="R416" s="135" t="str">
        <f t="shared" ca="1" si="298"/>
        <v/>
      </c>
      <c r="S416" s="134" t="str">
        <f t="shared" ca="1" si="299"/>
        <v/>
      </c>
      <c r="T416" s="134" t="str">
        <f ca="1">IF(S416=Dashboard!$D$12,S416,"")</f>
        <v/>
      </c>
      <c r="U416" s="134" t="str">
        <f t="shared" ca="1" si="300"/>
        <v/>
      </c>
      <c r="V416" s="83" t="str">
        <f ca="1">IF(U416="","",IFERROR((RANK(U416,$U$2:$U$2028,1)+COUNTIF($U$2:U416,U416))-1,""))</f>
        <v/>
      </c>
      <c r="W416" s="134" t="str">
        <f t="shared" si="304"/>
        <v/>
      </c>
      <c r="X416" s="134" t="str">
        <f>IF(W416="","",IFERROR((RANK(W416,$W$2:$W$2028,1)+COUNTIF($W$2:W416,W416))-1,""))</f>
        <v/>
      </c>
      <c r="Y416" s="134" t="str">
        <f t="shared" si="301"/>
        <v/>
      </c>
      <c r="Z416" s="134" t="str">
        <f>IF(Y416="","",IFERROR((RANK(Y416,$Y$2:$Y$2028,1)+COUNTIF($Y$2:Y416,Y416))-1,""))</f>
        <v/>
      </c>
      <c r="AA416" s="134" t="str">
        <f t="shared" si="302"/>
        <v/>
      </c>
      <c r="AB416" s="134" t="str">
        <f>IF(AA416="","",IFERROR((RANK(AA416,$AA$2:$AA$2028,1)+COUNTIF($AA$2:AA416,AA416))-1,""))</f>
        <v/>
      </c>
      <c r="AC416" s="134" t="str">
        <f t="shared" si="303"/>
        <v/>
      </c>
      <c r="AD416" s="134" t="str">
        <f>IF(AC416="","",IFERROR((RANK(AC416,$AC$2:$AC$2028,1)+COUNTIF($AC$2:AC416,AC416))-1,""))</f>
        <v/>
      </c>
      <c r="AE416" s="144" t="str">
        <f t="shared" si="295"/>
        <v/>
      </c>
      <c r="AF416" s="144" t="str">
        <f>IF(AE416="","",SUM($AE$2:AE416))</f>
        <v/>
      </c>
    </row>
    <row r="417" spans="14:32" x14ac:dyDescent="0.35">
      <c r="N417" s="134" t="str">
        <f t="shared" si="293"/>
        <v/>
      </c>
      <c r="O417" s="82" t="str">
        <f t="shared" si="296"/>
        <v/>
      </c>
      <c r="P417" s="81" t="str">
        <f t="shared" si="294"/>
        <v/>
      </c>
      <c r="Q417" s="81" t="str">
        <f t="shared" si="297"/>
        <v/>
      </c>
      <c r="R417" s="135" t="str">
        <f t="shared" ca="1" si="298"/>
        <v/>
      </c>
      <c r="S417" s="134" t="str">
        <f t="shared" ca="1" si="299"/>
        <v/>
      </c>
      <c r="T417" s="134" t="str">
        <f ca="1">IF(S417=Dashboard!$D$12,S417,"")</f>
        <v/>
      </c>
      <c r="U417" s="134" t="str">
        <f t="shared" ca="1" si="300"/>
        <v/>
      </c>
      <c r="V417" s="83" t="str">
        <f ca="1">IF(U417="","",IFERROR((RANK(U417,$U$2:$U$2028,1)+COUNTIF($U$2:U417,U417))-1,""))</f>
        <v/>
      </c>
      <c r="W417" s="134" t="str">
        <f t="shared" si="304"/>
        <v/>
      </c>
      <c r="X417" s="134" t="str">
        <f>IF(W417="","",IFERROR((RANK(W417,$W$2:$W$2028,1)+COUNTIF($W$2:W417,W417))-1,""))</f>
        <v/>
      </c>
      <c r="Y417" s="134" t="str">
        <f t="shared" si="301"/>
        <v/>
      </c>
      <c r="Z417" s="134" t="str">
        <f>IF(Y417="","",IFERROR((RANK(Y417,$Y$2:$Y$2028,1)+COUNTIF($Y$2:Y417,Y417))-1,""))</f>
        <v/>
      </c>
      <c r="AA417" s="134" t="str">
        <f t="shared" si="302"/>
        <v/>
      </c>
      <c r="AB417" s="134" t="str">
        <f>IF(AA417="","",IFERROR((RANK(AA417,$AA$2:$AA$2028,1)+COUNTIF($AA$2:AA417,AA417))-1,""))</f>
        <v/>
      </c>
      <c r="AC417" s="134" t="str">
        <f t="shared" si="303"/>
        <v/>
      </c>
      <c r="AD417" s="134" t="str">
        <f>IF(AC417="","",IFERROR((RANK(AC417,$AC$2:$AC$2028,1)+COUNTIF($AC$2:AC417,AC417))-1,""))</f>
        <v/>
      </c>
      <c r="AE417" s="144" t="str">
        <f t="shared" si="295"/>
        <v/>
      </c>
      <c r="AF417" s="144" t="str">
        <f>IF(AE417="","",SUM($AE$2:AE417))</f>
        <v/>
      </c>
    </row>
    <row r="418" spans="14:32" x14ac:dyDescent="0.35">
      <c r="N418" s="134" t="str">
        <f t="shared" si="293"/>
        <v/>
      </c>
      <c r="O418" s="82" t="str">
        <f t="shared" si="296"/>
        <v/>
      </c>
      <c r="P418" s="81" t="str">
        <f t="shared" si="294"/>
        <v/>
      </c>
      <c r="Q418" s="81" t="str">
        <f t="shared" si="297"/>
        <v/>
      </c>
      <c r="R418" s="135" t="str">
        <f t="shared" ca="1" si="298"/>
        <v/>
      </c>
      <c r="S418" s="134" t="str">
        <f t="shared" ca="1" si="299"/>
        <v/>
      </c>
      <c r="T418" s="134" t="str">
        <f ca="1">IF(S418=Dashboard!$D$12,S418,"")</f>
        <v/>
      </c>
      <c r="U418" s="134" t="str">
        <f t="shared" ca="1" si="300"/>
        <v/>
      </c>
      <c r="V418" s="83" t="str">
        <f ca="1">IF(U418="","",IFERROR((RANK(U418,$U$2:$U$2028,1)+COUNTIF($U$2:U418,U418))-1,""))</f>
        <v/>
      </c>
      <c r="W418" s="134" t="str">
        <f t="shared" si="304"/>
        <v/>
      </c>
      <c r="X418" s="134" t="str">
        <f>IF(W418="","",IFERROR((RANK(W418,$W$2:$W$2028,1)+COUNTIF($W$2:W418,W418))-1,""))</f>
        <v/>
      </c>
      <c r="Y418" s="134" t="str">
        <f t="shared" si="301"/>
        <v/>
      </c>
      <c r="Z418" s="134" t="str">
        <f>IF(Y418="","",IFERROR((RANK(Y418,$Y$2:$Y$2028,1)+COUNTIF($Y$2:Y418,Y418))-1,""))</f>
        <v/>
      </c>
      <c r="AA418" s="134" t="str">
        <f t="shared" si="302"/>
        <v/>
      </c>
      <c r="AB418" s="134" t="str">
        <f>IF(AA418="","",IFERROR((RANK(AA418,$AA$2:$AA$2028,1)+COUNTIF($AA$2:AA418,AA418))-1,""))</f>
        <v/>
      </c>
      <c r="AC418" s="134" t="str">
        <f t="shared" si="303"/>
        <v/>
      </c>
      <c r="AD418" s="134" t="str">
        <f>IF(AC418="","",IFERROR((RANK(AC418,$AC$2:$AC$2028,1)+COUNTIF($AC$2:AC418,AC418))-1,""))</f>
        <v/>
      </c>
      <c r="AE418" s="144" t="str">
        <f t="shared" si="295"/>
        <v/>
      </c>
      <c r="AF418" s="144" t="str">
        <f>IF(AE418="","",SUM($AE$2:AE418))</f>
        <v/>
      </c>
    </row>
    <row r="419" spans="14:32" x14ac:dyDescent="0.35">
      <c r="N419" s="134" t="str">
        <f t="shared" si="293"/>
        <v/>
      </c>
      <c r="O419" s="82" t="str">
        <f t="shared" si="296"/>
        <v/>
      </c>
      <c r="P419" s="81" t="str">
        <f t="shared" si="294"/>
        <v/>
      </c>
      <c r="Q419" s="81" t="str">
        <f t="shared" si="297"/>
        <v/>
      </c>
      <c r="R419" s="135" t="str">
        <f t="shared" ca="1" si="298"/>
        <v/>
      </c>
      <c r="S419" s="134" t="str">
        <f t="shared" ca="1" si="299"/>
        <v/>
      </c>
      <c r="T419" s="134" t="str">
        <f ca="1">IF(S419=Dashboard!$D$12,S419,"")</f>
        <v/>
      </c>
      <c r="U419" s="134" t="str">
        <f t="shared" ca="1" si="300"/>
        <v/>
      </c>
      <c r="V419" s="83" t="str">
        <f ca="1">IF(U419="","",IFERROR((RANK(U419,$U$2:$U$2028,1)+COUNTIF($U$2:U419,U419))-1,""))</f>
        <v/>
      </c>
      <c r="W419" s="134" t="str">
        <f t="shared" si="304"/>
        <v/>
      </c>
      <c r="X419" s="134" t="str">
        <f>IF(W419="","",IFERROR((RANK(W419,$W$2:$W$2028,1)+COUNTIF($W$2:W419,W419))-1,""))</f>
        <v/>
      </c>
      <c r="Y419" s="134" t="str">
        <f t="shared" si="301"/>
        <v/>
      </c>
      <c r="Z419" s="134" t="str">
        <f>IF(Y419="","",IFERROR((RANK(Y419,$Y$2:$Y$2028,1)+COUNTIF($Y$2:Y419,Y419))-1,""))</f>
        <v/>
      </c>
      <c r="AA419" s="134" t="str">
        <f t="shared" si="302"/>
        <v/>
      </c>
      <c r="AB419" s="134" t="str">
        <f>IF(AA419="","",IFERROR((RANK(AA419,$AA$2:$AA$2028,1)+COUNTIF($AA$2:AA419,AA419))-1,""))</f>
        <v/>
      </c>
      <c r="AC419" s="134" t="str">
        <f t="shared" si="303"/>
        <v/>
      </c>
      <c r="AD419" s="134" t="str">
        <f>IF(AC419="","",IFERROR((RANK(AC419,$AC$2:$AC$2028,1)+COUNTIF($AC$2:AC419,AC419))-1,""))</f>
        <v/>
      </c>
      <c r="AE419" s="144" t="str">
        <f t="shared" si="295"/>
        <v/>
      </c>
      <c r="AF419" s="144" t="str">
        <f>IF(AE419="","",SUM($AE$2:AE419))</f>
        <v/>
      </c>
    </row>
    <row r="420" spans="14:32" x14ac:dyDescent="0.35">
      <c r="N420" s="134" t="str">
        <f t="shared" si="293"/>
        <v/>
      </c>
      <c r="O420" s="82" t="str">
        <f t="shared" si="296"/>
        <v/>
      </c>
      <c r="P420" s="81" t="str">
        <f t="shared" si="294"/>
        <v/>
      </c>
      <c r="Q420" s="81" t="str">
        <f t="shared" si="297"/>
        <v/>
      </c>
      <c r="R420" s="135" t="str">
        <f t="shared" ca="1" si="298"/>
        <v/>
      </c>
      <c r="S420" s="134" t="str">
        <f t="shared" ca="1" si="299"/>
        <v/>
      </c>
      <c r="T420" s="134" t="str">
        <f ca="1">IF(S420=Dashboard!$D$12,S420,"")</f>
        <v/>
      </c>
      <c r="U420" s="134" t="str">
        <f t="shared" ca="1" si="300"/>
        <v/>
      </c>
      <c r="V420" s="83" t="str">
        <f ca="1">IF(U420="","",IFERROR((RANK(U420,$U$2:$U$2028,1)+COUNTIF($U$2:U420,U420))-1,""))</f>
        <v/>
      </c>
      <c r="W420" s="134" t="str">
        <f t="shared" si="304"/>
        <v/>
      </c>
      <c r="X420" s="134" t="str">
        <f>IF(W420="","",IFERROR((RANK(W420,$W$2:$W$2028,1)+COUNTIF($W$2:W420,W420))-1,""))</f>
        <v/>
      </c>
      <c r="Y420" s="134" t="str">
        <f t="shared" si="301"/>
        <v/>
      </c>
      <c r="Z420" s="134" t="str">
        <f>IF(Y420="","",IFERROR((RANK(Y420,$Y$2:$Y$2028,1)+COUNTIF($Y$2:Y420,Y420))-1,""))</f>
        <v/>
      </c>
      <c r="AA420" s="134" t="str">
        <f t="shared" si="302"/>
        <v/>
      </c>
      <c r="AB420" s="134" t="str">
        <f>IF(AA420="","",IFERROR((RANK(AA420,$AA$2:$AA$2028,1)+COUNTIF($AA$2:AA420,AA420))-1,""))</f>
        <v/>
      </c>
      <c r="AC420" s="134" t="str">
        <f t="shared" si="303"/>
        <v/>
      </c>
      <c r="AD420" s="134" t="str">
        <f>IF(AC420="","",IFERROR((RANK(AC420,$AC$2:$AC$2028,1)+COUNTIF($AC$2:AC420,AC420))-1,""))</f>
        <v/>
      </c>
      <c r="AE420" s="144" t="str">
        <f t="shared" si="295"/>
        <v/>
      </c>
      <c r="AF420" s="144" t="str">
        <f>IF(AE420="","",SUM($AE$2:AE420))</f>
        <v/>
      </c>
    </row>
    <row r="421" spans="14:32" x14ac:dyDescent="0.35">
      <c r="N421" s="134" t="str">
        <f t="shared" si="293"/>
        <v/>
      </c>
      <c r="O421" s="82" t="str">
        <f t="shared" si="296"/>
        <v/>
      </c>
      <c r="P421" s="81" t="str">
        <f t="shared" si="294"/>
        <v/>
      </c>
      <c r="Q421" s="81" t="str">
        <f t="shared" si="297"/>
        <v/>
      </c>
      <c r="R421" s="135" t="str">
        <f t="shared" ca="1" si="298"/>
        <v/>
      </c>
      <c r="S421" s="134" t="str">
        <f t="shared" ca="1" si="299"/>
        <v/>
      </c>
      <c r="T421" s="134" t="str">
        <f ca="1">IF(S421=Dashboard!$D$12,S421,"")</f>
        <v/>
      </c>
      <c r="U421" s="134" t="str">
        <f t="shared" ca="1" si="300"/>
        <v/>
      </c>
      <c r="V421" s="83" t="str">
        <f ca="1">IF(U421="","",IFERROR((RANK(U421,$U$2:$U$2028,1)+COUNTIF($U$2:U421,U421))-1,""))</f>
        <v/>
      </c>
      <c r="W421" s="134" t="str">
        <f t="shared" si="304"/>
        <v/>
      </c>
      <c r="X421" s="134" t="str">
        <f>IF(W421="","",IFERROR((RANK(W421,$W$2:$W$2028,1)+COUNTIF($W$2:W421,W421))-1,""))</f>
        <v/>
      </c>
      <c r="Y421" s="134" t="str">
        <f t="shared" si="301"/>
        <v/>
      </c>
      <c r="Z421" s="134" t="str">
        <f>IF(Y421="","",IFERROR((RANK(Y421,$Y$2:$Y$2028,1)+COUNTIF($Y$2:Y421,Y421))-1,""))</f>
        <v/>
      </c>
      <c r="AA421" s="134" t="str">
        <f t="shared" si="302"/>
        <v/>
      </c>
      <c r="AB421" s="134" t="str">
        <f>IF(AA421="","",IFERROR((RANK(AA421,$AA$2:$AA$2028,1)+COUNTIF($AA$2:AA421,AA421))-1,""))</f>
        <v/>
      </c>
      <c r="AC421" s="134" t="str">
        <f t="shared" si="303"/>
        <v/>
      </c>
      <c r="AD421" s="134" t="str">
        <f>IF(AC421="","",IFERROR((RANK(AC421,$AC$2:$AC$2028,1)+COUNTIF($AC$2:AC421,AC421))-1,""))</f>
        <v/>
      </c>
      <c r="AE421" s="144" t="str">
        <f t="shared" si="295"/>
        <v/>
      </c>
      <c r="AF421" s="144" t="str">
        <f>IF(AE421="","",SUM($AE$2:AE421))</f>
        <v/>
      </c>
    </row>
    <row r="422" spans="14:32" x14ac:dyDescent="0.35">
      <c r="N422" s="134" t="str">
        <f t="shared" si="293"/>
        <v/>
      </c>
      <c r="O422" s="82" t="str">
        <f t="shared" si="296"/>
        <v/>
      </c>
      <c r="P422" s="81" t="str">
        <f t="shared" si="294"/>
        <v/>
      </c>
      <c r="Q422" s="81" t="str">
        <f t="shared" si="297"/>
        <v/>
      </c>
      <c r="R422" s="135" t="str">
        <f t="shared" ca="1" si="298"/>
        <v/>
      </c>
      <c r="S422" s="134" t="str">
        <f t="shared" ca="1" si="299"/>
        <v/>
      </c>
      <c r="T422" s="134" t="str">
        <f ca="1">IF(S422=Dashboard!$D$12,S422,"")</f>
        <v/>
      </c>
      <c r="U422" s="134" t="str">
        <f t="shared" ca="1" si="300"/>
        <v/>
      </c>
      <c r="V422" s="83" t="str">
        <f ca="1">IF(U422="","",IFERROR((RANK(U422,$U$2:$U$2028,1)+COUNTIF($U$2:U422,U422))-1,""))</f>
        <v/>
      </c>
      <c r="W422" s="134" t="str">
        <f t="shared" si="304"/>
        <v/>
      </c>
      <c r="X422" s="134" t="str">
        <f>IF(W422="","",IFERROR((RANK(W422,$W$2:$W$2028,1)+COUNTIF($W$2:W422,W422))-1,""))</f>
        <v/>
      </c>
      <c r="Y422" s="134" t="str">
        <f t="shared" si="301"/>
        <v/>
      </c>
      <c r="Z422" s="134" t="str">
        <f>IF(Y422="","",IFERROR((RANK(Y422,$Y$2:$Y$2028,1)+COUNTIF($Y$2:Y422,Y422))-1,""))</f>
        <v/>
      </c>
      <c r="AA422" s="134" t="str">
        <f t="shared" si="302"/>
        <v/>
      </c>
      <c r="AB422" s="134" t="str">
        <f>IF(AA422="","",IFERROR((RANK(AA422,$AA$2:$AA$2028,1)+COUNTIF($AA$2:AA422,AA422))-1,""))</f>
        <v/>
      </c>
      <c r="AC422" s="134" t="str">
        <f t="shared" si="303"/>
        <v/>
      </c>
      <c r="AD422" s="134" t="str">
        <f>IF(AC422="","",IFERROR((RANK(AC422,$AC$2:$AC$2028,1)+COUNTIF($AC$2:AC422,AC422))-1,""))</f>
        <v/>
      </c>
      <c r="AE422" s="144" t="str">
        <f t="shared" si="295"/>
        <v/>
      </c>
      <c r="AF422" s="144" t="str">
        <f>IF(AE422="","",SUM($AE$2:AE422))</f>
        <v/>
      </c>
    </row>
    <row r="423" spans="14:32" x14ac:dyDescent="0.35">
      <c r="N423" s="134" t="str">
        <f t="shared" si="293"/>
        <v/>
      </c>
      <c r="O423" s="82" t="str">
        <f t="shared" si="296"/>
        <v/>
      </c>
      <c r="P423" s="81" t="str">
        <f t="shared" si="294"/>
        <v/>
      </c>
      <c r="Q423" s="81" t="str">
        <f t="shared" si="297"/>
        <v/>
      </c>
      <c r="R423" s="135" t="str">
        <f t="shared" ca="1" si="298"/>
        <v/>
      </c>
      <c r="S423" s="134" t="str">
        <f t="shared" ca="1" si="299"/>
        <v/>
      </c>
      <c r="T423" s="134" t="str">
        <f ca="1">IF(S423=Dashboard!$D$12,S423,"")</f>
        <v/>
      </c>
      <c r="U423" s="134" t="str">
        <f t="shared" ca="1" si="300"/>
        <v/>
      </c>
      <c r="V423" s="83" t="str">
        <f ca="1">IF(U423="","",IFERROR((RANK(U423,$U$2:$U$2028,1)+COUNTIF($U$2:U423,U423))-1,""))</f>
        <v/>
      </c>
      <c r="W423" s="134" t="str">
        <f t="shared" si="304"/>
        <v/>
      </c>
      <c r="X423" s="134" t="str">
        <f>IF(W423="","",IFERROR((RANK(W423,$W$2:$W$2028,1)+COUNTIF($W$2:W423,W423))-1,""))</f>
        <v/>
      </c>
      <c r="Y423" s="134" t="str">
        <f t="shared" si="301"/>
        <v/>
      </c>
      <c r="Z423" s="134" t="str">
        <f>IF(Y423="","",IFERROR((RANK(Y423,$Y$2:$Y$2028,1)+COUNTIF($Y$2:Y423,Y423))-1,""))</f>
        <v/>
      </c>
      <c r="AA423" s="134" t="str">
        <f t="shared" si="302"/>
        <v/>
      </c>
      <c r="AB423" s="134" t="str">
        <f>IF(AA423="","",IFERROR((RANK(AA423,$AA$2:$AA$2028,1)+COUNTIF($AA$2:AA423,AA423))-1,""))</f>
        <v/>
      </c>
      <c r="AC423" s="134" t="str">
        <f t="shared" si="303"/>
        <v/>
      </c>
      <c r="AD423" s="134" t="str">
        <f>IF(AC423="","",IFERROR((RANK(AC423,$AC$2:$AC$2028,1)+COUNTIF($AC$2:AC423,AC423))-1,""))</f>
        <v/>
      </c>
      <c r="AE423" s="144" t="str">
        <f t="shared" si="295"/>
        <v/>
      </c>
      <c r="AF423" s="144" t="str">
        <f>IF(AE423="","",SUM($AE$2:AE423))</f>
        <v/>
      </c>
    </row>
    <row r="424" spans="14:32" x14ac:dyDescent="0.35">
      <c r="N424" s="134" t="str">
        <f t="shared" si="293"/>
        <v/>
      </c>
      <c r="O424" s="82" t="str">
        <f t="shared" si="296"/>
        <v/>
      </c>
      <c r="P424" s="81" t="str">
        <f t="shared" si="294"/>
        <v/>
      </c>
      <c r="Q424" s="81" t="str">
        <f t="shared" si="297"/>
        <v/>
      </c>
      <c r="R424" s="135" t="str">
        <f t="shared" ca="1" si="298"/>
        <v/>
      </c>
      <c r="S424" s="134" t="str">
        <f t="shared" ca="1" si="299"/>
        <v/>
      </c>
      <c r="T424" s="134" t="str">
        <f ca="1">IF(S424=Dashboard!$D$12,S424,"")</f>
        <v/>
      </c>
      <c r="U424" s="134" t="str">
        <f t="shared" ca="1" si="300"/>
        <v/>
      </c>
      <c r="V424" s="83" t="str">
        <f ca="1">IF(U424="","",IFERROR((RANK(U424,$U$2:$U$2028,1)+COUNTIF($U$2:U424,U424))-1,""))</f>
        <v/>
      </c>
      <c r="W424" s="134" t="str">
        <f t="shared" si="304"/>
        <v/>
      </c>
      <c r="X424" s="134" t="str">
        <f>IF(W424="","",IFERROR((RANK(W424,$W$2:$W$2028,1)+COUNTIF($W$2:W424,W424))-1,""))</f>
        <v/>
      </c>
      <c r="Y424" s="134" t="str">
        <f t="shared" si="301"/>
        <v/>
      </c>
      <c r="Z424" s="134" t="str">
        <f>IF(Y424="","",IFERROR((RANK(Y424,$Y$2:$Y$2028,1)+COUNTIF($Y$2:Y424,Y424))-1,""))</f>
        <v/>
      </c>
      <c r="AA424" s="134" t="str">
        <f t="shared" si="302"/>
        <v/>
      </c>
      <c r="AB424" s="134" t="str">
        <f>IF(AA424="","",IFERROR((RANK(AA424,$AA$2:$AA$2028,1)+COUNTIF($AA$2:AA424,AA424))-1,""))</f>
        <v/>
      </c>
      <c r="AC424" s="134" t="str">
        <f t="shared" si="303"/>
        <v/>
      </c>
      <c r="AD424" s="134" t="str">
        <f>IF(AC424="","",IFERROR((RANK(AC424,$AC$2:$AC$2028,1)+COUNTIF($AC$2:AC424,AC424))-1,""))</f>
        <v/>
      </c>
      <c r="AE424" s="144" t="str">
        <f t="shared" si="295"/>
        <v/>
      </c>
      <c r="AF424" s="144" t="str">
        <f>IF(AE424="","",SUM($AE$2:AE424))</f>
        <v/>
      </c>
    </row>
    <row r="425" spans="14:32" x14ac:dyDescent="0.35">
      <c r="N425" s="134" t="str">
        <f t="shared" si="293"/>
        <v/>
      </c>
      <c r="O425" s="82" t="str">
        <f t="shared" si="296"/>
        <v/>
      </c>
      <c r="P425" s="81" t="str">
        <f t="shared" si="294"/>
        <v/>
      </c>
      <c r="Q425" s="81" t="str">
        <f t="shared" si="297"/>
        <v/>
      </c>
      <c r="R425" s="135" t="str">
        <f t="shared" ca="1" si="298"/>
        <v/>
      </c>
      <c r="S425" s="134" t="str">
        <f t="shared" ca="1" si="299"/>
        <v/>
      </c>
      <c r="T425" s="134" t="str">
        <f ca="1">IF(S425=Dashboard!$D$12,S425,"")</f>
        <v/>
      </c>
      <c r="U425" s="134" t="str">
        <f t="shared" ca="1" si="300"/>
        <v/>
      </c>
      <c r="V425" s="83" t="str">
        <f ca="1">IF(U425="","",IFERROR((RANK(U425,$U$2:$U$2028,1)+COUNTIF($U$2:U425,U425))-1,""))</f>
        <v/>
      </c>
      <c r="W425" s="134" t="str">
        <f t="shared" si="304"/>
        <v/>
      </c>
      <c r="X425" s="134" t="str">
        <f>IF(W425="","",IFERROR((RANK(W425,$W$2:$W$2028,1)+COUNTIF($W$2:W425,W425))-1,""))</f>
        <v/>
      </c>
      <c r="Y425" s="134" t="str">
        <f t="shared" si="301"/>
        <v/>
      </c>
      <c r="Z425" s="134" t="str">
        <f>IF(Y425="","",IFERROR((RANK(Y425,$Y$2:$Y$2028,1)+COUNTIF($Y$2:Y425,Y425))-1,""))</f>
        <v/>
      </c>
      <c r="AA425" s="134" t="str">
        <f t="shared" si="302"/>
        <v/>
      </c>
      <c r="AB425" s="134" t="str">
        <f>IF(AA425="","",IFERROR((RANK(AA425,$AA$2:$AA$2028,1)+COUNTIF($AA$2:AA425,AA425))-1,""))</f>
        <v/>
      </c>
      <c r="AC425" s="134" t="str">
        <f t="shared" si="303"/>
        <v/>
      </c>
      <c r="AD425" s="134" t="str">
        <f>IF(AC425="","",IFERROR((RANK(AC425,$AC$2:$AC$2028,1)+COUNTIF($AC$2:AC425,AC425))-1,""))</f>
        <v/>
      </c>
      <c r="AE425" s="144" t="str">
        <f t="shared" si="295"/>
        <v/>
      </c>
      <c r="AF425" s="144" t="str">
        <f>IF(AE425="","",SUM($AE$2:AE425))</f>
        <v/>
      </c>
    </row>
    <row r="426" spans="14:32" x14ac:dyDescent="0.35">
      <c r="N426" s="134" t="str">
        <f t="shared" si="293"/>
        <v/>
      </c>
      <c r="O426" s="82" t="str">
        <f t="shared" si="296"/>
        <v/>
      </c>
      <c r="P426" s="81" t="str">
        <f t="shared" si="294"/>
        <v/>
      </c>
      <c r="Q426" s="81" t="str">
        <f t="shared" si="297"/>
        <v/>
      </c>
      <c r="R426" s="135" t="str">
        <f t="shared" ca="1" si="298"/>
        <v/>
      </c>
      <c r="S426" s="134" t="str">
        <f t="shared" ca="1" si="299"/>
        <v/>
      </c>
      <c r="T426" s="134" t="str">
        <f ca="1">IF(S426=Dashboard!$D$12,S426,"")</f>
        <v/>
      </c>
      <c r="U426" s="134" t="str">
        <f t="shared" ca="1" si="300"/>
        <v/>
      </c>
      <c r="V426" s="83" t="str">
        <f ca="1">IF(U426="","",IFERROR((RANK(U426,$U$2:$U$2028,1)+COUNTIF($U$2:U426,U426))-1,""))</f>
        <v/>
      </c>
      <c r="W426" s="134" t="str">
        <f t="shared" si="304"/>
        <v/>
      </c>
      <c r="X426" s="134" t="str">
        <f>IF(W426="","",IFERROR((RANK(W426,$W$2:$W$2028,1)+COUNTIF($W$2:W426,W426))-1,""))</f>
        <v/>
      </c>
      <c r="Y426" s="134" t="str">
        <f t="shared" si="301"/>
        <v/>
      </c>
      <c r="Z426" s="134" t="str">
        <f>IF(Y426="","",IFERROR((RANK(Y426,$Y$2:$Y$2028,1)+COUNTIF($Y$2:Y426,Y426))-1,""))</f>
        <v/>
      </c>
      <c r="AA426" s="134" t="str">
        <f t="shared" si="302"/>
        <v/>
      </c>
      <c r="AB426" s="134" t="str">
        <f>IF(AA426="","",IFERROR((RANK(AA426,$AA$2:$AA$2028,1)+COUNTIF($AA$2:AA426,AA426))-1,""))</f>
        <v/>
      </c>
      <c r="AC426" s="134" t="str">
        <f t="shared" si="303"/>
        <v/>
      </c>
      <c r="AD426" s="134" t="str">
        <f>IF(AC426="","",IFERROR((RANK(AC426,$AC$2:$AC$2028,1)+COUNTIF($AC$2:AC426,AC426))-1,""))</f>
        <v/>
      </c>
      <c r="AE426" s="144" t="str">
        <f t="shared" si="295"/>
        <v/>
      </c>
      <c r="AF426" s="144" t="str">
        <f>IF(AE426="","",SUM($AE$2:AE426))</f>
        <v/>
      </c>
    </row>
    <row r="427" spans="14:32" x14ac:dyDescent="0.35">
      <c r="N427" s="134" t="str">
        <f t="shared" si="293"/>
        <v/>
      </c>
      <c r="O427" s="82" t="str">
        <f t="shared" si="296"/>
        <v/>
      </c>
      <c r="P427" s="81" t="str">
        <f t="shared" si="294"/>
        <v/>
      </c>
      <c r="Q427" s="81" t="str">
        <f t="shared" si="297"/>
        <v/>
      </c>
      <c r="R427" s="135" t="str">
        <f t="shared" ca="1" si="298"/>
        <v/>
      </c>
      <c r="S427" s="134" t="str">
        <f t="shared" ca="1" si="299"/>
        <v/>
      </c>
      <c r="T427" s="134" t="str">
        <f ca="1">IF(S427=Dashboard!$D$12,S427,"")</f>
        <v/>
      </c>
      <c r="U427" s="134" t="str">
        <f t="shared" ca="1" si="300"/>
        <v/>
      </c>
      <c r="V427" s="83" t="str">
        <f ca="1">IF(U427="","",IFERROR((RANK(U427,$U$2:$U$2028,1)+COUNTIF($U$2:U427,U427))-1,""))</f>
        <v/>
      </c>
      <c r="W427" s="134" t="str">
        <f t="shared" si="304"/>
        <v/>
      </c>
      <c r="X427" s="134" t="str">
        <f>IF(W427="","",IFERROR((RANK(W427,$W$2:$W$2028,1)+COUNTIF($W$2:W427,W427))-1,""))</f>
        <v/>
      </c>
      <c r="Y427" s="134" t="str">
        <f t="shared" si="301"/>
        <v/>
      </c>
      <c r="Z427" s="134" t="str">
        <f>IF(Y427="","",IFERROR((RANK(Y427,$Y$2:$Y$2028,1)+COUNTIF($Y$2:Y427,Y427))-1,""))</f>
        <v/>
      </c>
      <c r="AA427" s="134" t="str">
        <f t="shared" si="302"/>
        <v/>
      </c>
      <c r="AB427" s="134" t="str">
        <f>IF(AA427="","",IFERROR((RANK(AA427,$AA$2:$AA$2028,1)+COUNTIF($AA$2:AA427,AA427))-1,""))</f>
        <v/>
      </c>
      <c r="AC427" s="134" t="str">
        <f t="shared" si="303"/>
        <v/>
      </c>
      <c r="AD427" s="134" t="str">
        <f>IF(AC427="","",IFERROR((RANK(AC427,$AC$2:$AC$2028,1)+COUNTIF($AC$2:AC427,AC427))-1,""))</f>
        <v/>
      </c>
      <c r="AE427" s="144" t="str">
        <f t="shared" si="295"/>
        <v/>
      </c>
      <c r="AF427" s="144" t="str">
        <f>IF(AE427="","",SUM($AE$2:AE427))</f>
        <v/>
      </c>
    </row>
    <row r="428" spans="14:32" x14ac:dyDescent="0.35">
      <c r="N428" s="134" t="str">
        <f t="shared" si="293"/>
        <v/>
      </c>
      <c r="O428" s="82" t="str">
        <f t="shared" si="296"/>
        <v/>
      </c>
      <c r="P428" s="81" t="str">
        <f t="shared" si="294"/>
        <v/>
      </c>
      <c r="Q428" s="81" t="str">
        <f t="shared" si="297"/>
        <v/>
      </c>
      <c r="R428" s="135" t="str">
        <f t="shared" ca="1" si="298"/>
        <v/>
      </c>
      <c r="S428" s="134" t="str">
        <f t="shared" ca="1" si="299"/>
        <v/>
      </c>
      <c r="T428" s="134" t="str">
        <f ca="1">IF(S428=Dashboard!$D$12,S428,"")</f>
        <v/>
      </c>
      <c r="U428" s="134" t="str">
        <f t="shared" ca="1" si="300"/>
        <v/>
      </c>
      <c r="V428" s="83" t="str">
        <f ca="1">IF(U428="","",IFERROR((RANK(U428,$U$2:$U$2028,1)+COUNTIF($U$2:U428,U428))-1,""))</f>
        <v/>
      </c>
      <c r="W428" s="134" t="str">
        <f t="shared" si="304"/>
        <v/>
      </c>
      <c r="X428" s="134" t="str">
        <f>IF(W428="","",IFERROR((RANK(W428,$W$2:$W$2028,1)+COUNTIF($W$2:W428,W428))-1,""))</f>
        <v/>
      </c>
      <c r="Y428" s="134" t="str">
        <f t="shared" si="301"/>
        <v/>
      </c>
      <c r="Z428" s="134" t="str">
        <f>IF(Y428="","",IFERROR((RANK(Y428,$Y$2:$Y$2028,1)+COUNTIF($Y$2:Y428,Y428))-1,""))</f>
        <v/>
      </c>
      <c r="AA428" s="134" t="str">
        <f t="shared" si="302"/>
        <v/>
      </c>
      <c r="AB428" s="134" t="str">
        <f>IF(AA428="","",IFERROR((RANK(AA428,$AA$2:$AA$2028,1)+COUNTIF($AA$2:AA428,AA428))-1,""))</f>
        <v/>
      </c>
      <c r="AC428" s="134" t="str">
        <f t="shared" si="303"/>
        <v/>
      </c>
      <c r="AD428" s="134" t="str">
        <f>IF(AC428="","",IFERROR((RANK(AC428,$AC$2:$AC$2028,1)+COUNTIF($AC$2:AC428,AC428))-1,""))</f>
        <v/>
      </c>
      <c r="AE428" s="144" t="str">
        <f t="shared" si="295"/>
        <v/>
      </c>
      <c r="AF428" s="144" t="str">
        <f>IF(AE428="","",SUM($AE$2:AE428))</f>
        <v/>
      </c>
    </row>
    <row r="429" spans="14:32" x14ac:dyDescent="0.35">
      <c r="N429" s="134" t="str">
        <f t="shared" si="293"/>
        <v/>
      </c>
      <c r="O429" s="82" t="str">
        <f t="shared" si="296"/>
        <v/>
      </c>
      <c r="P429" s="81" t="str">
        <f t="shared" si="294"/>
        <v/>
      </c>
      <c r="Q429" s="81" t="str">
        <f t="shared" si="297"/>
        <v/>
      </c>
      <c r="R429" s="135" t="str">
        <f t="shared" ca="1" si="298"/>
        <v/>
      </c>
      <c r="S429" s="134" t="str">
        <f t="shared" ca="1" si="299"/>
        <v/>
      </c>
      <c r="T429" s="134" t="str">
        <f ca="1">IF(S429=Dashboard!$D$12,S429,"")</f>
        <v/>
      </c>
      <c r="U429" s="134" t="str">
        <f t="shared" ca="1" si="300"/>
        <v/>
      </c>
      <c r="V429" s="83" t="str">
        <f ca="1">IF(U429="","",IFERROR((RANK(U429,$U$2:$U$2028,1)+COUNTIF($U$2:U429,U429))-1,""))</f>
        <v/>
      </c>
      <c r="W429" s="134" t="str">
        <f t="shared" si="304"/>
        <v/>
      </c>
      <c r="X429" s="134" t="str">
        <f>IF(W429="","",IFERROR((RANK(W429,$W$2:$W$2028,1)+COUNTIF($W$2:W429,W429))-1,""))</f>
        <v/>
      </c>
      <c r="Y429" s="134" t="str">
        <f t="shared" si="301"/>
        <v/>
      </c>
      <c r="Z429" s="134" t="str">
        <f>IF(Y429="","",IFERROR((RANK(Y429,$Y$2:$Y$2028,1)+COUNTIF($Y$2:Y429,Y429))-1,""))</f>
        <v/>
      </c>
      <c r="AA429" s="134" t="str">
        <f t="shared" si="302"/>
        <v/>
      </c>
      <c r="AB429" s="134" t="str">
        <f>IF(AA429="","",IFERROR((RANK(AA429,$AA$2:$AA$2028,1)+COUNTIF($AA$2:AA429,AA429))-1,""))</f>
        <v/>
      </c>
      <c r="AC429" s="134" t="str">
        <f t="shared" si="303"/>
        <v/>
      </c>
      <c r="AD429" s="134" t="str">
        <f>IF(AC429="","",IFERROR((RANK(AC429,$AC$2:$AC$2028,1)+COUNTIF($AC$2:AC429,AC429))-1,""))</f>
        <v/>
      </c>
      <c r="AE429" s="144" t="str">
        <f t="shared" si="295"/>
        <v/>
      </c>
      <c r="AF429" s="144" t="str">
        <f>IF(AE429="","",SUM($AE$2:AE429))</f>
        <v/>
      </c>
    </row>
    <row r="430" spans="14:32" x14ac:dyDescent="0.35">
      <c r="N430" s="134" t="str">
        <f t="shared" si="293"/>
        <v/>
      </c>
      <c r="O430" s="82" t="str">
        <f t="shared" si="296"/>
        <v/>
      </c>
      <c r="P430" s="81" t="str">
        <f t="shared" si="294"/>
        <v/>
      </c>
      <c r="Q430" s="81" t="str">
        <f t="shared" si="297"/>
        <v/>
      </c>
      <c r="R430" s="135" t="str">
        <f t="shared" ca="1" si="298"/>
        <v/>
      </c>
      <c r="S430" s="134" t="str">
        <f t="shared" ca="1" si="299"/>
        <v/>
      </c>
      <c r="T430" s="134" t="str">
        <f ca="1">IF(S430=Dashboard!$D$12,S430,"")</f>
        <v/>
      </c>
      <c r="U430" s="134" t="str">
        <f t="shared" ca="1" si="300"/>
        <v/>
      </c>
      <c r="V430" s="83" t="str">
        <f ca="1">IF(U430="","",IFERROR((RANK(U430,$U$2:$U$2028,1)+COUNTIF($U$2:U430,U430))-1,""))</f>
        <v/>
      </c>
      <c r="W430" s="134" t="str">
        <f t="shared" si="304"/>
        <v/>
      </c>
      <c r="X430" s="134" t="str">
        <f>IF(W430="","",IFERROR((RANK(W430,$W$2:$W$2028,1)+COUNTIF($W$2:W430,W430))-1,""))</f>
        <v/>
      </c>
      <c r="Y430" s="134" t="str">
        <f t="shared" si="301"/>
        <v/>
      </c>
      <c r="Z430" s="134" t="str">
        <f>IF(Y430="","",IFERROR((RANK(Y430,$Y$2:$Y$2028,1)+COUNTIF($Y$2:Y430,Y430))-1,""))</f>
        <v/>
      </c>
      <c r="AA430" s="134" t="str">
        <f t="shared" si="302"/>
        <v/>
      </c>
      <c r="AB430" s="134" t="str">
        <f>IF(AA430="","",IFERROR((RANK(AA430,$AA$2:$AA$2028,1)+COUNTIF($AA$2:AA430,AA430))-1,""))</f>
        <v/>
      </c>
      <c r="AC430" s="134" t="str">
        <f t="shared" si="303"/>
        <v/>
      </c>
      <c r="AD430" s="134" t="str">
        <f>IF(AC430="","",IFERROR((RANK(AC430,$AC$2:$AC$2028,1)+COUNTIF($AC$2:AC430,AC430))-1,""))</f>
        <v/>
      </c>
      <c r="AE430" s="144" t="str">
        <f t="shared" si="295"/>
        <v/>
      </c>
      <c r="AF430" s="144" t="str">
        <f>IF(AE430="","",SUM($AE$2:AE430))</f>
        <v/>
      </c>
    </row>
    <row r="431" spans="14:32" x14ac:dyDescent="0.35">
      <c r="N431" s="134" t="str">
        <f t="shared" si="293"/>
        <v/>
      </c>
      <c r="O431" s="82" t="str">
        <f t="shared" si="296"/>
        <v/>
      </c>
      <c r="P431" s="81" t="str">
        <f t="shared" si="294"/>
        <v/>
      </c>
      <c r="Q431" s="81" t="str">
        <f t="shared" si="297"/>
        <v/>
      </c>
      <c r="R431" s="135" t="str">
        <f t="shared" ca="1" si="298"/>
        <v/>
      </c>
      <c r="S431" s="134" t="str">
        <f t="shared" ca="1" si="299"/>
        <v/>
      </c>
      <c r="T431" s="134" t="str">
        <f ca="1">IF(S431=Dashboard!$D$12,S431,"")</f>
        <v/>
      </c>
      <c r="U431" s="134" t="str">
        <f t="shared" ca="1" si="300"/>
        <v/>
      </c>
      <c r="V431" s="83" t="str">
        <f ca="1">IF(U431="","",IFERROR((RANK(U431,$U$2:$U$2028,1)+COUNTIF($U$2:U431,U431))-1,""))</f>
        <v/>
      </c>
      <c r="W431" s="134" t="str">
        <f t="shared" si="304"/>
        <v/>
      </c>
      <c r="X431" s="134" t="str">
        <f>IF(W431="","",IFERROR((RANK(W431,$W$2:$W$2028,1)+COUNTIF($W$2:W431,W431))-1,""))</f>
        <v/>
      </c>
      <c r="Y431" s="134" t="str">
        <f t="shared" si="301"/>
        <v/>
      </c>
      <c r="Z431" s="134" t="str">
        <f>IF(Y431="","",IFERROR((RANK(Y431,$Y$2:$Y$2028,1)+COUNTIF($Y$2:Y431,Y431))-1,""))</f>
        <v/>
      </c>
      <c r="AA431" s="134" t="str">
        <f t="shared" si="302"/>
        <v/>
      </c>
      <c r="AB431" s="134" t="str">
        <f>IF(AA431="","",IFERROR((RANK(AA431,$AA$2:$AA$2028,1)+COUNTIF($AA$2:AA431,AA431))-1,""))</f>
        <v/>
      </c>
      <c r="AC431" s="134" t="str">
        <f t="shared" si="303"/>
        <v/>
      </c>
      <c r="AD431" s="134" t="str">
        <f>IF(AC431="","",IFERROR((RANK(AC431,$AC$2:$AC$2028,1)+COUNTIF($AC$2:AC431,AC431))-1,""))</f>
        <v/>
      </c>
      <c r="AE431" s="144" t="str">
        <f t="shared" si="295"/>
        <v/>
      </c>
      <c r="AF431" s="144" t="str">
        <f>IF(AE431="","",SUM($AE$2:AE431))</f>
        <v/>
      </c>
    </row>
    <row r="432" spans="14:32" x14ac:dyDescent="0.35">
      <c r="N432" s="134" t="str">
        <f t="shared" si="293"/>
        <v/>
      </c>
      <c r="O432" s="82" t="str">
        <f t="shared" si="296"/>
        <v/>
      </c>
      <c r="P432" s="81" t="str">
        <f t="shared" si="294"/>
        <v/>
      </c>
      <c r="Q432" s="81" t="str">
        <f t="shared" si="297"/>
        <v/>
      </c>
      <c r="R432" s="135" t="str">
        <f t="shared" ca="1" si="298"/>
        <v/>
      </c>
      <c r="S432" s="134" t="str">
        <f t="shared" ca="1" si="299"/>
        <v/>
      </c>
      <c r="T432" s="134" t="str">
        <f ca="1">IF(S432=Dashboard!$D$12,S432,"")</f>
        <v/>
      </c>
      <c r="U432" s="134" t="str">
        <f t="shared" ca="1" si="300"/>
        <v/>
      </c>
      <c r="V432" s="83" t="str">
        <f ca="1">IF(U432="","",IFERROR((RANK(U432,$U$2:$U$2028,1)+COUNTIF($U$2:U432,U432))-1,""))</f>
        <v/>
      </c>
      <c r="W432" s="134" t="str">
        <f t="shared" si="304"/>
        <v/>
      </c>
      <c r="X432" s="134" t="str">
        <f>IF(W432="","",IFERROR((RANK(W432,$W$2:$W$2028,1)+COUNTIF($W$2:W432,W432))-1,""))</f>
        <v/>
      </c>
      <c r="Y432" s="134" t="str">
        <f t="shared" si="301"/>
        <v/>
      </c>
      <c r="Z432" s="134" t="str">
        <f>IF(Y432="","",IFERROR((RANK(Y432,$Y$2:$Y$2028,1)+COUNTIF($Y$2:Y432,Y432))-1,""))</f>
        <v/>
      </c>
      <c r="AA432" s="134" t="str">
        <f t="shared" si="302"/>
        <v/>
      </c>
      <c r="AB432" s="134" t="str">
        <f>IF(AA432="","",IFERROR((RANK(AA432,$AA$2:$AA$2028,1)+COUNTIF($AA$2:AA432,AA432))-1,""))</f>
        <v/>
      </c>
      <c r="AC432" s="134" t="str">
        <f t="shared" si="303"/>
        <v/>
      </c>
      <c r="AD432" s="134" t="str">
        <f>IF(AC432="","",IFERROR((RANK(AC432,$AC$2:$AC$2028,1)+COUNTIF($AC$2:AC432,AC432))-1,""))</f>
        <v/>
      </c>
      <c r="AE432" s="144" t="str">
        <f t="shared" si="295"/>
        <v/>
      </c>
      <c r="AF432" s="144" t="str">
        <f>IF(AE432="","",SUM($AE$2:AE432))</f>
        <v/>
      </c>
    </row>
    <row r="433" spans="14:32" x14ac:dyDescent="0.35">
      <c r="N433" s="134" t="str">
        <f t="shared" si="293"/>
        <v/>
      </c>
      <c r="O433" s="82" t="str">
        <f t="shared" si="296"/>
        <v/>
      </c>
      <c r="P433" s="81" t="str">
        <f t="shared" si="294"/>
        <v/>
      </c>
      <c r="Q433" s="81" t="str">
        <f t="shared" si="297"/>
        <v/>
      </c>
      <c r="R433" s="135" t="str">
        <f t="shared" ca="1" si="298"/>
        <v/>
      </c>
      <c r="S433" s="134" t="str">
        <f t="shared" ca="1" si="299"/>
        <v/>
      </c>
      <c r="T433" s="134" t="str">
        <f ca="1">IF(S433=Dashboard!$D$12,S433,"")</f>
        <v/>
      </c>
      <c r="U433" s="134" t="str">
        <f t="shared" ca="1" si="300"/>
        <v/>
      </c>
      <c r="V433" s="83" t="str">
        <f ca="1">IF(U433="","",IFERROR((RANK(U433,$U$2:$U$2028,1)+COUNTIF($U$2:U433,U433))-1,""))</f>
        <v/>
      </c>
      <c r="W433" s="134" t="str">
        <f t="shared" si="304"/>
        <v/>
      </c>
      <c r="X433" s="134" t="str">
        <f>IF(W433="","",IFERROR((RANK(W433,$W$2:$W$2028,1)+COUNTIF($W$2:W433,W433))-1,""))</f>
        <v/>
      </c>
      <c r="Y433" s="134" t="str">
        <f t="shared" si="301"/>
        <v/>
      </c>
      <c r="Z433" s="134" t="str">
        <f>IF(Y433="","",IFERROR((RANK(Y433,$Y$2:$Y$2028,1)+COUNTIF($Y$2:Y433,Y433))-1,""))</f>
        <v/>
      </c>
      <c r="AA433" s="134" t="str">
        <f t="shared" si="302"/>
        <v/>
      </c>
      <c r="AB433" s="134" t="str">
        <f>IF(AA433="","",IFERROR((RANK(AA433,$AA$2:$AA$2028,1)+COUNTIF($AA$2:AA433,AA433))-1,""))</f>
        <v/>
      </c>
      <c r="AC433" s="134" t="str">
        <f t="shared" si="303"/>
        <v/>
      </c>
      <c r="AD433" s="134" t="str">
        <f>IF(AC433="","",IFERROR((RANK(AC433,$AC$2:$AC$2028,1)+COUNTIF($AC$2:AC433,AC433))-1,""))</f>
        <v/>
      </c>
      <c r="AE433" s="144" t="str">
        <f t="shared" si="295"/>
        <v/>
      </c>
      <c r="AF433" s="144" t="str">
        <f>IF(AE433="","",SUM($AE$2:AE433))</f>
        <v/>
      </c>
    </row>
    <row r="434" spans="14:32" x14ac:dyDescent="0.35">
      <c r="N434" s="134" t="str">
        <f t="shared" si="293"/>
        <v/>
      </c>
      <c r="O434" s="82" t="str">
        <f t="shared" si="296"/>
        <v/>
      </c>
      <c r="P434" s="81" t="str">
        <f t="shared" si="294"/>
        <v/>
      </c>
      <c r="Q434" s="81" t="str">
        <f t="shared" si="297"/>
        <v/>
      </c>
      <c r="R434" s="135" t="str">
        <f t="shared" ca="1" si="298"/>
        <v/>
      </c>
      <c r="S434" s="134" t="str">
        <f t="shared" ca="1" si="299"/>
        <v/>
      </c>
      <c r="T434" s="134" t="str">
        <f ca="1">IF(S434=Dashboard!$D$12,S434,"")</f>
        <v/>
      </c>
      <c r="U434" s="134" t="str">
        <f t="shared" ca="1" si="300"/>
        <v/>
      </c>
      <c r="V434" s="83" t="str">
        <f ca="1">IF(U434="","",IFERROR((RANK(U434,$U$2:$U$2028,1)+COUNTIF($U$2:U434,U434))-1,""))</f>
        <v/>
      </c>
      <c r="W434" s="134" t="str">
        <f t="shared" si="304"/>
        <v/>
      </c>
      <c r="X434" s="134" t="str">
        <f>IF(W434="","",IFERROR((RANK(W434,$W$2:$W$2028,1)+COUNTIF($W$2:W434,W434))-1,""))</f>
        <v/>
      </c>
      <c r="Y434" s="134" t="str">
        <f t="shared" si="301"/>
        <v/>
      </c>
      <c r="Z434" s="134" t="str">
        <f>IF(Y434="","",IFERROR((RANK(Y434,$Y$2:$Y$2028,1)+COUNTIF($Y$2:Y434,Y434))-1,""))</f>
        <v/>
      </c>
      <c r="AA434" s="134" t="str">
        <f t="shared" si="302"/>
        <v/>
      </c>
      <c r="AB434" s="134" t="str">
        <f>IF(AA434="","",IFERROR((RANK(AA434,$AA$2:$AA$2028,1)+COUNTIF($AA$2:AA434,AA434))-1,""))</f>
        <v/>
      </c>
      <c r="AC434" s="134" t="str">
        <f t="shared" si="303"/>
        <v/>
      </c>
      <c r="AD434" s="134" t="str">
        <f>IF(AC434="","",IFERROR((RANK(AC434,$AC$2:$AC$2028,1)+COUNTIF($AC$2:AC434,AC434))-1,""))</f>
        <v/>
      </c>
      <c r="AE434" s="144" t="str">
        <f t="shared" si="295"/>
        <v/>
      </c>
      <c r="AF434" s="144" t="str">
        <f>IF(AE434="","",SUM($AE$2:AE434))</f>
        <v/>
      </c>
    </row>
    <row r="435" spans="14:32" x14ac:dyDescent="0.35">
      <c r="N435" s="134" t="str">
        <f t="shared" si="293"/>
        <v/>
      </c>
      <c r="O435" s="82" t="str">
        <f t="shared" si="296"/>
        <v/>
      </c>
      <c r="P435" s="81" t="str">
        <f t="shared" si="294"/>
        <v/>
      </c>
      <c r="Q435" s="81" t="str">
        <f t="shared" si="297"/>
        <v/>
      </c>
      <c r="R435" s="135" t="str">
        <f t="shared" ca="1" si="298"/>
        <v/>
      </c>
      <c r="S435" s="134" t="str">
        <f t="shared" ca="1" si="299"/>
        <v/>
      </c>
      <c r="T435" s="134" t="str">
        <f ca="1">IF(S435=Dashboard!$D$12,S435,"")</f>
        <v/>
      </c>
      <c r="U435" s="134" t="str">
        <f t="shared" ca="1" si="300"/>
        <v/>
      </c>
      <c r="V435" s="83" t="str">
        <f ca="1">IF(U435="","",IFERROR((RANK(U435,$U$2:$U$2028,1)+COUNTIF($U$2:U435,U435))-1,""))</f>
        <v/>
      </c>
      <c r="W435" s="134" t="str">
        <f t="shared" si="304"/>
        <v/>
      </c>
      <c r="X435" s="134" t="str">
        <f>IF(W435="","",IFERROR((RANK(W435,$W$2:$W$2028,1)+COUNTIF($W$2:W435,W435))-1,""))</f>
        <v/>
      </c>
      <c r="Y435" s="134" t="str">
        <f t="shared" si="301"/>
        <v/>
      </c>
      <c r="Z435" s="134" t="str">
        <f>IF(Y435="","",IFERROR((RANK(Y435,$Y$2:$Y$2028,1)+COUNTIF($Y$2:Y435,Y435))-1,""))</f>
        <v/>
      </c>
      <c r="AA435" s="134" t="str">
        <f t="shared" si="302"/>
        <v/>
      </c>
      <c r="AB435" s="134" t="str">
        <f>IF(AA435="","",IFERROR((RANK(AA435,$AA$2:$AA$2028,1)+COUNTIF($AA$2:AA435,AA435))-1,""))</f>
        <v/>
      </c>
      <c r="AC435" s="134" t="str">
        <f t="shared" si="303"/>
        <v/>
      </c>
      <c r="AD435" s="134" t="str">
        <f>IF(AC435="","",IFERROR((RANK(AC435,$AC$2:$AC$2028,1)+COUNTIF($AC$2:AC435,AC435))-1,""))</f>
        <v/>
      </c>
      <c r="AE435" s="144" t="str">
        <f t="shared" si="295"/>
        <v/>
      </c>
      <c r="AF435" s="144" t="str">
        <f>IF(AE435="","",SUM($AE$2:AE435))</f>
        <v/>
      </c>
    </row>
    <row r="436" spans="14:32" x14ac:dyDescent="0.35">
      <c r="N436" s="134" t="str">
        <f t="shared" si="293"/>
        <v/>
      </c>
      <c r="O436" s="82" t="str">
        <f t="shared" si="296"/>
        <v/>
      </c>
      <c r="P436" s="81" t="str">
        <f t="shared" si="294"/>
        <v/>
      </c>
      <c r="Q436" s="81" t="str">
        <f t="shared" si="297"/>
        <v/>
      </c>
      <c r="R436" s="135" t="str">
        <f t="shared" ca="1" si="298"/>
        <v/>
      </c>
      <c r="S436" s="134" t="str">
        <f t="shared" ca="1" si="299"/>
        <v/>
      </c>
      <c r="T436" s="134" t="str">
        <f ca="1">IF(S436=Dashboard!$D$12,S436,"")</f>
        <v/>
      </c>
      <c r="U436" s="134" t="str">
        <f t="shared" ca="1" si="300"/>
        <v/>
      </c>
      <c r="V436" s="83" t="str">
        <f ca="1">IF(U436="","",IFERROR((RANK(U436,$U$2:$U$2028,1)+COUNTIF($U$2:U436,U436))-1,""))</f>
        <v/>
      </c>
      <c r="W436" s="134" t="str">
        <f t="shared" si="304"/>
        <v/>
      </c>
      <c r="X436" s="134" t="str">
        <f>IF(W436="","",IFERROR((RANK(W436,$W$2:$W$2028,1)+COUNTIF($W$2:W436,W436))-1,""))</f>
        <v/>
      </c>
      <c r="Y436" s="134" t="str">
        <f t="shared" si="301"/>
        <v/>
      </c>
      <c r="Z436" s="134" t="str">
        <f>IF(Y436="","",IFERROR((RANK(Y436,$Y$2:$Y$2028,1)+COUNTIF($Y$2:Y436,Y436))-1,""))</f>
        <v/>
      </c>
      <c r="AA436" s="134" t="str">
        <f t="shared" si="302"/>
        <v/>
      </c>
      <c r="AB436" s="134" t="str">
        <f>IF(AA436="","",IFERROR((RANK(AA436,$AA$2:$AA$2028,1)+COUNTIF($AA$2:AA436,AA436))-1,""))</f>
        <v/>
      </c>
      <c r="AC436" s="134" t="str">
        <f t="shared" si="303"/>
        <v/>
      </c>
      <c r="AD436" s="134" t="str">
        <f>IF(AC436="","",IFERROR((RANK(AC436,$AC$2:$AC$2028,1)+COUNTIF($AC$2:AC436,AC436))-1,""))</f>
        <v/>
      </c>
      <c r="AE436" s="144" t="str">
        <f t="shared" si="295"/>
        <v/>
      </c>
      <c r="AF436" s="144" t="str">
        <f>IF(AE436="","",SUM($AE$2:AE436))</f>
        <v/>
      </c>
    </row>
    <row r="437" spans="14:32" x14ac:dyDescent="0.35">
      <c r="N437" s="134" t="str">
        <f t="shared" si="293"/>
        <v/>
      </c>
      <c r="O437" s="82" t="str">
        <f t="shared" si="296"/>
        <v/>
      </c>
      <c r="P437" s="81" t="str">
        <f t="shared" si="294"/>
        <v/>
      </c>
      <c r="Q437" s="81" t="str">
        <f t="shared" si="297"/>
        <v/>
      </c>
      <c r="R437" s="135" t="str">
        <f t="shared" ca="1" si="298"/>
        <v/>
      </c>
      <c r="S437" s="134" t="str">
        <f t="shared" ca="1" si="299"/>
        <v/>
      </c>
      <c r="T437" s="134" t="str">
        <f ca="1">IF(S437=Dashboard!$D$12,S437,"")</f>
        <v/>
      </c>
      <c r="U437" s="134" t="str">
        <f t="shared" ca="1" si="300"/>
        <v/>
      </c>
      <c r="V437" s="83" t="str">
        <f ca="1">IF(U437="","",IFERROR((RANK(U437,$U$2:$U$2028,1)+COUNTIF($U$2:U437,U437))-1,""))</f>
        <v/>
      </c>
      <c r="W437" s="134" t="str">
        <f t="shared" si="304"/>
        <v/>
      </c>
      <c r="X437" s="134" t="str">
        <f>IF(W437="","",IFERROR((RANK(W437,$W$2:$W$2028,1)+COUNTIF($W$2:W437,W437))-1,""))</f>
        <v/>
      </c>
      <c r="Y437" s="134" t="str">
        <f t="shared" si="301"/>
        <v/>
      </c>
      <c r="Z437" s="134" t="str">
        <f>IF(Y437="","",IFERROR((RANK(Y437,$Y$2:$Y$2028,1)+COUNTIF($Y$2:Y437,Y437))-1,""))</f>
        <v/>
      </c>
      <c r="AA437" s="134" t="str">
        <f t="shared" si="302"/>
        <v/>
      </c>
      <c r="AB437" s="134" t="str">
        <f>IF(AA437="","",IFERROR((RANK(AA437,$AA$2:$AA$2028,1)+COUNTIF($AA$2:AA437,AA437))-1,""))</f>
        <v/>
      </c>
      <c r="AC437" s="134" t="str">
        <f t="shared" si="303"/>
        <v/>
      </c>
      <c r="AD437" s="134" t="str">
        <f>IF(AC437="","",IFERROR((RANK(AC437,$AC$2:$AC$2028,1)+COUNTIF($AC$2:AC437,AC437))-1,""))</f>
        <v/>
      </c>
      <c r="AE437" s="144" t="str">
        <f t="shared" si="295"/>
        <v/>
      </c>
      <c r="AF437" s="144" t="str">
        <f>IF(AE437="","",SUM($AE$2:AE437))</f>
        <v/>
      </c>
    </row>
    <row r="438" spans="14:32" x14ac:dyDescent="0.35">
      <c r="N438" s="134" t="str">
        <f t="shared" si="293"/>
        <v/>
      </c>
      <c r="O438" s="82" t="str">
        <f t="shared" si="296"/>
        <v/>
      </c>
      <c r="P438" s="81" t="str">
        <f t="shared" si="294"/>
        <v/>
      </c>
      <c r="Q438" s="81" t="str">
        <f t="shared" si="297"/>
        <v/>
      </c>
      <c r="R438" s="135" t="str">
        <f t="shared" ca="1" si="298"/>
        <v/>
      </c>
      <c r="S438" s="134" t="str">
        <f t="shared" ca="1" si="299"/>
        <v/>
      </c>
      <c r="T438" s="134" t="str">
        <f ca="1">IF(S438=Dashboard!$D$12,S438,"")</f>
        <v/>
      </c>
      <c r="U438" s="134" t="str">
        <f t="shared" ca="1" si="300"/>
        <v/>
      </c>
      <c r="V438" s="83" t="str">
        <f ca="1">IF(U438="","",IFERROR((RANK(U438,$U$2:$U$2028,1)+COUNTIF($U$2:U438,U438))-1,""))</f>
        <v/>
      </c>
      <c r="W438" s="134" t="str">
        <f t="shared" si="304"/>
        <v/>
      </c>
      <c r="X438" s="134" t="str">
        <f>IF(W438="","",IFERROR((RANK(W438,$W$2:$W$2028,1)+COUNTIF($W$2:W438,W438))-1,""))</f>
        <v/>
      </c>
      <c r="Y438" s="134" t="str">
        <f t="shared" si="301"/>
        <v/>
      </c>
      <c r="Z438" s="134" t="str">
        <f>IF(Y438="","",IFERROR((RANK(Y438,$Y$2:$Y$2028,1)+COUNTIF($Y$2:Y438,Y438))-1,""))</f>
        <v/>
      </c>
      <c r="AA438" s="134" t="str">
        <f t="shared" si="302"/>
        <v/>
      </c>
      <c r="AB438" s="134" t="str">
        <f>IF(AA438="","",IFERROR((RANK(AA438,$AA$2:$AA$2028,1)+COUNTIF($AA$2:AA438,AA438))-1,""))</f>
        <v/>
      </c>
      <c r="AC438" s="134" t="str">
        <f t="shared" si="303"/>
        <v/>
      </c>
      <c r="AD438" s="134" t="str">
        <f>IF(AC438="","",IFERROR((RANK(AC438,$AC$2:$AC$2028,1)+COUNTIF($AC$2:AC438,AC438))-1,""))</f>
        <v/>
      </c>
      <c r="AE438" s="144" t="str">
        <f t="shared" si="295"/>
        <v/>
      </c>
      <c r="AF438" s="144" t="str">
        <f>IF(AE438="","",SUM($AE$2:AE438))</f>
        <v/>
      </c>
    </row>
    <row r="439" spans="14:32" x14ac:dyDescent="0.35">
      <c r="N439" s="134" t="str">
        <f t="shared" si="293"/>
        <v/>
      </c>
      <c r="O439" s="82" t="str">
        <f t="shared" si="296"/>
        <v/>
      </c>
      <c r="P439" s="81" t="str">
        <f t="shared" si="294"/>
        <v/>
      </c>
      <c r="Q439" s="81" t="str">
        <f t="shared" si="297"/>
        <v/>
      </c>
      <c r="R439" s="135" t="str">
        <f t="shared" ca="1" si="298"/>
        <v/>
      </c>
      <c r="S439" s="134" t="str">
        <f t="shared" ca="1" si="299"/>
        <v/>
      </c>
      <c r="T439" s="134" t="str">
        <f ca="1">IF(S439=Dashboard!$D$12,S439,"")</f>
        <v/>
      </c>
      <c r="U439" s="134" t="str">
        <f t="shared" ca="1" si="300"/>
        <v/>
      </c>
      <c r="V439" s="83" t="str">
        <f ca="1">IF(U439="","",IFERROR((RANK(U439,$U$2:$U$2028,1)+COUNTIF($U$2:U439,U439))-1,""))</f>
        <v/>
      </c>
      <c r="W439" s="134" t="str">
        <f t="shared" si="304"/>
        <v/>
      </c>
      <c r="X439" s="134" t="str">
        <f>IF(W439="","",IFERROR((RANK(W439,$W$2:$W$2028,1)+COUNTIF($W$2:W439,W439))-1,""))</f>
        <v/>
      </c>
      <c r="Y439" s="134" t="str">
        <f t="shared" si="301"/>
        <v/>
      </c>
      <c r="Z439" s="134" t="str">
        <f>IF(Y439="","",IFERROR((RANK(Y439,$Y$2:$Y$2028,1)+COUNTIF($Y$2:Y439,Y439))-1,""))</f>
        <v/>
      </c>
      <c r="AA439" s="134" t="str">
        <f t="shared" si="302"/>
        <v/>
      </c>
      <c r="AB439" s="134" t="str">
        <f>IF(AA439="","",IFERROR((RANK(AA439,$AA$2:$AA$2028,1)+COUNTIF($AA$2:AA439,AA439))-1,""))</f>
        <v/>
      </c>
      <c r="AC439" s="134" t="str">
        <f t="shared" si="303"/>
        <v/>
      </c>
      <c r="AD439" s="134" t="str">
        <f>IF(AC439="","",IFERROR((RANK(AC439,$AC$2:$AC$2028,1)+COUNTIF($AC$2:AC439,AC439))-1,""))</f>
        <v/>
      </c>
      <c r="AE439" s="144" t="str">
        <f t="shared" si="295"/>
        <v/>
      </c>
      <c r="AF439" s="144" t="str">
        <f>IF(AE439="","",SUM($AE$2:AE439))</f>
        <v/>
      </c>
    </row>
    <row r="440" spans="14:32" x14ac:dyDescent="0.35">
      <c r="N440" s="134" t="str">
        <f t="shared" si="293"/>
        <v/>
      </c>
      <c r="O440" s="82" t="str">
        <f t="shared" si="296"/>
        <v/>
      </c>
      <c r="P440" s="81" t="str">
        <f t="shared" si="294"/>
        <v/>
      </c>
      <c r="Q440" s="81" t="str">
        <f t="shared" si="297"/>
        <v/>
      </c>
      <c r="R440" s="135" t="str">
        <f t="shared" ca="1" si="298"/>
        <v/>
      </c>
      <c r="S440" s="134" t="str">
        <f t="shared" ca="1" si="299"/>
        <v/>
      </c>
      <c r="T440" s="134" t="str">
        <f ca="1">IF(S440=Dashboard!$D$12,S440,"")</f>
        <v/>
      </c>
      <c r="U440" s="134" t="str">
        <f t="shared" ca="1" si="300"/>
        <v/>
      </c>
      <c r="V440" s="83" t="str">
        <f ca="1">IF(U440="","",IFERROR((RANK(U440,$U$2:$U$2028,1)+COUNTIF($U$2:U440,U440))-1,""))</f>
        <v/>
      </c>
      <c r="W440" s="134" t="str">
        <f t="shared" si="304"/>
        <v/>
      </c>
      <c r="X440" s="134" t="str">
        <f>IF(W440="","",IFERROR((RANK(W440,$W$2:$W$2028,1)+COUNTIF($W$2:W440,W440))-1,""))</f>
        <v/>
      </c>
      <c r="Y440" s="134" t="str">
        <f t="shared" si="301"/>
        <v/>
      </c>
      <c r="Z440" s="134" t="str">
        <f>IF(Y440="","",IFERROR((RANK(Y440,$Y$2:$Y$2028,1)+COUNTIF($Y$2:Y440,Y440))-1,""))</f>
        <v/>
      </c>
      <c r="AA440" s="134" t="str">
        <f t="shared" si="302"/>
        <v/>
      </c>
      <c r="AB440" s="134" t="str">
        <f>IF(AA440="","",IFERROR((RANK(AA440,$AA$2:$AA$2028,1)+COUNTIF($AA$2:AA440,AA440))-1,""))</f>
        <v/>
      </c>
      <c r="AC440" s="134" t="str">
        <f t="shared" si="303"/>
        <v/>
      </c>
      <c r="AD440" s="134" t="str">
        <f>IF(AC440="","",IFERROR((RANK(AC440,$AC$2:$AC$2028,1)+COUNTIF($AC$2:AC440,AC440))-1,""))</f>
        <v/>
      </c>
      <c r="AE440" s="144" t="str">
        <f t="shared" si="295"/>
        <v/>
      </c>
      <c r="AF440" s="144" t="str">
        <f>IF(AE440="","",SUM($AE$2:AE440))</f>
        <v/>
      </c>
    </row>
    <row r="441" spans="14:32" x14ac:dyDescent="0.35">
      <c r="N441" s="134" t="str">
        <f t="shared" si="293"/>
        <v/>
      </c>
      <c r="O441" s="82" t="str">
        <f t="shared" si="296"/>
        <v/>
      </c>
      <c r="P441" s="81" t="str">
        <f t="shared" si="294"/>
        <v/>
      </c>
      <c r="Q441" s="81" t="str">
        <f t="shared" si="297"/>
        <v/>
      </c>
      <c r="R441" s="135" t="str">
        <f t="shared" ca="1" si="298"/>
        <v/>
      </c>
      <c r="S441" s="134" t="str">
        <f t="shared" ca="1" si="299"/>
        <v/>
      </c>
      <c r="T441" s="134" t="str">
        <f ca="1">IF(S441=Dashboard!$D$12,S441,"")</f>
        <v/>
      </c>
      <c r="U441" s="134" t="str">
        <f t="shared" ca="1" si="300"/>
        <v/>
      </c>
      <c r="V441" s="83" t="str">
        <f ca="1">IF(U441="","",IFERROR((RANK(U441,$U$2:$U$2028,1)+COUNTIF($U$2:U441,U441))-1,""))</f>
        <v/>
      </c>
      <c r="W441" s="134" t="str">
        <f t="shared" si="304"/>
        <v/>
      </c>
      <c r="X441" s="134" t="str">
        <f>IF(W441="","",IFERROR((RANK(W441,$W$2:$W$2028,1)+COUNTIF($W$2:W441,W441))-1,""))</f>
        <v/>
      </c>
      <c r="Y441" s="134" t="str">
        <f t="shared" si="301"/>
        <v/>
      </c>
      <c r="Z441" s="134" t="str">
        <f>IF(Y441="","",IFERROR((RANK(Y441,$Y$2:$Y$2028,1)+COUNTIF($Y$2:Y441,Y441))-1,""))</f>
        <v/>
      </c>
      <c r="AA441" s="134" t="str">
        <f t="shared" si="302"/>
        <v/>
      </c>
      <c r="AB441" s="134" t="str">
        <f>IF(AA441="","",IFERROR((RANK(AA441,$AA$2:$AA$2028,1)+COUNTIF($AA$2:AA441,AA441))-1,""))</f>
        <v/>
      </c>
      <c r="AC441" s="134" t="str">
        <f t="shared" si="303"/>
        <v/>
      </c>
      <c r="AD441" s="134" t="str">
        <f>IF(AC441="","",IFERROR((RANK(AC441,$AC$2:$AC$2028,1)+COUNTIF($AC$2:AC441,AC441))-1,""))</f>
        <v/>
      </c>
      <c r="AE441" s="144" t="str">
        <f t="shared" si="295"/>
        <v/>
      </c>
      <c r="AF441" s="144" t="str">
        <f>IF(AE441="","",SUM($AE$2:AE441))</f>
        <v/>
      </c>
    </row>
    <row r="442" spans="14:32" x14ac:dyDescent="0.35">
      <c r="N442" s="134" t="str">
        <f t="shared" si="293"/>
        <v/>
      </c>
      <c r="O442" s="82" t="str">
        <f t="shared" si="296"/>
        <v/>
      </c>
      <c r="P442" s="81" t="str">
        <f t="shared" si="294"/>
        <v/>
      </c>
      <c r="Q442" s="81" t="str">
        <f t="shared" si="297"/>
        <v/>
      </c>
      <c r="R442" s="135" t="str">
        <f t="shared" ca="1" si="298"/>
        <v/>
      </c>
      <c r="S442" s="134" t="str">
        <f t="shared" ca="1" si="299"/>
        <v/>
      </c>
      <c r="T442" s="134" t="str">
        <f ca="1">IF(S442=Dashboard!$D$12,S442,"")</f>
        <v/>
      </c>
      <c r="U442" s="134" t="str">
        <f t="shared" ca="1" si="300"/>
        <v/>
      </c>
      <c r="V442" s="83" t="str">
        <f ca="1">IF(U442="","",IFERROR((RANK(U442,$U$2:$U$2028,1)+COUNTIF($U$2:U442,U442))-1,""))</f>
        <v/>
      </c>
      <c r="W442" s="134" t="str">
        <f t="shared" si="304"/>
        <v/>
      </c>
      <c r="X442" s="134" t="str">
        <f>IF(W442="","",IFERROR((RANK(W442,$W$2:$W$2028,1)+COUNTIF($W$2:W442,W442))-1,""))</f>
        <v/>
      </c>
      <c r="Y442" s="134" t="str">
        <f t="shared" si="301"/>
        <v/>
      </c>
      <c r="Z442" s="134" t="str">
        <f>IF(Y442="","",IFERROR((RANK(Y442,$Y$2:$Y$2028,1)+COUNTIF($Y$2:Y442,Y442))-1,""))</f>
        <v/>
      </c>
      <c r="AA442" s="134" t="str">
        <f t="shared" si="302"/>
        <v/>
      </c>
      <c r="AB442" s="134" t="str">
        <f>IF(AA442="","",IFERROR((RANK(AA442,$AA$2:$AA$2028,1)+COUNTIF($AA$2:AA442,AA442))-1,""))</f>
        <v/>
      </c>
      <c r="AC442" s="134" t="str">
        <f t="shared" si="303"/>
        <v/>
      </c>
      <c r="AD442" s="134" t="str">
        <f>IF(AC442="","",IFERROR((RANK(AC442,$AC$2:$AC$2028,1)+COUNTIF($AC$2:AC442,AC442))-1,""))</f>
        <v/>
      </c>
      <c r="AE442" s="144" t="str">
        <f t="shared" si="295"/>
        <v/>
      </c>
      <c r="AF442" s="144" t="str">
        <f>IF(AE442="","",SUM($AE$2:AE442))</f>
        <v/>
      </c>
    </row>
    <row r="443" spans="14:32" x14ac:dyDescent="0.35">
      <c r="N443" s="134" t="str">
        <f t="shared" si="293"/>
        <v/>
      </c>
      <c r="O443" s="82" t="str">
        <f t="shared" si="296"/>
        <v/>
      </c>
      <c r="P443" s="81" t="str">
        <f t="shared" si="294"/>
        <v/>
      </c>
      <c r="Q443" s="81" t="str">
        <f t="shared" si="297"/>
        <v/>
      </c>
      <c r="R443" s="135" t="str">
        <f t="shared" ca="1" si="298"/>
        <v/>
      </c>
      <c r="S443" s="134" t="str">
        <f t="shared" ca="1" si="299"/>
        <v/>
      </c>
      <c r="T443" s="134" t="str">
        <f ca="1">IF(S443=Dashboard!$D$12,S443,"")</f>
        <v/>
      </c>
      <c r="U443" s="134" t="str">
        <f t="shared" ca="1" si="300"/>
        <v/>
      </c>
      <c r="V443" s="83" t="str">
        <f ca="1">IF(U443="","",IFERROR((RANK(U443,$U$2:$U$2028,1)+COUNTIF($U$2:U443,U443))-1,""))</f>
        <v/>
      </c>
      <c r="W443" s="134" t="str">
        <f t="shared" si="304"/>
        <v/>
      </c>
      <c r="X443" s="134" t="str">
        <f>IF(W443="","",IFERROR((RANK(W443,$W$2:$W$2028,1)+COUNTIF($W$2:W443,W443))-1,""))</f>
        <v/>
      </c>
      <c r="Y443" s="134" t="str">
        <f t="shared" si="301"/>
        <v/>
      </c>
      <c r="Z443" s="134" t="str">
        <f>IF(Y443="","",IFERROR((RANK(Y443,$Y$2:$Y$2028,1)+COUNTIF($Y$2:Y443,Y443))-1,""))</f>
        <v/>
      </c>
      <c r="AA443" s="134" t="str">
        <f t="shared" si="302"/>
        <v/>
      </c>
      <c r="AB443" s="134" t="str">
        <f>IF(AA443="","",IFERROR((RANK(AA443,$AA$2:$AA$2028,1)+COUNTIF($AA$2:AA443,AA443))-1,""))</f>
        <v/>
      </c>
      <c r="AC443" s="134" t="str">
        <f t="shared" si="303"/>
        <v/>
      </c>
      <c r="AD443" s="134" t="str">
        <f>IF(AC443="","",IFERROR((RANK(AC443,$AC$2:$AC$2028,1)+COUNTIF($AC$2:AC443,AC443))-1,""))</f>
        <v/>
      </c>
      <c r="AE443" s="144" t="str">
        <f t="shared" si="295"/>
        <v/>
      </c>
      <c r="AF443" s="144" t="str">
        <f>IF(AE443="","",SUM($AE$2:AE443))</f>
        <v/>
      </c>
    </row>
    <row r="444" spans="14:32" x14ac:dyDescent="0.35">
      <c r="N444" s="134" t="str">
        <f t="shared" si="293"/>
        <v/>
      </c>
      <c r="O444" s="82" t="str">
        <f t="shared" si="296"/>
        <v/>
      </c>
      <c r="P444" s="81" t="str">
        <f t="shared" si="294"/>
        <v/>
      </c>
      <c r="Q444" s="81" t="str">
        <f t="shared" si="297"/>
        <v/>
      </c>
      <c r="R444" s="135" t="str">
        <f t="shared" ca="1" si="298"/>
        <v/>
      </c>
      <c r="S444" s="134" t="str">
        <f t="shared" ca="1" si="299"/>
        <v/>
      </c>
      <c r="T444" s="134" t="str">
        <f ca="1">IF(S444=Dashboard!$D$12,S444,"")</f>
        <v/>
      </c>
      <c r="U444" s="134" t="str">
        <f t="shared" ca="1" si="300"/>
        <v/>
      </c>
      <c r="V444" s="83" t="str">
        <f ca="1">IF(U444="","",IFERROR((RANK(U444,$U$2:$U$2028,1)+COUNTIF($U$2:U444,U444))-1,""))</f>
        <v/>
      </c>
      <c r="W444" s="134" t="str">
        <f t="shared" si="304"/>
        <v/>
      </c>
      <c r="X444" s="134" t="str">
        <f>IF(W444="","",IFERROR((RANK(W444,$W$2:$W$2028,1)+COUNTIF($W$2:W444,W444))-1,""))</f>
        <v/>
      </c>
      <c r="Y444" s="134" t="str">
        <f t="shared" si="301"/>
        <v/>
      </c>
      <c r="Z444" s="134" t="str">
        <f>IF(Y444="","",IFERROR((RANK(Y444,$Y$2:$Y$2028,1)+COUNTIF($Y$2:Y444,Y444))-1,""))</f>
        <v/>
      </c>
      <c r="AA444" s="134" t="str">
        <f t="shared" si="302"/>
        <v/>
      </c>
      <c r="AB444" s="134" t="str">
        <f>IF(AA444="","",IFERROR((RANK(AA444,$AA$2:$AA$2028,1)+COUNTIF($AA$2:AA444,AA444))-1,""))</f>
        <v/>
      </c>
      <c r="AC444" s="134" t="str">
        <f t="shared" si="303"/>
        <v/>
      </c>
      <c r="AD444" s="134" t="str">
        <f>IF(AC444="","",IFERROR((RANK(AC444,$AC$2:$AC$2028,1)+COUNTIF($AC$2:AC444,AC444))-1,""))</f>
        <v/>
      </c>
      <c r="AE444" s="144" t="str">
        <f t="shared" si="295"/>
        <v/>
      </c>
      <c r="AF444" s="144" t="str">
        <f>IF(AE444="","",SUM($AE$2:AE444))</f>
        <v/>
      </c>
    </row>
    <row r="445" spans="14:32" x14ac:dyDescent="0.35">
      <c r="N445" s="134" t="str">
        <f t="shared" si="293"/>
        <v/>
      </c>
      <c r="O445" s="82" t="str">
        <f t="shared" si="296"/>
        <v/>
      </c>
      <c r="P445" s="81" t="str">
        <f t="shared" si="294"/>
        <v/>
      </c>
      <c r="Q445" s="81" t="str">
        <f t="shared" si="297"/>
        <v/>
      </c>
      <c r="R445" s="135" t="str">
        <f t="shared" ca="1" si="298"/>
        <v/>
      </c>
      <c r="S445" s="134" t="str">
        <f t="shared" ca="1" si="299"/>
        <v/>
      </c>
      <c r="T445" s="134" t="str">
        <f ca="1">IF(S445=Dashboard!$D$12,S445,"")</f>
        <v/>
      </c>
      <c r="U445" s="134" t="str">
        <f t="shared" ca="1" si="300"/>
        <v/>
      </c>
      <c r="V445" s="83" t="str">
        <f ca="1">IF(U445="","",IFERROR((RANK(U445,$U$2:$U$2028,1)+COUNTIF($U$2:U445,U445))-1,""))</f>
        <v/>
      </c>
      <c r="W445" s="134" t="str">
        <f t="shared" si="304"/>
        <v/>
      </c>
      <c r="X445" s="134" t="str">
        <f>IF(W445="","",IFERROR((RANK(W445,$W$2:$W$2028,1)+COUNTIF($W$2:W445,W445))-1,""))</f>
        <v/>
      </c>
      <c r="Y445" s="134" t="str">
        <f t="shared" si="301"/>
        <v/>
      </c>
      <c r="Z445" s="134" t="str">
        <f>IF(Y445="","",IFERROR((RANK(Y445,$Y$2:$Y$2028,1)+COUNTIF($Y$2:Y445,Y445))-1,""))</f>
        <v/>
      </c>
      <c r="AA445" s="134" t="str">
        <f t="shared" si="302"/>
        <v/>
      </c>
      <c r="AB445" s="134" t="str">
        <f>IF(AA445="","",IFERROR((RANK(AA445,$AA$2:$AA$2028,1)+COUNTIF($AA$2:AA445,AA445))-1,""))</f>
        <v/>
      </c>
      <c r="AC445" s="134" t="str">
        <f t="shared" si="303"/>
        <v/>
      </c>
      <c r="AD445" s="134" t="str">
        <f>IF(AC445="","",IFERROR((RANK(AC445,$AC$2:$AC$2028,1)+COUNTIF($AC$2:AC445,AC445))-1,""))</f>
        <v/>
      </c>
      <c r="AE445" s="144" t="str">
        <f t="shared" si="295"/>
        <v/>
      </c>
      <c r="AF445" s="144" t="str">
        <f>IF(AE445="","",SUM($AE$2:AE445))</f>
        <v/>
      </c>
    </row>
    <row r="446" spans="14:32" x14ac:dyDescent="0.35">
      <c r="N446" s="134" t="str">
        <f t="shared" si="293"/>
        <v/>
      </c>
      <c r="O446" s="82" t="str">
        <f t="shared" si="296"/>
        <v/>
      </c>
      <c r="P446" s="81" t="str">
        <f t="shared" si="294"/>
        <v/>
      </c>
      <c r="Q446" s="81" t="str">
        <f t="shared" si="297"/>
        <v/>
      </c>
      <c r="R446" s="135" t="str">
        <f t="shared" ca="1" si="298"/>
        <v/>
      </c>
      <c r="S446" s="134" t="str">
        <f t="shared" ca="1" si="299"/>
        <v/>
      </c>
      <c r="T446" s="134" t="str">
        <f ca="1">IF(S446=Dashboard!$D$12,S446,"")</f>
        <v/>
      </c>
      <c r="U446" s="134" t="str">
        <f t="shared" ca="1" si="300"/>
        <v/>
      </c>
      <c r="V446" s="83" t="str">
        <f ca="1">IF(U446="","",IFERROR((RANK(U446,$U$2:$U$2028,1)+COUNTIF($U$2:U446,U446))-1,""))</f>
        <v/>
      </c>
      <c r="W446" s="134" t="str">
        <f t="shared" si="304"/>
        <v/>
      </c>
      <c r="X446" s="134" t="str">
        <f>IF(W446="","",IFERROR((RANK(W446,$W$2:$W$2028,1)+COUNTIF($W$2:W446,W446))-1,""))</f>
        <v/>
      </c>
      <c r="Y446" s="134" t="str">
        <f t="shared" si="301"/>
        <v/>
      </c>
      <c r="Z446" s="134" t="str">
        <f>IF(Y446="","",IFERROR((RANK(Y446,$Y$2:$Y$2028,1)+COUNTIF($Y$2:Y446,Y446))-1,""))</f>
        <v/>
      </c>
      <c r="AA446" s="134" t="str">
        <f t="shared" si="302"/>
        <v/>
      </c>
      <c r="AB446" s="134" t="str">
        <f>IF(AA446="","",IFERROR((RANK(AA446,$AA$2:$AA$2028,1)+COUNTIF($AA$2:AA446,AA446))-1,""))</f>
        <v/>
      </c>
      <c r="AC446" s="134" t="str">
        <f t="shared" si="303"/>
        <v/>
      </c>
      <c r="AD446" s="134" t="str">
        <f>IF(AC446="","",IFERROR((RANK(AC446,$AC$2:$AC$2028,1)+COUNTIF($AC$2:AC446,AC446))-1,""))</f>
        <v/>
      </c>
      <c r="AE446" s="144" t="str">
        <f t="shared" si="295"/>
        <v/>
      </c>
      <c r="AF446" s="144" t="str">
        <f>IF(AE446="","",SUM($AE$2:AE446))</f>
        <v/>
      </c>
    </row>
    <row r="447" spans="14:32" x14ac:dyDescent="0.35">
      <c r="N447" s="134" t="str">
        <f t="shared" si="293"/>
        <v/>
      </c>
      <c r="O447" s="82" t="str">
        <f t="shared" si="296"/>
        <v/>
      </c>
      <c r="P447" s="81" t="str">
        <f t="shared" si="294"/>
        <v/>
      </c>
      <c r="Q447" s="81" t="str">
        <f t="shared" si="297"/>
        <v/>
      </c>
      <c r="R447" s="135" t="str">
        <f t="shared" ca="1" si="298"/>
        <v/>
      </c>
      <c r="S447" s="134" t="str">
        <f t="shared" ca="1" si="299"/>
        <v/>
      </c>
      <c r="T447" s="134" t="str">
        <f ca="1">IF(S447=Dashboard!$D$12,S447,"")</f>
        <v/>
      </c>
      <c r="U447" s="134" t="str">
        <f t="shared" ca="1" si="300"/>
        <v/>
      </c>
      <c r="V447" s="83" t="str">
        <f ca="1">IF(U447="","",IFERROR((RANK(U447,$U$2:$U$2028,1)+COUNTIF($U$2:U447,U447))-1,""))</f>
        <v/>
      </c>
      <c r="W447" s="134" t="str">
        <f t="shared" si="304"/>
        <v/>
      </c>
      <c r="X447" s="134" t="str">
        <f>IF(W447="","",IFERROR((RANK(W447,$W$2:$W$2028,1)+COUNTIF($W$2:W447,W447))-1,""))</f>
        <v/>
      </c>
      <c r="Y447" s="134" t="str">
        <f t="shared" si="301"/>
        <v/>
      </c>
      <c r="Z447" s="134" t="str">
        <f>IF(Y447="","",IFERROR((RANK(Y447,$Y$2:$Y$2028,1)+COUNTIF($Y$2:Y447,Y447))-1,""))</f>
        <v/>
      </c>
      <c r="AA447" s="134" t="str">
        <f t="shared" si="302"/>
        <v/>
      </c>
      <c r="AB447" s="134" t="str">
        <f>IF(AA447="","",IFERROR((RANK(AA447,$AA$2:$AA$2028,1)+COUNTIF($AA$2:AA447,AA447))-1,""))</f>
        <v/>
      </c>
      <c r="AC447" s="134" t="str">
        <f t="shared" si="303"/>
        <v/>
      </c>
      <c r="AD447" s="134" t="str">
        <f>IF(AC447="","",IFERROR((RANK(AC447,$AC$2:$AC$2028,1)+COUNTIF($AC$2:AC447,AC447))-1,""))</f>
        <v/>
      </c>
      <c r="AE447" s="144" t="str">
        <f t="shared" si="295"/>
        <v/>
      </c>
      <c r="AF447" s="144" t="str">
        <f>IF(AE447="","",SUM($AE$2:AE447))</f>
        <v/>
      </c>
    </row>
    <row r="448" spans="14:32" x14ac:dyDescent="0.35">
      <c r="N448" s="134" t="str">
        <f t="shared" si="293"/>
        <v/>
      </c>
      <c r="O448" s="82" t="str">
        <f t="shared" si="296"/>
        <v/>
      </c>
      <c r="P448" s="81" t="str">
        <f t="shared" si="294"/>
        <v/>
      </c>
      <c r="Q448" s="81" t="str">
        <f t="shared" si="297"/>
        <v/>
      </c>
      <c r="R448" s="135" t="str">
        <f t="shared" ca="1" si="298"/>
        <v/>
      </c>
      <c r="S448" s="134" t="str">
        <f t="shared" ca="1" si="299"/>
        <v/>
      </c>
      <c r="T448" s="134" t="str">
        <f ca="1">IF(S448=Dashboard!$D$12,S448,"")</f>
        <v/>
      </c>
      <c r="U448" s="134" t="str">
        <f t="shared" ca="1" si="300"/>
        <v/>
      </c>
      <c r="V448" s="83" t="str">
        <f ca="1">IF(U448="","",IFERROR((RANK(U448,$U$2:$U$2028,1)+COUNTIF($U$2:U448,U448))-1,""))</f>
        <v/>
      </c>
      <c r="W448" s="134" t="str">
        <f t="shared" si="304"/>
        <v/>
      </c>
      <c r="X448" s="134" t="str">
        <f>IF(W448="","",IFERROR((RANK(W448,$W$2:$W$2028,1)+COUNTIF($W$2:W448,W448))-1,""))</f>
        <v/>
      </c>
      <c r="Y448" s="134" t="str">
        <f t="shared" si="301"/>
        <v/>
      </c>
      <c r="Z448" s="134" t="str">
        <f>IF(Y448="","",IFERROR((RANK(Y448,$Y$2:$Y$2028,1)+COUNTIF($Y$2:Y448,Y448))-1,""))</f>
        <v/>
      </c>
      <c r="AA448" s="134" t="str">
        <f t="shared" si="302"/>
        <v/>
      </c>
      <c r="AB448" s="134" t="str">
        <f>IF(AA448="","",IFERROR((RANK(AA448,$AA$2:$AA$2028,1)+COUNTIF($AA$2:AA448,AA448))-1,""))</f>
        <v/>
      </c>
      <c r="AC448" s="134" t="str">
        <f t="shared" si="303"/>
        <v/>
      </c>
      <c r="AD448" s="134" t="str">
        <f>IF(AC448="","",IFERROR((RANK(AC448,$AC$2:$AC$2028,1)+COUNTIF($AC$2:AC448,AC448))-1,""))</f>
        <v/>
      </c>
      <c r="AE448" s="144" t="str">
        <f t="shared" si="295"/>
        <v/>
      </c>
      <c r="AF448" s="144" t="str">
        <f>IF(AE448="","",SUM($AE$2:AE448))</f>
        <v/>
      </c>
    </row>
    <row r="449" spans="14:32" x14ac:dyDescent="0.35">
      <c r="N449" s="134" t="str">
        <f t="shared" si="293"/>
        <v/>
      </c>
      <c r="O449" s="82" t="str">
        <f t="shared" si="296"/>
        <v/>
      </c>
      <c r="P449" s="81" t="str">
        <f t="shared" si="294"/>
        <v/>
      </c>
      <c r="Q449" s="81" t="str">
        <f t="shared" si="297"/>
        <v/>
      </c>
      <c r="R449" s="135" t="str">
        <f t="shared" ca="1" si="298"/>
        <v/>
      </c>
      <c r="S449" s="134" t="str">
        <f t="shared" ca="1" si="299"/>
        <v/>
      </c>
      <c r="T449" s="134" t="str">
        <f ca="1">IF(S449=Dashboard!$D$12,S449,"")</f>
        <v/>
      </c>
      <c r="U449" s="134" t="str">
        <f t="shared" ca="1" si="300"/>
        <v/>
      </c>
      <c r="V449" s="83" t="str">
        <f ca="1">IF(U449="","",IFERROR((RANK(U449,$U$2:$U$2028,1)+COUNTIF($U$2:U449,U449))-1,""))</f>
        <v/>
      </c>
      <c r="W449" s="134" t="str">
        <f t="shared" si="304"/>
        <v/>
      </c>
      <c r="X449" s="134" t="str">
        <f>IF(W449="","",IFERROR((RANK(W449,$W$2:$W$2028,1)+COUNTIF($W$2:W449,W449))-1,""))</f>
        <v/>
      </c>
      <c r="Y449" s="134" t="str">
        <f t="shared" si="301"/>
        <v/>
      </c>
      <c r="Z449" s="134" t="str">
        <f>IF(Y449="","",IFERROR((RANK(Y449,$Y$2:$Y$2028,1)+COUNTIF($Y$2:Y449,Y449))-1,""))</f>
        <v/>
      </c>
      <c r="AA449" s="134" t="str">
        <f t="shared" si="302"/>
        <v/>
      </c>
      <c r="AB449" s="134" t="str">
        <f>IF(AA449="","",IFERROR((RANK(AA449,$AA$2:$AA$2028,1)+COUNTIF($AA$2:AA449,AA449))-1,""))</f>
        <v/>
      </c>
      <c r="AC449" s="134" t="str">
        <f t="shared" si="303"/>
        <v/>
      </c>
      <c r="AD449" s="134" t="str">
        <f>IF(AC449="","",IFERROR((RANK(AC449,$AC$2:$AC$2028,1)+COUNTIF($AC$2:AC449,AC449))-1,""))</f>
        <v/>
      </c>
      <c r="AE449" s="144" t="str">
        <f t="shared" si="295"/>
        <v/>
      </c>
      <c r="AF449" s="144" t="str">
        <f>IF(AE449="","",SUM($AE$2:AE449))</f>
        <v/>
      </c>
    </row>
    <row r="450" spans="14:32" x14ac:dyDescent="0.35">
      <c r="N450" s="134" t="str">
        <f t="shared" ref="N450:N513" si="305">IF(A450="","",COUNTIFS(M:M,M450,H:H,"&lt;"&amp;H450)+1)</f>
        <v/>
      </c>
      <c r="O450" s="82" t="str">
        <f t="shared" si="296"/>
        <v/>
      </c>
      <c r="P450" s="81" t="str">
        <f t="shared" ref="P450:P513" si="306">IF(A450="","",COUNTIFS(M:M,M450,H:H,"&gt;"&amp;H450)+1)</f>
        <v/>
      </c>
      <c r="Q450" s="81" t="str">
        <f t="shared" si="297"/>
        <v/>
      </c>
      <c r="R450" s="135" t="str">
        <f t="shared" ca="1" si="298"/>
        <v/>
      </c>
      <c r="S450" s="134" t="str">
        <f t="shared" ca="1" si="299"/>
        <v/>
      </c>
      <c r="T450" s="134" t="str">
        <f ca="1">IF(S450=Dashboard!$D$12,S450,"")</f>
        <v/>
      </c>
      <c r="U450" s="134" t="str">
        <f t="shared" ca="1" si="300"/>
        <v/>
      </c>
      <c r="V450" s="83" t="str">
        <f ca="1">IF(U450="","",IFERROR((RANK(U450,$U$2:$U$2028,1)+COUNTIF($U$2:U450,U450))-1,""))</f>
        <v/>
      </c>
      <c r="W450" s="134" t="str">
        <f t="shared" si="304"/>
        <v/>
      </c>
      <c r="X450" s="134" t="str">
        <f>IF(W450="","",IFERROR((RANK(W450,$W$2:$W$2028,1)+COUNTIF($W$2:W450,W450))-1,""))</f>
        <v/>
      </c>
      <c r="Y450" s="134" t="str">
        <f t="shared" si="301"/>
        <v/>
      </c>
      <c r="Z450" s="134" t="str">
        <f>IF(Y450="","",IFERROR((RANK(Y450,$Y$2:$Y$2028,1)+COUNTIF($Y$2:Y450,Y450))-1,""))</f>
        <v/>
      </c>
      <c r="AA450" s="134" t="str">
        <f t="shared" si="302"/>
        <v/>
      </c>
      <c r="AB450" s="134" t="str">
        <f>IF(AA450="","",IFERROR((RANK(AA450,$AA$2:$AA$2028,1)+COUNTIF($AA$2:AA450,AA450))-1,""))</f>
        <v/>
      </c>
      <c r="AC450" s="134" t="str">
        <f t="shared" si="303"/>
        <v/>
      </c>
      <c r="AD450" s="134" t="str">
        <f>IF(AC450="","",IFERROR((RANK(AC450,$AC$2:$AC$2028,1)+COUNTIF($AC$2:AC450,AC450))-1,""))</f>
        <v/>
      </c>
      <c r="AE450" s="144" t="str">
        <f t="shared" si="295"/>
        <v/>
      </c>
      <c r="AF450" s="144" t="str">
        <f>IF(AE450="","",SUM($AE$2:AE450))</f>
        <v/>
      </c>
    </row>
    <row r="451" spans="14:32" x14ac:dyDescent="0.35">
      <c r="N451" s="134" t="str">
        <f t="shared" si="305"/>
        <v/>
      </c>
      <c r="O451" s="82" t="str">
        <f t="shared" si="296"/>
        <v/>
      </c>
      <c r="P451" s="81" t="str">
        <f t="shared" si="306"/>
        <v/>
      </c>
      <c r="Q451" s="81" t="str">
        <f t="shared" si="297"/>
        <v/>
      </c>
      <c r="R451" s="135" t="str">
        <f t="shared" ca="1" si="298"/>
        <v/>
      </c>
      <c r="S451" s="134" t="str">
        <f t="shared" ca="1" si="299"/>
        <v/>
      </c>
      <c r="T451" s="134" t="str">
        <f ca="1">IF(S451=Dashboard!$D$12,S451,"")</f>
        <v/>
      </c>
      <c r="U451" s="134" t="str">
        <f t="shared" ca="1" si="300"/>
        <v/>
      </c>
      <c r="V451" s="83" t="str">
        <f ca="1">IF(U451="","",IFERROR((RANK(U451,$U$2:$U$2028,1)+COUNTIF($U$2:U451,U451))-1,""))</f>
        <v/>
      </c>
      <c r="W451" s="134" t="str">
        <f t="shared" si="304"/>
        <v/>
      </c>
      <c r="X451" s="134" t="str">
        <f>IF(W451="","",IFERROR((RANK(W451,$W$2:$W$2028,1)+COUNTIF($W$2:W451,W451))-1,""))</f>
        <v/>
      </c>
      <c r="Y451" s="134" t="str">
        <f t="shared" si="301"/>
        <v/>
      </c>
      <c r="Z451" s="134" t="str">
        <f>IF(Y451="","",IFERROR((RANK(Y451,$Y$2:$Y$2028,1)+COUNTIF($Y$2:Y451,Y451))-1,""))</f>
        <v/>
      </c>
      <c r="AA451" s="134" t="str">
        <f t="shared" si="302"/>
        <v/>
      </c>
      <c r="AB451" s="134" t="str">
        <f>IF(AA451="","",IFERROR((RANK(AA451,$AA$2:$AA$2028,1)+COUNTIF($AA$2:AA451,AA451))-1,""))</f>
        <v/>
      </c>
      <c r="AC451" s="134" t="str">
        <f t="shared" si="303"/>
        <v/>
      </c>
      <c r="AD451" s="134" t="str">
        <f>IF(AC451="","",IFERROR((RANK(AC451,$AC$2:$AC$2028,1)+COUNTIF($AC$2:AC451,AC451))-1,""))</f>
        <v/>
      </c>
      <c r="AE451" s="144" t="str">
        <f t="shared" si="295"/>
        <v/>
      </c>
      <c r="AF451" s="144" t="str">
        <f>IF(AE451="","",SUM($AE$2:AE451))</f>
        <v/>
      </c>
    </row>
    <row r="452" spans="14:32" x14ac:dyDescent="0.35">
      <c r="N452" s="134" t="str">
        <f t="shared" si="305"/>
        <v/>
      </c>
      <c r="O452" s="82" t="str">
        <f t="shared" si="296"/>
        <v/>
      </c>
      <c r="P452" s="81" t="str">
        <f t="shared" si="306"/>
        <v/>
      </c>
      <c r="Q452" s="81" t="str">
        <f t="shared" si="297"/>
        <v/>
      </c>
      <c r="R452" s="135" t="str">
        <f t="shared" ca="1" si="298"/>
        <v/>
      </c>
      <c r="S452" s="134" t="str">
        <f t="shared" ca="1" si="299"/>
        <v/>
      </c>
      <c r="T452" s="134" t="str">
        <f ca="1">IF(S452=Dashboard!$D$12,S452,"")</f>
        <v/>
      </c>
      <c r="U452" s="134" t="str">
        <f t="shared" ca="1" si="300"/>
        <v/>
      </c>
      <c r="V452" s="83" t="str">
        <f ca="1">IF(U452="","",IFERROR((RANK(U452,$U$2:$U$2028,1)+COUNTIF($U$2:U452,U452))-1,""))</f>
        <v/>
      </c>
      <c r="W452" s="134" t="str">
        <f t="shared" si="304"/>
        <v/>
      </c>
      <c r="X452" s="134" t="str">
        <f>IF(W452="","",IFERROR((RANK(W452,$W$2:$W$2028,1)+COUNTIF($W$2:W452,W452))-1,""))</f>
        <v/>
      </c>
      <c r="Y452" s="134" t="str">
        <f t="shared" si="301"/>
        <v/>
      </c>
      <c r="Z452" s="134" t="str">
        <f>IF(Y452="","",IFERROR((RANK(Y452,$Y$2:$Y$2028,1)+COUNTIF($Y$2:Y452,Y452))-1,""))</f>
        <v/>
      </c>
      <c r="AA452" s="134" t="str">
        <f t="shared" si="302"/>
        <v/>
      </c>
      <c r="AB452" s="134" t="str">
        <f>IF(AA452="","",IFERROR((RANK(AA452,$AA$2:$AA$2028,1)+COUNTIF($AA$2:AA452,AA452))-1,""))</f>
        <v/>
      </c>
      <c r="AC452" s="134" t="str">
        <f t="shared" si="303"/>
        <v/>
      </c>
      <c r="AD452" s="134" t="str">
        <f>IF(AC452="","",IFERROR((RANK(AC452,$AC$2:$AC$2028,1)+COUNTIF($AC$2:AC452,AC452))-1,""))</f>
        <v/>
      </c>
      <c r="AE452" s="144" t="str">
        <f t="shared" si="295"/>
        <v/>
      </c>
      <c r="AF452" s="144" t="str">
        <f>IF(AE452="","",SUM($AE$2:AE452))</f>
        <v/>
      </c>
    </row>
    <row r="453" spans="14:32" x14ac:dyDescent="0.35">
      <c r="N453" s="134" t="str">
        <f t="shared" si="305"/>
        <v/>
      </c>
      <c r="O453" s="82" t="str">
        <f t="shared" si="296"/>
        <v/>
      </c>
      <c r="P453" s="81" t="str">
        <f t="shared" si="306"/>
        <v/>
      </c>
      <c r="Q453" s="81" t="str">
        <f t="shared" si="297"/>
        <v/>
      </c>
      <c r="R453" s="135" t="str">
        <f t="shared" ca="1" si="298"/>
        <v/>
      </c>
      <c r="S453" s="134" t="str">
        <f t="shared" ca="1" si="299"/>
        <v/>
      </c>
      <c r="T453" s="134" t="str">
        <f ca="1">IF(S453=Dashboard!$D$12,S453,"")</f>
        <v/>
      </c>
      <c r="U453" s="134" t="str">
        <f t="shared" ca="1" si="300"/>
        <v/>
      </c>
      <c r="V453" s="83" t="str">
        <f ca="1">IF(U453="","",IFERROR((RANK(U453,$U$2:$U$2028,1)+COUNTIF($U$2:U453,U453))-1,""))</f>
        <v/>
      </c>
      <c r="W453" s="134" t="str">
        <f t="shared" si="304"/>
        <v/>
      </c>
      <c r="X453" s="134" t="str">
        <f>IF(W453="","",IFERROR((RANK(W453,$W$2:$W$2028,1)+COUNTIF($W$2:W453,W453))-1,""))</f>
        <v/>
      </c>
      <c r="Y453" s="134" t="str">
        <f t="shared" si="301"/>
        <v/>
      </c>
      <c r="Z453" s="134" t="str">
        <f>IF(Y453="","",IFERROR((RANK(Y453,$Y$2:$Y$2028,1)+COUNTIF($Y$2:Y453,Y453))-1,""))</f>
        <v/>
      </c>
      <c r="AA453" s="134" t="str">
        <f t="shared" si="302"/>
        <v/>
      </c>
      <c r="AB453" s="134" t="str">
        <f>IF(AA453="","",IFERROR((RANK(AA453,$AA$2:$AA$2028,1)+COUNTIF($AA$2:AA453,AA453))-1,""))</f>
        <v/>
      </c>
      <c r="AC453" s="134" t="str">
        <f t="shared" si="303"/>
        <v/>
      </c>
      <c r="AD453" s="134" t="str">
        <f>IF(AC453="","",IFERROR((RANK(AC453,$AC$2:$AC$2028,1)+COUNTIF($AC$2:AC453,AC453))-1,""))</f>
        <v/>
      </c>
      <c r="AE453" s="144" t="str">
        <f t="shared" si="295"/>
        <v/>
      </c>
      <c r="AF453" s="144" t="str">
        <f>IF(AE453="","",SUM($AE$2:AE453))</f>
        <v/>
      </c>
    </row>
    <row r="454" spans="14:32" x14ac:dyDescent="0.35">
      <c r="N454" s="134" t="str">
        <f t="shared" si="305"/>
        <v/>
      </c>
      <c r="O454" s="82" t="str">
        <f t="shared" si="296"/>
        <v/>
      </c>
      <c r="P454" s="81" t="str">
        <f t="shared" si="306"/>
        <v/>
      </c>
      <c r="Q454" s="81" t="str">
        <f t="shared" si="297"/>
        <v/>
      </c>
      <c r="R454" s="135" t="str">
        <f t="shared" ca="1" si="298"/>
        <v/>
      </c>
      <c r="S454" s="134" t="str">
        <f t="shared" ca="1" si="299"/>
        <v/>
      </c>
      <c r="T454" s="134" t="str">
        <f ca="1">IF(S454=Dashboard!$D$12,S454,"")</f>
        <v/>
      </c>
      <c r="U454" s="134" t="str">
        <f t="shared" ca="1" si="300"/>
        <v/>
      </c>
      <c r="V454" s="83" t="str">
        <f ca="1">IF(U454="","",IFERROR((RANK(U454,$U$2:$U$2028,1)+COUNTIF($U$2:U454,U454))-1,""))</f>
        <v/>
      </c>
      <c r="W454" s="134" t="str">
        <f t="shared" si="304"/>
        <v/>
      </c>
      <c r="X454" s="134" t="str">
        <f>IF(W454="","",IFERROR((RANK(W454,$W$2:$W$2028,1)+COUNTIF($W$2:W454,W454))-1,""))</f>
        <v/>
      </c>
      <c r="Y454" s="134" t="str">
        <f t="shared" si="301"/>
        <v/>
      </c>
      <c r="Z454" s="134" t="str">
        <f>IF(Y454="","",IFERROR((RANK(Y454,$Y$2:$Y$2028,1)+COUNTIF($Y$2:Y454,Y454))-1,""))</f>
        <v/>
      </c>
      <c r="AA454" s="134" t="str">
        <f t="shared" si="302"/>
        <v/>
      </c>
      <c r="AB454" s="134" t="str">
        <f>IF(AA454="","",IFERROR((RANK(AA454,$AA$2:$AA$2028,1)+COUNTIF($AA$2:AA454,AA454))-1,""))</f>
        <v/>
      </c>
      <c r="AC454" s="134" t="str">
        <f t="shared" si="303"/>
        <v/>
      </c>
      <c r="AD454" s="134" t="str">
        <f>IF(AC454="","",IFERROR((RANK(AC454,$AC$2:$AC$2028,1)+COUNTIF($AC$2:AC454,AC454))-1,""))</f>
        <v/>
      </c>
      <c r="AE454" s="144" t="str">
        <f t="shared" si="295"/>
        <v/>
      </c>
      <c r="AF454" s="144" t="str">
        <f>IF(AE454="","",SUM($AE$2:AE454))</f>
        <v/>
      </c>
    </row>
    <row r="455" spans="14:32" x14ac:dyDescent="0.35">
      <c r="N455" s="134" t="str">
        <f t="shared" si="305"/>
        <v/>
      </c>
      <c r="O455" s="82" t="str">
        <f t="shared" si="296"/>
        <v/>
      </c>
      <c r="P455" s="81" t="str">
        <f t="shared" si="306"/>
        <v/>
      </c>
      <c r="Q455" s="81" t="str">
        <f t="shared" si="297"/>
        <v/>
      </c>
      <c r="R455" s="135" t="str">
        <f t="shared" ca="1" si="298"/>
        <v/>
      </c>
      <c r="S455" s="134" t="str">
        <f t="shared" ca="1" si="299"/>
        <v/>
      </c>
      <c r="T455" s="134" t="str">
        <f ca="1">IF(S455=Dashboard!$D$12,S455,"")</f>
        <v/>
      </c>
      <c r="U455" s="134" t="str">
        <f t="shared" ca="1" si="300"/>
        <v/>
      </c>
      <c r="V455" s="83" t="str">
        <f ca="1">IF(U455="","",IFERROR((RANK(U455,$U$2:$U$2028,1)+COUNTIF($U$2:U455,U455))-1,""))</f>
        <v/>
      </c>
      <c r="W455" s="134" t="str">
        <f t="shared" si="304"/>
        <v/>
      </c>
      <c r="X455" s="134" t="str">
        <f>IF(W455="","",IFERROR((RANK(W455,$W$2:$W$2028,1)+COUNTIF($W$2:W455,W455))-1,""))</f>
        <v/>
      </c>
      <c r="Y455" s="134" t="str">
        <f t="shared" si="301"/>
        <v/>
      </c>
      <c r="Z455" s="134" t="str">
        <f>IF(Y455="","",IFERROR((RANK(Y455,$Y$2:$Y$2028,1)+COUNTIF($Y$2:Y455,Y455))-1,""))</f>
        <v/>
      </c>
      <c r="AA455" s="134" t="str">
        <f t="shared" si="302"/>
        <v/>
      </c>
      <c r="AB455" s="134" t="str">
        <f>IF(AA455="","",IFERROR((RANK(AA455,$AA$2:$AA$2028,1)+COUNTIF($AA$2:AA455,AA455))-1,""))</f>
        <v/>
      </c>
      <c r="AC455" s="134" t="str">
        <f t="shared" si="303"/>
        <v/>
      </c>
      <c r="AD455" s="134" t="str">
        <f>IF(AC455="","",IFERROR((RANK(AC455,$AC$2:$AC$2028,1)+COUNTIF($AC$2:AC455,AC455))-1,""))</f>
        <v/>
      </c>
      <c r="AE455" s="144" t="str">
        <f t="shared" ref="AE455:AE518" si="307">IF(P455=1,P455,"")</f>
        <v/>
      </c>
      <c r="AF455" s="144" t="str">
        <f>IF(AE455="","",SUM($AE$2:AE455))</f>
        <v/>
      </c>
    </row>
    <row r="456" spans="14:32" x14ac:dyDescent="0.35">
      <c r="N456" s="134" t="str">
        <f t="shared" si="305"/>
        <v/>
      </c>
      <c r="O456" s="82" t="str">
        <f t="shared" si="296"/>
        <v/>
      </c>
      <c r="P456" s="81" t="str">
        <f t="shared" si="306"/>
        <v/>
      </c>
      <c r="Q456" s="81" t="str">
        <f t="shared" si="297"/>
        <v/>
      </c>
      <c r="R456" s="135" t="str">
        <f t="shared" ca="1" si="298"/>
        <v/>
      </c>
      <c r="S456" s="134" t="str">
        <f t="shared" ca="1" si="299"/>
        <v/>
      </c>
      <c r="T456" s="134" t="str">
        <f ca="1">IF(S456=Dashboard!$D$12,S456,"")</f>
        <v/>
      </c>
      <c r="U456" s="134" t="str">
        <f t="shared" ca="1" si="300"/>
        <v/>
      </c>
      <c r="V456" s="83" t="str">
        <f ca="1">IF(U456="","",IFERROR((RANK(U456,$U$2:$U$2028,1)+COUNTIF($U$2:U456,U456))-1,""))</f>
        <v/>
      </c>
      <c r="W456" s="134" t="str">
        <f t="shared" si="304"/>
        <v/>
      </c>
      <c r="X456" s="134" t="str">
        <f>IF(W456="","",IFERROR((RANK(W456,$W$2:$W$2028,1)+COUNTIF($W$2:W456,W456))-1,""))</f>
        <v/>
      </c>
      <c r="Y456" s="134" t="str">
        <f t="shared" si="301"/>
        <v/>
      </c>
      <c r="Z456" s="134" t="str">
        <f>IF(Y456="","",IFERROR((RANK(Y456,$Y$2:$Y$2028,1)+COUNTIF($Y$2:Y456,Y456))-1,""))</f>
        <v/>
      </c>
      <c r="AA456" s="134" t="str">
        <f t="shared" si="302"/>
        <v/>
      </c>
      <c r="AB456" s="134" t="str">
        <f>IF(AA456="","",IFERROR((RANK(AA456,$AA$2:$AA$2028,1)+COUNTIF($AA$2:AA456,AA456))-1,""))</f>
        <v/>
      </c>
      <c r="AC456" s="134" t="str">
        <f t="shared" si="303"/>
        <v/>
      </c>
      <c r="AD456" s="134" t="str">
        <f>IF(AC456="","",IFERROR((RANK(AC456,$AC$2:$AC$2028,1)+COUNTIF($AC$2:AC456,AC456))-1,""))</f>
        <v/>
      </c>
      <c r="AE456" s="144" t="str">
        <f t="shared" si="307"/>
        <v/>
      </c>
      <c r="AF456" s="144" t="str">
        <f>IF(AE456="","",SUM($AE$2:AE456))</f>
        <v/>
      </c>
    </row>
    <row r="457" spans="14:32" x14ac:dyDescent="0.35">
      <c r="N457" s="134" t="str">
        <f t="shared" si="305"/>
        <v/>
      </c>
      <c r="O457" s="82" t="str">
        <f t="shared" si="296"/>
        <v/>
      </c>
      <c r="P457" s="81" t="str">
        <f t="shared" si="306"/>
        <v/>
      </c>
      <c r="Q457" s="81" t="str">
        <f t="shared" si="297"/>
        <v/>
      </c>
      <c r="R457" s="135" t="str">
        <f t="shared" ca="1" si="298"/>
        <v/>
      </c>
      <c r="S457" s="134" t="str">
        <f t="shared" ca="1" si="299"/>
        <v/>
      </c>
      <c r="T457" s="134" t="str">
        <f ca="1">IF(S457=Dashboard!$D$12,S457,"")</f>
        <v/>
      </c>
      <c r="U457" s="134" t="str">
        <f t="shared" ca="1" si="300"/>
        <v/>
      </c>
      <c r="V457" s="83" t="str">
        <f ca="1">IF(U457="","",IFERROR((RANK(U457,$U$2:$U$2028,1)+COUNTIF($U$2:U457,U457))-1,""))</f>
        <v/>
      </c>
      <c r="W457" s="134" t="str">
        <f t="shared" si="304"/>
        <v/>
      </c>
      <c r="X457" s="134" t="str">
        <f>IF(W457="","",IFERROR((RANK(W457,$W$2:$W$2028,1)+COUNTIF($W$2:W457,W457))-1,""))</f>
        <v/>
      </c>
      <c r="Y457" s="134" t="str">
        <f t="shared" si="301"/>
        <v/>
      </c>
      <c r="Z457" s="134" t="str">
        <f>IF(Y457="","",IFERROR((RANK(Y457,$Y$2:$Y$2028,1)+COUNTIF($Y$2:Y457,Y457))-1,""))</f>
        <v/>
      </c>
      <c r="AA457" s="134" t="str">
        <f t="shared" si="302"/>
        <v/>
      </c>
      <c r="AB457" s="134" t="str">
        <f>IF(AA457="","",IFERROR((RANK(AA457,$AA$2:$AA$2028,1)+COUNTIF($AA$2:AA457,AA457))-1,""))</f>
        <v/>
      </c>
      <c r="AC457" s="134" t="str">
        <f t="shared" si="303"/>
        <v/>
      </c>
      <c r="AD457" s="134" t="str">
        <f>IF(AC457="","",IFERROR((RANK(AC457,$AC$2:$AC$2028,1)+COUNTIF($AC$2:AC457,AC457))-1,""))</f>
        <v/>
      </c>
      <c r="AE457" s="144" t="str">
        <f t="shared" si="307"/>
        <v/>
      </c>
      <c r="AF457" s="144" t="str">
        <f>IF(AE457="","",SUM($AE$2:AE457))</f>
        <v/>
      </c>
    </row>
    <row r="458" spans="14:32" x14ac:dyDescent="0.35">
      <c r="N458" s="134" t="str">
        <f t="shared" si="305"/>
        <v/>
      </c>
      <c r="O458" s="82" t="str">
        <f t="shared" si="296"/>
        <v/>
      </c>
      <c r="P458" s="81" t="str">
        <f t="shared" si="306"/>
        <v/>
      </c>
      <c r="Q458" s="81" t="str">
        <f t="shared" si="297"/>
        <v/>
      </c>
      <c r="R458" s="135" t="str">
        <f t="shared" ca="1" si="298"/>
        <v/>
      </c>
      <c r="S458" s="134" t="str">
        <f t="shared" ca="1" si="299"/>
        <v/>
      </c>
      <c r="T458" s="134" t="str">
        <f ca="1">IF(S458=Dashboard!$D$12,S458,"")</f>
        <v/>
      </c>
      <c r="U458" s="134" t="str">
        <f t="shared" ca="1" si="300"/>
        <v/>
      </c>
      <c r="V458" s="83" t="str">
        <f ca="1">IF(U458="","",IFERROR((RANK(U458,$U$2:$U$2028,1)+COUNTIF($U$2:U458,U458))-1,""))</f>
        <v/>
      </c>
      <c r="W458" s="134" t="str">
        <f t="shared" si="304"/>
        <v/>
      </c>
      <c r="X458" s="134" t="str">
        <f>IF(W458="","",IFERROR((RANK(W458,$W$2:$W$2028,1)+COUNTIF($W$2:W458,W458))-1,""))</f>
        <v/>
      </c>
      <c r="Y458" s="134" t="str">
        <f t="shared" si="301"/>
        <v/>
      </c>
      <c r="Z458" s="134" t="str">
        <f>IF(Y458="","",IFERROR((RANK(Y458,$Y$2:$Y$2028,1)+COUNTIF($Y$2:Y458,Y458))-1,""))</f>
        <v/>
      </c>
      <c r="AA458" s="134" t="str">
        <f t="shared" si="302"/>
        <v/>
      </c>
      <c r="AB458" s="134" t="str">
        <f>IF(AA458="","",IFERROR((RANK(AA458,$AA$2:$AA$2028,1)+COUNTIF($AA$2:AA458,AA458))-1,""))</f>
        <v/>
      </c>
      <c r="AC458" s="134" t="str">
        <f t="shared" si="303"/>
        <v/>
      </c>
      <c r="AD458" s="134" t="str">
        <f>IF(AC458="","",IFERROR((RANK(AC458,$AC$2:$AC$2028,1)+COUNTIF($AC$2:AC458,AC458))-1,""))</f>
        <v/>
      </c>
      <c r="AE458" s="144" t="str">
        <f t="shared" si="307"/>
        <v/>
      </c>
      <c r="AF458" s="144" t="str">
        <f>IF(AE458="","",SUM($AE$2:AE458))</f>
        <v/>
      </c>
    </row>
    <row r="459" spans="14:32" x14ac:dyDescent="0.35">
      <c r="N459" s="134" t="str">
        <f t="shared" si="305"/>
        <v/>
      </c>
      <c r="O459" s="82" t="str">
        <f t="shared" si="296"/>
        <v/>
      </c>
      <c r="P459" s="81" t="str">
        <f t="shared" si="306"/>
        <v/>
      </c>
      <c r="Q459" s="81" t="str">
        <f t="shared" si="297"/>
        <v/>
      </c>
      <c r="R459" s="135" t="str">
        <f t="shared" ca="1" si="298"/>
        <v/>
      </c>
      <c r="S459" s="134" t="str">
        <f t="shared" ca="1" si="299"/>
        <v/>
      </c>
      <c r="T459" s="134" t="str">
        <f ca="1">IF(S459=Dashboard!$D$12,S459,"")</f>
        <v/>
      </c>
      <c r="U459" s="134" t="str">
        <f t="shared" ca="1" si="300"/>
        <v/>
      </c>
      <c r="V459" s="83" t="str">
        <f ca="1">IF(U459="","",IFERROR((RANK(U459,$U$2:$U$2028,1)+COUNTIF($U$2:U459,U459))-1,""))</f>
        <v/>
      </c>
      <c r="W459" s="134" t="str">
        <f t="shared" si="304"/>
        <v/>
      </c>
      <c r="X459" s="134" t="str">
        <f>IF(W459="","",IFERROR((RANK(W459,$W$2:$W$2028,1)+COUNTIF($W$2:W459,W459))-1,""))</f>
        <v/>
      </c>
      <c r="Y459" s="134" t="str">
        <f t="shared" si="301"/>
        <v/>
      </c>
      <c r="Z459" s="134" t="str">
        <f>IF(Y459="","",IFERROR((RANK(Y459,$Y$2:$Y$2028,1)+COUNTIF($Y$2:Y459,Y459))-1,""))</f>
        <v/>
      </c>
      <c r="AA459" s="134" t="str">
        <f t="shared" si="302"/>
        <v/>
      </c>
      <c r="AB459" s="134" t="str">
        <f>IF(AA459="","",IFERROR((RANK(AA459,$AA$2:$AA$2028,1)+COUNTIF($AA$2:AA459,AA459))-1,""))</f>
        <v/>
      </c>
      <c r="AC459" s="134" t="str">
        <f t="shared" si="303"/>
        <v/>
      </c>
      <c r="AD459" s="134" t="str">
        <f>IF(AC459="","",IFERROR((RANK(AC459,$AC$2:$AC$2028,1)+COUNTIF($AC$2:AC459,AC459))-1,""))</f>
        <v/>
      </c>
      <c r="AE459" s="144" t="str">
        <f t="shared" si="307"/>
        <v/>
      </c>
      <c r="AF459" s="144" t="str">
        <f>IF(AE459="","",SUM($AE$2:AE459))</f>
        <v/>
      </c>
    </row>
    <row r="460" spans="14:32" x14ac:dyDescent="0.35">
      <c r="N460" s="134" t="str">
        <f t="shared" si="305"/>
        <v/>
      </c>
      <c r="O460" s="82" t="str">
        <f t="shared" si="296"/>
        <v/>
      </c>
      <c r="P460" s="81" t="str">
        <f t="shared" si="306"/>
        <v/>
      </c>
      <c r="Q460" s="81" t="str">
        <f t="shared" si="297"/>
        <v/>
      </c>
      <c r="R460" s="135" t="str">
        <f t="shared" ca="1" si="298"/>
        <v/>
      </c>
      <c r="S460" s="134" t="str">
        <f t="shared" ca="1" si="299"/>
        <v/>
      </c>
      <c r="T460" s="134" t="str">
        <f ca="1">IF(S460=Dashboard!$D$12,S460,"")</f>
        <v/>
      </c>
      <c r="U460" s="134" t="str">
        <f t="shared" ca="1" si="300"/>
        <v/>
      </c>
      <c r="V460" s="83" t="str">
        <f ca="1">IF(U460="","",IFERROR((RANK(U460,$U$2:$U$2028,1)+COUNTIF($U$2:U460,U460))-1,""))</f>
        <v/>
      </c>
      <c r="W460" s="134" t="str">
        <f t="shared" si="304"/>
        <v/>
      </c>
      <c r="X460" s="134" t="str">
        <f>IF(W460="","",IFERROR((RANK(W460,$W$2:$W$2028,1)+COUNTIF($W$2:W460,W460))-1,""))</f>
        <v/>
      </c>
      <c r="Y460" s="134" t="str">
        <f t="shared" si="301"/>
        <v/>
      </c>
      <c r="Z460" s="134" t="str">
        <f>IF(Y460="","",IFERROR((RANK(Y460,$Y$2:$Y$2028,1)+COUNTIF($Y$2:Y460,Y460))-1,""))</f>
        <v/>
      </c>
      <c r="AA460" s="134" t="str">
        <f t="shared" si="302"/>
        <v/>
      </c>
      <c r="AB460" s="134" t="str">
        <f>IF(AA460="","",IFERROR((RANK(AA460,$AA$2:$AA$2028,1)+COUNTIF($AA$2:AA460,AA460))-1,""))</f>
        <v/>
      </c>
      <c r="AC460" s="134" t="str">
        <f t="shared" si="303"/>
        <v/>
      </c>
      <c r="AD460" s="134" t="str">
        <f>IF(AC460="","",IFERROR((RANK(AC460,$AC$2:$AC$2028,1)+COUNTIF($AC$2:AC460,AC460))-1,""))</f>
        <v/>
      </c>
      <c r="AE460" s="144" t="str">
        <f t="shared" si="307"/>
        <v/>
      </c>
      <c r="AF460" s="144" t="str">
        <f>IF(AE460="","",SUM($AE$2:AE460))</f>
        <v/>
      </c>
    </row>
    <row r="461" spans="14:32" x14ac:dyDescent="0.35">
      <c r="N461" s="134" t="str">
        <f t="shared" si="305"/>
        <v/>
      </c>
      <c r="O461" s="82" t="str">
        <f t="shared" si="296"/>
        <v/>
      </c>
      <c r="P461" s="81" t="str">
        <f t="shared" si="306"/>
        <v/>
      </c>
      <c r="Q461" s="81" t="str">
        <f t="shared" si="297"/>
        <v/>
      </c>
      <c r="R461" s="135" t="str">
        <f t="shared" ca="1" si="298"/>
        <v/>
      </c>
      <c r="S461" s="134" t="str">
        <f t="shared" ca="1" si="299"/>
        <v/>
      </c>
      <c r="T461" s="134" t="str">
        <f ca="1">IF(S461=Dashboard!$D$12,S461,"")</f>
        <v/>
      </c>
      <c r="U461" s="134" t="str">
        <f t="shared" ca="1" si="300"/>
        <v/>
      </c>
      <c r="V461" s="83" t="str">
        <f ca="1">IF(U461="","",IFERROR((RANK(U461,$U$2:$U$2028,1)+COUNTIF($U$2:U461,U461))-1,""))</f>
        <v/>
      </c>
      <c r="W461" s="134" t="str">
        <f t="shared" si="304"/>
        <v/>
      </c>
      <c r="X461" s="134" t="str">
        <f>IF(W461="","",IFERROR((RANK(W461,$W$2:$W$2028,1)+COUNTIF($W$2:W461,W461))-1,""))</f>
        <v/>
      </c>
      <c r="Y461" s="134" t="str">
        <f t="shared" si="301"/>
        <v/>
      </c>
      <c r="Z461" s="134" t="str">
        <f>IF(Y461="","",IFERROR((RANK(Y461,$Y$2:$Y$2028,1)+COUNTIF($Y$2:Y461,Y461))-1,""))</f>
        <v/>
      </c>
      <c r="AA461" s="134" t="str">
        <f t="shared" si="302"/>
        <v/>
      </c>
      <c r="AB461" s="134" t="str">
        <f>IF(AA461="","",IFERROR((RANK(AA461,$AA$2:$AA$2028,1)+COUNTIF($AA$2:AA461,AA461))-1,""))</f>
        <v/>
      </c>
      <c r="AC461" s="134" t="str">
        <f t="shared" si="303"/>
        <v/>
      </c>
      <c r="AD461" s="134" t="str">
        <f>IF(AC461="","",IFERROR((RANK(AC461,$AC$2:$AC$2028,1)+COUNTIF($AC$2:AC461,AC461))-1,""))</f>
        <v/>
      </c>
      <c r="AE461" s="144" t="str">
        <f t="shared" si="307"/>
        <v/>
      </c>
      <c r="AF461" s="144" t="str">
        <f>IF(AE461="","",SUM($AE$2:AE461))</f>
        <v/>
      </c>
    </row>
    <row r="462" spans="14:32" x14ac:dyDescent="0.35">
      <c r="N462" s="134" t="str">
        <f t="shared" si="305"/>
        <v/>
      </c>
      <c r="O462" s="82" t="str">
        <f t="shared" si="296"/>
        <v/>
      </c>
      <c r="P462" s="81" t="str">
        <f t="shared" si="306"/>
        <v/>
      </c>
      <c r="Q462" s="81" t="str">
        <f t="shared" si="297"/>
        <v/>
      </c>
      <c r="R462" s="135" t="str">
        <f t="shared" ca="1" si="298"/>
        <v/>
      </c>
      <c r="S462" s="134" t="str">
        <f t="shared" ca="1" si="299"/>
        <v/>
      </c>
      <c r="T462" s="134" t="str">
        <f ca="1">IF(S462=Dashboard!$D$12,S462,"")</f>
        <v/>
      </c>
      <c r="U462" s="134" t="str">
        <f t="shared" ca="1" si="300"/>
        <v/>
      </c>
      <c r="V462" s="83" t="str">
        <f ca="1">IF(U462="","",IFERROR((RANK(U462,$U$2:$U$2028,1)+COUNTIF($U$2:U462,U462))-1,""))</f>
        <v/>
      </c>
      <c r="W462" s="134" t="str">
        <f t="shared" si="304"/>
        <v/>
      </c>
      <c r="X462" s="134" t="str">
        <f>IF(W462="","",IFERROR((RANK(W462,$W$2:$W$2028,1)+COUNTIF($W$2:W462,W462))-1,""))</f>
        <v/>
      </c>
      <c r="Y462" s="134" t="str">
        <f t="shared" si="301"/>
        <v/>
      </c>
      <c r="Z462" s="134" t="str">
        <f>IF(Y462="","",IFERROR((RANK(Y462,$Y$2:$Y$2028,1)+COUNTIF($Y$2:Y462,Y462))-1,""))</f>
        <v/>
      </c>
      <c r="AA462" s="134" t="str">
        <f t="shared" si="302"/>
        <v/>
      </c>
      <c r="AB462" s="134" t="str">
        <f>IF(AA462="","",IFERROR((RANK(AA462,$AA$2:$AA$2028,1)+COUNTIF($AA$2:AA462,AA462))-1,""))</f>
        <v/>
      </c>
      <c r="AC462" s="134" t="str">
        <f t="shared" si="303"/>
        <v/>
      </c>
      <c r="AD462" s="134" t="str">
        <f>IF(AC462="","",IFERROR((RANK(AC462,$AC$2:$AC$2028,1)+COUNTIF($AC$2:AC462,AC462))-1,""))</f>
        <v/>
      </c>
      <c r="AE462" s="144" t="str">
        <f t="shared" si="307"/>
        <v/>
      </c>
      <c r="AF462" s="144" t="str">
        <f>IF(AE462="","",SUM($AE$2:AE462))</f>
        <v/>
      </c>
    </row>
    <row r="463" spans="14:32" x14ac:dyDescent="0.35">
      <c r="N463" s="134" t="str">
        <f t="shared" si="305"/>
        <v/>
      </c>
      <c r="O463" s="82" t="str">
        <f t="shared" si="296"/>
        <v/>
      </c>
      <c r="P463" s="81" t="str">
        <f t="shared" si="306"/>
        <v/>
      </c>
      <c r="Q463" s="81" t="str">
        <f t="shared" si="297"/>
        <v/>
      </c>
      <c r="R463" s="135" t="str">
        <f t="shared" ca="1" si="298"/>
        <v/>
      </c>
      <c r="S463" s="134" t="str">
        <f t="shared" ca="1" si="299"/>
        <v/>
      </c>
      <c r="T463" s="134" t="str">
        <f ca="1">IF(S463=Dashboard!$D$12,S463,"")</f>
        <v/>
      </c>
      <c r="U463" s="134" t="str">
        <f t="shared" ca="1" si="300"/>
        <v/>
      </c>
      <c r="V463" s="83" t="str">
        <f ca="1">IF(U463="","",IFERROR((RANK(U463,$U$2:$U$2028,1)+COUNTIF($U$2:U463,U463))-1,""))</f>
        <v/>
      </c>
      <c r="W463" s="134" t="str">
        <f t="shared" si="304"/>
        <v/>
      </c>
      <c r="X463" s="134" t="str">
        <f>IF(W463="","",IFERROR((RANK(W463,$W$2:$W$2028,1)+COUNTIF($W$2:W463,W463))-1,""))</f>
        <v/>
      </c>
      <c r="Y463" s="134" t="str">
        <f t="shared" si="301"/>
        <v/>
      </c>
      <c r="Z463" s="134" t="str">
        <f>IF(Y463="","",IFERROR((RANK(Y463,$Y$2:$Y$2028,1)+COUNTIF($Y$2:Y463,Y463))-1,""))</f>
        <v/>
      </c>
      <c r="AA463" s="134" t="str">
        <f t="shared" si="302"/>
        <v/>
      </c>
      <c r="AB463" s="134" t="str">
        <f>IF(AA463="","",IFERROR((RANK(AA463,$AA$2:$AA$2028,1)+COUNTIF($AA$2:AA463,AA463))-1,""))</f>
        <v/>
      </c>
      <c r="AC463" s="134" t="str">
        <f t="shared" si="303"/>
        <v/>
      </c>
      <c r="AD463" s="134" t="str">
        <f>IF(AC463="","",IFERROR((RANK(AC463,$AC$2:$AC$2028,1)+COUNTIF($AC$2:AC463,AC463))-1,""))</f>
        <v/>
      </c>
      <c r="AE463" s="144" t="str">
        <f t="shared" si="307"/>
        <v/>
      </c>
      <c r="AF463" s="144" t="str">
        <f>IF(AE463="","",SUM($AE$2:AE463))</f>
        <v/>
      </c>
    </row>
    <row r="464" spans="14:32" x14ac:dyDescent="0.35">
      <c r="N464" s="134" t="str">
        <f t="shared" si="305"/>
        <v/>
      </c>
      <c r="O464" s="82" t="str">
        <f t="shared" si="296"/>
        <v/>
      </c>
      <c r="P464" s="81" t="str">
        <f t="shared" si="306"/>
        <v/>
      </c>
      <c r="Q464" s="81" t="str">
        <f t="shared" si="297"/>
        <v/>
      </c>
      <c r="R464" s="135" t="str">
        <f t="shared" ca="1" si="298"/>
        <v/>
      </c>
      <c r="S464" s="134" t="str">
        <f t="shared" ca="1" si="299"/>
        <v/>
      </c>
      <c r="T464" s="134" t="str">
        <f ca="1">IF(S464=Dashboard!$D$12,S464,"")</f>
        <v/>
      </c>
      <c r="U464" s="134" t="str">
        <f t="shared" ca="1" si="300"/>
        <v/>
      </c>
      <c r="V464" s="83" t="str">
        <f ca="1">IF(U464="","",IFERROR((RANK(U464,$U$2:$U$2028,1)+COUNTIF($U$2:U464,U464))-1,""))</f>
        <v/>
      </c>
      <c r="W464" s="134" t="str">
        <f t="shared" si="304"/>
        <v/>
      </c>
      <c r="X464" s="134" t="str">
        <f>IF(W464="","",IFERROR((RANK(W464,$W$2:$W$2028,1)+COUNTIF($W$2:W464,W464))-1,""))</f>
        <v/>
      </c>
      <c r="Y464" s="134" t="str">
        <f t="shared" si="301"/>
        <v/>
      </c>
      <c r="Z464" s="134" t="str">
        <f>IF(Y464="","",IFERROR((RANK(Y464,$Y$2:$Y$2028,1)+COUNTIF($Y$2:Y464,Y464))-1,""))</f>
        <v/>
      </c>
      <c r="AA464" s="134" t="str">
        <f t="shared" si="302"/>
        <v/>
      </c>
      <c r="AB464" s="134" t="str">
        <f>IF(AA464="","",IFERROR((RANK(AA464,$AA$2:$AA$2028,1)+COUNTIF($AA$2:AA464,AA464))-1,""))</f>
        <v/>
      </c>
      <c r="AC464" s="134" t="str">
        <f t="shared" si="303"/>
        <v/>
      </c>
      <c r="AD464" s="134" t="str">
        <f>IF(AC464="","",IFERROR((RANK(AC464,$AC$2:$AC$2028,1)+COUNTIF($AC$2:AC464,AC464))-1,""))</f>
        <v/>
      </c>
      <c r="AE464" s="144" t="str">
        <f t="shared" si="307"/>
        <v/>
      </c>
      <c r="AF464" s="144" t="str">
        <f>IF(AE464="","",SUM($AE$2:AE464))</f>
        <v/>
      </c>
    </row>
    <row r="465" spans="14:32" x14ac:dyDescent="0.35">
      <c r="N465" s="134" t="str">
        <f t="shared" si="305"/>
        <v/>
      </c>
      <c r="O465" s="82" t="str">
        <f t="shared" si="296"/>
        <v/>
      </c>
      <c r="P465" s="81" t="str">
        <f t="shared" si="306"/>
        <v/>
      </c>
      <c r="Q465" s="81" t="str">
        <f t="shared" si="297"/>
        <v/>
      </c>
      <c r="R465" s="135" t="str">
        <f t="shared" ca="1" si="298"/>
        <v/>
      </c>
      <c r="S465" s="134" t="str">
        <f t="shared" ca="1" si="299"/>
        <v/>
      </c>
      <c r="T465" s="134" t="str">
        <f ca="1">IF(S465=Dashboard!$D$12,S465,"")</f>
        <v/>
      </c>
      <c r="U465" s="134" t="str">
        <f t="shared" ca="1" si="300"/>
        <v/>
      </c>
      <c r="V465" s="83" t="str">
        <f ca="1">IF(U465="","",IFERROR((RANK(U465,$U$2:$U$2028,1)+COUNTIF($U$2:U465,U465))-1,""))</f>
        <v/>
      </c>
      <c r="W465" s="134" t="str">
        <f t="shared" si="304"/>
        <v/>
      </c>
      <c r="X465" s="134" t="str">
        <f>IF(W465="","",IFERROR((RANK(W465,$W$2:$W$2028,1)+COUNTIF($W$2:W465,W465))-1,""))</f>
        <v/>
      </c>
      <c r="Y465" s="134" t="str">
        <f t="shared" si="301"/>
        <v/>
      </c>
      <c r="Z465" s="134" t="str">
        <f>IF(Y465="","",IFERROR((RANK(Y465,$Y$2:$Y$2028,1)+COUNTIF($Y$2:Y465,Y465))-1,""))</f>
        <v/>
      </c>
      <c r="AA465" s="134" t="str">
        <f t="shared" si="302"/>
        <v/>
      </c>
      <c r="AB465" s="134" t="str">
        <f>IF(AA465="","",IFERROR((RANK(AA465,$AA$2:$AA$2028,1)+COUNTIF($AA$2:AA465,AA465))-1,""))</f>
        <v/>
      </c>
      <c r="AC465" s="134" t="str">
        <f t="shared" si="303"/>
        <v/>
      </c>
      <c r="AD465" s="134" t="str">
        <f>IF(AC465="","",IFERROR((RANK(AC465,$AC$2:$AC$2028,1)+COUNTIF($AC$2:AC465,AC465))-1,""))</f>
        <v/>
      </c>
      <c r="AE465" s="144" t="str">
        <f t="shared" si="307"/>
        <v/>
      </c>
      <c r="AF465" s="144" t="str">
        <f>IF(AE465="","",SUM($AE$2:AE465))</f>
        <v/>
      </c>
    </row>
    <row r="466" spans="14:32" x14ac:dyDescent="0.35">
      <c r="N466" s="134" t="str">
        <f t="shared" si="305"/>
        <v/>
      </c>
      <c r="O466" s="82" t="str">
        <f t="shared" si="296"/>
        <v/>
      </c>
      <c r="P466" s="81" t="str">
        <f t="shared" si="306"/>
        <v/>
      </c>
      <c r="Q466" s="81" t="str">
        <f t="shared" si="297"/>
        <v/>
      </c>
      <c r="R466" s="135" t="str">
        <f t="shared" ca="1" si="298"/>
        <v/>
      </c>
      <c r="S466" s="134" t="str">
        <f t="shared" ca="1" si="299"/>
        <v/>
      </c>
      <c r="T466" s="134" t="str">
        <f ca="1">IF(S466=Dashboard!$D$12,S466,"")</f>
        <v/>
      </c>
      <c r="U466" s="134" t="str">
        <f t="shared" ca="1" si="300"/>
        <v/>
      </c>
      <c r="V466" s="83" t="str">
        <f ca="1">IF(U466="","",IFERROR((RANK(U466,$U$2:$U$2028,1)+COUNTIF($U$2:U466,U466))-1,""))</f>
        <v/>
      </c>
      <c r="W466" s="134" t="str">
        <f t="shared" si="304"/>
        <v/>
      </c>
      <c r="X466" s="134" t="str">
        <f>IF(W466="","",IFERROR((RANK(W466,$W$2:$W$2028,1)+COUNTIF($W$2:W466,W466))-1,""))</f>
        <v/>
      </c>
      <c r="Y466" s="134" t="str">
        <f t="shared" si="301"/>
        <v/>
      </c>
      <c r="Z466" s="134" t="str">
        <f>IF(Y466="","",IFERROR((RANK(Y466,$Y$2:$Y$2028,1)+COUNTIF($Y$2:Y466,Y466))-1,""))</f>
        <v/>
      </c>
      <c r="AA466" s="134" t="str">
        <f t="shared" si="302"/>
        <v/>
      </c>
      <c r="AB466" s="134" t="str">
        <f>IF(AA466="","",IFERROR((RANK(AA466,$AA$2:$AA$2028,1)+COUNTIF($AA$2:AA466,AA466))-1,""))</f>
        <v/>
      </c>
      <c r="AC466" s="134" t="str">
        <f t="shared" si="303"/>
        <v/>
      </c>
      <c r="AD466" s="134" t="str">
        <f>IF(AC466="","",IFERROR((RANK(AC466,$AC$2:$AC$2028,1)+COUNTIF($AC$2:AC466,AC466))-1,""))</f>
        <v/>
      </c>
      <c r="AE466" s="144" t="str">
        <f t="shared" si="307"/>
        <v/>
      </c>
      <c r="AF466" s="144" t="str">
        <f>IF(AE466="","",SUM($AE$2:AE466))</f>
        <v/>
      </c>
    </row>
    <row r="467" spans="14:32" x14ac:dyDescent="0.35">
      <c r="N467" s="134" t="str">
        <f t="shared" si="305"/>
        <v/>
      </c>
      <c r="O467" s="82" t="str">
        <f t="shared" si="296"/>
        <v/>
      </c>
      <c r="P467" s="81" t="str">
        <f t="shared" si="306"/>
        <v/>
      </c>
      <c r="Q467" s="81" t="str">
        <f t="shared" si="297"/>
        <v/>
      </c>
      <c r="R467" s="135" t="str">
        <f t="shared" ca="1" si="298"/>
        <v/>
      </c>
      <c r="S467" s="134" t="str">
        <f t="shared" ca="1" si="299"/>
        <v/>
      </c>
      <c r="T467" s="134" t="str">
        <f ca="1">IF(S467=Dashboard!$D$12,S467,"")</f>
        <v/>
      </c>
      <c r="U467" s="134" t="str">
        <f t="shared" ca="1" si="300"/>
        <v/>
      </c>
      <c r="V467" s="83" t="str">
        <f ca="1">IF(U467="","",IFERROR((RANK(U467,$U$2:$U$2028,1)+COUNTIF($U$2:U467,U467))-1,""))</f>
        <v/>
      </c>
      <c r="W467" s="134" t="str">
        <f t="shared" si="304"/>
        <v/>
      </c>
      <c r="X467" s="134" t="str">
        <f>IF(W467="","",IFERROR((RANK(W467,$W$2:$W$2028,1)+COUNTIF($W$2:W467,W467))-1,""))</f>
        <v/>
      </c>
      <c r="Y467" s="134" t="str">
        <f t="shared" si="301"/>
        <v/>
      </c>
      <c r="Z467" s="134" t="str">
        <f>IF(Y467="","",IFERROR((RANK(Y467,$Y$2:$Y$2028,1)+COUNTIF($Y$2:Y467,Y467))-1,""))</f>
        <v/>
      </c>
      <c r="AA467" s="134" t="str">
        <f t="shared" si="302"/>
        <v/>
      </c>
      <c r="AB467" s="134" t="str">
        <f>IF(AA467="","",IFERROR((RANK(AA467,$AA$2:$AA$2028,1)+COUNTIF($AA$2:AA467,AA467))-1,""))</f>
        <v/>
      </c>
      <c r="AC467" s="134" t="str">
        <f t="shared" si="303"/>
        <v/>
      </c>
      <c r="AD467" s="134" t="str">
        <f>IF(AC467="","",IFERROR((RANK(AC467,$AC$2:$AC$2028,1)+COUNTIF($AC$2:AC467,AC467))-1,""))</f>
        <v/>
      </c>
      <c r="AE467" s="144" t="str">
        <f t="shared" si="307"/>
        <v/>
      </c>
      <c r="AF467" s="144" t="str">
        <f>IF(AE467="","",SUM($AE$2:AE467))</f>
        <v/>
      </c>
    </row>
    <row r="468" spans="14:32" x14ac:dyDescent="0.35">
      <c r="N468" s="134" t="str">
        <f t="shared" si="305"/>
        <v/>
      </c>
      <c r="O468" s="82" t="str">
        <f t="shared" si="296"/>
        <v/>
      </c>
      <c r="P468" s="81" t="str">
        <f t="shared" si="306"/>
        <v/>
      </c>
      <c r="Q468" s="81" t="str">
        <f t="shared" si="297"/>
        <v/>
      </c>
      <c r="R468" s="135" t="str">
        <f t="shared" ca="1" si="298"/>
        <v/>
      </c>
      <c r="S468" s="134" t="str">
        <f t="shared" ca="1" si="299"/>
        <v/>
      </c>
      <c r="T468" s="134" t="str">
        <f ca="1">IF(S468=Dashboard!$D$12,S468,"")</f>
        <v/>
      </c>
      <c r="U468" s="134" t="str">
        <f t="shared" ca="1" si="300"/>
        <v/>
      </c>
      <c r="V468" s="83" t="str">
        <f ca="1">IF(U468="","",IFERROR((RANK(U468,$U$2:$U$2028,1)+COUNTIF($U$2:U468,U468))-1,""))</f>
        <v/>
      </c>
      <c r="W468" s="134" t="str">
        <f t="shared" si="304"/>
        <v/>
      </c>
      <c r="X468" s="134" t="str">
        <f>IF(W468="","",IFERROR((RANK(W468,$W$2:$W$2028,1)+COUNTIF($W$2:W468,W468))-1,""))</f>
        <v/>
      </c>
      <c r="Y468" s="134" t="str">
        <f t="shared" si="301"/>
        <v/>
      </c>
      <c r="Z468" s="134" t="str">
        <f>IF(Y468="","",IFERROR((RANK(Y468,$Y$2:$Y$2028,1)+COUNTIF($Y$2:Y468,Y468))-1,""))</f>
        <v/>
      </c>
      <c r="AA468" s="134" t="str">
        <f t="shared" si="302"/>
        <v/>
      </c>
      <c r="AB468" s="134" t="str">
        <f>IF(AA468="","",IFERROR((RANK(AA468,$AA$2:$AA$2028,1)+COUNTIF($AA$2:AA468,AA468))-1,""))</f>
        <v/>
      </c>
      <c r="AC468" s="134" t="str">
        <f t="shared" si="303"/>
        <v/>
      </c>
      <c r="AD468" s="134" t="str">
        <f>IF(AC468="","",IFERROR((RANK(AC468,$AC$2:$AC$2028,1)+COUNTIF($AC$2:AC468,AC468))-1,""))</f>
        <v/>
      </c>
      <c r="AE468" s="144" t="str">
        <f t="shared" si="307"/>
        <v/>
      </c>
      <c r="AF468" s="144" t="str">
        <f>IF(AE468="","",SUM($AE$2:AE468))</f>
        <v/>
      </c>
    </row>
    <row r="469" spans="14:32" x14ac:dyDescent="0.35">
      <c r="N469" s="134" t="str">
        <f t="shared" si="305"/>
        <v/>
      </c>
      <c r="O469" s="82" t="str">
        <f t="shared" si="296"/>
        <v/>
      </c>
      <c r="P469" s="81" t="str">
        <f t="shared" si="306"/>
        <v/>
      </c>
      <c r="Q469" s="81" t="str">
        <f t="shared" si="297"/>
        <v/>
      </c>
      <c r="R469" s="135" t="str">
        <f t="shared" ca="1" si="298"/>
        <v/>
      </c>
      <c r="S469" s="134" t="str">
        <f t="shared" ca="1" si="299"/>
        <v/>
      </c>
      <c r="T469" s="134" t="str">
        <f ca="1">IF(S469=Dashboard!$D$12,S469,"")</f>
        <v/>
      </c>
      <c r="U469" s="134" t="str">
        <f t="shared" ca="1" si="300"/>
        <v/>
      </c>
      <c r="V469" s="83" t="str">
        <f ca="1">IF(U469="","",IFERROR((RANK(U469,$U$2:$U$2028,1)+COUNTIF($U$2:U469,U469))-1,""))</f>
        <v/>
      </c>
      <c r="W469" s="134" t="str">
        <f t="shared" si="304"/>
        <v/>
      </c>
      <c r="X469" s="134" t="str">
        <f>IF(W469="","",IFERROR((RANK(W469,$W$2:$W$2028,1)+COUNTIF($W$2:W469,W469))-1,""))</f>
        <v/>
      </c>
      <c r="Y469" s="134" t="str">
        <f t="shared" si="301"/>
        <v/>
      </c>
      <c r="Z469" s="134" t="str">
        <f>IF(Y469="","",IFERROR((RANK(Y469,$Y$2:$Y$2028,1)+COUNTIF($Y$2:Y469,Y469))-1,""))</f>
        <v/>
      </c>
      <c r="AA469" s="134" t="str">
        <f t="shared" si="302"/>
        <v/>
      </c>
      <c r="AB469" s="134" t="str">
        <f>IF(AA469="","",IFERROR((RANK(AA469,$AA$2:$AA$2028,1)+COUNTIF($AA$2:AA469,AA469))-1,""))</f>
        <v/>
      </c>
      <c r="AC469" s="134" t="str">
        <f t="shared" si="303"/>
        <v/>
      </c>
      <c r="AD469" s="134" t="str">
        <f>IF(AC469="","",IFERROR((RANK(AC469,$AC$2:$AC$2028,1)+COUNTIF($AC$2:AC469,AC469))-1,""))</f>
        <v/>
      </c>
      <c r="AE469" s="144" t="str">
        <f t="shared" si="307"/>
        <v/>
      </c>
      <c r="AF469" s="144" t="str">
        <f>IF(AE469="","",SUM($AE$2:AE469))</f>
        <v/>
      </c>
    </row>
    <row r="470" spans="14:32" x14ac:dyDescent="0.35">
      <c r="N470" s="134" t="str">
        <f t="shared" si="305"/>
        <v/>
      </c>
      <c r="O470" s="82" t="str">
        <f t="shared" si="296"/>
        <v/>
      </c>
      <c r="P470" s="81" t="str">
        <f t="shared" si="306"/>
        <v/>
      </c>
      <c r="Q470" s="81" t="str">
        <f t="shared" si="297"/>
        <v/>
      </c>
      <c r="R470" s="135" t="str">
        <f t="shared" ca="1" si="298"/>
        <v/>
      </c>
      <c r="S470" s="134" t="str">
        <f t="shared" ca="1" si="299"/>
        <v/>
      </c>
      <c r="T470" s="134" t="str">
        <f ca="1">IF(S470=Dashboard!$D$12,S470,"")</f>
        <v/>
      </c>
      <c r="U470" s="134" t="str">
        <f t="shared" ca="1" si="300"/>
        <v/>
      </c>
      <c r="V470" s="83" t="str">
        <f ca="1">IF(U470="","",IFERROR((RANK(U470,$U$2:$U$2028,1)+COUNTIF($U$2:U470,U470))-1,""))</f>
        <v/>
      </c>
      <c r="W470" s="134" t="str">
        <f t="shared" si="304"/>
        <v/>
      </c>
      <c r="X470" s="134" t="str">
        <f>IF(W470="","",IFERROR((RANK(W470,$W$2:$W$2028,1)+COUNTIF($W$2:W470,W470))-1,""))</f>
        <v/>
      </c>
      <c r="Y470" s="134" t="str">
        <f t="shared" si="301"/>
        <v/>
      </c>
      <c r="Z470" s="134" t="str">
        <f>IF(Y470="","",IFERROR((RANK(Y470,$Y$2:$Y$2028,1)+COUNTIF($Y$2:Y470,Y470))-1,""))</f>
        <v/>
      </c>
      <c r="AA470" s="134" t="str">
        <f t="shared" si="302"/>
        <v/>
      </c>
      <c r="AB470" s="134" t="str">
        <f>IF(AA470="","",IFERROR((RANK(AA470,$AA$2:$AA$2028,1)+COUNTIF($AA$2:AA470,AA470))-1,""))</f>
        <v/>
      </c>
      <c r="AC470" s="134" t="str">
        <f t="shared" si="303"/>
        <v/>
      </c>
      <c r="AD470" s="134" t="str">
        <f>IF(AC470="","",IFERROR((RANK(AC470,$AC$2:$AC$2028,1)+COUNTIF($AC$2:AC470,AC470))-1,""))</f>
        <v/>
      </c>
      <c r="AE470" s="144" t="str">
        <f t="shared" si="307"/>
        <v/>
      </c>
      <c r="AF470" s="144" t="str">
        <f>IF(AE470="","",SUM($AE$2:AE470))</f>
        <v/>
      </c>
    </row>
    <row r="471" spans="14:32" x14ac:dyDescent="0.35">
      <c r="N471" s="134" t="str">
        <f t="shared" si="305"/>
        <v/>
      </c>
      <c r="O471" s="82" t="str">
        <f t="shared" si="296"/>
        <v/>
      </c>
      <c r="P471" s="81" t="str">
        <f t="shared" si="306"/>
        <v/>
      </c>
      <c r="Q471" s="81" t="str">
        <f t="shared" si="297"/>
        <v/>
      </c>
      <c r="R471" s="135" t="str">
        <f t="shared" ca="1" si="298"/>
        <v/>
      </c>
      <c r="S471" s="134" t="str">
        <f t="shared" ca="1" si="299"/>
        <v/>
      </c>
      <c r="T471" s="134" t="str">
        <f ca="1">IF(S471=Dashboard!$D$12,S471,"")</f>
        <v/>
      </c>
      <c r="U471" s="134" t="str">
        <f t="shared" ca="1" si="300"/>
        <v/>
      </c>
      <c r="V471" s="83" t="str">
        <f ca="1">IF(U471="","",IFERROR((RANK(U471,$U$2:$U$2028,1)+COUNTIF($U$2:U471,U471))-1,""))</f>
        <v/>
      </c>
      <c r="W471" s="134" t="str">
        <f t="shared" si="304"/>
        <v/>
      </c>
      <c r="X471" s="134" t="str">
        <f>IF(W471="","",IFERROR((RANK(W471,$W$2:$W$2028,1)+COUNTIF($W$2:W471,W471))-1,""))</f>
        <v/>
      </c>
      <c r="Y471" s="134" t="str">
        <f t="shared" si="301"/>
        <v/>
      </c>
      <c r="Z471" s="134" t="str">
        <f>IF(Y471="","",IFERROR((RANK(Y471,$Y$2:$Y$2028,1)+COUNTIF($Y$2:Y471,Y471))-1,""))</f>
        <v/>
      </c>
      <c r="AA471" s="134" t="str">
        <f t="shared" si="302"/>
        <v/>
      </c>
      <c r="AB471" s="134" t="str">
        <f>IF(AA471="","",IFERROR((RANK(AA471,$AA$2:$AA$2028,1)+COUNTIF($AA$2:AA471,AA471))-1,""))</f>
        <v/>
      </c>
      <c r="AC471" s="134" t="str">
        <f t="shared" si="303"/>
        <v/>
      </c>
      <c r="AD471" s="134" t="str">
        <f>IF(AC471="","",IFERROR((RANK(AC471,$AC$2:$AC$2028,1)+COUNTIF($AC$2:AC471,AC471))-1,""))</f>
        <v/>
      </c>
      <c r="AE471" s="144" t="str">
        <f t="shared" si="307"/>
        <v/>
      </c>
      <c r="AF471" s="144" t="str">
        <f>IF(AE471="","",SUM($AE$2:AE471))</f>
        <v/>
      </c>
    </row>
    <row r="472" spans="14:32" x14ac:dyDescent="0.35">
      <c r="N472" s="134" t="str">
        <f t="shared" si="305"/>
        <v/>
      </c>
      <c r="O472" s="82" t="str">
        <f t="shared" si="296"/>
        <v/>
      </c>
      <c r="P472" s="81" t="str">
        <f t="shared" si="306"/>
        <v/>
      </c>
      <c r="Q472" s="81" t="str">
        <f t="shared" si="297"/>
        <v/>
      </c>
      <c r="R472" s="135" t="str">
        <f t="shared" ca="1" si="298"/>
        <v/>
      </c>
      <c r="S472" s="134" t="str">
        <f t="shared" ca="1" si="299"/>
        <v/>
      </c>
      <c r="T472" s="134" t="str">
        <f ca="1">IF(S472=Dashboard!$D$12,S472,"")</f>
        <v/>
      </c>
      <c r="U472" s="134" t="str">
        <f t="shared" ca="1" si="300"/>
        <v/>
      </c>
      <c r="V472" s="83" t="str">
        <f ca="1">IF(U472="","",IFERROR((RANK(U472,$U$2:$U$2028,1)+COUNTIF($U$2:U472,U472))-1,""))</f>
        <v/>
      </c>
      <c r="W472" s="134" t="str">
        <f t="shared" si="304"/>
        <v/>
      </c>
      <c r="X472" s="134" t="str">
        <f>IF(W472="","",IFERROR((RANK(W472,$W$2:$W$2028,1)+COUNTIF($W$2:W472,W472))-1,""))</f>
        <v/>
      </c>
      <c r="Y472" s="134" t="str">
        <f t="shared" si="301"/>
        <v/>
      </c>
      <c r="Z472" s="134" t="str">
        <f>IF(Y472="","",IFERROR((RANK(Y472,$Y$2:$Y$2028,1)+COUNTIF($Y$2:Y472,Y472))-1,""))</f>
        <v/>
      </c>
      <c r="AA472" s="134" t="str">
        <f t="shared" si="302"/>
        <v/>
      </c>
      <c r="AB472" s="134" t="str">
        <f>IF(AA472="","",IFERROR((RANK(AA472,$AA$2:$AA$2028,1)+COUNTIF($AA$2:AA472,AA472))-1,""))</f>
        <v/>
      </c>
      <c r="AC472" s="134" t="str">
        <f t="shared" si="303"/>
        <v/>
      </c>
      <c r="AD472" s="134" t="str">
        <f>IF(AC472="","",IFERROR((RANK(AC472,$AC$2:$AC$2028,1)+COUNTIF($AC$2:AC472,AC472))-1,""))</f>
        <v/>
      </c>
      <c r="AE472" s="144" t="str">
        <f t="shared" si="307"/>
        <v/>
      </c>
      <c r="AF472" s="144" t="str">
        <f>IF(AE472="","",SUM($AE$2:AE472))</f>
        <v/>
      </c>
    </row>
    <row r="473" spans="14:32" x14ac:dyDescent="0.35">
      <c r="N473" s="134" t="str">
        <f t="shared" si="305"/>
        <v/>
      </c>
      <c r="O473" s="82" t="str">
        <f t="shared" si="296"/>
        <v/>
      </c>
      <c r="P473" s="81" t="str">
        <f t="shared" si="306"/>
        <v/>
      </c>
      <c r="Q473" s="81" t="str">
        <f t="shared" si="297"/>
        <v/>
      </c>
      <c r="R473" s="135" t="str">
        <f t="shared" ca="1" si="298"/>
        <v/>
      </c>
      <c r="S473" s="134" t="str">
        <f t="shared" ca="1" si="299"/>
        <v/>
      </c>
      <c r="T473" s="134" t="str">
        <f ca="1">IF(S473=Dashboard!$D$12,S473,"")</f>
        <v/>
      </c>
      <c r="U473" s="134" t="str">
        <f t="shared" ca="1" si="300"/>
        <v/>
      </c>
      <c r="V473" s="83" t="str">
        <f ca="1">IF(U473="","",IFERROR((RANK(U473,$U$2:$U$2028,1)+COUNTIF($U$2:U473,U473))-1,""))</f>
        <v/>
      </c>
      <c r="W473" s="134" t="str">
        <f t="shared" si="304"/>
        <v/>
      </c>
      <c r="X473" s="134" t="str">
        <f>IF(W473="","",IFERROR((RANK(W473,$W$2:$W$2028,1)+COUNTIF($W$2:W473,W473))-1,""))</f>
        <v/>
      </c>
      <c r="Y473" s="134" t="str">
        <f t="shared" si="301"/>
        <v/>
      </c>
      <c r="Z473" s="134" t="str">
        <f>IF(Y473="","",IFERROR((RANK(Y473,$Y$2:$Y$2028,1)+COUNTIF($Y$2:Y473,Y473))-1,""))</f>
        <v/>
      </c>
      <c r="AA473" s="134" t="str">
        <f t="shared" si="302"/>
        <v/>
      </c>
      <c r="AB473" s="134" t="str">
        <f>IF(AA473="","",IFERROR((RANK(AA473,$AA$2:$AA$2028,1)+COUNTIF($AA$2:AA473,AA473))-1,""))</f>
        <v/>
      </c>
      <c r="AC473" s="134" t="str">
        <f t="shared" si="303"/>
        <v/>
      </c>
      <c r="AD473" s="134" t="str">
        <f>IF(AC473="","",IFERROR((RANK(AC473,$AC$2:$AC$2028,1)+COUNTIF($AC$2:AC473,AC473))-1,""))</f>
        <v/>
      </c>
      <c r="AE473" s="144" t="str">
        <f t="shared" si="307"/>
        <v/>
      </c>
      <c r="AF473" s="144" t="str">
        <f>IF(AE473="","",SUM($AE$2:AE473))</f>
        <v/>
      </c>
    </row>
    <row r="474" spans="14:32" x14ac:dyDescent="0.35">
      <c r="N474" s="134" t="str">
        <f t="shared" si="305"/>
        <v/>
      </c>
      <c r="O474" s="82" t="str">
        <f t="shared" si="296"/>
        <v/>
      </c>
      <c r="P474" s="81" t="str">
        <f t="shared" si="306"/>
        <v/>
      </c>
      <c r="Q474" s="81" t="str">
        <f t="shared" si="297"/>
        <v/>
      </c>
      <c r="R474" s="135" t="str">
        <f t="shared" ca="1" si="298"/>
        <v/>
      </c>
      <c r="S474" s="134" t="str">
        <f t="shared" ca="1" si="299"/>
        <v/>
      </c>
      <c r="T474" s="134" t="str">
        <f ca="1">IF(S474=Dashboard!$D$12,S474,"")</f>
        <v/>
      </c>
      <c r="U474" s="134" t="str">
        <f t="shared" ca="1" si="300"/>
        <v/>
      </c>
      <c r="V474" s="83" t="str">
        <f ca="1">IF(U474="","",IFERROR((RANK(U474,$U$2:$U$2028,1)+COUNTIF($U$2:U474,U474))-1,""))</f>
        <v/>
      </c>
      <c r="W474" s="134" t="str">
        <f t="shared" si="304"/>
        <v/>
      </c>
      <c r="X474" s="134" t="str">
        <f>IF(W474="","",IFERROR((RANK(W474,$W$2:$W$2028,1)+COUNTIF($W$2:W474,W474))-1,""))</f>
        <v/>
      </c>
      <c r="Y474" s="134" t="str">
        <f t="shared" si="301"/>
        <v/>
      </c>
      <c r="Z474" s="134" t="str">
        <f>IF(Y474="","",IFERROR((RANK(Y474,$Y$2:$Y$2028,1)+COUNTIF($Y$2:Y474,Y474))-1,""))</f>
        <v/>
      </c>
      <c r="AA474" s="134" t="str">
        <f t="shared" si="302"/>
        <v/>
      </c>
      <c r="AB474" s="134" t="str">
        <f>IF(AA474="","",IFERROR((RANK(AA474,$AA$2:$AA$2028,1)+COUNTIF($AA$2:AA474,AA474))-1,""))</f>
        <v/>
      </c>
      <c r="AC474" s="134" t="str">
        <f t="shared" si="303"/>
        <v/>
      </c>
      <c r="AD474" s="134" t="str">
        <f>IF(AC474="","",IFERROR((RANK(AC474,$AC$2:$AC$2028,1)+COUNTIF($AC$2:AC474,AC474))-1,""))</f>
        <v/>
      </c>
      <c r="AE474" s="144" t="str">
        <f t="shared" si="307"/>
        <v/>
      </c>
      <c r="AF474" s="144" t="str">
        <f>IF(AE474="","",SUM($AE$2:AE474))</f>
        <v/>
      </c>
    </row>
    <row r="475" spans="14:32" x14ac:dyDescent="0.35">
      <c r="N475" s="134" t="str">
        <f t="shared" si="305"/>
        <v/>
      </c>
      <c r="O475" s="82" t="str">
        <f t="shared" si="296"/>
        <v/>
      </c>
      <c r="P475" s="81" t="str">
        <f t="shared" si="306"/>
        <v/>
      </c>
      <c r="Q475" s="81" t="str">
        <f t="shared" si="297"/>
        <v/>
      </c>
      <c r="R475" s="135" t="str">
        <f t="shared" ca="1" si="298"/>
        <v/>
      </c>
      <c r="S475" s="134" t="str">
        <f t="shared" ca="1" si="299"/>
        <v/>
      </c>
      <c r="T475" s="134" t="str">
        <f ca="1">IF(S475=Dashboard!$D$12,S475,"")</f>
        <v/>
      </c>
      <c r="U475" s="134" t="str">
        <f t="shared" ca="1" si="300"/>
        <v/>
      </c>
      <c r="V475" s="83" t="str">
        <f ca="1">IF(U475="","",IFERROR((RANK(U475,$U$2:$U$2028,1)+COUNTIF($U$2:U475,U475))-1,""))</f>
        <v/>
      </c>
      <c r="W475" s="134" t="str">
        <f t="shared" si="304"/>
        <v/>
      </c>
      <c r="X475" s="134" t="str">
        <f>IF(W475="","",IFERROR((RANK(W475,$W$2:$W$2028,1)+COUNTIF($W$2:W475,W475))-1,""))</f>
        <v/>
      </c>
      <c r="Y475" s="134" t="str">
        <f t="shared" si="301"/>
        <v/>
      </c>
      <c r="Z475" s="134" t="str">
        <f>IF(Y475="","",IFERROR((RANK(Y475,$Y$2:$Y$2028,1)+COUNTIF($Y$2:Y475,Y475))-1,""))</f>
        <v/>
      </c>
      <c r="AA475" s="134" t="str">
        <f t="shared" si="302"/>
        <v/>
      </c>
      <c r="AB475" s="134" t="str">
        <f>IF(AA475="","",IFERROR((RANK(AA475,$AA$2:$AA$2028,1)+COUNTIF($AA$2:AA475,AA475))-1,""))</f>
        <v/>
      </c>
      <c r="AC475" s="134" t="str">
        <f t="shared" si="303"/>
        <v/>
      </c>
      <c r="AD475" s="134" t="str">
        <f>IF(AC475="","",IFERROR((RANK(AC475,$AC$2:$AC$2028,1)+COUNTIF($AC$2:AC475,AC475))-1,""))</f>
        <v/>
      </c>
      <c r="AE475" s="144" t="str">
        <f t="shared" si="307"/>
        <v/>
      </c>
      <c r="AF475" s="144" t="str">
        <f>IF(AE475="","",SUM($AE$2:AE475))</f>
        <v/>
      </c>
    </row>
    <row r="476" spans="14:32" x14ac:dyDescent="0.35">
      <c r="N476" s="134" t="str">
        <f t="shared" si="305"/>
        <v/>
      </c>
      <c r="O476" s="82" t="str">
        <f t="shared" si="296"/>
        <v/>
      </c>
      <c r="P476" s="81" t="str">
        <f t="shared" si="306"/>
        <v/>
      </c>
      <c r="Q476" s="81" t="str">
        <f t="shared" si="297"/>
        <v/>
      </c>
      <c r="R476" s="135" t="str">
        <f t="shared" ca="1" si="298"/>
        <v/>
      </c>
      <c r="S476" s="134" t="str">
        <f t="shared" ca="1" si="299"/>
        <v/>
      </c>
      <c r="T476" s="134" t="str">
        <f ca="1">IF(S476=Dashboard!$D$12,S476,"")</f>
        <v/>
      </c>
      <c r="U476" s="134" t="str">
        <f t="shared" ca="1" si="300"/>
        <v/>
      </c>
      <c r="V476" s="83" t="str">
        <f ca="1">IF(U476="","",IFERROR((RANK(U476,$U$2:$U$2028,1)+COUNTIF($U$2:U476,U476))-1,""))</f>
        <v/>
      </c>
      <c r="W476" s="134" t="str">
        <f t="shared" si="304"/>
        <v/>
      </c>
      <c r="X476" s="134" t="str">
        <f>IF(W476="","",IFERROR((RANK(W476,$W$2:$W$2028,1)+COUNTIF($W$2:W476,W476))-1,""))</f>
        <v/>
      </c>
      <c r="Y476" s="134" t="str">
        <f t="shared" si="301"/>
        <v/>
      </c>
      <c r="Z476" s="134" t="str">
        <f>IF(Y476="","",IFERROR((RANK(Y476,$Y$2:$Y$2028,1)+COUNTIF($Y$2:Y476,Y476))-1,""))</f>
        <v/>
      </c>
      <c r="AA476" s="134" t="str">
        <f t="shared" si="302"/>
        <v/>
      </c>
      <c r="AB476" s="134" t="str">
        <f>IF(AA476="","",IFERROR((RANK(AA476,$AA$2:$AA$2028,1)+COUNTIF($AA$2:AA476,AA476))-1,""))</f>
        <v/>
      </c>
      <c r="AC476" s="134" t="str">
        <f t="shared" si="303"/>
        <v/>
      </c>
      <c r="AD476" s="134" t="str">
        <f>IF(AC476="","",IFERROR((RANK(AC476,$AC$2:$AC$2028,1)+COUNTIF($AC$2:AC476,AC476))-1,""))</f>
        <v/>
      </c>
      <c r="AE476" s="144" t="str">
        <f t="shared" si="307"/>
        <v/>
      </c>
      <c r="AF476" s="144" t="str">
        <f>IF(AE476="","",SUM($AE$2:AE476))</f>
        <v/>
      </c>
    </row>
    <row r="477" spans="14:32" x14ac:dyDescent="0.35">
      <c r="N477" s="134" t="str">
        <f t="shared" si="305"/>
        <v/>
      </c>
      <c r="O477" s="82" t="str">
        <f t="shared" si="296"/>
        <v/>
      </c>
      <c r="P477" s="81" t="str">
        <f t="shared" si="306"/>
        <v/>
      </c>
      <c r="Q477" s="81" t="str">
        <f t="shared" si="297"/>
        <v/>
      </c>
      <c r="R477" s="135" t="str">
        <f t="shared" ca="1" si="298"/>
        <v/>
      </c>
      <c r="S477" s="134" t="str">
        <f t="shared" ca="1" si="299"/>
        <v/>
      </c>
      <c r="T477" s="134" t="str">
        <f ca="1">IF(S477=Dashboard!$D$12,S477,"")</f>
        <v/>
      </c>
      <c r="U477" s="134" t="str">
        <f t="shared" ca="1" si="300"/>
        <v/>
      </c>
      <c r="V477" s="83" t="str">
        <f ca="1">IF(U477="","",IFERROR((RANK(U477,$U$2:$U$2028,1)+COUNTIF($U$2:U477,U477))-1,""))</f>
        <v/>
      </c>
      <c r="W477" s="134" t="str">
        <f t="shared" si="304"/>
        <v/>
      </c>
      <c r="X477" s="134" t="str">
        <f>IF(W477="","",IFERROR((RANK(W477,$W$2:$W$2028,1)+COUNTIF($W$2:W477,W477))-1,""))</f>
        <v/>
      </c>
      <c r="Y477" s="134" t="str">
        <f t="shared" si="301"/>
        <v/>
      </c>
      <c r="Z477" s="134" t="str">
        <f>IF(Y477="","",IFERROR((RANK(Y477,$Y$2:$Y$2028,1)+COUNTIF($Y$2:Y477,Y477))-1,""))</f>
        <v/>
      </c>
      <c r="AA477" s="134" t="str">
        <f t="shared" si="302"/>
        <v/>
      </c>
      <c r="AB477" s="134" t="str">
        <f>IF(AA477="","",IFERROR((RANK(AA477,$AA$2:$AA$2028,1)+COUNTIF($AA$2:AA477,AA477))-1,""))</f>
        <v/>
      </c>
      <c r="AC477" s="134" t="str">
        <f t="shared" si="303"/>
        <v/>
      </c>
      <c r="AD477" s="134" t="str">
        <f>IF(AC477="","",IFERROR((RANK(AC477,$AC$2:$AC$2028,1)+COUNTIF($AC$2:AC477,AC477))-1,""))</f>
        <v/>
      </c>
      <c r="AE477" s="144" t="str">
        <f t="shared" si="307"/>
        <v/>
      </c>
      <c r="AF477" s="144" t="str">
        <f>IF(AE477="","",SUM($AE$2:AE477))</f>
        <v/>
      </c>
    </row>
    <row r="478" spans="14:32" x14ac:dyDescent="0.35">
      <c r="N478" s="134" t="str">
        <f t="shared" si="305"/>
        <v/>
      </c>
      <c r="O478" s="82" t="str">
        <f t="shared" ref="O478:O541" si="308">IF(A478="","",N478&amp;"-"&amp;M478)</f>
        <v/>
      </c>
      <c r="P478" s="81" t="str">
        <f t="shared" si="306"/>
        <v/>
      </c>
      <c r="Q478" s="81" t="str">
        <f t="shared" ref="Q478:Q541" si="309">IF(A478="","",IF(P478=1,M478,""))</f>
        <v/>
      </c>
      <c r="R478" s="135" t="str">
        <f t="shared" ref="R478:R541" ca="1" si="310">IF(Q478="","",I478-TODAY())</f>
        <v/>
      </c>
      <c r="S478" s="134" t="str">
        <f t="shared" ref="S478:S541" ca="1" si="311">IF(R478="","",
IF(R478&lt;-90,"Pass&gt;90",IF(R478&lt;-60,"Pass 61-90",IF(R478&lt;-30,"Pass 31-60",IF(R478&lt;0,"Pass 0-30",IF(R478&lt;31,"Run 0-30",IF(R478&lt;61,"Run 31-60",IF(R478&lt;91,"Run 60-90","Run &gt;90"))))))))</f>
        <v/>
      </c>
      <c r="T478" s="134" t="str">
        <f ca="1">IF(S478=Dashboard!$D$12,S478,"")</f>
        <v/>
      </c>
      <c r="U478" s="134" t="str">
        <f t="shared" ref="U478:U541" ca="1" si="312">IF(T478="","",R478)</f>
        <v/>
      </c>
      <c r="V478" s="83" t="str">
        <f ca="1">IF(U478="","",IFERROR((RANK(U478,$U$2:$U$2028,1)+COUNTIF($U$2:U478,U478))-1,""))</f>
        <v/>
      </c>
      <c r="W478" s="134" t="str">
        <f t="shared" si="304"/>
        <v/>
      </c>
      <c r="X478" s="134" t="str">
        <f>IF(W478="","",IFERROR((RANK(W478,$W$2:$W$2028,1)+COUNTIF($W$2:W478,W478))-1,""))</f>
        <v/>
      </c>
      <c r="Y478" s="134" t="str">
        <f t="shared" ref="Y478:Y541" si="313">IF($J478=Y$1,$U478,"")</f>
        <v/>
      </c>
      <c r="Z478" s="134" t="str">
        <f>IF(Y478="","",IFERROR((RANK(Y478,$Y$2:$Y$2028,1)+COUNTIF($Y$2:Y478,Y478))-1,""))</f>
        <v/>
      </c>
      <c r="AA478" s="134" t="str">
        <f t="shared" ref="AA478:AA541" si="314">IF($J478=AA$1,$U478,"")</f>
        <v/>
      </c>
      <c r="AB478" s="134" t="str">
        <f>IF(AA478="","",IFERROR((RANK(AA478,$AA$2:$AA$2028,1)+COUNTIF($AA$2:AA478,AA478))-1,""))</f>
        <v/>
      </c>
      <c r="AC478" s="134" t="str">
        <f t="shared" ref="AC478:AC541" si="315">IF($J478=AC$1,$U478,"")</f>
        <v/>
      </c>
      <c r="AD478" s="134" t="str">
        <f>IF(AC478="","",IFERROR((RANK(AC478,$AC$2:$AC$2028,1)+COUNTIF($AC$2:AC478,AC478))-1,""))</f>
        <v/>
      </c>
      <c r="AE478" s="144" t="str">
        <f t="shared" si="307"/>
        <v/>
      </c>
      <c r="AF478" s="144" t="str">
        <f>IF(AE478="","",SUM($AE$2:AE478))</f>
        <v/>
      </c>
    </row>
    <row r="479" spans="14:32" x14ac:dyDescent="0.35">
      <c r="N479" s="134" t="str">
        <f t="shared" si="305"/>
        <v/>
      </c>
      <c r="O479" s="82" t="str">
        <f t="shared" si="308"/>
        <v/>
      </c>
      <c r="P479" s="81" t="str">
        <f t="shared" si="306"/>
        <v/>
      </c>
      <c r="Q479" s="81" t="str">
        <f t="shared" si="309"/>
        <v/>
      </c>
      <c r="R479" s="135" t="str">
        <f t="shared" ca="1" si="310"/>
        <v/>
      </c>
      <c r="S479" s="134" t="str">
        <f t="shared" ca="1" si="311"/>
        <v/>
      </c>
      <c r="T479" s="134" t="str">
        <f ca="1">IF(S479=Dashboard!$D$12,S479,"")</f>
        <v/>
      </c>
      <c r="U479" s="134" t="str">
        <f t="shared" ca="1" si="312"/>
        <v/>
      </c>
      <c r="V479" s="83" t="str">
        <f ca="1">IF(U479="","",IFERROR((RANK(U479,$U$2:$U$2028,1)+COUNTIF($U$2:U479,U479))-1,""))</f>
        <v/>
      </c>
      <c r="W479" s="134" t="str">
        <f t="shared" ref="W479:W542" si="316">IF($J479=$W$1,U479,"")</f>
        <v/>
      </c>
      <c r="X479" s="134" t="str">
        <f>IF(W479="","",IFERROR((RANK(W479,$W$2:$W$2028,1)+COUNTIF($W$2:W479,W479))-1,""))</f>
        <v/>
      </c>
      <c r="Y479" s="134" t="str">
        <f t="shared" si="313"/>
        <v/>
      </c>
      <c r="Z479" s="134" t="str">
        <f>IF(Y479="","",IFERROR((RANK(Y479,$Y$2:$Y$2028,1)+COUNTIF($Y$2:Y479,Y479))-1,""))</f>
        <v/>
      </c>
      <c r="AA479" s="134" t="str">
        <f t="shared" si="314"/>
        <v/>
      </c>
      <c r="AB479" s="134" t="str">
        <f>IF(AA479="","",IFERROR((RANK(AA479,$AA$2:$AA$2028,1)+COUNTIF($AA$2:AA479,AA479))-1,""))</f>
        <v/>
      </c>
      <c r="AC479" s="134" t="str">
        <f t="shared" si="315"/>
        <v/>
      </c>
      <c r="AD479" s="134" t="str">
        <f>IF(AC479="","",IFERROR((RANK(AC479,$AC$2:$AC$2028,1)+COUNTIF($AC$2:AC479,AC479))-1,""))</f>
        <v/>
      </c>
      <c r="AE479" s="144" t="str">
        <f t="shared" si="307"/>
        <v/>
      </c>
      <c r="AF479" s="144" t="str">
        <f>IF(AE479="","",SUM($AE$2:AE479))</f>
        <v/>
      </c>
    </row>
    <row r="480" spans="14:32" x14ac:dyDescent="0.35">
      <c r="N480" s="134" t="str">
        <f t="shared" si="305"/>
        <v/>
      </c>
      <c r="O480" s="82" t="str">
        <f t="shared" si="308"/>
        <v/>
      </c>
      <c r="P480" s="81" t="str">
        <f t="shared" si="306"/>
        <v/>
      </c>
      <c r="Q480" s="81" t="str">
        <f t="shared" si="309"/>
        <v/>
      </c>
      <c r="R480" s="135" t="str">
        <f t="shared" ca="1" si="310"/>
        <v/>
      </c>
      <c r="S480" s="134" t="str">
        <f t="shared" ca="1" si="311"/>
        <v/>
      </c>
      <c r="T480" s="134" t="str">
        <f ca="1">IF(S480=Dashboard!$D$12,S480,"")</f>
        <v/>
      </c>
      <c r="U480" s="134" t="str">
        <f t="shared" ca="1" si="312"/>
        <v/>
      </c>
      <c r="V480" s="83" t="str">
        <f ca="1">IF(U480="","",IFERROR((RANK(U480,$U$2:$U$2028,1)+COUNTIF($U$2:U480,U480))-1,""))</f>
        <v/>
      </c>
      <c r="W480" s="134" t="str">
        <f t="shared" si="316"/>
        <v/>
      </c>
      <c r="X480" s="134" t="str">
        <f>IF(W480="","",IFERROR((RANK(W480,$W$2:$W$2028,1)+COUNTIF($W$2:W480,W480))-1,""))</f>
        <v/>
      </c>
      <c r="Y480" s="134" t="str">
        <f t="shared" si="313"/>
        <v/>
      </c>
      <c r="Z480" s="134" t="str">
        <f>IF(Y480="","",IFERROR((RANK(Y480,$Y$2:$Y$2028,1)+COUNTIF($Y$2:Y480,Y480))-1,""))</f>
        <v/>
      </c>
      <c r="AA480" s="134" t="str">
        <f t="shared" si="314"/>
        <v/>
      </c>
      <c r="AB480" s="134" t="str">
        <f>IF(AA480="","",IFERROR((RANK(AA480,$AA$2:$AA$2028,1)+COUNTIF($AA$2:AA480,AA480))-1,""))</f>
        <v/>
      </c>
      <c r="AC480" s="134" t="str">
        <f t="shared" si="315"/>
        <v/>
      </c>
      <c r="AD480" s="134" t="str">
        <f>IF(AC480="","",IFERROR((RANK(AC480,$AC$2:$AC$2028,1)+COUNTIF($AC$2:AC480,AC480))-1,""))</f>
        <v/>
      </c>
      <c r="AE480" s="144" t="str">
        <f t="shared" si="307"/>
        <v/>
      </c>
      <c r="AF480" s="144" t="str">
        <f>IF(AE480="","",SUM($AE$2:AE480))</f>
        <v/>
      </c>
    </row>
    <row r="481" spans="14:32" x14ac:dyDescent="0.35">
      <c r="N481" s="134" t="str">
        <f t="shared" si="305"/>
        <v/>
      </c>
      <c r="O481" s="82" t="str">
        <f t="shared" si="308"/>
        <v/>
      </c>
      <c r="P481" s="81" t="str">
        <f t="shared" si="306"/>
        <v/>
      </c>
      <c r="Q481" s="81" t="str">
        <f t="shared" si="309"/>
        <v/>
      </c>
      <c r="R481" s="135" t="str">
        <f t="shared" ca="1" si="310"/>
        <v/>
      </c>
      <c r="S481" s="134" t="str">
        <f t="shared" ca="1" si="311"/>
        <v/>
      </c>
      <c r="T481" s="134" t="str">
        <f ca="1">IF(S481=Dashboard!$D$12,S481,"")</f>
        <v/>
      </c>
      <c r="U481" s="134" t="str">
        <f t="shared" ca="1" si="312"/>
        <v/>
      </c>
      <c r="V481" s="83" t="str">
        <f ca="1">IF(U481="","",IFERROR((RANK(U481,$U$2:$U$2028,1)+COUNTIF($U$2:U481,U481))-1,""))</f>
        <v/>
      </c>
      <c r="W481" s="134" t="str">
        <f t="shared" si="316"/>
        <v/>
      </c>
      <c r="X481" s="134" t="str">
        <f>IF(W481="","",IFERROR((RANK(W481,$W$2:$W$2028,1)+COUNTIF($W$2:W481,W481))-1,""))</f>
        <v/>
      </c>
      <c r="Y481" s="134" t="str">
        <f t="shared" si="313"/>
        <v/>
      </c>
      <c r="Z481" s="134" t="str">
        <f>IF(Y481="","",IFERROR((RANK(Y481,$Y$2:$Y$2028,1)+COUNTIF($Y$2:Y481,Y481))-1,""))</f>
        <v/>
      </c>
      <c r="AA481" s="134" t="str">
        <f t="shared" si="314"/>
        <v/>
      </c>
      <c r="AB481" s="134" t="str">
        <f>IF(AA481="","",IFERROR((RANK(AA481,$AA$2:$AA$2028,1)+COUNTIF($AA$2:AA481,AA481))-1,""))</f>
        <v/>
      </c>
      <c r="AC481" s="134" t="str">
        <f t="shared" si="315"/>
        <v/>
      </c>
      <c r="AD481" s="134" t="str">
        <f>IF(AC481="","",IFERROR((RANK(AC481,$AC$2:$AC$2028,1)+COUNTIF($AC$2:AC481,AC481))-1,""))</f>
        <v/>
      </c>
      <c r="AE481" s="144" t="str">
        <f t="shared" si="307"/>
        <v/>
      </c>
      <c r="AF481" s="144" t="str">
        <f>IF(AE481="","",SUM($AE$2:AE481))</f>
        <v/>
      </c>
    </row>
    <row r="482" spans="14:32" x14ac:dyDescent="0.35">
      <c r="N482" s="134" t="str">
        <f t="shared" si="305"/>
        <v/>
      </c>
      <c r="O482" s="82" t="str">
        <f t="shared" si="308"/>
        <v/>
      </c>
      <c r="P482" s="81" t="str">
        <f t="shared" si="306"/>
        <v/>
      </c>
      <c r="Q482" s="81" t="str">
        <f t="shared" si="309"/>
        <v/>
      </c>
      <c r="R482" s="135" t="str">
        <f t="shared" ca="1" si="310"/>
        <v/>
      </c>
      <c r="S482" s="134" t="str">
        <f t="shared" ca="1" si="311"/>
        <v/>
      </c>
      <c r="T482" s="134" t="str">
        <f ca="1">IF(S482=Dashboard!$D$12,S482,"")</f>
        <v/>
      </c>
      <c r="U482" s="134" t="str">
        <f t="shared" ca="1" si="312"/>
        <v/>
      </c>
      <c r="V482" s="83" t="str">
        <f ca="1">IF(U482="","",IFERROR((RANK(U482,$U$2:$U$2028,1)+COUNTIF($U$2:U482,U482))-1,""))</f>
        <v/>
      </c>
      <c r="W482" s="134" t="str">
        <f t="shared" si="316"/>
        <v/>
      </c>
      <c r="X482" s="134" t="str">
        <f>IF(W482="","",IFERROR((RANK(W482,$W$2:$W$2028,1)+COUNTIF($W$2:W482,W482))-1,""))</f>
        <v/>
      </c>
      <c r="Y482" s="134" t="str">
        <f t="shared" si="313"/>
        <v/>
      </c>
      <c r="Z482" s="134" t="str">
        <f>IF(Y482="","",IFERROR((RANK(Y482,$Y$2:$Y$2028,1)+COUNTIF($Y$2:Y482,Y482))-1,""))</f>
        <v/>
      </c>
      <c r="AA482" s="134" t="str">
        <f t="shared" si="314"/>
        <v/>
      </c>
      <c r="AB482" s="134" t="str">
        <f>IF(AA482="","",IFERROR((RANK(AA482,$AA$2:$AA$2028,1)+COUNTIF($AA$2:AA482,AA482))-1,""))</f>
        <v/>
      </c>
      <c r="AC482" s="134" t="str">
        <f t="shared" si="315"/>
        <v/>
      </c>
      <c r="AD482" s="134" t="str">
        <f>IF(AC482="","",IFERROR((RANK(AC482,$AC$2:$AC$2028,1)+COUNTIF($AC$2:AC482,AC482))-1,""))</f>
        <v/>
      </c>
      <c r="AE482" s="144" t="str">
        <f t="shared" si="307"/>
        <v/>
      </c>
      <c r="AF482" s="144" t="str">
        <f>IF(AE482="","",SUM($AE$2:AE482))</f>
        <v/>
      </c>
    </row>
    <row r="483" spans="14:32" x14ac:dyDescent="0.35">
      <c r="N483" s="134" t="str">
        <f t="shared" si="305"/>
        <v/>
      </c>
      <c r="O483" s="82" t="str">
        <f t="shared" si="308"/>
        <v/>
      </c>
      <c r="P483" s="81" t="str">
        <f t="shared" si="306"/>
        <v/>
      </c>
      <c r="Q483" s="81" t="str">
        <f t="shared" si="309"/>
        <v/>
      </c>
      <c r="R483" s="135" t="str">
        <f t="shared" ca="1" si="310"/>
        <v/>
      </c>
      <c r="S483" s="134" t="str">
        <f t="shared" ca="1" si="311"/>
        <v/>
      </c>
      <c r="T483" s="134" t="str">
        <f ca="1">IF(S483=Dashboard!$D$12,S483,"")</f>
        <v/>
      </c>
      <c r="U483" s="134" t="str">
        <f t="shared" ca="1" si="312"/>
        <v/>
      </c>
      <c r="V483" s="83" t="str">
        <f ca="1">IF(U483="","",IFERROR((RANK(U483,$U$2:$U$2028,1)+COUNTIF($U$2:U483,U483))-1,""))</f>
        <v/>
      </c>
      <c r="W483" s="134" t="str">
        <f t="shared" si="316"/>
        <v/>
      </c>
      <c r="X483" s="134" t="str">
        <f>IF(W483="","",IFERROR((RANK(W483,$W$2:$W$2028,1)+COUNTIF($W$2:W483,W483))-1,""))</f>
        <v/>
      </c>
      <c r="Y483" s="134" t="str">
        <f t="shared" si="313"/>
        <v/>
      </c>
      <c r="Z483" s="134" t="str">
        <f>IF(Y483="","",IFERROR((RANK(Y483,$Y$2:$Y$2028,1)+COUNTIF($Y$2:Y483,Y483))-1,""))</f>
        <v/>
      </c>
      <c r="AA483" s="134" t="str">
        <f t="shared" si="314"/>
        <v/>
      </c>
      <c r="AB483" s="134" t="str">
        <f>IF(AA483="","",IFERROR((RANK(AA483,$AA$2:$AA$2028,1)+COUNTIF($AA$2:AA483,AA483))-1,""))</f>
        <v/>
      </c>
      <c r="AC483" s="134" t="str">
        <f t="shared" si="315"/>
        <v/>
      </c>
      <c r="AD483" s="134" t="str">
        <f>IF(AC483="","",IFERROR((RANK(AC483,$AC$2:$AC$2028,1)+COUNTIF($AC$2:AC483,AC483))-1,""))</f>
        <v/>
      </c>
      <c r="AE483" s="144" t="str">
        <f t="shared" si="307"/>
        <v/>
      </c>
      <c r="AF483" s="144" t="str">
        <f>IF(AE483="","",SUM($AE$2:AE483))</f>
        <v/>
      </c>
    </row>
    <row r="484" spans="14:32" x14ac:dyDescent="0.35">
      <c r="N484" s="134" t="str">
        <f t="shared" si="305"/>
        <v/>
      </c>
      <c r="O484" s="82" t="str">
        <f t="shared" si="308"/>
        <v/>
      </c>
      <c r="P484" s="81" t="str">
        <f t="shared" si="306"/>
        <v/>
      </c>
      <c r="Q484" s="81" t="str">
        <f t="shared" si="309"/>
        <v/>
      </c>
      <c r="R484" s="135" t="str">
        <f t="shared" ca="1" si="310"/>
        <v/>
      </c>
      <c r="S484" s="134" t="str">
        <f t="shared" ca="1" si="311"/>
        <v/>
      </c>
      <c r="T484" s="134" t="str">
        <f ca="1">IF(S484=Dashboard!$D$12,S484,"")</f>
        <v/>
      </c>
      <c r="U484" s="134" t="str">
        <f t="shared" ca="1" si="312"/>
        <v/>
      </c>
      <c r="V484" s="83" t="str">
        <f ca="1">IF(U484="","",IFERROR((RANK(U484,$U$2:$U$2028,1)+COUNTIF($U$2:U484,U484))-1,""))</f>
        <v/>
      </c>
      <c r="W484" s="134" t="str">
        <f t="shared" si="316"/>
        <v/>
      </c>
      <c r="X484" s="134" t="str">
        <f>IF(W484="","",IFERROR((RANK(W484,$W$2:$W$2028,1)+COUNTIF($W$2:W484,W484))-1,""))</f>
        <v/>
      </c>
      <c r="Y484" s="134" t="str">
        <f t="shared" si="313"/>
        <v/>
      </c>
      <c r="Z484" s="134" t="str">
        <f>IF(Y484="","",IFERROR((RANK(Y484,$Y$2:$Y$2028,1)+COUNTIF($Y$2:Y484,Y484))-1,""))</f>
        <v/>
      </c>
      <c r="AA484" s="134" t="str">
        <f t="shared" si="314"/>
        <v/>
      </c>
      <c r="AB484" s="134" t="str">
        <f>IF(AA484="","",IFERROR((RANK(AA484,$AA$2:$AA$2028,1)+COUNTIF($AA$2:AA484,AA484))-1,""))</f>
        <v/>
      </c>
      <c r="AC484" s="134" t="str">
        <f t="shared" si="315"/>
        <v/>
      </c>
      <c r="AD484" s="134" t="str">
        <f>IF(AC484="","",IFERROR((RANK(AC484,$AC$2:$AC$2028,1)+COUNTIF($AC$2:AC484,AC484))-1,""))</f>
        <v/>
      </c>
      <c r="AE484" s="144" t="str">
        <f t="shared" si="307"/>
        <v/>
      </c>
      <c r="AF484" s="144" t="str">
        <f>IF(AE484="","",SUM($AE$2:AE484))</f>
        <v/>
      </c>
    </row>
    <row r="485" spans="14:32" x14ac:dyDescent="0.35">
      <c r="N485" s="134" t="str">
        <f t="shared" si="305"/>
        <v/>
      </c>
      <c r="O485" s="82" t="str">
        <f t="shared" si="308"/>
        <v/>
      </c>
      <c r="P485" s="81" t="str">
        <f t="shared" si="306"/>
        <v/>
      </c>
      <c r="Q485" s="81" t="str">
        <f t="shared" si="309"/>
        <v/>
      </c>
      <c r="R485" s="135" t="str">
        <f t="shared" ca="1" si="310"/>
        <v/>
      </c>
      <c r="S485" s="134" t="str">
        <f t="shared" ca="1" si="311"/>
        <v/>
      </c>
      <c r="T485" s="134" t="str">
        <f ca="1">IF(S485=Dashboard!$D$12,S485,"")</f>
        <v/>
      </c>
      <c r="U485" s="134" t="str">
        <f t="shared" ca="1" si="312"/>
        <v/>
      </c>
      <c r="V485" s="83" t="str">
        <f ca="1">IF(U485="","",IFERROR((RANK(U485,$U$2:$U$2028,1)+COUNTIF($U$2:U485,U485))-1,""))</f>
        <v/>
      </c>
      <c r="W485" s="134" t="str">
        <f t="shared" si="316"/>
        <v/>
      </c>
      <c r="X485" s="134" t="str">
        <f>IF(W485="","",IFERROR((RANK(W485,$W$2:$W$2028,1)+COUNTIF($W$2:W485,W485))-1,""))</f>
        <v/>
      </c>
      <c r="Y485" s="134" t="str">
        <f t="shared" si="313"/>
        <v/>
      </c>
      <c r="Z485" s="134" t="str">
        <f>IF(Y485="","",IFERROR((RANK(Y485,$Y$2:$Y$2028,1)+COUNTIF($Y$2:Y485,Y485))-1,""))</f>
        <v/>
      </c>
      <c r="AA485" s="134" t="str">
        <f t="shared" si="314"/>
        <v/>
      </c>
      <c r="AB485" s="134" t="str">
        <f>IF(AA485="","",IFERROR((RANK(AA485,$AA$2:$AA$2028,1)+COUNTIF($AA$2:AA485,AA485))-1,""))</f>
        <v/>
      </c>
      <c r="AC485" s="134" t="str">
        <f t="shared" si="315"/>
        <v/>
      </c>
      <c r="AD485" s="134" t="str">
        <f>IF(AC485="","",IFERROR((RANK(AC485,$AC$2:$AC$2028,1)+COUNTIF($AC$2:AC485,AC485))-1,""))</f>
        <v/>
      </c>
      <c r="AE485" s="144" t="str">
        <f t="shared" si="307"/>
        <v/>
      </c>
      <c r="AF485" s="144" t="str">
        <f>IF(AE485="","",SUM($AE$2:AE485))</f>
        <v/>
      </c>
    </row>
    <row r="486" spans="14:32" x14ac:dyDescent="0.35">
      <c r="N486" s="134" t="str">
        <f t="shared" si="305"/>
        <v/>
      </c>
      <c r="O486" s="82" t="str">
        <f t="shared" si="308"/>
        <v/>
      </c>
      <c r="P486" s="81" t="str">
        <f t="shared" si="306"/>
        <v/>
      </c>
      <c r="Q486" s="81" t="str">
        <f t="shared" si="309"/>
        <v/>
      </c>
      <c r="R486" s="135" t="str">
        <f t="shared" ca="1" si="310"/>
        <v/>
      </c>
      <c r="S486" s="134" t="str">
        <f t="shared" ca="1" si="311"/>
        <v/>
      </c>
      <c r="T486" s="134" t="str">
        <f ca="1">IF(S486=Dashboard!$D$12,S486,"")</f>
        <v/>
      </c>
      <c r="U486" s="134" t="str">
        <f t="shared" ca="1" si="312"/>
        <v/>
      </c>
      <c r="V486" s="83" t="str">
        <f ca="1">IF(U486="","",IFERROR((RANK(U486,$U$2:$U$2028,1)+COUNTIF($U$2:U486,U486))-1,""))</f>
        <v/>
      </c>
      <c r="W486" s="134" t="str">
        <f t="shared" si="316"/>
        <v/>
      </c>
      <c r="X486" s="134" t="str">
        <f>IF(W486="","",IFERROR((RANK(W486,$W$2:$W$2028,1)+COUNTIF($W$2:W486,W486))-1,""))</f>
        <v/>
      </c>
      <c r="Y486" s="134" t="str">
        <f t="shared" si="313"/>
        <v/>
      </c>
      <c r="Z486" s="134" t="str">
        <f>IF(Y486="","",IFERROR((RANK(Y486,$Y$2:$Y$2028,1)+COUNTIF($Y$2:Y486,Y486))-1,""))</f>
        <v/>
      </c>
      <c r="AA486" s="134" t="str">
        <f t="shared" si="314"/>
        <v/>
      </c>
      <c r="AB486" s="134" t="str">
        <f>IF(AA486="","",IFERROR((RANK(AA486,$AA$2:$AA$2028,1)+COUNTIF($AA$2:AA486,AA486))-1,""))</f>
        <v/>
      </c>
      <c r="AC486" s="134" t="str">
        <f t="shared" si="315"/>
        <v/>
      </c>
      <c r="AD486" s="134" t="str">
        <f>IF(AC486="","",IFERROR((RANK(AC486,$AC$2:$AC$2028,1)+COUNTIF($AC$2:AC486,AC486))-1,""))</f>
        <v/>
      </c>
      <c r="AE486" s="144" t="str">
        <f t="shared" si="307"/>
        <v/>
      </c>
      <c r="AF486" s="144" t="str">
        <f>IF(AE486="","",SUM($AE$2:AE486))</f>
        <v/>
      </c>
    </row>
    <row r="487" spans="14:32" x14ac:dyDescent="0.35">
      <c r="N487" s="134" t="str">
        <f t="shared" si="305"/>
        <v/>
      </c>
      <c r="O487" s="82" t="str">
        <f t="shared" si="308"/>
        <v/>
      </c>
      <c r="P487" s="81" t="str">
        <f t="shared" si="306"/>
        <v/>
      </c>
      <c r="Q487" s="81" t="str">
        <f t="shared" si="309"/>
        <v/>
      </c>
      <c r="R487" s="135" t="str">
        <f t="shared" ca="1" si="310"/>
        <v/>
      </c>
      <c r="S487" s="134" t="str">
        <f t="shared" ca="1" si="311"/>
        <v/>
      </c>
      <c r="T487" s="134" t="str">
        <f ca="1">IF(S487=Dashboard!$D$12,S487,"")</f>
        <v/>
      </c>
      <c r="U487" s="134" t="str">
        <f t="shared" ca="1" si="312"/>
        <v/>
      </c>
      <c r="V487" s="83" t="str">
        <f ca="1">IF(U487="","",IFERROR((RANK(U487,$U$2:$U$2028,1)+COUNTIF($U$2:U487,U487))-1,""))</f>
        <v/>
      </c>
      <c r="W487" s="134" t="str">
        <f t="shared" si="316"/>
        <v/>
      </c>
      <c r="X487" s="134" t="str">
        <f>IF(W487="","",IFERROR((RANK(W487,$W$2:$W$2028,1)+COUNTIF($W$2:W487,W487))-1,""))</f>
        <v/>
      </c>
      <c r="Y487" s="134" t="str">
        <f t="shared" si="313"/>
        <v/>
      </c>
      <c r="Z487" s="134" t="str">
        <f>IF(Y487="","",IFERROR((RANK(Y487,$Y$2:$Y$2028,1)+COUNTIF($Y$2:Y487,Y487))-1,""))</f>
        <v/>
      </c>
      <c r="AA487" s="134" t="str">
        <f t="shared" si="314"/>
        <v/>
      </c>
      <c r="AB487" s="134" t="str">
        <f>IF(AA487="","",IFERROR((RANK(AA487,$AA$2:$AA$2028,1)+COUNTIF($AA$2:AA487,AA487))-1,""))</f>
        <v/>
      </c>
      <c r="AC487" s="134" t="str">
        <f t="shared" si="315"/>
        <v/>
      </c>
      <c r="AD487" s="134" t="str">
        <f>IF(AC487="","",IFERROR((RANK(AC487,$AC$2:$AC$2028,1)+COUNTIF($AC$2:AC487,AC487))-1,""))</f>
        <v/>
      </c>
      <c r="AE487" s="144" t="str">
        <f t="shared" si="307"/>
        <v/>
      </c>
      <c r="AF487" s="144" t="str">
        <f>IF(AE487="","",SUM($AE$2:AE487))</f>
        <v/>
      </c>
    </row>
    <row r="488" spans="14:32" x14ac:dyDescent="0.35">
      <c r="N488" s="134" t="str">
        <f t="shared" si="305"/>
        <v/>
      </c>
      <c r="O488" s="82" t="str">
        <f t="shared" si="308"/>
        <v/>
      </c>
      <c r="P488" s="81" t="str">
        <f t="shared" si="306"/>
        <v/>
      </c>
      <c r="Q488" s="81" t="str">
        <f t="shared" si="309"/>
        <v/>
      </c>
      <c r="R488" s="135" t="str">
        <f t="shared" ca="1" si="310"/>
        <v/>
      </c>
      <c r="S488" s="134" t="str">
        <f t="shared" ca="1" si="311"/>
        <v/>
      </c>
      <c r="T488" s="134" t="str">
        <f ca="1">IF(S488=Dashboard!$D$12,S488,"")</f>
        <v/>
      </c>
      <c r="U488" s="134" t="str">
        <f t="shared" ca="1" si="312"/>
        <v/>
      </c>
      <c r="V488" s="83" t="str">
        <f ca="1">IF(U488="","",IFERROR((RANK(U488,$U$2:$U$2028,1)+COUNTIF($U$2:U488,U488))-1,""))</f>
        <v/>
      </c>
      <c r="W488" s="134" t="str">
        <f t="shared" si="316"/>
        <v/>
      </c>
      <c r="X488" s="134" t="str">
        <f>IF(W488="","",IFERROR((RANK(W488,$W$2:$W$2028,1)+COUNTIF($W$2:W488,W488))-1,""))</f>
        <v/>
      </c>
      <c r="Y488" s="134" t="str">
        <f t="shared" si="313"/>
        <v/>
      </c>
      <c r="Z488" s="134" t="str">
        <f>IF(Y488="","",IFERROR((RANK(Y488,$Y$2:$Y$2028,1)+COUNTIF($Y$2:Y488,Y488))-1,""))</f>
        <v/>
      </c>
      <c r="AA488" s="134" t="str">
        <f t="shared" si="314"/>
        <v/>
      </c>
      <c r="AB488" s="134" t="str">
        <f>IF(AA488="","",IFERROR((RANK(AA488,$AA$2:$AA$2028,1)+COUNTIF($AA$2:AA488,AA488))-1,""))</f>
        <v/>
      </c>
      <c r="AC488" s="134" t="str">
        <f t="shared" si="315"/>
        <v/>
      </c>
      <c r="AD488" s="134" t="str">
        <f>IF(AC488="","",IFERROR((RANK(AC488,$AC$2:$AC$2028,1)+COUNTIF($AC$2:AC488,AC488))-1,""))</f>
        <v/>
      </c>
      <c r="AE488" s="144" t="str">
        <f t="shared" si="307"/>
        <v/>
      </c>
      <c r="AF488" s="144" t="str">
        <f>IF(AE488="","",SUM($AE$2:AE488))</f>
        <v/>
      </c>
    </row>
    <row r="489" spans="14:32" x14ac:dyDescent="0.35">
      <c r="N489" s="134" t="str">
        <f t="shared" si="305"/>
        <v/>
      </c>
      <c r="O489" s="82" t="str">
        <f t="shared" si="308"/>
        <v/>
      </c>
      <c r="P489" s="81" t="str">
        <f t="shared" si="306"/>
        <v/>
      </c>
      <c r="Q489" s="81" t="str">
        <f t="shared" si="309"/>
        <v/>
      </c>
      <c r="R489" s="135" t="str">
        <f t="shared" ca="1" si="310"/>
        <v/>
      </c>
      <c r="S489" s="134" t="str">
        <f t="shared" ca="1" si="311"/>
        <v/>
      </c>
      <c r="T489" s="134" t="str">
        <f ca="1">IF(S489=Dashboard!$D$12,S489,"")</f>
        <v/>
      </c>
      <c r="U489" s="134" t="str">
        <f t="shared" ca="1" si="312"/>
        <v/>
      </c>
      <c r="V489" s="83" t="str">
        <f ca="1">IF(U489="","",IFERROR((RANK(U489,$U$2:$U$2028,1)+COUNTIF($U$2:U489,U489))-1,""))</f>
        <v/>
      </c>
      <c r="W489" s="134" t="str">
        <f t="shared" si="316"/>
        <v/>
      </c>
      <c r="X489" s="134" t="str">
        <f>IF(W489="","",IFERROR((RANK(W489,$W$2:$W$2028,1)+COUNTIF($W$2:W489,W489))-1,""))</f>
        <v/>
      </c>
      <c r="Y489" s="134" t="str">
        <f t="shared" si="313"/>
        <v/>
      </c>
      <c r="Z489" s="134" t="str">
        <f>IF(Y489="","",IFERROR((RANK(Y489,$Y$2:$Y$2028,1)+COUNTIF($Y$2:Y489,Y489))-1,""))</f>
        <v/>
      </c>
      <c r="AA489" s="134" t="str">
        <f t="shared" si="314"/>
        <v/>
      </c>
      <c r="AB489" s="134" t="str">
        <f>IF(AA489="","",IFERROR((RANK(AA489,$AA$2:$AA$2028,1)+COUNTIF($AA$2:AA489,AA489))-1,""))</f>
        <v/>
      </c>
      <c r="AC489" s="134" t="str">
        <f t="shared" si="315"/>
        <v/>
      </c>
      <c r="AD489" s="134" t="str">
        <f>IF(AC489="","",IFERROR((RANK(AC489,$AC$2:$AC$2028,1)+COUNTIF($AC$2:AC489,AC489))-1,""))</f>
        <v/>
      </c>
      <c r="AE489" s="144" t="str">
        <f t="shared" si="307"/>
        <v/>
      </c>
      <c r="AF489" s="144" t="str">
        <f>IF(AE489="","",SUM($AE$2:AE489))</f>
        <v/>
      </c>
    </row>
    <row r="490" spans="14:32" x14ac:dyDescent="0.35">
      <c r="N490" s="134" t="str">
        <f t="shared" si="305"/>
        <v/>
      </c>
      <c r="O490" s="82" t="str">
        <f t="shared" si="308"/>
        <v/>
      </c>
      <c r="P490" s="81" t="str">
        <f t="shared" si="306"/>
        <v/>
      </c>
      <c r="Q490" s="81" t="str">
        <f t="shared" si="309"/>
        <v/>
      </c>
      <c r="R490" s="135" t="str">
        <f t="shared" ca="1" si="310"/>
        <v/>
      </c>
      <c r="S490" s="134" t="str">
        <f t="shared" ca="1" si="311"/>
        <v/>
      </c>
      <c r="T490" s="134" t="str">
        <f ca="1">IF(S490=Dashboard!$D$12,S490,"")</f>
        <v/>
      </c>
      <c r="U490" s="134" t="str">
        <f t="shared" ca="1" si="312"/>
        <v/>
      </c>
      <c r="V490" s="83" t="str">
        <f ca="1">IF(U490="","",IFERROR((RANK(U490,$U$2:$U$2028,1)+COUNTIF($U$2:U490,U490))-1,""))</f>
        <v/>
      </c>
      <c r="W490" s="134" t="str">
        <f t="shared" si="316"/>
        <v/>
      </c>
      <c r="X490" s="134" t="str">
        <f>IF(W490="","",IFERROR((RANK(W490,$W$2:$W$2028,1)+COUNTIF($W$2:W490,W490))-1,""))</f>
        <v/>
      </c>
      <c r="Y490" s="134" t="str">
        <f t="shared" si="313"/>
        <v/>
      </c>
      <c r="Z490" s="134" t="str">
        <f>IF(Y490="","",IFERROR((RANK(Y490,$Y$2:$Y$2028,1)+COUNTIF($Y$2:Y490,Y490))-1,""))</f>
        <v/>
      </c>
      <c r="AA490" s="134" t="str">
        <f t="shared" si="314"/>
        <v/>
      </c>
      <c r="AB490" s="134" t="str">
        <f>IF(AA490="","",IFERROR((RANK(AA490,$AA$2:$AA$2028,1)+COUNTIF($AA$2:AA490,AA490))-1,""))</f>
        <v/>
      </c>
      <c r="AC490" s="134" t="str">
        <f t="shared" si="315"/>
        <v/>
      </c>
      <c r="AD490" s="134" t="str">
        <f>IF(AC490="","",IFERROR((RANK(AC490,$AC$2:$AC$2028,1)+COUNTIF($AC$2:AC490,AC490))-1,""))</f>
        <v/>
      </c>
      <c r="AE490" s="144" t="str">
        <f t="shared" si="307"/>
        <v/>
      </c>
      <c r="AF490" s="144" t="str">
        <f>IF(AE490="","",SUM($AE$2:AE490))</f>
        <v/>
      </c>
    </row>
    <row r="491" spans="14:32" x14ac:dyDescent="0.35">
      <c r="N491" s="134" t="str">
        <f t="shared" si="305"/>
        <v/>
      </c>
      <c r="O491" s="82" t="str">
        <f t="shared" si="308"/>
        <v/>
      </c>
      <c r="P491" s="81" t="str">
        <f t="shared" si="306"/>
        <v/>
      </c>
      <c r="Q491" s="81" t="str">
        <f t="shared" si="309"/>
        <v/>
      </c>
      <c r="R491" s="135" t="str">
        <f t="shared" ca="1" si="310"/>
        <v/>
      </c>
      <c r="S491" s="134" t="str">
        <f t="shared" ca="1" si="311"/>
        <v/>
      </c>
      <c r="T491" s="134" t="str">
        <f ca="1">IF(S491=Dashboard!$D$12,S491,"")</f>
        <v/>
      </c>
      <c r="U491" s="134" t="str">
        <f t="shared" ca="1" si="312"/>
        <v/>
      </c>
      <c r="V491" s="83" t="str">
        <f ca="1">IF(U491="","",IFERROR((RANK(U491,$U$2:$U$2028,1)+COUNTIF($U$2:U491,U491))-1,""))</f>
        <v/>
      </c>
      <c r="W491" s="134" t="str">
        <f t="shared" si="316"/>
        <v/>
      </c>
      <c r="X491" s="134" t="str">
        <f>IF(W491="","",IFERROR((RANK(W491,$W$2:$W$2028,1)+COUNTIF($W$2:W491,W491))-1,""))</f>
        <v/>
      </c>
      <c r="Y491" s="134" t="str">
        <f t="shared" si="313"/>
        <v/>
      </c>
      <c r="Z491" s="134" t="str">
        <f>IF(Y491="","",IFERROR((RANK(Y491,$Y$2:$Y$2028,1)+COUNTIF($Y$2:Y491,Y491))-1,""))</f>
        <v/>
      </c>
      <c r="AA491" s="134" t="str">
        <f t="shared" si="314"/>
        <v/>
      </c>
      <c r="AB491" s="134" t="str">
        <f>IF(AA491="","",IFERROR((RANK(AA491,$AA$2:$AA$2028,1)+COUNTIF($AA$2:AA491,AA491))-1,""))</f>
        <v/>
      </c>
      <c r="AC491" s="134" t="str">
        <f t="shared" si="315"/>
        <v/>
      </c>
      <c r="AD491" s="134" t="str">
        <f>IF(AC491="","",IFERROR((RANK(AC491,$AC$2:$AC$2028,1)+COUNTIF($AC$2:AC491,AC491))-1,""))</f>
        <v/>
      </c>
      <c r="AE491" s="144" t="str">
        <f t="shared" si="307"/>
        <v/>
      </c>
      <c r="AF491" s="144" t="str">
        <f>IF(AE491="","",SUM($AE$2:AE491))</f>
        <v/>
      </c>
    </row>
    <row r="492" spans="14:32" x14ac:dyDescent="0.35">
      <c r="N492" s="134" t="str">
        <f t="shared" si="305"/>
        <v/>
      </c>
      <c r="O492" s="82" t="str">
        <f t="shared" si="308"/>
        <v/>
      </c>
      <c r="P492" s="81" t="str">
        <f t="shared" si="306"/>
        <v/>
      </c>
      <c r="Q492" s="81" t="str">
        <f t="shared" si="309"/>
        <v/>
      </c>
      <c r="R492" s="135" t="str">
        <f t="shared" ca="1" si="310"/>
        <v/>
      </c>
      <c r="S492" s="134" t="str">
        <f t="shared" ca="1" si="311"/>
        <v/>
      </c>
      <c r="T492" s="134" t="str">
        <f ca="1">IF(S492=Dashboard!$D$12,S492,"")</f>
        <v/>
      </c>
      <c r="U492" s="134" t="str">
        <f t="shared" ca="1" si="312"/>
        <v/>
      </c>
      <c r="V492" s="83" t="str">
        <f ca="1">IF(U492="","",IFERROR((RANK(U492,$U$2:$U$2028,1)+COUNTIF($U$2:U492,U492))-1,""))</f>
        <v/>
      </c>
      <c r="W492" s="134" t="str">
        <f t="shared" si="316"/>
        <v/>
      </c>
      <c r="X492" s="134" t="str">
        <f>IF(W492="","",IFERROR((RANK(W492,$W$2:$W$2028,1)+COUNTIF($W$2:W492,W492))-1,""))</f>
        <v/>
      </c>
      <c r="Y492" s="134" t="str">
        <f t="shared" si="313"/>
        <v/>
      </c>
      <c r="Z492" s="134" t="str">
        <f>IF(Y492="","",IFERROR((RANK(Y492,$Y$2:$Y$2028,1)+COUNTIF($Y$2:Y492,Y492))-1,""))</f>
        <v/>
      </c>
      <c r="AA492" s="134" t="str">
        <f t="shared" si="314"/>
        <v/>
      </c>
      <c r="AB492" s="134" t="str">
        <f>IF(AA492="","",IFERROR((RANK(AA492,$AA$2:$AA$2028,1)+COUNTIF($AA$2:AA492,AA492))-1,""))</f>
        <v/>
      </c>
      <c r="AC492" s="134" t="str">
        <f t="shared" si="315"/>
        <v/>
      </c>
      <c r="AD492" s="134" t="str">
        <f>IF(AC492="","",IFERROR((RANK(AC492,$AC$2:$AC$2028,1)+COUNTIF($AC$2:AC492,AC492))-1,""))</f>
        <v/>
      </c>
      <c r="AE492" s="144" t="str">
        <f t="shared" si="307"/>
        <v/>
      </c>
      <c r="AF492" s="144" t="str">
        <f>IF(AE492="","",SUM($AE$2:AE492))</f>
        <v/>
      </c>
    </row>
    <row r="493" spans="14:32" x14ac:dyDescent="0.35">
      <c r="N493" s="134" t="str">
        <f t="shared" si="305"/>
        <v/>
      </c>
      <c r="O493" s="82" t="str">
        <f t="shared" si="308"/>
        <v/>
      </c>
      <c r="P493" s="81" t="str">
        <f t="shared" si="306"/>
        <v/>
      </c>
      <c r="Q493" s="81" t="str">
        <f t="shared" si="309"/>
        <v/>
      </c>
      <c r="R493" s="135" t="str">
        <f t="shared" ca="1" si="310"/>
        <v/>
      </c>
      <c r="S493" s="134" t="str">
        <f t="shared" ca="1" si="311"/>
        <v/>
      </c>
      <c r="T493" s="134" t="str">
        <f ca="1">IF(S493=Dashboard!$D$12,S493,"")</f>
        <v/>
      </c>
      <c r="U493" s="134" t="str">
        <f t="shared" ca="1" si="312"/>
        <v/>
      </c>
      <c r="V493" s="83" t="str">
        <f ca="1">IF(U493="","",IFERROR((RANK(U493,$U$2:$U$2028,1)+COUNTIF($U$2:U493,U493))-1,""))</f>
        <v/>
      </c>
      <c r="W493" s="134" t="str">
        <f t="shared" si="316"/>
        <v/>
      </c>
      <c r="X493" s="134" t="str">
        <f>IF(W493="","",IFERROR((RANK(W493,$W$2:$W$2028,1)+COUNTIF($W$2:W493,W493))-1,""))</f>
        <v/>
      </c>
      <c r="Y493" s="134" t="str">
        <f t="shared" si="313"/>
        <v/>
      </c>
      <c r="Z493" s="134" t="str">
        <f>IF(Y493="","",IFERROR((RANK(Y493,$Y$2:$Y$2028,1)+COUNTIF($Y$2:Y493,Y493))-1,""))</f>
        <v/>
      </c>
      <c r="AA493" s="134" t="str">
        <f t="shared" si="314"/>
        <v/>
      </c>
      <c r="AB493" s="134" t="str">
        <f>IF(AA493="","",IFERROR((RANK(AA493,$AA$2:$AA$2028,1)+COUNTIF($AA$2:AA493,AA493))-1,""))</f>
        <v/>
      </c>
      <c r="AC493" s="134" t="str">
        <f t="shared" si="315"/>
        <v/>
      </c>
      <c r="AD493" s="134" t="str">
        <f>IF(AC493="","",IFERROR((RANK(AC493,$AC$2:$AC$2028,1)+COUNTIF($AC$2:AC493,AC493))-1,""))</f>
        <v/>
      </c>
      <c r="AE493" s="144" t="str">
        <f t="shared" si="307"/>
        <v/>
      </c>
      <c r="AF493" s="144" t="str">
        <f>IF(AE493="","",SUM($AE$2:AE493))</f>
        <v/>
      </c>
    </row>
    <row r="494" spans="14:32" x14ac:dyDescent="0.35">
      <c r="N494" s="134" t="str">
        <f t="shared" si="305"/>
        <v/>
      </c>
      <c r="O494" s="82" t="str">
        <f t="shared" si="308"/>
        <v/>
      </c>
      <c r="P494" s="81" t="str">
        <f t="shared" si="306"/>
        <v/>
      </c>
      <c r="Q494" s="81" t="str">
        <f t="shared" si="309"/>
        <v/>
      </c>
      <c r="R494" s="135" t="str">
        <f t="shared" ca="1" si="310"/>
        <v/>
      </c>
      <c r="S494" s="134" t="str">
        <f t="shared" ca="1" si="311"/>
        <v/>
      </c>
      <c r="T494" s="134" t="str">
        <f ca="1">IF(S494=Dashboard!$D$12,S494,"")</f>
        <v/>
      </c>
      <c r="U494" s="134" t="str">
        <f t="shared" ca="1" si="312"/>
        <v/>
      </c>
      <c r="V494" s="83" t="str">
        <f ca="1">IF(U494="","",IFERROR((RANK(U494,$U$2:$U$2028,1)+COUNTIF($U$2:U494,U494))-1,""))</f>
        <v/>
      </c>
      <c r="W494" s="134" t="str">
        <f t="shared" si="316"/>
        <v/>
      </c>
      <c r="X494" s="134" t="str">
        <f>IF(W494="","",IFERROR((RANK(W494,$W$2:$W$2028,1)+COUNTIF($W$2:W494,W494))-1,""))</f>
        <v/>
      </c>
      <c r="Y494" s="134" t="str">
        <f t="shared" si="313"/>
        <v/>
      </c>
      <c r="Z494" s="134" t="str">
        <f>IF(Y494="","",IFERROR((RANK(Y494,$Y$2:$Y$2028,1)+COUNTIF($Y$2:Y494,Y494))-1,""))</f>
        <v/>
      </c>
      <c r="AA494" s="134" t="str">
        <f t="shared" si="314"/>
        <v/>
      </c>
      <c r="AB494" s="134" t="str">
        <f>IF(AA494="","",IFERROR((RANK(AA494,$AA$2:$AA$2028,1)+COUNTIF($AA$2:AA494,AA494))-1,""))</f>
        <v/>
      </c>
      <c r="AC494" s="134" t="str">
        <f t="shared" si="315"/>
        <v/>
      </c>
      <c r="AD494" s="134" t="str">
        <f>IF(AC494="","",IFERROR((RANK(AC494,$AC$2:$AC$2028,1)+COUNTIF($AC$2:AC494,AC494))-1,""))</f>
        <v/>
      </c>
      <c r="AE494" s="144" t="str">
        <f t="shared" si="307"/>
        <v/>
      </c>
      <c r="AF494" s="144" t="str">
        <f>IF(AE494="","",SUM($AE$2:AE494))</f>
        <v/>
      </c>
    </row>
    <row r="495" spans="14:32" x14ac:dyDescent="0.35">
      <c r="N495" s="134" t="str">
        <f t="shared" si="305"/>
        <v/>
      </c>
      <c r="O495" s="82" t="str">
        <f t="shared" si="308"/>
        <v/>
      </c>
      <c r="P495" s="81" t="str">
        <f t="shared" si="306"/>
        <v/>
      </c>
      <c r="Q495" s="81" t="str">
        <f t="shared" si="309"/>
        <v/>
      </c>
      <c r="R495" s="135" t="str">
        <f t="shared" ca="1" si="310"/>
        <v/>
      </c>
      <c r="S495" s="134" t="str">
        <f t="shared" ca="1" si="311"/>
        <v/>
      </c>
      <c r="T495" s="134" t="str">
        <f ca="1">IF(S495=Dashboard!$D$12,S495,"")</f>
        <v/>
      </c>
      <c r="U495" s="134" t="str">
        <f t="shared" ca="1" si="312"/>
        <v/>
      </c>
      <c r="V495" s="83" t="str">
        <f ca="1">IF(U495="","",IFERROR((RANK(U495,$U$2:$U$2028,1)+COUNTIF($U$2:U495,U495))-1,""))</f>
        <v/>
      </c>
      <c r="W495" s="134" t="str">
        <f t="shared" si="316"/>
        <v/>
      </c>
      <c r="X495" s="134" t="str">
        <f>IF(W495="","",IFERROR((RANK(W495,$W$2:$W$2028,1)+COUNTIF($W$2:W495,W495))-1,""))</f>
        <v/>
      </c>
      <c r="Y495" s="134" t="str">
        <f t="shared" si="313"/>
        <v/>
      </c>
      <c r="Z495" s="134" t="str">
        <f>IF(Y495="","",IFERROR((RANK(Y495,$Y$2:$Y$2028,1)+COUNTIF($Y$2:Y495,Y495))-1,""))</f>
        <v/>
      </c>
      <c r="AA495" s="134" t="str">
        <f t="shared" si="314"/>
        <v/>
      </c>
      <c r="AB495" s="134" t="str">
        <f>IF(AA495="","",IFERROR((RANK(AA495,$AA$2:$AA$2028,1)+COUNTIF($AA$2:AA495,AA495))-1,""))</f>
        <v/>
      </c>
      <c r="AC495" s="134" t="str">
        <f t="shared" si="315"/>
        <v/>
      </c>
      <c r="AD495" s="134" t="str">
        <f>IF(AC495="","",IFERROR((RANK(AC495,$AC$2:$AC$2028,1)+COUNTIF($AC$2:AC495,AC495))-1,""))</f>
        <v/>
      </c>
      <c r="AE495" s="144" t="str">
        <f t="shared" si="307"/>
        <v/>
      </c>
      <c r="AF495" s="144" t="str">
        <f>IF(AE495="","",SUM($AE$2:AE495))</f>
        <v/>
      </c>
    </row>
    <row r="496" spans="14:32" x14ac:dyDescent="0.35">
      <c r="N496" s="134" t="str">
        <f t="shared" si="305"/>
        <v/>
      </c>
      <c r="O496" s="82" t="str">
        <f t="shared" si="308"/>
        <v/>
      </c>
      <c r="P496" s="81" t="str">
        <f t="shared" si="306"/>
        <v/>
      </c>
      <c r="Q496" s="81" t="str">
        <f t="shared" si="309"/>
        <v/>
      </c>
      <c r="R496" s="135" t="str">
        <f t="shared" ca="1" si="310"/>
        <v/>
      </c>
      <c r="S496" s="134" t="str">
        <f t="shared" ca="1" si="311"/>
        <v/>
      </c>
      <c r="T496" s="134" t="str">
        <f ca="1">IF(S496=Dashboard!$D$12,S496,"")</f>
        <v/>
      </c>
      <c r="U496" s="134" t="str">
        <f t="shared" ca="1" si="312"/>
        <v/>
      </c>
      <c r="V496" s="83" t="str">
        <f ca="1">IF(U496="","",IFERROR((RANK(U496,$U$2:$U$2028,1)+COUNTIF($U$2:U496,U496))-1,""))</f>
        <v/>
      </c>
      <c r="W496" s="134" t="str">
        <f t="shared" si="316"/>
        <v/>
      </c>
      <c r="X496" s="134" t="str">
        <f>IF(W496="","",IFERROR((RANK(W496,$W$2:$W$2028,1)+COUNTIF($W$2:W496,W496))-1,""))</f>
        <v/>
      </c>
      <c r="Y496" s="134" t="str">
        <f t="shared" si="313"/>
        <v/>
      </c>
      <c r="Z496" s="134" t="str">
        <f>IF(Y496="","",IFERROR((RANK(Y496,$Y$2:$Y$2028,1)+COUNTIF($Y$2:Y496,Y496))-1,""))</f>
        <v/>
      </c>
      <c r="AA496" s="134" t="str">
        <f t="shared" si="314"/>
        <v/>
      </c>
      <c r="AB496" s="134" t="str">
        <f>IF(AA496="","",IFERROR((RANK(AA496,$AA$2:$AA$2028,1)+COUNTIF($AA$2:AA496,AA496))-1,""))</f>
        <v/>
      </c>
      <c r="AC496" s="134" t="str">
        <f t="shared" si="315"/>
        <v/>
      </c>
      <c r="AD496" s="134" t="str">
        <f>IF(AC496="","",IFERROR((RANK(AC496,$AC$2:$AC$2028,1)+COUNTIF($AC$2:AC496,AC496))-1,""))</f>
        <v/>
      </c>
      <c r="AE496" s="144" t="str">
        <f t="shared" si="307"/>
        <v/>
      </c>
      <c r="AF496" s="144" t="str">
        <f>IF(AE496="","",SUM($AE$2:AE496))</f>
        <v/>
      </c>
    </row>
    <row r="497" spans="14:32" x14ac:dyDescent="0.35">
      <c r="N497" s="134" t="str">
        <f t="shared" si="305"/>
        <v/>
      </c>
      <c r="O497" s="82" t="str">
        <f t="shared" si="308"/>
        <v/>
      </c>
      <c r="P497" s="81" t="str">
        <f t="shared" si="306"/>
        <v/>
      </c>
      <c r="Q497" s="81" t="str">
        <f t="shared" si="309"/>
        <v/>
      </c>
      <c r="R497" s="135" t="str">
        <f t="shared" ca="1" si="310"/>
        <v/>
      </c>
      <c r="S497" s="134" t="str">
        <f t="shared" ca="1" si="311"/>
        <v/>
      </c>
      <c r="T497" s="134" t="str">
        <f ca="1">IF(S497=Dashboard!$D$12,S497,"")</f>
        <v/>
      </c>
      <c r="U497" s="134" t="str">
        <f t="shared" ca="1" si="312"/>
        <v/>
      </c>
      <c r="V497" s="83" t="str">
        <f ca="1">IF(U497="","",IFERROR((RANK(U497,$U$2:$U$2028,1)+COUNTIF($U$2:U497,U497))-1,""))</f>
        <v/>
      </c>
      <c r="W497" s="134" t="str">
        <f t="shared" si="316"/>
        <v/>
      </c>
      <c r="X497" s="134" t="str">
        <f>IF(W497="","",IFERROR((RANK(W497,$W$2:$W$2028,1)+COUNTIF($W$2:W497,W497))-1,""))</f>
        <v/>
      </c>
      <c r="Y497" s="134" t="str">
        <f t="shared" si="313"/>
        <v/>
      </c>
      <c r="Z497" s="134" t="str">
        <f>IF(Y497="","",IFERROR((RANK(Y497,$Y$2:$Y$2028,1)+COUNTIF($Y$2:Y497,Y497))-1,""))</f>
        <v/>
      </c>
      <c r="AA497" s="134" t="str">
        <f t="shared" si="314"/>
        <v/>
      </c>
      <c r="AB497" s="134" t="str">
        <f>IF(AA497="","",IFERROR((RANK(AA497,$AA$2:$AA$2028,1)+COUNTIF($AA$2:AA497,AA497))-1,""))</f>
        <v/>
      </c>
      <c r="AC497" s="134" t="str">
        <f t="shared" si="315"/>
        <v/>
      </c>
      <c r="AD497" s="134" t="str">
        <f>IF(AC497="","",IFERROR((RANK(AC497,$AC$2:$AC$2028,1)+COUNTIF($AC$2:AC497,AC497))-1,""))</f>
        <v/>
      </c>
      <c r="AE497" s="144" t="str">
        <f t="shared" si="307"/>
        <v/>
      </c>
      <c r="AF497" s="144" t="str">
        <f>IF(AE497="","",SUM($AE$2:AE497))</f>
        <v/>
      </c>
    </row>
    <row r="498" spans="14:32" x14ac:dyDescent="0.35">
      <c r="N498" s="134" t="str">
        <f t="shared" si="305"/>
        <v/>
      </c>
      <c r="O498" s="82" t="str">
        <f t="shared" si="308"/>
        <v/>
      </c>
      <c r="P498" s="81" t="str">
        <f t="shared" si="306"/>
        <v/>
      </c>
      <c r="Q498" s="81" t="str">
        <f t="shared" si="309"/>
        <v/>
      </c>
      <c r="R498" s="135" t="str">
        <f t="shared" ca="1" si="310"/>
        <v/>
      </c>
      <c r="S498" s="134" t="str">
        <f t="shared" ca="1" si="311"/>
        <v/>
      </c>
      <c r="T498" s="134" t="str">
        <f ca="1">IF(S498=Dashboard!$D$12,S498,"")</f>
        <v/>
      </c>
      <c r="U498" s="134" t="str">
        <f t="shared" ca="1" si="312"/>
        <v/>
      </c>
      <c r="V498" s="83" t="str">
        <f ca="1">IF(U498="","",IFERROR((RANK(U498,$U$2:$U$2028,1)+COUNTIF($U$2:U498,U498))-1,""))</f>
        <v/>
      </c>
      <c r="W498" s="134" t="str">
        <f t="shared" si="316"/>
        <v/>
      </c>
      <c r="X498" s="134" t="str">
        <f>IF(W498="","",IFERROR((RANK(W498,$W$2:$W$2028,1)+COUNTIF($W$2:W498,W498))-1,""))</f>
        <v/>
      </c>
      <c r="Y498" s="134" t="str">
        <f t="shared" si="313"/>
        <v/>
      </c>
      <c r="Z498" s="134" t="str">
        <f>IF(Y498="","",IFERROR((RANK(Y498,$Y$2:$Y$2028,1)+COUNTIF($Y$2:Y498,Y498))-1,""))</f>
        <v/>
      </c>
      <c r="AA498" s="134" t="str">
        <f t="shared" si="314"/>
        <v/>
      </c>
      <c r="AB498" s="134" t="str">
        <f>IF(AA498="","",IFERROR((RANK(AA498,$AA$2:$AA$2028,1)+COUNTIF($AA$2:AA498,AA498))-1,""))</f>
        <v/>
      </c>
      <c r="AC498" s="134" t="str">
        <f t="shared" si="315"/>
        <v/>
      </c>
      <c r="AD498" s="134" t="str">
        <f>IF(AC498="","",IFERROR((RANK(AC498,$AC$2:$AC$2028,1)+COUNTIF($AC$2:AC498,AC498))-1,""))</f>
        <v/>
      </c>
      <c r="AE498" s="144" t="str">
        <f t="shared" si="307"/>
        <v/>
      </c>
      <c r="AF498" s="144" t="str">
        <f>IF(AE498="","",SUM($AE$2:AE498))</f>
        <v/>
      </c>
    </row>
    <row r="499" spans="14:32" x14ac:dyDescent="0.35">
      <c r="N499" s="134" t="str">
        <f t="shared" si="305"/>
        <v/>
      </c>
      <c r="O499" s="82" t="str">
        <f t="shared" si="308"/>
        <v/>
      </c>
      <c r="P499" s="81" t="str">
        <f t="shared" si="306"/>
        <v/>
      </c>
      <c r="Q499" s="81" t="str">
        <f t="shared" si="309"/>
        <v/>
      </c>
      <c r="R499" s="135" t="str">
        <f t="shared" ca="1" si="310"/>
        <v/>
      </c>
      <c r="S499" s="134" t="str">
        <f t="shared" ca="1" si="311"/>
        <v/>
      </c>
      <c r="T499" s="134" t="str">
        <f ca="1">IF(S499=Dashboard!$D$12,S499,"")</f>
        <v/>
      </c>
      <c r="U499" s="134" t="str">
        <f t="shared" ca="1" si="312"/>
        <v/>
      </c>
      <c r="V499" s="83" t="str">
        <f ca="1">IF(U499="","",IFERROR((RANK(U499,$U$2:$U$2028,1)+COUNTIF($U$2:U499,U499))-1,""))</f>
        <v/>
      </c>
      <c r="W499" s="134" t="str">
        <f t="shared" si="316"/>
        <v/>
      </c>
      <c r="X499" s="134" t="str">
        <f>IF(W499="","",IFERROR((RANK(W499,$W$2:$W$2028,1)+COUNTIF($W$2:W499,W499))-1,""))</f>
        <v/>
      </c>
      <c r="Y499" s="134" t="str">
        <f t="shared" si="313"/>
        <v/>
      </c>
      <c r="Z499" s="134" t="str">
        <f>IF(Y499="","",IFERROR((RANK(Y499,$Y$2:$Y$2028,1)+COUNTIF($Y$2:Y499,Y499))-1,""))</f>
        <v/>
      </c>
      <c r="AA499" s="134" t="str">
        <f t="shared" si="314"/>
        <v/>
      </c>
      <c r="AB499" s="134" t="str">
        <f>IF(AA499="","",IFERROR((RANK(AA499,$AA$2:$AA$2028,1)+COUNTIF($AA$2:AA499,AA499))-1,""))</f>
        <v/>
      </c>
      <c r="AC499" s="134" t="str">
        <f t="shared" si="315"/>
        <v/>
      </c>
      <c r="AD499" s="134" t="str">
        <f>IF(AC499="","",IFERROR((RANK(AC499,$AC$2:$AC$2028,1)+COUNTIF($AC$2:AC499,AC499))-1,""))</f>
        <v/>
      </c>
      <c r="AE499" s="144" t="str">
        <f t="shared" si="307"/>
        <v/>
      </c>
      <c r="AF499" s="144" t="str">
        <f>IF(AE499="","",SUM($AE$2:AE499))</f>
        <v/>
      </c>
    </row>
    <row r="500" spans="14:32" x14ac:dyDescent="0.35">
      <c r="N500" s="134" t="str">
        <f t="shared" si="305"/>
        <v/>
      </c>
      <c r="O500" s="82" t="str">
        <f t="shared" si="308"/>
        <v/>
      </c>
      <c r="P500" s="81" t="str">
        <f t="shared" si="306"/>
        <v/>
      </c>
      <c r="Q500" s="81" t="str">
        <f t="shared" si="309"/>
        <v/>
      </c>
      <c r="R500" s="135" t="str">
        <f t="shared" ca="1" si="310"/>
        <v/>
      </c>
      <c r="S500" s="134" t="str">
        <f t="shared" ca="1" si="311"/>
        <v/>
      </c>
      <c r="T500" s="134" t="str">
        <f ca="1">IF(S500=Dashboard!$D$12,S500,"")</f>
        <v/>
      </c>
      <c r="U500" s="134" t="str">
        <f t="shared" ca="1" si="312"/>
        <v/>
      </c>
      <c r="V500" s="83" t="str">
        <f ca="1">IF(U500="","",IFERROR((RANK(U500,$U$2:$U$2028,1)+COUNTIF($U$2:U500,U500))-1,""))</f>
        <v/>
      </c>
      <c r="W500" s="134" t="str">
        <f t="shared" si="316"/>
        <v/>
      </c>
      <c r="X500" s="134" t="str">
        <f>IF(W500="","",IFERROR((RANK(W500,$W$2:$W$2028,1)+COUNTIF($W$2:W500,W500))-1,""))</f>
        <v/>
      </c>
      <c r="Y500" s="134" t="str">
        <f t="shared" si="313"/>
        <v/>
      </c>
      <c r="Z500" s="134" t="str">
        <f>IF(Y500="","",IFERROR((RANK(Y500,$Y$2:$Y$2028,1)+COUNTIF($Y$2:Y500,Y500))-1,""))</f>
        <v/>
      </c>
      <c r="AA500" s="134" t="str">
        <f t="shared" si="314"/>
        <v/>
      </c>
      <c r="AB500" s="134" t="str">
        <f>IF(AA500="","",IFERROR((RANK(AA500,$AA$2:$AA$2028,1)+COUNTIF($AA$2:AA500,AA500))-1,""))</f>
        <v/>
      </c>
      <c r="AC500" s="134" t="str">
        <f t="shared" si="315"/>
        <v/>
      </c>
      <c r="AD500" s="134" t="str">
        <f>IF(AC500="","",IFERROR((RANK(AC500,$AC$2:$AC$2028,1)+COUNTIF($AC$2:AC500,AC500))-1,""))</f>
        <v/>
      </c>
      <c r="AE500" s="144" t="str">
        <f t="shared" si="307"/>
        <v/>
      </c>
      <c r="AF500" s="144" t="str">
        <f>IF(AE500="","",SUM($AE$2:AE500))</f>
        <v/>
      </c>
    </row>
    <row r="501" spans="14:32" x14ac:dyDescent="0.35">
      <c r="N501" s="134" t="str">
        <f t="shared" si="305"/>
        <v/>
      </c>
      <c r="O501" s="82" t="str">
        <f t="shared" si="308"/>
        <v/>
      </c>
      <c r="P501" s="81" t="str">
        <f t="shared" si="306"/>
        <v/>
      </c>
      <c r="Q501" s="81" t="str">
        <f t="shared" si="309"/>
        <v/>
      </c>
      <c r="R501" s="135" t="str">
        <f t="shared" ca="1" si="310"/>
        <v/>
      </c>
      <c r="S501" s="134" t="str">
        <f t="shared" ca="1" si="311"/>
        <v/>
      </c>
      <c r="T501" s="134" t="str">
        <f ca="1">IF(S501=Dashboard!$D$12,S501,"")</f>
        <v/>
      </c>
      <c r="U501" s="134" t="str">
        <f t="shared" ca="1" si="312"/>
        <v/>
      </c>
      <c r="V501" s="83" t="str">
        <f ca="1">IF(U501="","",IFERROR((RANK(U501,$U$2:$U$2028,1)+COUNTIF($U$2:U501,U501))-1,""))</f>
        <v/>
      </c>
      <c r="W501" s="134" t="str">
        <f t="shared" si="316"/>
        <v/>
      </c>
      <c r="X501" s="134" t="str">
        <f>IF(W501="","",IFERROR((RANK(W501,$W$2:$W$2028,1)+COUNTIF($W$2:W501,W501))-1,""))</f>
        <v/>
      </c>
      <c r="Y501" s="134" t="str">
        <f t="shared" si="313"/>
        <v/>
      </c>
      <c r="Z501" s="134" t="str">
        <f>IF(Y501="","",IFERROR((RANK(Y501,$Y$2:$Y$2028,1)+COUNTIF($Y$2:Y501,Y501))-1,""))</f>
        <v/>
      </c>
      <c r="AA501" s="134" t="str">
        <f t="shared" si="314"/>
        <v/>
      </c>
      <c r="AB501" s="134" t="str">
        <f>IF(AA501="","",IFERROR((RANK(AA501,$AA$2:$AA$2028,1)+COUNTIF($AA$2:AA501,AA501))-1,""))</f>
        <v/>
      </c>
      <c r="AC501" s="134" t="str">
        <f t="shared" si="315"/>
        <v/>
      </c>
      <c r="AD501" s="134" t="str">
        <f>IF(AC501="","",IFERROR((RANK(AC501,$AC$2:$AC$2028,1)+COUNTIF($AC$2:AC501,AC501))-1,""))</f>
        <v/>
      </c>
      <c r="AE501" s="144" t="str">
        <f t="shared" si="307"/>
        <v/>
      </c>
      <c r="AF501" s="144" t="str">
        <f>IF(AE501="","",SUM($AE$2:AE501))</f>
        <v/>
      </c>
    </row>
    <row r="502" spans="14:32" x14ac:dyDescent="0.35">
      <c r="N502" s="134" t="str">
        <f t="shared" si="305"/>
        <v/>
      </c>
      <c r="O502" s="82" t="str">
        <f t="shared" si="308"/>
        <v/>
      </c>
      <c r="P502" s="81" t="str">
        <f t="shared" si="306"/>
        <v/>
      </c>
      <c r="Q502" s="81" t="str">
        <f t="shared" si="309"/>
        <v/>
      </c>
      <c r="R502" s="135" t="str">
        <f t="shared" ca="1" si="310"/>
        <v/>
      </c>
      <c r="S502" s="134" t="str">
        <f t="shared" ca="1" si="311"/>
        <v/>
      </c>
      <c r="T502" s="134" t="str">
        <f ca="1">IF(S502=Dashboard!$D$12,S502,"")</f>
        <v/>
      </c>
      <c r="U502" s="134" t="str">
        <f t="shared" ca="1" si="312"/>
        <v/>
      </c>
      <c r="V502" s="83" t="str">
        <f ca="1">IF(U502="","",IFERROR((RANK(U502,$U$2:$U$2028,1)+COUNTIF($U$2:U502,U502))-1,""))</f>
        <v/>
      </c>
      <c r="W502" s="134" t="str">
        <f t="shared" si="316"/>
        <v/>
      </c>
      <c r="X502" s="134" t="str">
        <f>IF(W502="","",IFERROR((RANK(W502,$W$2:$W$2028,1)+COUNTIF($W$2:W502,W502))-1,""))</f>
        <v/>
      </c>
      <c r="Y502" s="134" t="str">
        <f t="shared" si="313"/>
        <v/>
      </c>
      <c r="Z502" s="134" t="str">
        <f>IF(Y502="","",IFERROR((RANK(Y502,$Y$2:$Y$2028,1)+COUNTIF($Y$2:Y502,Y502))-1,""))</f>
        <v/>
      </c>
      <c r="AA502" s="134" t="str">
        <f t="shared" si="314"/>
        <v/>
      </c>
      <c r="AB502" s="134" t="str">
        <f>IF(AA502="","",IFERROR((RANK(AA502,$AA$2:$AA$2028,1)+COUNTIF($AA$2:AA502,AA502))-1,""))</f>
        <v/>
      </c>
      <c r="AC502" s="134" t="str">
        <f t="shared" si="315"/>
        <v/>
      </c>
      <c r="AD502" s="134" t="str">
        <f>IF(AC502="","",IFERROR((RANK(AC502,$AC$2:$AC$2028,1)+COUNTIF($AC$2:AC502,AC502))-1,""))</f>
        <v/>
      </c>
      <c r="AE502" s="144" t="str">
        <f t="shared" si="307"/>
        <v/>
      </c>
      <c r="AF502" s="144" t="str">
        <f>IF(AE502="","",SUM($AE$2:AE502))</f>
        <v/>
      </c>
    </row>
    <row r="503" spans="14:32" x14ac:dyDescent="0.35">
      <c r="N503" s="134" t="str">
        <f t="shared" si="305"/>
        <v/>
      </c>
      <c r="O503" s="82" t="str">
        <f t="shared" si="308"/>
        <v/>
      </c>
      <c r="P503" s="81" t="str">
        <f t="shared" si="306"/>
        <v/>
      </c>
      <c r="Q503" s="81" t="str">
        <f t="shared" si="309"/>
        <v/>
      </c>
      <c r="R503" s="135" t="str">
        <f t="shared" ca="1" si="310"/>
        <v/>
      </c>
      <c r="S503" s="134" t="str">
        <f t="shared" ca="1" si="311"/>
        <v/>
      </c>
      <c r="T503" s="134" t="str">
        <f ca="1">IF(S503=Dashboard!$D$12,S503,"")</f>
        <v/>
      </c>
      <c r="U503" s="134" t="str">
        <f t="shared" ca="1" si="312"/>
        <v/>
      </c>
      <c r="V503" s="83" t="str">
        <f ca="1">IF(U503="","",IFERROR((RANK(U503,$U$2:$U$2028,1)+COUNTIF($U$2:U503,U503))-1,""))</f>
        <v/>
      </c>
      <c r="W503" s="134" t="str">
        <f t="shared" si="316"/>
        <v/>
      </c>
      <c r="X503" s="134" t="str">
        <f>IF(W503="","",IFERROR((RANK(W503,$W$2:$W$2028,1)+COUNTIF($W$2:W503,W503))-1,""))</f>
        <v/>
      </c>
      <c r="Y503" s="134" t="str">
        <f t="shared" si="313"/>
        <v/>
      </c>
      <c r="Z503" s="134" t="str">
        <f>IF(Y503="","",IFERROR((RANK(Y503,$Y$2:$Y$2028,1)+COUNTIF($Y$2:Y503,Y503))-1,""))</f>
        <v/>
      </c>
      <c r="AA503" s="134" t="str">
        <f t="shared" si="314"/>
        <v/>
      </c>
      <c r="AB503" s="134" t="str">
        <f>IF(AA503="","",IFERROR((RANK(AA503,$AA$2:$AA$2028,1)+COUNTIF($AA$2:AA503,AA503))-1,""))</f>
        <v/>
      </c>
      <c r="AC503" s="134" t="str">
        <f t="shared" si="315"/>
        <v/>
      </c>
      <c r="AD503" s="134" t="str">
        <f>IF(AC503="","",IFERROR((RANK(AC503,$AC$2:$AC$2028,1)+COUNTIF($AC$2:AC503,AC503))-1,""))</f>
        <v/>
      </c>
      <c r="AE503" s="144" t="str">
        <f t="shared" si="307"/>
        <v/>
      </c>
      <c r="AF503" s="144" t="str">
        <f>IF(AE503="","",SUM($AE$2:AE503))</f>
        <v/>
      </c>
    </row>
    <row r="504" spans="14:32" x14ac:dyDescent="0.35">
      <c r="N504" s="134" t="str">
        <f t="shared" si="305"/>
        <v/>
      </c>
      <c r="O504" s="82" t="str">
        <f t="shared" si="308"/>
        <v/>
      </c>
      <c r="P504" s="81" t="str">
        <f t="shared" si="306"/>
        <v/>
      </c>
      <c r="Q504" s="81" t="str">
        <f t="shared" si="309"/>
        <v/>
      </c>
      <c r="R504" s="135" t="str">
        <f t="shared" ca="1" si="310"/>
        <v/>
      </c>
      <c r="S504" s="134" t="str">
        <f t="shared" ca="1" si="311"/>
        <v/>
      </c>
      <c r="T504" s="134" t="str">
        <f ca="1">IF(S504=Dashboard!$D$12,S504,"")</f>
        <v/>
      </c>
      <c r="U504" s="134" t="str">
        <f t="shared" ca="1" si="312"/>
        <v/>
      </c>
      <c r="V504" s="83" t="str">
        <f ca="1">IF(U504="","",IFERROR((RANK(U504,$U$2:$U$2028,1)+COUNTIF($U$2:U504,U504))-1,""))</f>
        <v/>
      </c>
      <c r="W504" s="134" t="str">
        <f t="shared" si="316"/>
        <v/>
      </c>
      <c r="X504" s="134" t="str">
        <f>IF(W504="","",IFERROR((RANK(W504,$W$2:$W$2028,1)+COUNTIF($W$2:W504,W504))-1,""))</f>
        <v/>
      </c>
      <c r="Y504" s="134" t="str">
        <f t="shared" si="313"/>
        <v/>
      </c>
      <c r="Z504" s="134" t="str">
        <f>IF(Y504="","",IFERROR((RANK(Y504,$Y$2:$Y$2028,1)+COUNTIF($Y$2:Y504,Y504))-1,""))</f>
        <v/>
      </c>
      <c r="AA504" s="134" t="str">
        <f t="shared" si="314"/>
        <v/>
      </c>
      <c r="AB504" s="134" t="str">
        <f>IF(AA504="","",IFERROR((RANK(AA504,$AA$2:$AA$2028,1)+COUNTIF($AA$2:AA504,AA504))-1,""))</f>
        <v/>
      </c>
      <c r="AC504" s="134" t="str">
        <f t="shared" si="315"/>
        <v/>
      </c>
      <c r="AD504" s="134" t="str">
        <f>IF(AC504="","",IFERROR((RANK(AC504,$AC$2:$AC$2028,1)+COUNTIF($AC$2:AC504,AC504))-1,""))</f>
        <v/>
      </c>
      <c r="AE504" s="144" t="str">
        <f t="shared" si="307"/>
        <v/>
      </c>
      <c r="AF504" s="144" t="str">
        <f>IF(AE504="","",SUM($AE$2:AE504))</f>
        <v/>
      </c>
    </row>
    <row r="505" spans="14:32" x14ac:dyDescent="0.35">
      <c r="N505" s="134" t="str">
        <f t="shared" si="305"/>
        <v/>
      </c>
      <c r="O505" s="82" t="str">
        <f t="shared" si="308"/>
        <v/>
      </c>
      <c r="P505" s="81" t="str">
        <f t="shared" si="306"/>
        <v/>
      </c>
      <c r="Q505" s="81" t="str">
        <f t="shared" si="309"/>
        <v/>
      </c>
      <c r="R505" s="135" t="str">
        <f t="shared" ca="1" si="310"/>
        <v/>
      </c>
      <c r="S505" s="134" t="str">
        <f t="shared" ca="1" si="311"/>
        <v/>
      </c>
      <c r="T505" s="134" t="str">
        <f ca="1">IF(S505=Dashboard!$D$12,S505,"")</f>
        <v/>
      </c>
      <c r="U505" s="134" t="str">
        <f t="shared" ca="1" si="312"/>
        <v/>
      </c>
      <c r="V505" s="83" t="str">
        <f ca="1">IF(U505="","",IFERROR((RANK(U505,$U$2:$U$2028,1)+COUNTIF($U$2:U505,U505))-1,""))</f>
        <v/>
      </c>
      <c r="W505" s="134" t="str">
        <f t="shared" si="316"/>
        <v/>
      </c>
      <c r="X505" s="134" t="str">
        <f>IF(W505="","",IFERROR((RANK(W505,$W$2:$W$2028,1)+COUNTIF($W$2:W505,W505))-1,""))</f>
        <v/>
      </c>
      <c r="Y505" s="134" t="str">
        <f t="shared" si="313"/>
        <v/>
      </c>
      <c r="Z505" s="134" t="str">
        <f>IF(Y505="","",IFERROR((RANK(Y505,$Y$2:$Y$2028,1)+COUNTIF($Y$2:Y505,Y505))-1,""))</f>
        <v/>
      </c>
      <c r="AA505" s="134" t="str">
        <f t="shared" si="314"/>
        <v/>
      </c>
      <c r="AB505" s="134" t="str">
        <f>IF(AA505="","",IFERROR((RANK(AA505,$AA$2:$AA$2028,1)+COUNTIF($AA$2:AA505,AA505))-1,""))</f>
        <v/>
      </c>
      <c r="AC505" s="134" t="str">
        <f t="shared" si="315"/>
        <v/>
      </c>
      <c r="AD505" s="134" t="str">
        <f>IF(AC505="","",IFERROR((RANK(AC505,$AC$2:$AC$2028,1)+COUNTIF($AC$2:AC505,AC505))-1,""))</f>
        <v/>
      </c>
      <c r="AE505" s="144" t="str">
        <f t="shared" si="307"/>
        <v/>
      </c>
      <c r="AF505" s="144" t="str">
        <f>IF(AE505="","",SUM($AE$2:AE505))</f>
        <v/>
      </c>
    </row>
    <row r="506" spans="14:32" x14ac:dyDescent="0.35">
      <c r="N506" s="134" t="str">
        <f t="shared" si="305"/>
        <v/>
      </c>
      <c r="O506" s="82" t="str">
        <f t="shared" si="308"/>
        <v/>
      </c>
      <c r="P506" s="81" t="str">
        <f t="shared" si="306"/>
        <v/>
      </c>
      <c r="Q506" s="81" t="str">
        <f t="shared" si="309"/>
        <v/>
      </c>
      <c r="R506" s="135" t="str">
        <f t="shared" ca="1" si="310"/>
        <v/>
      </c>
      <c r="S506" s="134" t="str">
        <f t="shared" ca="1" si="311"/>
        <v/>
      </c>
      <c r="T506" s="134" t="str">
        <f ca="1">IF(S506=Dashboard!$D$12,S506,"")</f>
        <v/>
      </c>
      <c r="U506" s="134" t="str">
        <f t="shared" ca="1" si="312"/>
        <v/>
      </c>
      <c r="V506" s="83" t="str">
        <f ca="1">IF(U506="","",IFERROR((RANK(U506,$U$2:$U$2028,1)+COUNTIF($U$2:U506,U506))-1,""))</f>
        <v/>
      </c>
      <c r="W506" s="134" t="str">
        <f t="shared" si="316"/>
        <v/>
      </c>
      <c r="X506" s="134" t="str">
        <f>IF(W506="","",IFERROR((RANK(W506,$W$2:$W$2028,1)+COUNTIF($W$2:W506,W506))-1,""))</f>
        <v/>
      </c>
      <c r="Y506" s="134" t="str">
        <f t="shared" si="313"/>
        <v/>
      </c>
      <c r="Z506" s="134" t="str">
        <f>IF(Y506="","",IFERROR((RANK(Y506,$Y$2:$Y$2028,1)+COUNTIF($Y$2:Y506,Y506))-1,""))</f>
        <v/>
      </c>
      <c r="AA506" s="134" t="str">
        <f t="shared" si="314"/>
        <v/>
      </c>
      <c r="AB506" s="134" t="str">
        <f>IF(AA506="","",IFERROR((RANK(AA506,$AA$2:$AA$2028,1)+COUNTIF($AA$2:AA506,AA506))-1,""))</f>
        <v/>
      </c>
      <c r="AC506" s="134" t="str">
        <f t="shared" si="315"/>
        <v/>
      </c>
      <c r="AD506" s="134" t="str">
        <f>IF(AC506="","",IFERROR((RANK(AC506,$AC$2:$AC$2028,1)+COUNTIF($AC$2:AC506,AC506))-1,""))</f>
        <v/>
      </c>
      <c r="AE506" s="144" t="str">
        <f t="shared" si="307"/>
        <v/>
      </c>
      <c r="AF506" s="144" t="str">
        <f>IF(AE506="","",SUM($AE$2:AE506))</f>
        <v/>
      </c>
    </row>
    <row r="507" spans="14:32" x14ac:dyDescent="0.35">
      <c r="N507" s="134" t="str">
        <f t="shared" si="305"/>
        <v/>
      </c>
      <c r="O507" s="82" t="str">
        <f t="shared" si="308"/>
        <v/>
      </c>
      <c r="P507" s="81" t="str">
        <f t="shared" si="306"/>
        <v/>
      </c>
      <c r="Q507" s="81" t="str">
        <f t="shared" si="309"/>
        <v/>
      </c>
      <c r="R507" s="135" t="str">
        <f t="shared" ca="1" si="310"/>
        <v/>
      </c>
      <c r="S507" s="134" t="str">
        <f t="shared" ca="1" si="311"/>
        <v/>
      </c>
      <c r="T507" s="134" t="str">
        <f ca="1">IF(S507=Dashboard!$D$12,S507,"")</f>
        <v/>
      </c>
      <c r="U507" s="134" t="str">
        <f t="shared" ca="1" si="312"/>
        <v/>
      </c>
      <c r="V507" s="83" t="str">
        <f ca="1">IF(U507="","",IFERROR((RANK(U507,$U$2:$U$2028,1)+COUNTIF($U$2:U507,U507))-1,""))</f>
        <v/>
      </c>
      <c r="W507" s="134" t="str">
        <f t="shared" si="316"/>
        <v/>
      </c>
      <c r="X507" s="134" t="str">
        <f>IF(W507="","",IFERROR((RANK(W507,$W$2:$W$2028,1)+COUNTIF($W$2:W507,W507))-1,""))</f>
        <v/>
      </c>
      <c r="Y507" s="134" t="str">
        <f t="shared" si="313"/>
        <v/>
      </c>
      <c r="Z507" s="134" t="str">
        <f>IF(Y507="","",IFERROR((RANK(Y507,$Y$2:$Y$2028,1)+COUNTIF($Y$2:Y507,Y507))-1,""))</f>
        <v/>
      </c>
      <c r="AA507" s="134" t="str">
        <f t="shared" si="314"/>
        <v/>
      </c>
      <c r="AB507" s="134" t="str">
        <f>IF(AA507="","",IFERROR((RANK(AA507,$AA$2:$AA$2028,1)+COUNTIF($AA$2:AA507,AA507))-1,""))</f>
        <v/>
      </c>
      <c r="AC507" s="134" t="str">
        <f t="shared" si="315"/>
        <v/>
      </c>
      <c r="AD507" s="134" t="str">
        <f>IF(AC507="","",IFERROR((RANK(AC507,$AC$2:$AC$2028,1)+COUNTIF($AC$2:AC507,AC507))-1,""))</f>
        <v/>
      </c>
      <c r="AE507" s="144" t="str">
        <f t="shared" si="307"/>
        <v/>
      </c>
      <c r="AF507" s="144" t="str">
        <f>IF(AE507="","",SUM($AE$2:AE507))</f>
        <v/>
      </c>
    </row>
    <row r="508" spans="14:32" x14ac:dyDescent="0.35">
      <c r="N508" s="134" t="str">
        <f t="shared" si="305"/>
        <v/>
      </c>
      <c r="O508" s="82" t="str">
        <f t="shared" si="308"/>
        <v/>
      </c>
      <c r="P508" s="81" t="str">
        <f t="shared" si="306"/>
        <v/>
      </c>
      <c r="Q508" s="81" t="str">
        <f t="shared" si="309"/>
        <v/>
      </c>
      <c r="R508" s="135" t="str">
        <f t="shared" ca="1" si="310"/>
        <v/>
      </c>
      <c r="S508" s="134" t="str">
        <f t="shared" ca="1" si="311"/>
        <v/>
      </c>
      <c r="T508" s="134" t="str">
        <f ca="1">IF(S508=Dashboard!$D$12,S508,"")</f>
        <v/>
      </c>
      <c r="U508" s="134" t="str">
        <f t="shared" ca="1" si="312"/>
        <v/>
      </c>
      <c r="V508" s="83" t="str">
        <f ca="1">IF(U508="","",IFERROR((RANK(U508,$U$2:$U$2028,1)+COUNTIF($U$2:U508,U508))-1,""))</f>
        <v/>
      </c>
      <c r="W508" s="134" t="str">
        <f t="shared" si="316"/>
        <v/>
      </c>
      <c r="X508" s="134" t="str">
        <f>IF(W508="","",IFERROR((RANK(W508,$W$2:$W$2028,1)+COUNTIF($W$2:W508,W508))-1,""))</f>
        <v/>
      </c>
      <c r="Y508" s="134" t="str">
        <f t="shared" si="313"/>
        <v/>
      </c>
      <c r="Z508" s="134" t="str">
        <f>IF(Y508="","",IFERROR((RANK(Y508,$Y$2:$Y$2028,1)+COUNTIF($Y$2:Y508,Y508))-1,""))</f>
        <v/>
      </c>
      <c r="AA508" s="134" t="str">
        <f t="shared" si="314"/>
        <v/>
      </c>
      <c r="AB508" s="134" t="str">
        <f>IF(AA508="","",IFERROR((RANK(AA508,$AA$2:$AA$2028,1)+COUNTIF($AA$2:AA508,AA508))-1,""))</f>
        <v/>
      </c>
      <c r="AC508" s="134" t="str">
        <f t="shared" si="315"/>
        <v/>
      </c>
      <c r="AD508" s="134" t="str">
        <f>IF(AC508="","",IFERROR((RANK(AC508,$AC$2:$AC$2028,1)+COUNTIF($AC$2:AC508,AC508))-1,""))</f>
        <v/>
      </c>
      <c r="AE508" s="144" t="str">
        <f t="shared" si="307"/>
        <v/>
      </c>
      <c r="AF508" s="144" t="str">
        <f>IF(AE508="","",SUM($AE$2:AE508))</f>
        <v/>
      </c>
    </row>
    <row r="509" spans="14:32" x14ac:dyDescent="0.35">
      <c r="N509" s="134" t="str">
        <f t="shared" si="305"/>
        <v/>
      </c>
      <c r="O509" s="82" t="str">
        <f t="shared" si="308"/>
        <v/>
      </c>
      <c r="P509" s="81" t="str">
        <f t="shared" si="306"/>
        <v/>
      </c>
      <c r="Q509" s="81" t="str">
        <f t="shared" si="309"/>
        <v/>
      </c>
      <c r="R509" s="135" t="str">
        <f t="shared" ca="1" si="310"/>
        <v/>
      </c>
      <c r="S509" s="134" t="str">
        <f t="shared" ca="1" si="311"/>
        <v/>
      </c>
      <c r="T509" s="134" t="str">
        <f ca="1">IF(S509=Dashboard!$D$12,S509,"")</f>
        <v/>
      </c>
      <c r="U509" s="134" t="str">
        <f t="shared" ca="1" si="312"/>
        <v/>
      </c>
      <c r="V509" s="83" t="str">
        <f ca="1">IF(U509="","",IFERROR((RANK(U509,$U$2:$U$2028,1)+COUNTIF($U$2:U509,U509))-1,""))</f>
        <v/>
      </c>
      <c r="W509" s="134" t="str">
        <f t="shared" si="316"/>
        <v/>
      </c>
      <c r="X509" s="134" t="str">
        <f>IF(W509="","",IFERROR((RANK(W509,$W$2:$W$2028,1)+COUNTIF($W$2:W509,W509))-1,""))</f>
        <v/>
      </c>
      <c r="Y509" s="134" t="str">
        <f t="shared" si="313"/>
        <v/>
      </c>
      <c r="Z509" s="134" t="str">
        <f>IF(Y509="","",IFERROR((RANK(Y509,$Y$2:$Y$2028,1)+COUNTIF($Y$2:Y509,Y509))-1,""))</f>
        <v/>
      </c>
      <c r="AA509" s="134" t="str">
        <f t="shared" si="314"/>
        <v/>
      </c>
      <c r="AB509" s="134" t="str">
        <f>IF(AA509="","",IFERROR((RANK(AA509,$AA$2:$AA$2028,1)+COUNTIF($AA$2:AA509,AA509))-1,""))</f>
        <v/>
      </c>
      <c r="AC509" s="134" t="str">
        <f t="shared" si="315"/>
        <v/>
      </c>
      <c r="AD509" s="134" t="str">
        <f>IF(AC509="","",IFERROR((RANK(AC509,$AC$2:$AC$2028,1)+COUNTIF($AC$2:AC509,AC509))-1,""))</f>
        <v/>
      </c>
      <c r="AE509" s="144" t="str">
        <f t="shared" si="307"/>
        <v/>
      </c>
      <c r="AF509" s="144" t="str">
        <f>IF(AE509="","",SUM($AE$2:AE509))</f>
        <v/>
      </c>
    </row>
    <row r="510" spans="14:32" x14ac:dyDescent="0.35">
      <c r="N510" s="134" t="str">
        <f t="shared" si="305"/>
        <v/>
      </c>
      <c r="O510" s="82" t="str">
        <f t="shared" si="308"/>
        <v/>
      </c>
      <c r="P510" s="81" t="str">
        <f t="shared" si="306"/>
        <v/>
      </c>
      <c r="Q510" s="81" t="str">
        <f t="shared" si="309"/>
        <v/>
      </c>
      <c r="R510" s="135" t="str">
        <f t="shared" ca="1" si="310"/>
        <v/>
      </c>
      <c r="S510" s="134" t="str">
        <f t="shared" ca="1" si="311"/>
        <v/>
      </c>
      <c r="T510" s="134" t="str">
        <f ca="1">IF(S510=Dashboard!$D$12,S510,"")</f>
        <v/>
      </c>
      <c r="U510" s="134" t="str">
        <f t="shared" ca="1" si="312"/>
        <v/>
      </c>
      <c r="V510" s="83" t="str">
        <f ca="1">IF(U510="","",IFERROR((RANK(U510,$U$2:$U$2028,1)+COUNTIF($U$2:U510,U510))-1,""))</f>
        <v/>
      </c>
      <c r="W510" s="134" t="str">
        <f t="shared" si="316"/>
        <v/>
      </c>
      <c r="X510" s="134" t="str">
        <f>IF(W510="","",IFERROR((RANK(W510,$W$2:$W$2028,1)+COUNTIF($W$2:W510,W510))-1,""))</f>
        <v/>
      </c>
      <c r="Y510" s="134" t="str">
        <f t="shared" si="313"/>
        <v/>
      </c>
      <c r="Z510" s="134" t="str">
        <f>IF(Y510="","",IFERROR((RANK(Y510,$Y$2:$Y$2028,1)+COUNTIF($Y$2:Y510,Y510))-1,""))</f>
        <v/>
      </c>
      <c r="AA510" s="134" t="str">
        <f t="shared" si="314"/>
        <v/>
      </c>
      <c r="AB510" s="134" t="str">
        <f>IF(AA510="","",IFERROR((RANK(AA510,$AA$2:$AA$2028,1)+COUNTIF($AA$2:AA510,AA510))-1,""))</f>
        <v/>
      </c>
      <c r="AC510" s="134" t="str">
        <f t="shared" si="315"/>
        <v/>
      </c>
      <c r="AD510" s="134" t="str">
        <f>IF(AC510="","",IFERROR((RANK(AC510,$AC$2:$AC$2028,1)+COUNTIF($AC$2:AC510,AC510))-1,""))</f>
        <v/>
      </c>
      <c r="AE510" s="144" t="str">
        <f t="shared" si="307"/>
        <v/>
      </c>
      <c r="AF510" s="144" t="str">
        <f>IF(AE510="","",SUM($AE$2:AE510))</f>
        <v/>
      </c>
    </row>
    <row r="511" spans="14:32" x14ac:dyDescent="0.35">
      <c r="N511" s="134" t="str">
        <f t="shared" si="305"/>
        <v/>
      </c>
      <c r="O511" s="82" t="str">
        <f t="shared" si="308"/>
        <v/>
      </c>
      <c r="P511" s="81" t="str">
        <f t="shared" si="306"/>
        <v/>
      </c>
      <c r="Q511" s="81" t="str">
        <f t="shared" si="309"/>
        <v/>
      </c>
      <c r="R511" s="135" t="str">
        <f t="shared" ca="1" si="310"/>
        <v/>
      </c>
      <c r="S511" s="134" t="str">
        <f t="shared" ca="1" si="311"/>
        <v/>
      </c>
      <c r="T511" s="134" t="str">
        <f ca="1">IF(S511=Dashboard!$D$12,S511,"")</f>
        <v/>
      </c>
      <c r="U511" s="134" t="str">
        <f t="shared" ca="1" si="312"/>
        <v/>
      </c>
      <c r="V511" s="83" t="str">
        <f ca="1">IF(U511="","",IFERROR((RANK(U511,$U$2:$U$2028,1)+COUNTIF($U$2:U511,U511))-1,""))</f>
        <v/>
      </c>
      <c r="W511" s="134" t="str">
        <f t="shared" si="316"/>
        <v/>
      </c>
      <c r="X511" s="134" t="str">
        <f>IF(W511="","",IFERROR((RANK(W511,$W$2:$W$2028,1)+COUNTIF($W$2:W511,W511))-1,""))</f>
        <v/>
      </c>
      <c r="Y511" s="134" t="str">
        <f t="shared" si="313"/>
        <v/>
      </c>
      <c r="Z511" s="134" t="str">
        <f>IF(Y511="","",IFERROR((RANK(Y511,$Y$2:$Y$2028,1)+COUNTIF($Y$2:Y511,Y511))-1,""))</f>
        <v/>
      </c>
      <c r="AA511" s="134" t="str">
        <f t="shared" si="314"/>
        <v/>
      </c>
      <c r="AB511" s="134" t="str">
        <f>IF(AA511="","",IFERROR((RANK(AA511,$AA$2:$AA$2028,1)+COUNTIF($AA$2:AA511,AA511))-1,""))</f>
        <v/>
      </c>
      <c r="AC511" s="134" t="str">
        <f t="shared" si="315"/>
        <v/>
      </c>
      <c r="AD511" s="134" t="str">
        <f>IF(AC511="","",IFERROR((RANK(AC511,$AC$2:$AC$2028,1)+COUNTIF($AC$2:AC511,AC511))-1,""))</f>
        <v/>
      </c>
      <c r="AE511" s="144" t="str">
        <f t="shared" si="307"/>
        <v/>
      </c>
      <c r="AF511" s="144" t="str">
        <f>IF(AE511="","",SUM($AE$2:AE511))</f>
        <v/>
      </c>
    </row>
    <row r="512" spans="14:32" x14ac:dyDescent="0.35">
      <c r="N512" s="134" t="str">
        <f t="shared" si="305"/>
        <v/>
      </c>
      <c r="O512" s="82" t="str">
        <f t="shared" si="308"/>
        <v/>
      </c>
      <c r="P512" s="81" t="str">
        <f t="shared" si="306"/>
        <v/>
      </c>
      <c r="Q512" s="81" t="str">
        <f t="shared" si="309"/>
        <v/>
      </c>
      <c r="R512" s="135" t="str">
        <f t="shared" ca="1" si="310"/>
        <v/>
      </c>
      <c r="S512" s="134" t="str">
        <f t="shared" ca="1" si="311"/>
        <v/>
      </c>
      <c r="T512" s="134" t="str">
        <f ca="1">IF(S512=Dashboard!$D$12,S512,"")</f>
        <v/>
      </c>
      <c r="U512" s="134" t="str">
        <f t="shared" ca="1" si="312"/>
        <v/>
      </c>
      <c r="V512" s="83" t="str">
        <f ca="1">IF(U512="","",IFERROR((RANK(U512,$U$2:$U$2028,1)+COUNTIF($U$2:U512,U512))-1,""))</f>
        <v/>
      </c>
      <c r="W512" s="134" t="str">
        <f t="shared" si="316"/>
        <v/>
      </c>
      <c r="X512" s="134" t="str">
        <f>IF(W512="","",IFERROR((RANK(W512,$W$2:$W$2028,1)+COUNTIF($W$2:W512,W512))-1,""))</f>
        <v/>
      </c>
      <c r="Y512" s="134" t="str">
        <f t="shared" si="313"/>
        <v/>
      </c>
      <c r="Z512" s="134" t="str">
        <f>IF(Y512="","",IFERROR((RANK(Y512,$Y$2:$Y$2028,1)+COUNTIF($Y$2:Y512,Y512))-1,""))</f>
        <v/>
      </c>
      <c r="AA512" s="134" t="str">
        <f t="shared" si="314"/>
        <v/>
      </c>
      <c r="AB512" s="134" t="str">
        <f>IF(AA512="","",IFERROR((RANK(AA512,$AA$2:$AA$2028,1)+COUNTIF($AA$2:AA512,AA512))-1,""))</f>
        <v/>
      </c>
      <c r="AC512" s="134" t="str">
        <f t="shared" si="315"/>
        <v/>
      </c>
      <c r="AD512" s="134" t="str">
        <f>IF(AC512="","",IFERROR((RANK(AC512,$AC$2:$AC$2028,1)+COUNTIF($AC$2:AC512,AC512))-1,""))</f>
        <v/>
      </c>
      <c r="AE512" s="144" t="str">
        <f t="shared" si="307"/>
        <v/>
      </c>
      <c r="AF512" s="144" t="str">
        <f>IF(AE512="","",SUM($AE$2:AE512))</f>
        <v/>
      </c>
    </row>
    <row r="513" spans="14:32" x14ac:dyDescent="0.35">
      <c r="N513" s="134" t="str">
        <f t="shared" si="305"/>
        <v/>
      </c>
      <c r="O513" s="82" t="str">
        <f t="shared" si="308"/>
        <v/>
      </c>
      <c r="P513" s="81" t="str">
        <f t="shared" si="306"/>
        <v/>
      </c>
      <c r="Q513" s="81" t="str">
        <f t="shared" si="309"/>
        <v/>
      </c>
      <c r="R513" s="135" t="str">
        <f t="shared" ca="1" si="310"/>
        <v/>
      </c>
      <c r="S513" s="134" t="str">
        <f t="shared" ca="1" si="311"/>
        <v/>
      </c>
      <c r="T513" s="134" t="str">
        <f ca="1">IF(S513=Dashboard!$D$12,S513,"")</f>
        <v/>
      </c>
      <c r="U513" s="134" t="str">
        <f t="shared" ca="1" si="312"/>
        <v/>
      </c>
      <c r="V513" s="83" t="str">
        <f ca="1">IF(U513="","",IFERROR((RANK(U513,$U$2:$U$2028,1)+COUNTIF($U$2:U513,U513))-1,""))</f>
        <v/>
      </c>
      <c r="W513" s="134" t="str">
        <f t="shared" si="316"/>
        <v/>
      </c>
      <c r="X513" s="134" t="str">
        <f>IF(W513="","",IFERROR((RANK(W513,$W$2:$W$2028,1)+COUNTIF($W$2:W513,W513))-1,""))</f>
        <v/>
      </c>
      <c r="Y513" s="134" t="str">
        <f t="shared" si="313"/>
        <v/>
      </c>
      <c r="Z513" s="134" t="str">
        <f>IF(Y513="","",IFERROR((RANK(Y513,$Y$2:$Y$2028,1)+COUNTIF($Y$2:Y513,Y513))-1,""))</f>
        <v/>
      </c>
      <c r="AA513" s="134" t="str">
        <f t="shared" si="314"/>
        <v/>
      </c>
      <c r="AB513" s="134" t="str">
        <f>IF(AA513="","",IFERROR((RANK(AA513,$AA$2:$AA$2028,1)+COUNTIF($AA$2:AA513,AA513))-1,""))</f>
        <v/>
      </c>
      <c r="AC513" s="134" t="str">
        <f t="shared" si="315"/>
        <v/>
      </c>
      <c r="AD513" s="134" t="str">
        <f>IF(AC513="","",IFERROR((RANK(AC513,$AC$2:$AC$2028,1)+COUNTIF($AC$2:AC513,AC513))-1,""))</f>
        <v/>
      </c>
      <c r="AE513" s="144" t="str">
        <f t="shared" si="307"/>
        <v/>
      </c>
      <c r="AF513" s="144" t="str">
        <f>IF(AE513="","",SUM($AE$2:AE513))</f>
        <v/>
      </c>
    </row>
    <row r="514" spans="14:32" x14ac:dyDescent="0.35">
      <c r="N514" s="134" t="str">
        <f t="shared" ref="N514:N577" si="317">IF(A514="","",COUNTIFS(M:M,M514,H:H,"&lt;"&amp;H514)+1)</f>
        <v/>
      </c>
      <c r="O514" s="82" t="str">
        <f t="shared" si="308"/>
        <v/>
      </c>
      <c r="P514" s="81" t="str">
        <f t="shared" ref="P514:P577" si="318">IF(A514="","",COUNTIFS(M:M,M514,H:H,"&gt;"&amp;H514)+1)</f>
        <v/>
      </c>
      <c r="Q514" s="81" t="str">
        <f t="shared" si="309"/>
        <v/>
      </c>
      <c r="R514" s="135" t="str">
        <f t="shared" ca="1" si="310"/>
        <v/>
      </c>
      <c r="S514" s="134" t="str">
        <f t="shared" ca="1" si="311"/>
        <v/>
      </c>
      <c r="T514" s="134" t="str">
        <f ca="1">IF(S514=Dashboard!$D$12,S514,"")</f>
        <v/>
      </c>
      <c r="U514" s="134" t="str">
        <f t="shared" ca="1" si="312"/>
        <v/>
      </c>
      <c r="V514" s="83" t="str">
        <f ca="1">IF(U514="","",IFERROR((RANK(U514,$U$2:$U$2028,1)+COUNTIF($U$2:U514,U514))-1,""))</f>
        <v/>
      </c>
      <c r="W514" s="134" t="str">
        <f t="shared" si="316"/>
        <v/>
      </c>
      <c r="X514" s="134" t="str">
        <f>IF(W514="","",IFERROR((RANK(W514,$W$2:$W$2028,1)+COUNTIF($W$2:W514,W514))-1,""))</f>
        <v/>
      </c>
      <c r="Y514" s="134" t="str">
        <f t="shared" si="313"/>
        <v/>
      </c>
      <c r="Z514" s="134" t="str">
        <f>IF(Y514="","",IFERROR((RANK(Y514,$Y$2:$Y$2028,1)+COUNTIF($Y$2:Y514,Y514))-1,""))</f>
        <v/>
      </c>
      <c r="AA514" s="134" t="str">
        <f t="shared" si="314"/>
        <v/>
      </c>
      <c r="AB514" s="134" t="str">
        <f>IF(AA514="","",IFERROR((RANK(AA514,$AA$2:$AA$2028,1)+COUNTIF($AA$2:AA514,AA514))-1,""))</f>
        <v/>
      </c>
      <c r="AC514" s="134" t="str">
        <f t="shared" si="315"/>
        <v/>
      </c>
      <c r="AD514" s="134" t="str">
        <f>IF(AC514="","",IFERROR((RANK(AC514,$AC$2:$AC$2028,1)+COUNTIF($AC$2:AC514,AC514))-1,""))</f>
        <v/>
      </c>
      <c r="AE514" s="144" t="str">
        <f t="shared" si="307"/>
        <v/>
      </c>
      <c r="AF514" s="144" t="str">
        <f>IF(AE514="","",SUM($AE$2:AE514))</f>
        <v/>
      </c>
    </row>
    <row r="515" spans="14:32" x14ac:dyDescent="0.35">
      <c r="N515" s="134" t="str">
        <f t="shared" si="317"/>
        <v/>
      </c>
      <c r="O515" s="82" t="str">
        <f t="shared" si="308"/>
        <v/>
      </c>
      <c r="P515" s="81" t="str">
        <f t="shared" si="318"/>
        <v/>
      </c>
      <c r="Q515" s="81" t="str">
        <f t="shared" si="309"/>
        <v/>
      </c>
      <c r="R515" s="135" t="str">
        <f t="shared" ca="1" si="310"/>
        <v/>
      </c>
      <c r="S515" s="134" t="str">
        <f t="shared" ca="1" si="311"/>
        <v/>
      </c>
      <c r="T515" s="134" t="str">
        <f ca="1">IF(S515=Dashboard!$D$12,S515,"")</f>
        <v/>
      </c>
      <c r="U515" s="134" t="str">
        <f t="shared" ca="1" si="312"/>
        <v/>
      </c>
      <c r="V515" s="83" t="str">
        <f ca="1">IF(U515="","",IFERROR((RANK(U515,$U$2:$U$2028,1)+COUNTIF($U$2:U515,U515))-1,""))</f>
        <v/>
      </c>
      <c r="W515" s="134" t="str">
        <f t="shared" si="316"/>
        <v/>
      </c>
      <c r="X515" s="134" t="str">
        <f>IF(W515="","",IFERROR((RANK(W515,$W$2:$W$2028,1)+COUNTIF($W$2:W515,W515))-1,""))</f>
        <v/>
      </c>
      <c r="Y515" s="134" t="str">
        <f t="shared" si="313"/>
        <v/>
      </c>
      <c r="Z515" s="134" t="str">
        <f>IF(Y515="","",IFERROR((RANK(Y515,$Y$2:$Y$2028,1)+COUNTIF($Y$2:Y515,Y515))-1,""))</f>
        <v/>
      </c>
      <c r="AA515" s="134" t="str">
        <f t="shared" si="314"/>
        <v/>
      </c>
      <c r="AB515" s="134" t="str">
        <f>IF(AA515="","",IFERROR((RANK(AA515,$AA$2:$AA$2028,1)+COUNTIF($AA$2:AA515,AA515))-1,""))</f>
        <v/>
      </c>
      <c r="AC515" s="134" t="str">
        <f t="shared" si="315"/>
        <v/>
      </c>
      <c r="AD515" s="134" t="str">
        <f>IF(AC515="","",IFERROR((RANK(AC515,$AC$2:$AC$2028,1)+COUNTIF($AC$2:AC515,AC515))-1,""))</f>
        <v/>
      </c>
      <c r="AE515" s="144" t="str">
        <f t="shared" si="307"/>
        <v/>
      </c>
      <c r="AF515" s="144" t="str">
        <f>IF(AE515="","",SUM($AE$2:AE515))</f>
        <v/>
      </c>
    </row>
    <row r="516" spans="14:32" x14ac:dyDescent="0.35">
      <c r="N516" s="134" t="str">
        <f t="shared" si="317"/>
        <v/>
      </c>
      <c r="O516" s="82" t="str">
        <f t="shared" si="308"/>
        <v/>
      </c>
      <c r="P516" s="81" t="str">
        <f t="shared" si="318"/>
        <v/>
      </c>
      <c r="Q516" s="81" t="str">
        <f t="shared" si="309"/>
        <v/>
      </c>
      <c r="R516" s="135" t="str">
        <f t="shared" ca="1" si="310"/>
        <v/>
      </c>
      <c r="S516" s="134" t="str">
        <f t="shared" ca="1" si="311"/>
        <v/>
      </c>
      <c r="T516" s="134" t="str">
        <f ca="1">IF(S516=Dashboard!$D$12,S516,"")</f>
        <v/>
      </c>
      <c r="U516" s="134" t="str">
        <f t="shared" ca="1" si="312"/>
        <v/>
      </c>
      <c r="V516" s="83" t="str">
        <f ca="1">IF(U516="","",IFERROR((RANK(U516,$U$2:$U$2028,1)+COUNTIF($U$2:U516,U516))-1,""))</f>
        <v/>
      </c>
      <c r="W516" s="134" t="str">
        <f t="shared" si="316"/>
        <v/>
      </c>
      <c r="X516" s="134" t="str">
        <f>IF(W516="","",IFERROR((RANK(W516,$W$2:$W$2028,1)+COUNTIF($W$2:W516,W516))-1,""))</f>
        <v/>
      </c>
      <c r="Y516" s="134" t="str">
        <f t="shared" si="313"/>
        <v/>
      </c>
      <c r="Z516" s="134" t="str">
        <f>IF(Y516="","",IFERROR((RANK(Y516,$Y$2:$Y$2028,1)+COUNTIF($Y$2:Y516,Y516))-1,""))</f>
        <v/>
      </c>
      <c r="AA516" s="134" t="str">
        <f t="shared" si="314"/>
        <v/>
      </c>
      <c r="AB516" s="134" t="str">
        <f>IF(AA516="","",IFERROR((RANK(AA516,$AA$2:$AA$2028,1)+COUNTIF($AA$2:AA516,AA516))-1,""))</f>
        <v/>
      </c>
      <c r="AC516" s="134" t="str">
        <f t="shared" si="315"/>
        <v/>
      </c>
      <c r="AD516" s="134" t="str">
        <f>IF(AC516="","",IFERROR((RANK(AC516,$AC$2:$AC$2028,1)+COUNTIF($AC$2:AC516,AC516))-1,""))</f>
        <v/>
      </c>
      <c r="AE516" s="144" t="str">
        <f t="shared" si="307"/>
        <v/>
      </c>
      <c r="AF516" s="144" t="str">
        <f>IF(AE516="","",SUM($AE$2:AE516))</f>
        <v/>
      </c>
    </row>
    <row r="517" spans="14:32" x14ac:dyDescent="0.35">
      <c r="N517" s="134" t="str">
        <f t="shared" si="317"/>
        <v/>
      </c>
      <c r="O517" s="82" t="str">
        <f t="shared" si="308"/>
        <v/>
      </c>
      <c r="P517" s="81" t="str">
        <f t="shared" si="318"/>
        <v/>
      </c>
      <c r="Q517" s="81" t="str">
        <f t="shared" si="309"/>
        <v/>
      </c>
      <c r="R517" s="135" t="str">
        <f t="shared" ca="1" si="310"/>
        <v/>
      </c>
      <c r="S517" s="134" t="str">
        <f t="shared" ca="1" si="311"/>
        <v/>
      </c>
      <c r="T517" s="134" t="str">
        <f ca="1">IF(S517=Dashboard!$D$12,S517,"")</f>
        <v/>
      </c>
      <c r="U517" s="134" t="str">
        <f t="shared" ca="1" si="312"/>
        <v/>
      </c>
      <c r="V517" s="83" t="str">
        <f ca="1">IF(U517="","",IFERROR((RANK(U517,$U$2:$U$2028,1)+COUNTIF($U$2:U517,U517))-1,""))</f>
        <v/>
      </c>
      <c r="W517" s="134" t="str">
        <f t="shared" si="316"/>
        <v/>
      </c>
      <c r="X517" s="134" t="str">
        <f>IF(W517="","",IFERROR((RANK(W517,$W$2:$W$2028,1)+COUNTIF($W$2:W517,W517))-1,""))</f>
        <v/>
      </c>
      <c r="Y517" s="134" t="str">
        <f t="shared" si="313"/>
        <v/>
      </c>
      <c r="Z517" s="134" t="str">
        <f>IF(Y517="","",IFERROR((RANK(Y517,$Y$2:$Y$2028,1)+COUNTIF($Y$2:Y517,Y517))-1,""))</f>
        <v/>
      </c>
      <c r="AA517" s="134" t="str">
        <f t="shared" si="314"/>
        <v/>
      </c>
      <c r="AB517" s="134" t="str">
        <f>IF(AA517="","",IFERROR((RANK(AA517,$AA$2:$AA$2028,1)+COUNTIF($AA$2:AA517,AA517))-1,""))</f>
        <v/>
      </c>
      <c r="AC517" s="134" t="str">
        <f t="shared" si="315"/>
        <v/>
      </c>
      <c r="AD517" s="134" t="str">
        <f>IF(AC517="","",IFERROR((RANK(AC517,$AC$2:$AC$2028,1)+COUNTIF($AC$2:AC517,AC517))-1,""))</f>
        <v/>
      </c>
      <c r="AE517" s="144" t="str">
        <f t="shared" si="307"/>
        <v/>
      </c>
      <c r="AF517" s="144" t="str">
        <f>IF(AE517="","",SUM($AE$2:AE517))</f>
        <v/>
      </c>
    </row>
    <row r="518" spans="14:32" x14ac:dyDescent="0.35">
      <c r="N518" s="134" t="str">
        <f t="shared" si="317"/>
        <v/>
      </c>
      <c r="O518" s="82" t="str">
        <f t="shared" si="308"/>
        <v/>
      </c>
      <c r="P518" s="81" t="str">
        <f t="shared" si="318"/>
        <v/>
      </c>
      <c r="Q518" s="81" t="str">
        <f t="shared" si="309"/>
        <v/>
      </c>
      <c r="R518" s="135" t="str">
        <f t="shared" ca="1" si="310"/>
        <v/>
      </c>
      <c r="S518" s="134" t="str">
        <f t="shared" ca="1" si="311"/>
        <v/>
      </c>
      <c r="T518" s="134" t="str">
        <f ca="1">IF(S518=Dashboard!$D$12,S518,"")</f>
        <v/>
      </c>
      <c r="U518" s="134" t="str">
        <f t="shared" ca="1" si="312"/>
        <v/>
      </c>
      <c r="V518" s="83" t="str">
        <f ca="1">IF(U518="","",IFERROR((RANK(U518,$U$2:$U$2028,1)+COUNTIF($U$2:U518,U518))-1,""))</f>
        <v/>
      </c>
      <c r="W518" s="134" t="str">
        <f t="shared" si="316"/>
        <v/>
      </c>
      <c r="X518" s="134" t="str">
        <f>IF(W518="","",IFERROR((RANK(W518,$W$2:$W$2028,1)+COUNTIF($W$2:W518,W518))-1,""))</f>
        <v/>
      </c>
      <c r="Y518" s="134" t="str">
        <f t="shared" si="313"/>
        <v/>
      </c>
      <c r="Z518" s="134" t="str">
        <f>IF(Y518="","",IFERROR((RANK(Y518,$Y$2:$Y$2028,1)+COUNTIF($Y$2:Y518,Y518))-1,""))</f>
        <v/>
      </c>
      <c r="AA518" s="134" t="str">
        <f t="shared" si="314"/>
        <v/>
      </c>
      <c r="AB518" s="134" t="str">
        <f>IF(AA518="","",IFERROR((RANK(AA518,$AA$2:$AA$2028,1)+COUNTIF($AA$2:AA518,AA518))-1,""))</f>
        <v/>
      </c>
      <c r="AC518" s="134" t="str">
        <f t="shared" si="315"/>
        <v/>
      </c>
      <c r="AD518" s="134" t="str">
        <f>IF(AC518="","",IFERROR((RANK(AC518,$AC$2:$AC$2028,1)+COUNTIF($AC$2:AC518,AC518))-1,""))</f>
        <v/>
      </c>
      <c r="AE518" s="144" t="str">
        <f t="shared" si="307"/>
        <v/>
      </c>
      <c r="AF518" s="144" t="str">
        <f>IF(AE518="","",SUM($AE$2:AE518))</f>
        <v/>
      </c>
    </row>
    <row r="519" spans="14:32" x14ac:dyDescent="0.35">
      <c r="N519" s="134" t="str">
        <f t="shared" si="317"/>
        <v/>
      </c>
      <c r="O519" s="82" t="str">
        <f t="shared" si="308"/>
        <v/>
      </c>
      <c r="P519" s="81" t="str">
        <f t="shared" si="318"/>
        <v/>
      </c>
      <c r="Q519" s="81" t="str">
        <f t="shared" si="309"/>
        <v/>
      </c>
      <c r="R519" s="135" t="str">
        <f t="shared" ca="1" si="310"/>
        <v/>
      </c>
      <c r="S519" s="134" t="str">
        <f t="shared" ca="1" si="311"/>
        <v/>
      </c>
      <c r="T519" s="134" t="str">
        <f ca="1">IF(S519=Dashboard!$D$12,S519,"")</f>
        <v/>
      </c>
      <c r="U519" s="134" t="str">
        <f t="shared" ca="1" si="312"/>
        <v/>
      </c>
      <c r="V519" s="83" t="str">
        <f ca="1">IF(U519="","",IFERROR((RANK(U519,$U$2:$U$2028,1)+COUNTIF($U$2:U519,U519))-1,""))</f>
        <v/>
      </c>
      <c r="W519" s="134" t="str">
        <f t="shared" si="316"/>
        <v/>
      </c>
      <c r="X519" s="134" t="str">
        <f>IF(W519="","",IFERROR((RANK(W519,$W$2:$W$2028,1)+COUNTIF($W$2:W519,W519))-1,""))</f>
        <v/>
      </c>
      <c r="Y519" s="134" t="str">
        <f t="shared" si="313"/>
        <v/>
      </c>
      <c r="Z519" s="134" t="str">
        <f>IF(Y519="","",IFERROR((RANK(Y519,$Y$2:$Y$2028,1)+COUNTIF($Y$2:Y519,Y519))-1,""))</f>
        <v/>
      </c>
      <c r="AA519" s="134" t="str">
        <f t="shared" si="314"/>
        <v/>
      </c>
      <c r="AB519" s="134" t="str">
        <f>IF(AA519="","",IFERROR((RANK(AA519,$AA$2:$AA$2028,1)+COUNTIF($AA$2:AA519,AA519))-1,""))</f>
        <v/>
      </c>
      <c r="AC519" s="134" t="str">
        <f t="shared" si="315"/>
        <v/>
      </c>
      <c r="AD519" s="134" t="str">
        <f>IF(AC519="","",IFERROR((RANK(AC519,$AC$2:$AC$2028,1)+COUNTIF($AC$2:AC519,AC519))-1,""))</f>
        <v/>
      </c>
      <c r="AE519" s="144" t="str">
        <f t="shared" ref="AE519:AE582" si="319">IF(P519=1,P519,"")</f>
        <v/>
      </c>
      <c r="AF519" s="144" t="str">
        <f>IF(AE519="","",SUM($AE$2:AE519))</f>
        <v/>
      </c>
    </row>
    <row r="520" spans="14:32" x14ac:dyDescent="0.35">
      <c r="N520" s="134" t="str">
        <f t="shared" si="317"/>
        <v/>
      </c>
      <c r="O520" s="82" t="str">
        <f t="shared" si="308"/>
        <v/>
      </c>
      <c r="P520" s="81" t="str">
        <f t="shared" si="318"/>
        <v/>
      </c>
      <c r="Q520" s="81" t="str">
        <f t="shared" si="309"/>
        <v/>
      </c>
      <c r="R520" s="135" t="str">
        <f t="shared" ca="1" si="310"/>
        <v/>
      </c>
      <c r="S520" s="134" t="str">
        <f t="shared" ca="1" si="311"/>
        <v/>
      </c>
      <c r="T520" s="134" t="str">
        <f ca="1">IF(S520=Dashboard!$D$12,S520,"")</f>
        <v/>
      </c>
      <c r="U520" s="134" t="str">
        <f t="shared" ca="1" si="312"/>
        <v/>
      </c>
      <c r="V520" s="83" t="str">
        <f ca="1">IF(U520="","",IFERROR((RANK(U520,$U$2:$U$2028,1)+COUNTIF($U$2:U520,U520))-1,""))</f>
        <v/>
      </c>
      <c r="W520" s="134" t="str">
        <f t="shared" si="316"/>
        <v/>
      </c>
      <c r="X520" s="134" t="str">
        <f>IF(W520="","",IFERROR((RANK(W520,$W$2:$W$2028,1)+COUNTIF($W$2:W520,W520))-1,""))</f>
        <v/>
      </c>
      <c r="Y520" s="134" t="str">
        <f t="shared" si="313"/>
        <v/>
      </c>
      <c r="Z520" s="134" t="str">
        <f>IF(Y520="","",IFERROR((RANK(Y520,$Y$2:$Y$2028,1)+COUNTIF($Y$2:Y520,Y520))-1,""))</f>
        <v/>
      </c>
      <c r="AA520" s="134" t="str">
        <f t="shared" si="314"/>
        <v/>
      </c>
      <c r="AB520" s="134" t="str">
        <f>IF(AA520="","",IFERROR((RANK(AA520,$AA$2:$AA$2028,1)+COUNTIF($AA$2:AA520,AA520))-1,""))</f>
        <v/>
      </c>
      <c r="AC520" s="134" t="str">
        <f t="shared" si="315"/>
        <v/>
      </c>
      <c r="AD520" s="134" t="str">
        <f>IF(AC520="","",IFERROR((RANK(AC520,$AC$2:$AC$2028,1)+COUNTIF($AC$2:AC520,AC520))-1,""))</f>
        <v/>
      </c>
      <c r="AE520" s="144" t="str">
        <f t="shared" si="319"/>
        <v/>
      </c>
      <c r="AF520" s="144" t="str">
        <f>IF(AE520="","",SUM($AE$2:AE520))</f>
        <v/>
      </c>
    </row>
    <row r="521" spans="14:32" x14ac:dyDescent="0.35">
      <c r="N521" s="134" t="str">
        <f t="shared" si="317"/>
        <v/>
      </c>
      <c r="O521" s="82" t="str">
        <f t="shared" si="308"/>
        <v/>
      </c>
      <c r="P521" s="81" t="str">
        <f t="shared" si="318"/>
        <v/>
      </c>
      <c r="Q521" s="81" t="str">
        <f t="shared" si="309"/>
        <v/>
      </c>
      <c r="R521" s="135" t="str">
        <f t="shared" ca="1" si="310"/>
        <v/>
      </c>
      <c r="S521" s="134" t="str">
        <f t="shared" ca="1" si="311"/>
        <v/>
      </c>
      <c r="T521" s="134" t="str">
        <f ca="1">IF(S521=Dashboard!$D$12,S521,"")</f>
        <v/>
      </c>
      <c r="U521" s="134" t="str">
        <f t="shared" ca="1" si="312"/>
        <v/>
      </c>
      <c r="V521" s="83" t="str">
        <f ca="1">IF(U521="","",IFERROR((RANK(U521,$U$2:$U$2028,1)+COUNTIF($U$2:U521,U521))-1,""))</f>
        <v/>
      </c>
      <c r="W521" s="134" t="str">
        <f t="shared" si="316"/>
        <v/>
      </c>
      <c r="X521" s="134" t="str">
        <f>IF(W521="","",IFERROR((RANK(W521,$W$2:$W$2028,1)+COUNTIF($W$2:W521,W521))-1,""))</f>
        <v/>
      </c>
      <c r="Y521" s="134" t="str">
        <f t="shared" si="313"/>
        <v/>
      </c>
      <c r="Z521" s="134" t="str">
        <f>IF(Y521="","",IFERROR((RANK(Y521,$Y$2:$Y$2028,1)+COUNTIF($Y$2:Y521,Y521))-1,""))</f>
        <v/>
      </c>
      <c r="AA521" s="134" t="str">
        <f t="shared" si="314"/>
        <v/>
      </c>
      <c r="AB521" s="134" t="str">
        <f>IF(AA521="","",IFERROR((RANK(AA521,$AA$2:$AA$2028,1)+COUNTIF($AA$2:AA521,AA521))-1,""))</f>
        <v/>
      </c>
      <c r="AC521" s="134" t="str">
        <f t="shared" si="315"/>
        <v/>
      </c>
      <c r="AD521" s="134" t="str">
        <f>IF(AC521="","",IFERROR((RANK(AC521,$AC$2:$AC$2028,1)+COUNTIF($AC$2:AC521,AC521))-1,""))</f>
        <v/>
      </c>
      <c r="AE521" s="144" t="str">
        <f t="shared" si="319"/>
        <v/>
      </c>
      <c r="AF521" s="144" t="str">
        <f>IF(AE521="","",SUM($AE$2:AE521))</f>
        <v/>
      </c>
    </row>
    <row r="522" spans="14:32" x14ac:dyDescent="0.35">
      <c r="N522" s="134" t="str">
        <f t="shared" si="317"/>
        <v/>
      </c>
      <c r="O522" s="82" t="str">
        <f t="shared" si="308"/>
        <v/>
      </c>
      <c r="P522" s="81" t="str">
        <f t="shared" si="318"/>
        <v/>
      </c>
      <c r="Q522" s="81" t="str">
        <f t="shared" si="309"/>
        <v/>
      </c>
      <c r="R522" s="135" t="str">
        <f t="shared" ca="1" si="310"/>
        <v/>
      </c>
      <c r="S522" s="134" t="str">
        <f t="shared" ca="1" si="311"/>
        <v/>
      </c>
      <c r="T522" s="134" t="str">
        <f ca="1">IF(S522=Dashboard!$D$12,S522,"")</f>
        <v/>
      </c>
      <c r="U522" s="134" t="str">
        <f t="shared" ca="1" si="312"/>
        <v/>
      </c>
      <c r="V522" s="83" t="str">
        <f ca="1">IF(U522="","",IFERROR((RANK(U522,$U$2:$U$2028,1)+COUNTIF($U$2:U522,U522))-1,""))</f>
        <v/>
      </c>
      <c r="W522" s="134" t="str">
        <f t="shared" si="316"/>
        <v/>
      </c>
      <c r="X522" s="134" t="str">
        <f>IF(W522="","",IFERROR((RANK(W522,$W$2:$W$2028,1)+COUNTIF($W$2:W522,W522))-1,""))</f>
        <v/>
      </c>
      <c r="Y522" s="134" t="str">
        <f t="shared" si="313"/>
        <v/>
      </c>
      <c r="Z522" s="134" t="str">
        <f>IF(Y522="","",IFERROR((RANK(Y522,$Y$2:$Y$2028,1)+COUNTIF($Y$2:Y522,Y522))-1,""))</f>
        <v/>
      </c>
      <c r="AA522" s="134" t="str">
        <f t="shared" si="314"/>
        <v/>
      </c>
      <c r="AB522" s="134" t="str">
        <f>IF(AA522="","",IFERROR((RANK(AA522,$AA$2:$AA$2028,1)+COUNTIF($AA$2:AA522,AA522))-1,""))</f>
        <v/>
      </c>
      <c r="AC522" s="134" t="str">
        <f t="shared" si="315"/>
        <v/>
      </c>
      <c r="AD522" s="134" t="str">
        <f>IF(AC522="","",IFERROR((RANK(AC522,$AC$2:$AC$2028,1)+COUNTIF($AC$2:AC522,AC522))-1,""))</f>
        <v/>
      </c>
      <c r="AE522" s="144" t="str">
        <f t="shared" si="319"/>
        <v/>
      </c>
      <c r="AF522" s="144" t="str">
        <f>IF(AE522="","",SUM($AE$2:AE522))</f>
        <v/>
      </c>
    </row>
    <row r="523" spans="14:32" x14ac:dyDescent="0.35">
      <c r="N523" s="134" t="str">
        <f t="shared" si="317"/>
        <v/>
      </c>
      <c r="O523" s="82" t="str">
        <f t="shared" si="308"/>
        <v/>
      </c>
      <c r="P523" s="81" t="str">
        <f t="shared" si="318"/>
        <v/>
      </c>
      <c r="Q523" s="81" t="str">
        <f t="shared" si="309"/>
        <v/>
      </c>
      <c r="R523" s="135" t="str">
        <f t="shared" ca="1" si="310"/>
        <v/>
      </c>
      <c r="S523" s="134" t="str">
        <f t="shared" ca="1" si="311"/>
        <v/>
      </c>
      <c r="T523" s="134" t="str">
        <f ca="1">IF(S523=Dashboard!$D$12,S523,"")</f>
        <v/>
      </c>
      <c r="U523" s="134" t="str">
        <f t="shared" ca="1" si="312"/>
        <v/>
      </c>
      <c r="V523" s="83" t="str">
        <f ca="1">IF(U523="","",IFERROR((RANK(U523,$U$2:$U$2028,1)+COUNTIF($U$2:U523,U523))-1,""))</f>
        <v/>
      </c>
      <c r="W523" s="134" t="str">
        <f t="shared" si="316"/>
        <v/>
      </c>
      <c r="X523" s="134" t="str">
        <f>IF(W523="","",IFERROR((RANK(W523,$W$2:$W$2028,1)+COUNTIF($W$2:W523,W523))-1,""))</f>
        <v/>
      </c>
      <c r="Y523" s="134" t="str">
        <f t="shared" si="313"/>
        <v/>
      </c>
      <c r="Z523" s="134" t="str">
        <f>IF(Y523="","",IFERROR((RANK(Y523,$Y$2:$Y$2028,1)+COUNTIF($Y$2:Y523,Y523))-1,""))</f>
        <v/>
      </c>
      <c r="AA523" s="134" t="str">
        <f t="shared" si="314"/>
        <v/>
      </c>
      <c r="AB523" s="134" t="str">
        <f>IF(AA523="","",IFERROR((RANK(AA523,$AA$2:$AA$2028,1)+COUNTIF($AA$2:AA523,AA523))-1,""))</f>
        <v/>
      </c>
      <c r="AC523" s="134" t="str">
        <f t="shared" si="315"/>
        <v/>
      </c>
      <c r="AD523" s="134" t="str">
        <f>IF(AC523="","",IFERROR((RANK(AC523,$AC$2:$AC$2028,1)+COUNTIF($AC$2:AC523,AC523))-1,""))</f>
        <v/>
      </c>
      <c r="AE523" s="144" t="str">
        <f t="shared" si="319"/>
        <v/>
      </c>
      <c r="AF523" s="144" t="str">
        <f>IF(AE523="","",SUM($AE$2:AE523))</f>
        <v/>
      </c>
    </row>
    <row r="524" spans="14:32" x14ac:dyDescent="0.35">
      <c r="N524" s="134" t="str">
        <f t="shared" si="317"/>
        <v/>
      </c>
      <c r="O524" s="82" t="str">
        <f t="shared" si="308"/>
        <v/>
      </c>
      <c r="P524" s="81" t="str">
        <f t="shared" si="318"/>
        <v/>
      </c>
      <c r="Q524" s="81" t="str">
        <f t="shared" si="309"/>
        <v/>
      </c>
      <c r="R524" s="135" t="str">
        <f t="shared" ca="1" si="310"/>
        <v/>
      </c>
      <c r="S524" s="134" t="str">
        <f t="shared" ca="1" si="311"/>
        <v/>
      </c>
      <c r="T524" s="134" t="str">
        <f ca="1">IF(S524=Dashboard!$D$12,S524,"")</f>
        <v/>
      </c>
      <c r="U524" s="134" t="str">
        <f t="shared" ca="1" si="312"/>
        <v/>
      </c>
      <c r="V524" s="83" t="str">
        <f ca="1">IF(U524="","",IFERROR((RANK(U524,$U$2:$U$2028,1)+COUNTIF($U$2:U524,U524))-1,""))</f>
        <v/>
      </c>
      <c r="W524" s="134" t="str">
        <f t="shared" si="316"/>
        <v/>
      </c>
      <c r="X524" s="134" t="str">
        <f>IF(W524="","",IFERROR((RANK(W524,$W$2:$W$2028,1)+COUNTIF($W$2:W524,W524))-1,""))</f>
        <v/>
      </c>
      <c r="Y524" s="134" t="str">
        <f t="shared" si="313"/>
        <v/>
      </c>
      <c r="Z524" s="134" t="str">
        <f>IF(Y524="","",IFERROR((RANK(Y524,$Y$2:$Y$2028,1)+COUNTIF($Y$2:Y524,Y524))-1,""))</f>
        <v/>
      </c>
      <c r="AA524" s="134" t="str">
        <f t="shared" si="314"/>
        <v/>
      </c>
      <c r="AB524" s="134" t="str">
        <f>IF(AA524="","",IFERROR((RANK(AA524,$AA$2:$AA$2028,1)+COUNTIF($AA$2:AA524,AA524))-1,""))</f>
        <v/>
      </c>
      <c r="AC524" s="134" t="str">
        <f t="shared" si="315"/>
        <v/>
      </c>
      <c r="AD524" s="134" t="str">
        <f>IF(AC524="","",IFERROR((RANK(AC524,$AC$2:$AC$2028,1)+COUNTIF($AC$2:AC524,AC524))-1,""))</f>
        <v/>
      </c>
      <c r="AE524" s="144" t="str">
        <f t="shared" si="319"/>
        <v/>
      </c>
      <c r="AF524" s="144" t="str">
        <f>IF(AE524="","",SUM($AE$2:AE524))</f>
        <v/>
      </c>
    </row>
    <row r="525" spans="14:32" x14ac:dyDescent="0.35">
      <c r="N525" s="134" t="str">
        <f t="shared" si="317"/>
        <v/>
      </c>
      <c r="O525" s="82" t="str">
        <f t="shared" si="308"/>
        <v/>
      </c>
      <c r="P525" s="81" t="str">
        <f t="shared" si="318"/>
        <v/>
      </c>
      <c r="Q525" s="81" t="str">
        <f t="shared" si="309"/>
        <v/>
      </c>
      <c r="R525" s="135" t="str">
        <f t="shared" ca="1" si="310"/>
        <v/>
      </c>
      <c r="S525" s="134" t="str">
        <f t="shared" ca="1" si="311"/>
        <v/>
      </c>
      <c r="T525" s="134" t="str">
        <f ca="1">IF(S525=Dashboard!$D$12,S525,"")</f>
        <v/>
      </c>
      <c r="U525" s="134" t="str">
        <f t="shared" ca="1" si="312"/>
        <v/>
      </c>
      <c r="V525" s="83" t="str">
        <f ca="1">IF(U525="","",IFERROR((RANK(U525,$U$2:$U$2028,1)+COUNTIF($U$2:U525,U525))-1,""))</f>
        <v/>
      </c>
      <c r="W525" s="134" t="str">
        <f t="shared" si="316"/>
        <v/>
      </c>
      <c r="X525" s="134" t="str">
        <f>IF(W525="","",IFERROR((RANK(W525,$W$2:$W$2028,1)+COUNTIF($W$2:W525,W525))-1,""))</f>
        <v/>
      </c>
      <c r="Y525" s="134" t="str">
        <f t="shared" si="313"/>
        <v/>
      </c>
      <c r="Z525" s="134" t="str">
        <f>IF(Y525="","",IFERROR((RANK(Y525,$Y$2:$Y$2028,1)+COUNTIF($Y$2:Y525,Y525))-1,""))</f>
        <v/>
      </c>
      <c r="AA525" s="134" t="str">
        <f t="shared" si="314"/>
        <v/>
      </c>
      <c r="AB525" s="134" t="str">
        <f>IF(AA525="","",IFERROR((RANK(AA525,$AA$2:$AA$2028,1)+COUNTIF($AA$2:AA525,AA525))-1,""))</f>
        <v/>
      </c>
      <c r="AC525" s="134" t="str">
        <f t="shared" si="315"/>
        <v/>
      </c>
      <c r="AD525" s="134" t="str">
        <f>IF(AC525="","",IFERROR((RANK(AC525,$AC$2:$AC$2028,1)+COUNTIF($AC$2:AC525,AC525))-1,""))</f>
        <v/>
      </c>
      <c r="AE525" s="144" t="str">
        <f t="shared" si="319"/>
        <v/>
      </c>
      <c r="AF525" s="144" t="str">
        <f>IF(AE525="","",SUM($AE$2:AE525))</f>
        <v/>
      </c>
    </row>
    <row r="526" spans="14:32" x14ac:dyDescent="0.35">
      <c r="N526" s="134" t="str">
        <f t="shared" si="317"/>
        <v/>
      </c>
      <c r="O526" s="82" t="str">
        <f t="shared" si="308"/>
        <v/>
      </c>
      <c r="P526" s="81" t="str">
        <f t="shared" si="318"/>
        <v/>
      </c>
      <c r="Q526" s="81" t="str">
        <f t="shared" si="309"/>
        <v/>
      </c>
      <c r="R526" s="135" t="str">
        <f t="shared" ca="1" si="310"/>
        <v/>
      </c>
      <c r="S526" s="134" t="str">
        <f t="shared" ca="1" si="311"/>
        <v/>
      </c>
      <c r="T526" s="134" t="str">
        <f ca="1">IF(S526=Dashboard!$D$12,S526,"")</f>
        <v/>
      </c>
      <c r="U526" s="134" t="str">
        <f t="shared" ca="1" si="312"/>
        <v/>
      </c>
      <c r="V526" s="83" t="str">
        <f ca="1">IF(U526="","",IFERROR((RANK(U526,$U$2:$U$2028,1)+COUNTIF($U$2:U526,U526))-1,""))</f>
        <v/>
      </c>
      <c r="W526" s="134" t="str">
        <f t="shared" si="316"/>
        <v/>
      </c>
      <c r="X526" s="134" t="str">
        <f>IF(W526="","",IFERROR((RANK(W526,$W$2:$W$2028,1)+COUNTIF($W$2:W526,W526))-1,""))</f>
        <v/>
      </c>
      <c r="Y526" s="134" t="str">
        <f t="shared" si="313"/>
        <v/>
      </c>
      <c r="Z526" s="134" t="str">
        <f>IF(Y526="","",IFERROR((RANK(Y526,$Y$2:$Y$2028,1)+COUNTIF($Y$2:Y526,Y526))-1,""))</f>
        <v/>
      </c>
      <c r="AA526" s="134" t="str">
        <f t="shared" si="314"/>
        <v/>
      </c>
      <c r="AB526" s="134" t="str">
        <f>IF(AA526="","",IFERROR((RANK(AA526,$AA$2:$AA$2028,1)+COUNTIF($AA$2:AA526,AA526))-1,""))</f>
        <v/>
      </c>
      <c r="AC526" s="134" t="str">
        <f t="shared" si="315"/>
        <v/>
      </c>
      <c r="AD526" s="134" t="str">
        <f>IF(AC526="","",IFERROR((RANK(AC526,$AC$2:$AC$2028,1)+COUNTIF($AC$2:AC526,AC526))-1,""))</f>
        <v/>
      </c>
      <c r="AE526" s="144" t="str">
        <f t="shared" si="319"/>
        <v/>
      </c>
      <c r="AF526" s="144" t="str">
        <f>IF(AE526="","",SUM($AE$2:AE526))</f>
        <v/>
      </c>
    </row>
    <row r="527" spans="14:32" x14ac:dyDescent="0.35">
      <c r="N527" s="134" t="str">
        <f t="shared" si="317"/>
        <v/>
      </c>
      <c r="O527" s="82" t="str">
        <f t="shared" si="308"/>
        <v/>
      </c>
      <c r="P527" s="81" t="str">
        <f t="shared" si="318"/>
        <v/>
      </c>
      <c r="Q527" s="81" t="str">
        <f t="shared" si="309"/>
        <v/>
      </c>
      <c r="R527" s="135" t="str">
        <f t="shared" ca="1" si="310"/>
        <v/>
      </c>
      <c r="S527" s="134" t="str">
        <f t="shared" ca="1" si="311"/>
        <v/>
      </c>
      <c r="T527" s="134" t="str">
        <f ca="1">IF(S527=Dashboard!$D$12,S527,"")</f>
        <v/>
      </c>
      <c r="U527" s="134" t="str">
        <f t="shared" ca="1" si="312"/>
        <v/>
      </c>
      <c r="V527" s="83" t="str">
        <f ca="1">IF(U527="","",IFERROR((RANK(U527,$U$2:$U$2028,1)+COUNTIF($U$2:U527,U527))-1,""))</f>
        <v/>
      </c>
      <c r="W527" s="134" t="str">
        <f t="shared" si="316"/>
        <v/>
      </c>
      <c r="X527" s="134" t="str">
        <f>IF(W527="","",IFERROR((RANK(W527,$W$2:$W$2028,1)+COUNTIF($W$2:W527,W527))-1,""))</f>
        <v/>
      </c>
      <c r="Y527" s="134" t="str">
        <f t="shared" si="313"/>
        <v/>
      </c>
      <c r="Z527" s="134" t="str">
        <f>IF(Y527="","",IFERROR((RANK(Y527,$Y$2:$Y$2028,1)+COUNTIF($Y$2:Y527,Y527))-1,""))</f>
        <v/>
      </c>
      <c r="AA527" s="134" t="str">
        <f t="shared" si="314"/>
        <v/>
      </c>
      <c r="AB527" s="134" t="str">
        <f>IF(AA527="","",IFERROR((RANK(AA527,$AA$2:$AA$2028,1)+COUNTIF($AA$2:AA527,AA527))-1,""))</f>
        <v/>
      </c>
      <c r="AC527" s="134" t="str">
        <f t="shared" si="315"/>
        <v/>
      </c>
      <c r="AD527" s="134" t="str">
        <f>IF(AC527="","",IFERROR((RANK(AC527,$AC$2:$AC$2028,1)+COUNTIF($AC$2:AC527,AC527))-1,""))</f>
        <v/>
      </c>
      <c r="AE527" s="144" t="str">
        <f t="shared" si="319"/>
        <v/>
      </c>
      <c r="AF527" s="144" t="str">
        <f>IF(AE527="","",SUM($AE$2:AE527))</f>
        <v/>
      </c>
    </row>
    <row r="528" spans="14:32" x14ac:dyDescent="0.35">
      <c r="N528" s="134" t="str">
        <f t="shared" si="317"/>
        <v/>
      </c>
      <c r="O528" s="82" t="str">
        <f t="shared" si="308"/>
        <v/>
      </c>
      <c r="P528" s="81" t="str">
        <f t="shared" si="318"/>
        <v/>
      </c>
      <c r="Q528" s="81" t="str">
        <f t="shared" si="309"/>
        <v/>
      </c>
      <c r="R528" s="135" t="str">
        <f t="shared" ca="1" si="310"/>
        <v/>
      </c>
      <c r="S528" s="134" t="str">
        <f t="shared" ca="1" si="311"/>
        <v/>
      </c>
      <c r="T528" s="134" t="str">
        <f ca="1">IF(S528=Dashboard!$D$12,S528,"")</f>
        <v/>
      </c>
      <c r="U528" s="134" t="str">
        <f t="shared" ca="1" si="312"/>
        <v/>
      </c>
      <c r="V528" s="83" t="str">
        <f ca="1">IF(U528="","",IFERROR((RANK(U528,$U$2:$U$2028,1)+COUNTIF($U$2:U528,U528))-1,""))</f>
        <v/>
      </c>
      <c r="W528" s="134" t="str">
        <f t="shared" si="316"/>
        <v/>
      </c>
      <c r="X528" s="134" t="str">
        <f>IF(W528="","",IFERROR((RANK(W528,$W$2:$W$2028,1)+COUNTIF($W$2:W528,W528))-1,""))</f>
        <v/>
      </c>
      <c r="Y528" s="134" t="str">
        <f t="shared" si="313"/>
        <v/>
      </c>
      <c r="Z528" s="134" t="str">
        <f>IF(Y528="","",IFERROR((RANK(Y528,$Y$2:$Y$2028,1)+COUNTIF($Y$2:Y528,Y528))-1,""))</f>
        <v/>
      </c>
      <c r="AA528" s="134" t="str">
        <f t="shared" si="314"/>
        <v/>
      </c>
      <c r="AB528" s="134" t="str">
        <f>IF(AA528="","",IFERROR((RANK(AA528,$AA$2:$AA$2028,1)+COUNTIF($AA$2:AA528,AA528))-1,""))</f>
        <v/>
      </c>
      <c r="AC528" s="134" t="str">
        <f t="shared" si="315"/>
        <v/>
      </c>
      <c r="AD528" s="134" t="str">
        <f>IF(AC528="","",IFERROR((RANK(AC528,$AC$2:$AC$2028,1)+COUNTIF($AC$2:AC528,AC528))-1,""))</f>
        <v/>
      </c>
      <c r="AE528" s="144" t="str">
        <f t="shared" si="319"/>
        <v/>
      </c>
      <c r="AF528" s="144" t="str">
        <f>IF(AE528="","",SUM($AE$2:AE528))</f>
        <v/>
      </c>
    </row>
    <row r="529" spans="14:32" x14ac:dyDescent="0.35">
      <c r="N529" s="134" t="str">
        <f t="shared" si="317"/>
        <v/>
      </c>
      <c r="O529" s="82" t="str">
        <f t="shared" si="308"/>
        <v/>
      </c>
      <c r="P529" s="81" t="str">
        <f t="shared" si="318"/>
        <v/>
      </c>
      <c r="Q529" s="81" t="str">
        <f t="shared" si="309"/>
        <v/>
      </c>
      <c r="R529" s="135" t="str">
        <f t="shared" ca="1" si="310"/>
        <v/>
      </c>
      <c r="S529" s="134" t="str">
        <f t="shared" ca="1" si="311"/>
        <v/>
      </c>
      <c r="T529" s="134" t="str">
        <f ca="1">IF(S529=Dashboard!$D$12,S529,"")</f>
        <v/>
      </c>
      <c r="U529" s="134" t="str">
        <f t="shared" ca="1" si="312"/>
        <v/>
      </c>
      <c r="V529" s="83" t="str">
        <f ca="1">IF(U529="","",IFERROR((RANK(U529,$U$2:$U$2028,1)+COUNTIF($U$2:U529,U529))-1,""))</f>
        <v/>
      </c>
      <c r="W529" s="134" t="str">
        <f t="shared" si="316"/>
        <v/>
      </c>
      <c r="X529" s="134" t="str">
        <f>IF(W529="","",IFERROR((RANK(W529,$W$2:$W$2028,1)+COUNTIF($W$2:W529,W529))-1,""))</f>
        <v/>
      </c>
      <c r="Y529" s="134" t="str">
        <f t="shared" si="313"/>
        <v/>
      </c>
      <c r="Z529" s="134" t="str">
        <f>IF(Y529="","",IFERROR((RANK(Y529,$Y$2:$Y$2028,1)+COUNTIF($Y$2:Y529,Y529))-1,""))</f>
        <v/>
      </c>
      <c r="AA529" s="134" t="str">
        <f t="shared" si="314"/>
        <v/>
      </c>
      <c r="AB529" s="134" t="str">
        <f>IF(AA529="","",IFERROR((RANK(AA529,$AA$2:$AA$2028,1)+COUNTIF($AA$2:AA529,AA529))-1,""))</f>
        <v/>
      </c>
      <c r="AC529" s="134" t="str">
        <f t="shared" si="315"/>
        <v/>
      </c>
      <c r="AD529" s="134" t="str">
        <f>IF(AC529="","",IFERROR((RANK(AC529,$AC$2:$AC$2028,1)+COUNTIF($AC$2:AC529,AC529))-1,""))</f>
        <v/>
      </c>
      <c r="AE529" s="144" t="str">
        <f t="shared" si="319"/>
        <v/>
      </c>
      <c r="AF529" s="144" t="str">
        <f>IF(AE529="","",SUM($AE$2:AE529))</f>
        <v/>
      </c>
    </row>
    <row r="530" spans="14:32" x14ac:dyDescent="0.35">
      <c r="N530" s="134" t="str">
        <f t="shared" si="317"/>
        <v/>
      </c>
      <c r="O530" s="82" t="str">
        <f t="shared" si="308"/>
        <v/>
      </c>
      <c r="P530" s="81" t="str">
        <f t="shared" si="318"/>
        <v/>
      </c>
      <c r="Q530" s="81" t="str">
        <f t="shared" si="309"/>
        <v/>
      </c>
      <c r="R530" s="135" t="str">
        <f t="shared" ca="1" si="310"/>
        <v/>
      </c>
      <c r="S530" s="134" t="str">
        <f t="shared" ca="1" si="311"/>
        <v/>
      </c>
      <c r="T530" s="134" t="str">
        <f ca="1">IF(S530=Dashboard!$D$12,S530,"")</f>
        <v/>
      </c>
      <c r="U530" s="134" t="str">
        <f t="shared" ca="1" si="312"/>
        <v/>
      </c>
      <c r="V530" s="83" t="str">
        <f ca="1">IF(U530="","",IFERROR((RANK(U530,$U$2:$U$2028,1)+COUNTIF($U$2:U530,U530))-1,""))</f>
        <v/>
      </c>
      <c r="W530" s="134" t="str">
        <f t="shared" si="316"/>
        <v/>
      </c>
      <c r="X530" s="134" t="str">
        <f>IF(W530="","",IFERROR((RANK(W530,$W$2:$W$2028,1)+COUNTIF($W$2:W530,W530))-1,""))</f>
        <v/>
      </c>
      <c r="Y530" s="134" t="str">
        <f t="shared" si="313"/>
        <v/>
      </c>
      <c r="Z530" s="134" t="str">
        <f>IF(Y530="","",IFERROR((RANK(Y530,$Y$2:$Y$2028,1)+COUNTIF($Y$2:Y530,Y530))-1,""))</f>
        <v/>
      </c>
      <c r="AA530" s="134" t="str">
        <f t="shared" si="314"/>
        <v/>
      </c>
      <c r="AB530" s="134" t="str">
        <f>IF(AA530="","",IFERROR((RANK(AA530,$AA$2:$AA$2028,1)+COUNTIF($AA$2:AA530,AA530))-1,""))</f>
        <v/>
      </c>
      <c r="AC530" s="134" t="str">
        <f t="shared" si="315"/>
        <v/>
      </c>
      <c r="AD530" s="134" t="str">
        <f>IF(AC530="","",IFERROR((RANK(AC530,$AC$2:$AC$2028,1)+COUNTIF($AC$2:AC530,AC530))-1,""))</f>
        <v/>
      </c>
      <c r="AE530" s="144" t="str">
        <f t="shared" si="319"/>
        <v/>
      </c>
      <c r="AF530" s="144" t="str">
        <f>IF(AE530="","",SUM($AE$2:AE530))</f>
        <v/>
      </c>
    </row>
    <row r="531" spans="14:32" x14ac:dyDescent="0.35">
      <c r="N531" s="134" t="str">
        <f t="shared" si="317"/>
        <v/>
      </c>
      <c r="O531" s="82" t="str">
        <f t="shared" si="308"/>
        <v/>
      </c>
      <c r="P531" s="81" t="str">
        <f t="shared" si="318"/>
        <v/>
      </c>
      <c r="Q531" s="81" t="str">
        <f t="shared" si="309"/>
        <v/>
      </c>
      <c r="R531" s="135" t="str">
        <f t="shared" ca="1" si="310"/>
        <v/>
      </c>
      <c r="S531" s="134" t="str">
        <f t="shared" ca="1" si="311"/>
        <v/>
      </c>
      <c r="T531" s="134" t="str">
        <f ca="1">IF(S531=Dashboard!$D$12,S531,"")</f>
        <v/>
      </c>
      <c r="U531" s="134" t="str">
        <f t="shared" ca="1" si="312"/>
        <v/>
      </c>
      <c r="V531" s="83" t="str">
        <f ca="1">IF(U531="","",IFERROR((RANK(U531,$U$2:$U$2028,1)+COUNTIF($U$2:U531,U531))-1,""))</f>
        <v/>
      </c>
      <c r="W531" s="134" t="str">
        <f t="shared" si="316"/>
        <v/>
      </c>
      <c r="X531" s="134" t="str">
        <f>IF(W531="","",IFERROR((RANK(W531,$W$2:$W$2028,1)+COUNTIF($W$2:W531,W531))-1,""))</f>
        <v/>
      </c>
      <c r="Y531" s="134" t="str">
        <f t="shared" si="313"/>
        <v/>
      </c>
      <c r="Z531" s="134" t="str">
        <f>IF(Y531="","",IFERROR((RANK(Y531,$Y$2:$Y$2028,1)+COUNTIF($Y$2:Y531,Y531))-1,""))</f>
        <v/>
      </c>
      <c r="AA531" s="134" t="str">
        <f t="shared" si="314"/>
        <v/>
      </c>
      <c r="AB531" s="134" t="str">
        <f>IF(AA531="","",IFERROR((RANK(AA531,$AA$2:$AA$2028,1)+COUNTIF($AA$2:AA531,AA531))-1,""))</f>
        <v/>
      </c>
      <c r="AC531" s="134" t="str">
        <f t="shared" si="315"/>
        <v/>
      </c>
      <c r="AD531" s="134" t="str">
        <f>IF(AC531="","",IFERROR((RANK(AC531,$AC$2:$AC$2028,1)+COUNTIF($AC$2:AC531,AC531))-1,""))</f>
        <v/>
      </c>
      <c r="AE531" s="144" t="str">
        <f t="shared" si="319"/>
        <v/>
      </c>
      <c r="AF531" s="144" t="str">
        <f>IF(AE531="","",SUM($AE$2:AE531))</f>
        <v/>
      </c>
    </row>
    <row r="532" spans="14:32" x14ac:dyDescent="0.35">
      <c r="N532" s="134" t="str">
        <f t="shared" si="317"/>
        <v/>
      </c>
      <c r="O532" s="82" t="str">
        <f t="shared" si="308"/>
        <v/>
      </c>
      <c r="P532" s="81" t="str">
        <f t="shared" si="318"/>
        <v/>
      </c>
      <c r="Q532" s="81" t="str">
        <f t="shared" si="309"/>
        <v/>
      </c>
      <c r="R532" s="135" t="str">
        <f t="shared" ca="1" si="310"/>
        <v/>
      </c>
      <c r="S532" s="134" t="str">
        <f t="shared" ca="1" si="311"/>
        <v/>
      </c>
      <c r="T532" s="134" t="str">
        <f ca="1">IF(S532=Dashboard!$D$12,S532,"")</f>
        <v/>
      </c>
      <c r="U532" s="134" t="str">
        <f t="shared" ca="1" si="312"/>
        <v/>
      </c>
      <c r="V532" s="83" t="str">
        <f ca="1">IF(U532="","",IFERROR((RANK(U532,$U$2:$U$2028,1)+COUNTIF($U$2:U532,U532))-1,""))</f>
        <v/>
      </c>
      <c r="W532" s="134" t="str">
        <f t="shared" si="316"/>
        <v/>
      </c>
      <c r="X532" s="134" t="str">
        <f>IF(W532="","",IFERROR((RANK(W532,$W$2:$W$2028,1)+COUNTIF($W$2:W532,W532))-1,""))</f>
        <v/>
      </c>
      <c r="Y532" s="134" t="str">
        <f t="shared" si="313"/>
        <v/>
      </c>
      <c r="Z532" s="134" t="str">
        <f>IF(Y532="","",IFERROR((RANK(Y532,$Y$2:$Y$2028,1)+COUNTIF($Y$2:Y532,Y532))-1,""))</f>
        <v/>
      </c>
      <c r="AA532" s="134" t="str">
        <f t="shared" si="314"/>
        <v/>
      </c>
      <c r="AB532" s="134" t="str">
        <f>IF(AA532="","",IFERROR((RANK(AA532,$AA$2:$AA$2028,1)+COUNTIF($AA$2:AA532,AA532))-1,""))</f>
        <v/>
      </c>
      <c r="AC532" s="134" t="str">
        <f t="shared" si="315"/>
        <v/>
      </c>
      <c r="AD532" s="134" t="str">
        <f>IF(AC532="","",IFERROR((RANK(AC532,$AC$2:$AC$2028,1)+COUNTIF($AC$2:AC532,AC532))-1,""))</f>
        <v/>
      </c>
      <c r="AE532" s="144" t="str">
        <f t="shared" si="319"/>
        <v/>
      </c>
      <c r="AF532" s="144" t="str">
        <f>IF(AE532="","",SUM($AE$2:AE532))</f>
        <v/>
      </c>
    </row>
    <row r="533" spans="14:32" x14ac:dyDescent="0.35">
      <c r="N533" s="134" t="str">
        <f t="shared" si="317"/>
        <v/>
      </c>
      <c r="O533" s="82" t="str">
        <f t="shared" si="308"/>
        <v/>
      </c>
      <c r="P533" s="81" t="str">
        <f t="shared" si="318"/>
        <v/>
      </c>
      <c r="Q533" s="81" t="str">
        <f t="shared" si="309"/>
        <v/>
      </c>
      <c r="R533" s="135" t="str">
        <f t="shared" ca="1" si="310"/>
        <v/>
      </c>
      <c r="S533" s="134" t="str">
        <f t="shared" ca="1" si="311"/>
        <v/>
      </c>
      <c r="T533" s="134" t="str">
        <f ca="1">IF(S533=Dashboard!$D$12,S533,"")</f>
        <v/>
      </c>
      <c r="U533" s="134" t="str">
        <f t="shared" ca="1" si="312"/>
        <v/>
      </c>
      <c r="V533" s="83" t="str">
        <f ca="1">IF(U533="","",IFERROR((RANK(U533,$U$2:$U$2028,1)+COUNTIF($U$2:U533,U533))-1,""))</f>
        <v/>
      </c>
      <c r="W533" s="134" t="str">
        <f t="shared" si="316"/>
        <v/>
      </c>
      <c r="X533" s="134" t="str">
        <f>IF(W533="","",IFERROR((RANK(W533,$W$2:$W$2028,1)+COUNTIF($W$2:W533,W533))-1,""))</f>
        <v/>
      </c>
      <c r="Y533" s="134" t="str">
        <f t="shared" si="313"/>
        <v/>
      </c>
      <c r="Z533" s="134" t="str">
        <f>IF(Y533="","",IFERROR((RANK(Y533,$Y$2:$Y$2028,1)+COUNTIF($Y$2:Y533,Y533))-1,""))</f>
        <v/>
      </c>
      <c r="AA533" s="134" t="str">
        <f t="shared" si="314"/>
        <v/>
      </c>
      <c r="AB533" s="134" t="str">
        <f>IF(AA533="","",IFERROR((RANK(AA533,$AA$2:$AA$2028,1)+COUNTIF($AA$2:AA533,AA533))-1,""))</f>
        <v/>
      </c>
      <c r="AC533" s="134" t="str">
        <f t="shared" si="315"/>
        <v/>
      </c>
      <c r="AD533" s="134" t="str">
        <f>IF(AC533="","",IFERROR((RANK(AC533,$AC$2:$AC$2028,1)+COUNTIF($AC$2:AC533,AC533))-1,""))</f>
        <v/>
      </c>
      <c r="AE533" s="144" t="str">
        <f t="shared" si="319"/>
        <v/>
      </c>
      <c r="AF533" s="144" t="str">
        <f>IF(AE533="","",SUM($AE$2:AE533))</f>
        <v/>
      </c>
    </row>
    <row r="534" spans="14:32" x14ac:dyDescent="0.35">
      <c r="N534" s="134" t="str">
        <f t="shared" si="317"/>
        <v/>
      </c>
      <c r="O534" s="82" t="str">
        <f t="shared" si="308"/>
        <v/>
      </c>
      <c r="P534" s="81" t="str">
        <f t="shared" si="318"/>
        <v/>
      </c>
      <c r="Q534" s="81" t="str">
        <f t="shared" si="309"/>
        <v/>
      </c>
      <c r="R534" s="135" t="str">
        <f t="shared" ca="1" si="310"/>
        <v/>
      </c>
      <c r="S534" s="134" t="str">
        <f t="shared" ca="1" si="311"/>
        <v/>
      </c>
      <c r="T534" s="134" t="str">
        <f ca="1">IF(S534=Dashboard!$D$12,S534,"")</f>
        <v/>
      </c>
      <c r="U534" s="134" t="str">
        <f t="shared" ca="1" si="312"/>
        <v/>
      </c>
      <c r="V534" s="83" t="str">
        <f ca="1">IF(U534="","",IFERROR((RANK(U534,$U$2:$U$2028,1)+COUNTIF($U$2:U534,U534))-1,""))</f>
        <v/>
      </c>
      <c r="W534" s="134" t="str">
        <f t="shared" si="316"/>
        <v/>
      </c>
      <c r="X534" s="134" t="str">
        <f>IF(W534="","",IFERROR((RANK(W534,$W$2:$W$2028,1)+COUNTIF($W$2:W534,W534))-1,""))</f>
        <v/>
      </c>
      <c r="Y534" s="134" t="str">
        <f t="shared" si="313"/>
        <v/>
      </c>
      <c r="Z534" s="134" t="str">
        <f>IF(Y534="","",IFERROR((RANK(Y534,$Y$2:$Y$2028,1)+COUNTIF($Y$2:Y534,Y534))-1,""))</f>
        <v/>
      </c>
      <c r="AA534" s="134" t="str">
        <f t="shared" si="314"/>
        <v/>
      </c>
      <c r="AB534" s="134" t="str">
        <f>IF(AA534="","",IFERROR((RANK(AA534,$AA$2:$AA$2028,1)+COUNTIF($AA$2:AA534,AA534))-1,""))</f>
        <v/>
      </c>
      <c r="AC534" s="134" t="str">
        <f t="shared" si="315"/>
        <v/>
      </c>
      <c r="AD534" s="134" t="str">
        <f>IF(AC534="","",IFERROR((RANK(AC534,$AC$2:$AC$2028,1)+COUNTIF($AC$2:AC534,AC534))-1,""))</f>
        <v/>
      </c>
      <c r="AE534" s="144" t="str">
        <f t="shared" si="319"/>
        <v/>
      </c>
      <c r="AF534" s="144" t="str">
        <f>IF(AE534="","",SUM($AE$2:AE534))</f>
        <v/>
      </c>
    </row>
    <row r="535" spans="14:32" x14ac:dyDescent="0.35">
      <c r="N535" s="134" t="str">
        <f t="shared" si="317"/>
        <v/>
      </c>
      <c r="O535" s="82" t="str">
        <f t="shared" si="308"/>
        <v/>
      </c>
      <c r="P535" s="81" t="str">
        <f t="shared" si="318"/>
        <v/>
      </c>
      <c r="Q535" s="81" t="str">
        <f t="shared" si="309"/>
        <v/>
      </c>
      <c r="R535" s="135" t="str">
        <f t="shared" ca="1" si="310"/>
        <v/>
      </c>
      <c r="S535" s="134" t="str">
        <f t="shared" ca="1" si="311"/>
        <v/>
      </c>
      <c r="T535" s="134" t="str">
        <f ca="1">IF(S535=Dashboard!$D$12,S535,"")</f>
        <v/>
      </c>
      <c r="U535" s="134" t="str">
        <f t="shared" ca="1" si="312"/>
        <v/>
      </c>
      <c r="V535" s="83" t="str">
        <f ca="1">IF(U535="","",IFERROR((RANK(U535,$U$2:$U$2028,1)+COUNTIF($U$2:U535,U535))-1,""))</f>
        <v/>
      </c>
      <c r="W535" s="134" t="str">
        <f t="shared" si="316"/>
        <v/>
      </c>
      <c r="X535" s="134" t="str">
        <f>IF(W535="","",IFERROR((RANK(W535,$W$2:$W$2028,1)+COUNTIF($W$2:W535,W535))-1,""))</f>
        <v/>
      </c>
      <c r="Y535" s="134" t="str">
        <f t="shared" si="313"/>
        <v/>
      </c>
      <c r="Z535" s="134" t="str">
        <f>IF(Y535="","",IFERROR((RANK(Y535,$Y$2:$Y$2028,1)+COUNTIF($Y$2:Y535,Y535))-1,""))</f>
        <v/>
      </c>
      <c r="AA535" s="134" t="str">
        <f t="shared" si="314"/>
        <v/>
      </c>
      <c r="AB535" s="134" t="str">
        <f>IF(AA535="","",IFERROR((RANK(AA535,$AA$2:$AA$2028,1)+COUNTIF($AA$2:AA535,AA535))-1,""))</f>
        <v/>
      </c>
      <c r="AC535" s="134" t="str">
        <f t="shared" si="315"/>
        <v/>
      </c>
      <c r="AD535" s="134" t="str">
        <f>IF(AC535="","",IFERROR((RANK(AC535,$AC$2:$AC$2028,1)+COUNTIF($AC$2:AC535,AC535))-1,""))</f>
        <v/>
      </c>
      <c r="AE535" s="144" t="str">
        <f t="shared" si="319"/>
        <v/>
      </c>
      <c r="AF535" s="144" t="str">
        <f>IF(AE535="","",SUM($AE$2:AE535))</f>
        <v/>
      </c>
    </row>
    <row r="536" spans="14:32" x14ac:dyDescent="0.35">
      <c r="N536" s="134" t="str">
        <f t="shared" si="317"/>
        <v/>
      </c>
      <c r="O536" s="82" t="str">
        <f t="shared" si="308"/>
        <v/>
      </c>
      <c r="P536" s="81" t="str">
        <f t="shared" si="318"/>
        <v/>
      </c>
      <c r="Q536" s="81" t="str">
        <f t="shared" si="309"/>
        <v/>
      </c>
      <c r="R536" s="135" t="str">
        <f t="shared" ca="1" si="310"/>
        <v/>
      </c>
      <c r="S536" s="134" t="str">
        <f t="shared" ca="1" si="311"/>
        <v/>
      </c>
      <c r="T536" s="134" t="str">
        <f ca="1">IF(S536=Dashboard!$D$12,S536,"")</f>
        <v/>
      </c>
      <c r="U536" s="134" t="str">
        <f t="shared" ca="1" si="312"/>
        <v/>
      </c>
      <c r="V536" s="83" t="str">
        <f ca="1">IF(U536="","",IFERROR((RANK(U536,$U$2:$U$2028,1)+COUNTIF($U$2:U536,U536))-1,""))</f>
        <v/>
      </c>
      <c r="W536" s="134" t="str">
        <f t="shared" si="316"/>
        <v/>
      </c>
      <c r="X536" s="134" t="str">
        <f>IF(W536="","",IFERROR((RANK(W536,$W$2:$W$2028,1)+COUNTIF($W$2:W536,W536))-1,""))</f>
        <v/>
      </c>
      <c r="Y536" s="134" t="str">
        <f t="shared" si="313"/>
        <v/>
      </c>
      <c r="Z536" s="134" t="str">
        <f>IF(Y536="","",IFERROR((RANK(Y536,$Y$2:$Y$2028,1)+COUNTIF($Y$2:Y536,Y536))-1,""))</f>
        <v/>
      </c>
      <c r="AA536" s="134" t="str">
        <f t="shared" si="314"/>
        <v/>
      </c>
      <c r="AB536" s="134" t="str">
        <f>IF(AA536="","",IFERROR((RANK(AA536,$AA$2:$AA$2028,1)+COUNTIF($AA$2:AA536,AA536))-1,""))</f>
        <v/>
      </c>
      <c r="AC536" s="134" t="str">
        <f t="shared" si="315"/>
        <v/>
      </c>
      <c r="AD536" s="134" t="str">
        <f>IF(AC536="","",IFERROR((RANK(AC536,$AC$2:$AC$2028,1)+COUNTIF($AC$2:AC536,AC536))-1,""))</f>
        <v/>
      </c>
      <c r="AE536" s="144" t="str">
        <f t="shared" si="319"/>
        <v/>
      </c>
      <c r="AF536" s="144" t="str">
        <f>IF(AE536="","",SUM($AE$2:AE536))</f>
        <v/>
      </c>
    </row>
    <row r="537" spans="14:32" x14ac:dyDescent="0.35">
      <c r="N537" s="134" t="str">
        <f t="shared" si="317"/>
        <v/>
      </c>
      <c r="O537" s="82" t="str">
        <f t="shared" si="308"/>
        <v/>
      </c>
      <c r="P537" s="81" t="str">
        <f t="shared" si="318"/>
        <v/>
      </c>
      <c r="Q537" s="81" t="str">
        <f t="shared" si="309"/>
        <v/>
      </c>
      <c r="R537" s="135" t="str">
        <f t="shared" ca="1" si="310"/>
        <v/>
      </c>
      <c r="S537" s="134" t="str">
        <f t="shared" ca="1" si="311"/>
        <v/>
      </c>
      <c r="T537" s="134" t="str">
        <f ca="1">IF(S537=Dashboard!$D$12,S537,"")</f>
        <v/>
      </c>
      <c r="U537" s="134" t="str">
        <f t="shared" ca="1" si="312"/>
        <v/>
      </c>
      <c r="V537" s="83" t="str">
        <f ca="1">IF(U537="","",IFERROR((RANK(U537,$U$2:$U$2028,1)+COUNTIF($U$2:U537,U537))-1,""))</f>
        <v/>
      </c>
      <c r="W537" s="134" t="str">
        <f t="shared" si="316"/>
        <v/>
      </c>
      <c r="X537" s="134" t="str">
        <f>IF(W537="","",IFERROR((RANK(W537,$W$2:$W$2028,1)+COUNTIF($W$2:W537,W537))-1,""))</f>
        <v/>
      </c>
      <c r="Y537" s="134" t="str">
        <f t="shared" si="313"/>
        <v/>
      </c>
      <c r="Z537" s="134" t="str">
        <f>IF(Y537="","",IFERROR((RANK(Y537,$Y$2:$Y$2028,1)+COUNTIF($Y$2:Y537,Y537))-1,""))</f>
        <v/>
      </c>
      <c r="AA537" s="134" t="str">
        <f t="shared" si="314"/>
        <v/>
      </c>
      <c r="AB537" s="134" t="str">
        <f>IF(AA537="","",IFERROR((RANK(AA537,$AA$2:$AA$2028,1)+COUNTIF($AA$2:AA537,AA537))-1,""))</f>
        <v/>
      </c>
      <c r="AC537" s="134" t="str">
        <f t="shared" si="315"/>
        <v/>
      </c>
      <c r="AD537" s="134" t="str">
        <f>IF(AC537="","",IFERROR((RANK(AC537,$AC$2:$AC$2028,1)+COUNTIF($AC$2:AC537,AC537))-1,""))</f>
        <v/>
      </c>
      <c r="AE537" s="144" t="str">
        <f t="shared" si="319"/>
        <v/>
      </c>
      <c r="AF537" s="144" t="str">
        <f>IF(AE537="","",SUM($AE$2:AE537))</f>
        <v/>
      </c>
    </row>
    <row r="538" spans="14:32" x14ac:dyDescent="0.35">
      <c r="N538" s="134" t="str">
        <f t="shared" si="317"/>
        <v/>
      </c>
      <c r="O538" s="82" t="str">
        <f t="shared" si="308"/>
        <v/>
      </c>
      <c r="P538" s="81" t="str">
        <f t="shared" si="318"/>
        <v/>
      </c>
      <c r="Q538" s="81" t="str">
        <f t="shared" si="309"/>
        <v/>
      </c>
      <c r="R538" s="135" t="str">
        <f t="shared" ca="1" si="310"/>
        <v/>
      </c>
      <c r="S538" s="134" t="str">
        <f t="shared" ca="1" si="311"/>
        <v/>
      </c>
      <c r="T538" s="134" t="str">
        <f ca="1">IF(S538=Dashboard!$D$12,S538,"")</f>
        <v/>
      </c>
      <c r="U538" s="134" t="str">
        <f t="shared" ca="1" si="312"/>
        <v/>
      </c>
      <c r="V538" s="83" t="str">
        <f ca="1">IF(U538="","",IFERROR((RANK(U538,$U$2:$U$2028,1)+COUNTIF($U$2:U538,U538))-1,""))</f>
        <v/>
      </c>
      <c r="W538" s="134" t="str">
        <f t="shared" si="316"/>
        <v/>
      </c>
      <c r="X538" s="134" t="str">
        <f>IF(W538="","",IFERROR((RANK(W538,$W$2:$W$2028,1)+COUNTIF($W$2:W538,W538))-1,""))</f>
        <v/>
      </c>
      <c r="Y538" s="134" t="str">
        <f t="shared" si="313"/>
        <v/>
      </c>
      <c r="Z538" s="134" t="str">
        <f>IF(Y538="","",IFERROR((RANK(Y538,$Y$2:$Y$2028,1)+COUNTIF($Y$2:Y538,Y538))-1,""))</f>
        <v/>
      </c>
      <c r="AA538" s="134" t="str">
        <f t="shared" si="314"/>
        <v/>
      </c>
      <c r="AB538" s="134" t="str">
        <f>IF(AA538="","",IFERROR((RANK(AA538,$AA$2:$AA$2028,1)+COUNTIF($AA$2:AA538,AA538))-1,""))</f>
        <v/>
      </c>
      <c r="AC538" s="134" t="str">
        <f t="shared" si="315"/>
        <v/>
      </c>
      <c r="AD538" s="134" t="str">
        <f>IF(AC538="","",IFERROR((RANK(AC538,$AC$2:$AC$2028,1)+COUNTIF($AC$2:AC538,AC538))-1,""))</f>
        <v/>
      </c>
      <c r="AE538" s="144" t="str">
        <f t="shared" si="319"/>
        <v/>
      </c>
      <c r="AF538" s="144" t="str">
        <f>IF(AE538="","",SUM($AE$2:AE538))</f>
        <v/>
      </c>
    </row>
    <row r="539" spans="14:32" x14ac:dyDescent="0.35">
      <c r="N539" s="134" t="str">
        <f t="shared" si="317"/>
        <v/>
      </c>
      <c r="O539" s="82" t="str">
        <f t="shared" si="308"/>
        <v/>
      </c>
      <c r="P539" s="81" t="str">
        <f t="shared" si="318"/>
        <v/>
      </c>
      <c r="Q539" s="81" t="str">
        <f t="shared" si="309"/>
        <v/>
      </c>
      <c r="R539" s="135" t="str">
        <f t="shared" ca="1" si="310"/>
        <v/>
      </c>
      <c r="S539" s="134" t="str">
        <f t="shared" ca="1" si="311"/>
        <v/>
      </c>
      <c r="T539" s="134" t="str">
        <f ca="1">IF(S539=Dashboard!$D$12,S539,"")</f>
        <v/>
      </c>
      <c r="U539" s="134" t="str">
        <f t="shared" ca="1" si="312"/>
        <v/>
      </c>
      <c r="V539" s="83" t="str">
        <f ca="1">IF(U539="","",IFERROR((RANK(U539,$U$2:$U$2028,1)+COUNTIF($U$2:U539,U539))-1,""))</f>
        <v/>
      </c>
      <c r="W539" s="134" t="str">
        <f t="shared" si="316"/>
        <v/>
      </c>
      <c r="X539" s="134" t="str">
        <f>IF(W539="","",IFERROR((RANK(W539,$W$2:$W$2028,1)+COUNTIF($W$2:W539,W539))-1,""))</f>
        <v/>
      </c>
      <c r="Y539" s="134" t="str">
        <f t="shared" si="313"/>
        <v/>
      </c>
      <c r="Z539" s="134" t="str">
        <f>IF(Y539="","",IFERROR((RANK(Y539,$Y$2:$Y$2028,1)+COUNTIF($Y$2:Y539,Y539))-1,""))</f>
        <v/>
      </c>
      <c r="AA539" s="134" t="str">
        <f t="shared" si="314"/>
        <v/>
      </c>
      <c r="AB539" s="134" t="str">
        <f>IF(AA539="","",IFERROR((RANK(AA539,$AA$2:$AA$2028,1)+COUNTIF($AA$2:AA539,AA539))-1,""))</f>
        <v/>
      </c>
      <c r="AC539" s="134" t="str">
        <f t="shared" si="315"/>
        <v/>
      </c>
      <c r="AD539" s="134" t="str">
        <f>IF(AC539="","",IFERROR((RANK(AC539,$AC$2:$AC$2028,1)+COUNTIF($AC$2:AC539,AC539))-1,""))</f>
        <v/>
      </c>
      <c r="AE539" s="144" t="str">
        <f t="shared" si="319"/>
        <v/>
      </c>
      <c r="AF539" s="144" t="str">
        <f>IF(AE539="","",SUM($AE$2:AE539))</f>
        <v/>
      </c>
    </row>
    <row r="540" spans="14:32" x14ac:dyDescent="0.35">
      <c r="N540" s="134" t="str">
        <f t="shared" si="317"/>
        <v/>
      </c>
      <c r="O540" s="82" t="str">
        <f t="shared" si="308"/>
        <v/>
      </c>
      <c r="P540" s="81" t="str">
        <f t="shared" si="318"/>
        <v/>
      </c>
      <c r="Q540" s="81" t="str">
        <f t="shared" si="309"/>
        <v/>
      </c>
      <c r="R540" s="135" t="str">
        <f t="shared" ca="1" si="310"/>
        <v/>
      </c>
      <c r="S540" s="134" t="str">
        <f t="shared" ca="1" si="311"/>
        <v/>
      </c>
      <c r="T540" s="134" t="str">
        <f ca="1">IF(S540=Dashboard!$D$12,S540,"")</f>
        <v/>
      </c>
      <c r="U540" s="134" t="str">
        <f t="shared" ca="1" si="312"/>
        <v/>
      </c>
      <c r="V540" s="83" t="str">
        <f ca="1">IF(U540="","",IFERROR((RANK(U540,$U$2:$U$2028,1)+COUNTIF($U$2:U540,U540))-1,""))</f>
        <v/>
      </c>
      <c r="W540" s="134" t="str">
        <f t="shared" si="316"/>
        <v/>
      </c>
      <c r="X540" s="134" t="str">
        <f>IF(W540="","",IFERROR((RANK(W540,$W$2:$W$2028,1)+COUNTIF($W$2:W540,W540))-1,""))</f>
        <v/>
      </c>
      <c r="Y540" s="134" t="str">
        <f t="shared" si="313"/>
        <v/>
      </c>
      <c r="Z540" s="134" t="str">
        <f>IF(Y540="","",IFERROR((RANK(Y540,$Y$2:$Y$2028,1)+COUNTIF($Y$2:Y540,Y540))-1,""))</f>
        <v/>
      </c>
      <c r="AA540" s="134" t="str">
        <f t="shared" si="314"/>
        <v/>
      </c>
      <c r="AB540" s="134" t="str">
        <f>IF(AA540="","",IFERROR((RANK(AA540,$AA$2:$AA$2028,1)+COUNTIF($AA$2:AA540,AA540))-1,""))</f>
        <v/>
      </c>
      <c r="AC540" s="134" t="str">
        <f t="shared" si="315"/>
        <v/>
      </c>
      <c r="AD540" s="134" t="str">
        <f>IF(AC540="","",IFERROR((RANK(AC540,$AC$2:$AC$2028,1)+COUNTIF($AC$2:AC540,AC540))-1,""))</f>
        <v/>
      </c>
      <c r="AE540" s="144" t="str">
        <f t="shared" si="319"/>
        <v/>
      </c>
      <c r="AF540" s="144" t="str">
        <f>IF(AE540="","",SUM($AE$2:AE540))</f>
        <v/>
      </c>
    </row>
    <row r="541" spans="14:32" x14ac:dyDescent="0.35">
      <c r="N541" s="134" t="str">
        <f t="shared" si="317"/>
        <v/>
      </c>
      <c r="O541" s="82" t="str">
        <f t="shared" si="308"/>
        <v/>
      </c>
      <c r="P541" s="81" t="str">
        <f t="shared" si="318"/>
        <v/>
      </c>
      <c r="Q541" s="81" t="str">
        <f t="shared" si="309"/>
        <v/>
      </c>
      <c r="R541" s="135" t="str">
        <f t="shared" ca="1" si="310"/>
        <v/>
      </c>
      <c r="S541" s="134" t="str">
        <f t="shared" ca="1" si="311"/>
        <v/>
      </c>
      <c r="T541" s="134" t="str">
        <f ca="1">IF(S541=Dashboard!$D$12,S541,"")</f>
        <v/>
      </c>
      <c r="U541" s="134" t="str">
        <f t="shared" ca="1" si="312"/>
        <v/>
      </c>
      <c r="V541" s="83" t="str">
        <f ca="1">IF(U541="","",IFERROR((RANK(U541,$U$2:$U$2028,1)+COUNTIF($U$2:U541,U541))-1,""))</f>
        <v/>
      </c>
      <c r="W541" s="134" t="str">
        <f t="shared" si="316"/>
        <v/>
      </c>
      <c r="X541" s="134" t="str">
        <f>IF(W541="","",IFERROR((RANK(W541,$W$2:$W$2028,1)+COUNTIF($W$2:W541,W541))-1,""))</f>
        <v/>
      </c>
      <c r="Y541" s="134" t="str">
        <f t="shared" si="313"/>
        <v/>
      </c>
      <c r="Z541" s="134" t="str">
        <f>IF(Y541="","",IFERROR((RANK(Y541,$Y$2:$Y$2028,1)+COUNTIF($Y$2:Y541,Y541))-1,""))</f>
        <v/>
      </c>
      <c r="AA541" s="134" t="str">
        <f t="shared" si="314"/>
        <v/>
      </c>
      <c r="AB541" s="134" t="str">
        <f>IF(AA541="","",IFERROR((RANK(AA541,$AA$2:$AA$2028,1)+COUNTIF($AA$2:AA541,AA541))-1,""))</f>
        <v/>
      </c>
      <c r="AC541" s="134" t="str">
        <f t="shared" si="315"/>
        <v/>
      </c>
      <c r="AD541" s="134" t="str">
        <f>IF(AC541="","",IFERROR((RANK(AC541,$AC$2:$AC$2028,1)+COUNTIF($AC$2:AC541,AC541))-1,""))</f>
        <v/>
      </c>
      <c r="AE541" s="144" t="str">
        <f t="shared" si="319"/>
        <v/>
      </c>
      <c r="AF541" s="144" t="str">
        <f>IF(AE541="","",SUM($AE$2:AE541))</f>
        <v/>
      </c>
    </row>
    <row r="542" spans="14:32" x14ac:dyDescent="0.35">
      <c r="N542" s="134" t="str">
        <f t="shared" si="317"/>
        <v/>
      </c>
      <c r="O542" s="82" t="str">
        <f t="shared" ref="O542:O605" si="320">IF(A542="","",N542&amp;"-"&amp;M542)</f>
        <v/>
      </c>
      <c r="P542" s="81" t="str">
        <f t="shared" si="318"/>
        <v/>
      </c>
      <c r="Q542" s="81" t="str">
        <f t="shared" ref="Q542:Q605" si="321">IF(A542="","",IF(P542=1,M542,""))</f>
        <v/>
      </c>
      <c r="R542" s="135" t="str">
        <f t="shared" ref="R542:R605" ca="1" si="322">IF(Q542="","",I542-TODAY())</f>
        <v/>
      </c>
      <c r="S542" s="134" t="str">
        <f t="shared" ref="S542:S605" ca="1" si="323">IF(R542="","",
IF(R542&lt;-90,"Pass&gt;90",IF(R542&lt;-60,"Pass 61-90",IF(R542&lt;-30,"Pass 31-60",IF(R542&lt;0,"Pass 0-30",IF(R542&lt;31,"Run 0-30",IF(R542&lt;61,"Run 31-60",IF(R542&lt;91,"Run 60-90","Run &gt;90"))))))))</f>
        <v/>
      </c>
      <c r="T542" s="134" t="str">
        <f ca="1">IF(S542=Dashboard!$D$12,S542,"")</f>
        <v/>
      </c>
      <c r="U542" s="134" t="str">
        <f t="shared" ref="U542:U605" ca="1" si="324">IF(T542="","",R542)</f>
        <v/>
      </c>
      <c r="V542" s="83" t="str">
        <f ca="1">IF(U542="","",IFERROR((RANK(U542,$U$2:$U$2028,1)+COUNTIF($U$2:U542,U542))-1,""))</f>
        <v/>
      </c>
      <c r="W542" s="134" t="str">
        <f t="shared" si="316"/>
        <v/>
      </c>
      <c r="X542" s="134" t="str">
        <f>IF(W542="","",IFERROR((RANK(W542,$W$2:$W$2028,1)+COUNTIF($W$2:W542,W542))-1,""))</f>
        <v/>
      </c>
      <c r="Y542" s="134" t="str">
        <f t="shared" ref="Y542:Y605" si="325">IF($J542=Y$1,$U542,"")</f>
        <v/>
      </c>
      <c r="Z542" s="134" t="str">
        <f>IF(Y542="","",IFERROR((RANK(Y542,$Y$2:$Y$2028,1)+COUNTIF($Y$2:Y542,Y542))-1,""))</f>
        <v/>
      </c>
      <c r="AA542" s="134" t="str">
        <f t="shared" ref="AA542:AA605" si="326">IF($J542=AA$1,$U542,"")</f>
        <v/>
      </c>
      <c r="AB542" s="134" t="str">
        <f>IF(AA542="","",IFERROR((RANK(AA542,$AA$2:$AA$2028,1)+COUNTIF($AA$2:AA542,AA542))-1,""))</f>
        <v/>
      </c>
      <c r="AC542" s="134" t="str">
        <f t="shared" ref="AC542:AC605" si="327">IF($J542=AC$1,$U542,"")</f>
        <v/>
      </c>
      <c r="AD542" s="134" t="str">
        <f>IF(AC542="","",IFERROR((RANK(AC542,$AC$2:$AC$2028,1)+COUNTIF($AC$2:AC542,AC542))-1,""))</f>
        <v/>
      </c>
      <c r="AE542" s="144" t="str">
        <f t="shared" si="319"/>
        <v/>
      </c>
      <c r="AF542" s="144" t="str">
        <f>IF(AE542="","",SUM($AE$2:AE542))</f>
        <v/>
      </c>
    </row>
    <row r="543" spans="14:32" x14ac:dyDescent="0.35">
      <c r="N543" s="134" t="str">
        <f t="shared" si="317"/>
        <v/>
      </c>
      <c r="O543" s="82" t="str">
        <f t="shared" si="320"/>
        <v/>
      </c>
      <c r="P543" s="81" t="str">
        <f t="shared" si="318"/>
        <v/>
      </c>
      <c r="Q543" s="81" t="str">
        <f t="shared" si="321"/>
        <v/>
      </c>
      <c r="R543" s="135" t="str">
        <f t="shared" ca="1" si="322"/>
        <v/>
      </c>
      <c r="S543" s="134" t="str">
        <f t="shared" ca="1" si="323"/>
        <v/>
      </c>
      <c r="T543" s="134" t="str">
        <f ca="1">IF(S543=Dashboard!$D$12,S543,"")</f>
        <v/>
      </c>
      <c r="U543" s="134" t="str">
        <f t="shared" ca="1" si="324"/>
        <v/>
      </c>
      <c r="V543" s="83" t="str">
        <f ca="1">IF(U543="","",IFERROR((RANK(U543,$U$2:$U$2028,1)+COUNTIF($U$2:U543,U543))-1,""))</f>
        <v/>
      </c>
      <c r="W543" s="134" t="str">
        <f t="shared" ref="W543:W606" si="328">IF($J543=$W$1,U543,"")</f>
        <v/>
      </c>
      <c r="X543" s="134" t="str">
        <f>IF(W543="","",IFERROR((RANK(W543,$W$2:$W$2028,1)+COUNTIF($W$2:W543,W543))-1,""))</f>
        <v/>
      </c>
      <c r="Y543" s="134" t="str">
        <f t="shared" si="325"/>
        <v/>
      </c>
      <c r="Z543" s="134" t="str">
        <f>IF(Y543="","",IFERROR((RANK(Y543,$Y$2:$Y$2028,1)+COUNTIF($Y$2:Y543,Y543))-1,""))</f>
        <v/>
      </c>
      <c r="AA543" s="134" t="str">
        <f t="shared" si="326"/>
        <v/>
      </c>
      <c r="AB543" s="134" t="str">
        <f>IF(AA543="","",IFERROR((RANK(AA543,$AA$2:$AA$2028,1)+COUNTIF($AA$2:AA543,AA543))-1,""))</f>
        <v/>
      </c>
      <c r="AC543" s="134" t="str">
        <f t="shared" si="327"/>
        <v/>
      </c>
      <c r="AD543" s="134" t="str">
        <f>IF(AC543="","",IFERROR((RANK(AC543,$AC$2:$AC$2028,1)+COUNTIF($AC$2:AC543,AC543))-1,""))</f>
        <v/>
      </c>
      <c r="AE543" s="144" t="str">
        <f t="shared" si="319"/>
        <v/>
      </c>
      <c r="AF543" s="144" t="str">
        <f>IF(AE543="","",SUM($AE$2:AE543))</f>
        <v/>
      </c>
    </row>
    <row r="544" spans="14:32" x14ac:dyDescent="0.35">
      <c r="N544" s="134" t="str">
        <f t="shared" si="317"/>
        <v/>
      </c>
      <c r="O544" s="82" t="str">
        <f t="shared" si="320"/>
        <v/>
      </c>
      <c r="P544" s="81" t="str">
        <f t="shared" si="318"/>
        <v/>
      </c>
      <c r="Q544" s="81" t="str">
        <f t="shared" si="321"/>
        <v/>
      </c>
      <c r="R544" s="135" t="str">
        <f t="shared" ca="1" si="322"/>
        <v/>
      </c>
      <c r="S544" s="134" t="str">
        <f t="shared" ca="1" si="323"/>
        <v/>
      </c>
      <c r="T544" s="134" t="str">
        <f ca="1">IF(S544=Dashboard!$D$12,S544,"")</f>
        <v/>
      </c>
      <c r="U544" s="134" t="str">
        <f t="shared" ca="1" si="324"/>
        <v/>
      </c>
      <c r="V544" s="83" t="str">
        <f ca="1">IF(U544="","",IFERROR((RANK(U544,$U$2:$U$2028,1)+COUNTIF($U$2:U544,U544))-1,""))</f>
        <v/>
      </c>
      <c r="W544" s="134" t="str">
        <f t="shared" si="328"/>
        <v/>
      </c>
      <c r="X544" s="134" t="str">
        <f>IF(W544="","",IFERROR((RANK(W544,$W$2:$W$2028,1)+COUNTIF($W$2:W544,W544))-1,""))</f>
        <v/>
      </c>
      <c r="Y544" s="134" t="str">
        <f t="shared" si="325"/>
        <v/>
      </c>
      <c r="Z544" s="134" t="str">
        <f>IF(Y544="","",IFERROR((RANK(Y544,$Y$2:$Y$2028,1)+COUNTIF($Y$2:Y544,Y544))-1,""))</f>
        <v/>
      </c>
      <c r="AA544" s="134" t="str">
        <f t="shared" si="326"/>
        <v/>
      </c>
      <c r="AB544" s="134" t="str">
        <f>IF(AA544="","",IFERROR((RANK(AA544,$AA$2:$AA$2028,1)+COUNTIF($AA$2:AA544,AA544))-1,""))</f>
        <v/>
      </c>
      <c r="AC544" s="134" t="str">
        <f t="shared" si="327"/>
        <v/>
      </c>
      <c r="AD544" s="134" t="str">
        <f>IF(AC544="","",IFERROR((RANK(AC544,$AC$2:$AC$2028,1)+COUNTIF($AC$2:AC544,AC544))-1,""))</f>
        <v/>
      </c>
      <c r="AE544" s="144" t="str">
        <f t="shared" si="319"/>
        <v/>
      </c>
      <c r="AF544" s="144" t="str">
        <f>IF(AE544="","",SUM($AE$2:AE544))</f>
        <v/>
      </c>
    </row>
    <row r="545" spans="14:32" x14ac:dyDescent="0.35">
      <c r="N545" s="134" t="str">
        <f t="shared" si="317"/>
        <v/>
      </c>
      <c r="O545" s="82" t="str">
        <f t="shared" si="320"/>
        <v/>
      </c>
      <c r="P545" s="81" t="str">
        <f t="shared" si="318"/>
        <v/>
      </c>
      <c r="Q545" s="81" t="str">
        <f t="shared" si="321"/>
        <v/>
      </c>
      <c r="R545" s="135" t="str">
        <f t="shared" ca="1" si="322"/>
        <v/>
      </c>
      <c r="S545" s="134" t="str">
        <f t="shared" ca="1" si="323"/>
        <v/>
      </c>
      <c r="T545" s="134" t="str">
        <f ca="1">IF(S545=Dashboard!$D$12,S545,"")</f>
        <v/>
      </c>
      <c r="U545" s="134" t="str">
        <f t="shared" ca="1" si="324"/>
        <v/>
      </c>
      <c r="V545" s="83" t="str">
        <f ca="1">IF(U545="","",IFERROR((RANK(U545,$U$2:$U$2028,1)+COUNTIF($U$2:U545,U545))-1,""))</f>
        <v/>
      </c>
      <c r="W545" s="134" t="str">
        <f t="shared" si="328"/>
        <v/>
      </c>
      <c r="X545" s="134" t="str">
        <f>IF(W545="","",IFERROR((RANK(W545,$W$2:$W$2028,1)+COUNTIF($W$2:W545,W545))-1,""))</f>
        <v/>
      </c>
      <c r="Y545" s="134" t="str">
        <f t="shared" si="325"/>
        <v/>
      </c>
      <c r="Z545" s="134" t="str">
        <f>IF(Y545="","",IFERROR((RANK(Y545,$Y$2:$Y$2028,1)+COUNTIF($Y$2:Y545,Y545))-1,""))</f>
        <v/>
      </c>
      <c r="AA545" s="134" t="str">
        <f t="shared" si="326"/>
        <v/>
      </c>
      <c r="AB545" s="134" t="str">
        <f>IF(AA545="","",IFERROR((RANK(AA545,$AA$2:$AA$2028,1)+COUNTIF($AA$2:AA545,AA545))-1,""))</f>
        <v/>
      </c>
      <c r="AC545" s="134" t="str">
        <f t="shared" si="327"/>
        <v/>
      </c>
      <c r="AD545" s="134" t="str">
        <f>IF(AC545="","",IFERROR((RANK(AC545,$AC$2:$AC$2028,1)+COUNTIF($AC$2:AC545,AC545))-1,""))</f>
        <v/>
      </c>
      <c r="AE545" s="144" t="str">
        <f t="shared" si="319"/>
        <v/>
      </c>
      <c r="AF545" s="144" t="str">
        <f>IF(AE545="","",SUM($AE$2:AE545))</f>
        <v/>
      </c>
    </row>
    <row r="546" spans="14:32" x14ac:dyDescent="0.35">
      <c r="N546" s="134" t="str">
        <f t="shared" si="317"/>
        <v/>
      </c>
      <c r="O546" s="82" t="str">
        <f t="shared" si="320"/>
        <v/>
      </c>
      <c r="P546" s="81" t="str">
        <f t="shared" si="318"/>
        <v/>
      </c>
      <c r="Q546" s="81" t="str">
        <f t="shared" si="321"/>
        <v/>
      </c>
      <c r="R546" s="135" t="str">
        <f t="shared" ca="1" si="322"/>
        <v/>
      </c>
      <c r="S546" s="134" t="str">
        <f t="shared" ca="1" si="323"/>
        <v/>
      </c>
      <c r="T546" s="134" t="str">
        <f ca="1">IF(S546=Dashboard!$D$12,S546,"")</f>
        <v/>
      </c>
      <c r="U546" s="134" t="str">
        <f t="shared" ca="1" si="324"/>
        <v/>
      </c>
      <c r="V546" s="83" t="str">
        <f ca="1">IF(U546="","",IFERROR((RANK(U546,$U$2:$U$2028,1)+COUNTIF($U$2:U546,U546))-1,""))</f>
        <v/>
      </c>
      <c r="W546" s="134" t="str">
        <f t="shared" si="328"/>
        <v/>
      </c>
      <c r="X546" s="134" t="str">
        <f>IF(W546="","",IFERROR((RANK(W546,$W$2:$W$2028,1)+COUNTIF($W$2:W546,W546))-1,""))</f>
        <v/>
      </c>
      <c r="Y546" s="134" t="str">
        <f t="shared" si="325"/>
        <v/>
      </c>
      <c r="Z546" s="134" t="str">
        <f>IF(Y546="","",IFERROR((RANK(Y546,$Y$2:$Y$2028,1)+COUNTIF($Y$2:Y546,Y546))-1,""))</f>
        <v/>
      </c>
      <c r="AA546" s="134" t="str">
        <f t="shared" si="326"/>
        <v/>
      </c>
      <c r="AB546" s="134" t="str">
        <f>IF(AA546="","",IFERROR((RANK(AA546,$AA$2:$AA$2028,1)+COUNTIF($AA$2:AA546,AA546))-1,""))</f>
        <v/>
      </c>
      <c r="AC546" s="134" t="str">
        <f t="shared" si="327"/>
        <v/>
      </c>
      <c r="AD546" s="134" t="str">
        <f>IF(AC546="","",IFERROR((RANK(AC546,$AC$2:$AC$2028,1)+COUNTIF($AC$2:AC546,AC546))-1,""))</f>
        <v/>
      </c>
      <c r="AE546" s="144" t="str">
        <f t="shared" si="319"/>
        <v/>
      </c>
      <c r="AF546" s="144" t="str">
        <f>IF(AE546="","",SUM($AE$2:AE546))</f>
        <v/>
      </c>
    </row>
    <row r="547" spans="14:32" x14ac:dyDescent="0.35">
      <c r="N547" s="134" t="str">
        <f t="shared" si="317"/>
        <v/>
      </c>
      <c r="O547" s="82" t="str">
        <f t="shared" si="320"/>
        <v/>
      </c>
      <c r="P547" s="81" t="str">
        <f t="shared" si="318"/>
        <v/>
      </c>
      <c r="Q547" s="81" t="str">
        <f t="shared" si="321"/>
        <v/>
      </c>
      <c r="R547" s="135" t="str">
        <f t="shared" ca="1" si="322"/>
        <v/>
      </c>
      <c r="S547" s="134" t="str">
        <f t="shared" ca="1" si="323"/>
        <v/>
      </c>
      <c r="T547" s="134" t="str">
        <f ca="1">IF(S547=Dashboard!$D$12,S547,"")</f>
        <v/>
      </c>
      <c r="U547" s="134" t="str">
        <f t="shared" ca="1" si="324"/>
        <v/>
      </c>
      <c r="V547" s="83" t="str">
        <f ca="1">IF(U547="","",IFERROR((RANK(U547,$U$2:$U$2028,1)+COUNTIF($U$2:U547,U547))-1,""))</f>
        <v/>
      </c>
      <c r="W547" s="134" t="str">
        <f t="shared" si="328"/>
        <v/>
      </c>
      <c r="X547" s="134" t="str">
        <f>IF(W547="","",IFERROR((RANK(W547,$W$2:$W$2028,1)+COUNTIF($W$2:W547,W547))-1,""))</f>
        <v/>
      </c>
      <c r="Y547" s="134" t="str">
        <f t="shared" si="325"/>
        <v/>
      </c>
      <c r="Z547" s="134" t="str">
        <f>IF(Y547="","",IFERROR((RANK(Y547,$Y$2:$Y$2028,1)+COUNTIF($Y$2:Y547,Y547))-1,""))</f>
        <v/>
      </c>
      <c r="AA547" s="134" t="str">
        <f t="shared" si="326"/>
        <v/>
      </c>
      <c r="AB547" s="134" t="str">
        <f>IF(AA547="","",IFERROR((RANK(AA547,$AA$2:$AA$2028,1)+COUNTIF($AA$2:AA547,AA547))-1,""))</f>
        <v/>
      </c>
      <c r="AC547" s="134" t="str">
        <f t="shared" si="327"/>
        <v/>
      </c>
      <c r="AD547" s="134" t="str">
        <f>IF(AC547="","",IFERROR((RANK(AC547,$AC$2:$AC$2028,1)+COUNTIF($AC$2:AC547,AC547))-1,""))</f>
        <v/>
      </c>
      <c r="AE547" s="144" t="str">
        <f t="shared" si="319"/>
        <v/>
      </c>
      <c r="AF547" s="144" t="str">
        <f>IF(AE547="","",SUM($AE$2:AE547))</f>
        <v/>
      </c>
    </row>
    <row r="548" spans="14:32" x14ac:dyDescent="0.35">
      <c r="N548" s="134" t="str">
        <f t="shared" si="317"/>
        <v/>
      </c>
      <c r="O548" s="82" t="str">
        <f t="shared" si="320"/>
        <v/>
      </c>
      <c r="P548" s="81" t="str">
        <f t="shared" si="318"/>
        <v/>
      </c>
      <c r="Q548" s="81" t="str">
        <f t="shared" si="321"/>
        <v/>
      </c>
      <c r="R548" s="135" t="str">
        <f t="shared" ca="1" si="322"/>
        <v/>
      </c>
      <c r="S548" s="134" t="str">
        <f t="shared" ca="1" si="323"/>
        <v/>
      </c>
      <c r="T548" s="134" t="str">
        <f ca="1">IF(S548=Dashboard!$D$12,S548,"")</f>
        <v/>
      </c>
      <c r="U548" s="134" t="str">
        <f t="shared" ca="1" si="324"/>
        <v/>
      </c>
      <c r="V548" s="83" t="str">
        <f ca="1">IF(U548="","",IFERROR((RANK(U548,$U$2:$U$2028,1)+COUNTIF($U$2:U548,U548))-1,""))</f>
        <v/>
      </c>
      <c r="W548" s="134" t="str">
        <f t="shared" si="328"/>
        <v/>
      </c>
      <c r="X548" s="134" t="str">
        <f>IF(W548="","",IFERROR((RANK(W548,$W$2:$W$2028,1)+COUNTIF($W$2:W548,W548))-1,""))</f>
        <v/>
      </c>
      <c r="Y548" s="134" t="str">
        <f t="shared" si="325"/>
        <v/>
      </c>
      <c r="Z548" s="134" t="str">
        <f>IF(Y548="","",IFERROR((RANK(Y548,$Y$2:$Y$2028,1)+COUNTIF($Y$2:Y548,Y548))-1,""))</f>
        <v/>
      </c>
      <c r="AA548" s="134" t="str">
        <f t="shared" si="326"/>
        <v/>
      </c>
      <c r="AB548" s="134" t="str">
        <f>IF(AA548="","",IFERROR((RANK(AA548,$AA$2:$AA$2028,1)+COUNTIF($AA$2:AA548,AA548))-1,""))</f>
        <v/>
      </c>
      <c r="AC548" s="134" t="str">
        <f t="shared" si="327"/>
        <v/>
      </c>
      <c r="AD548" s="134" t="str">
        <f>IF(AC548="","",IFERROR((RANK(AC548,$AC$2:$AC$2028,1)+COUNTIF($AC$2:AC548,AC548))-1,""))</f>
        <v/>
      </c>
      <c r="AE548" s="144" t="str">
        <f t="shared" si="319"/>
        <v/>
      </c>
      <c r="AF548" s="144" t="str">
        <f>IF(AE548="","",SUM($AE$2:AE548))</f>
        <v/>
      </c>
    </row>
    <row r="549" spans="14:32" x14ac:dyDescent="0.35">
      <c r="N549" s="134" t="str">
        <f t="shared" si="317"/>
        <v/>
      </c>
      <c r="O549" s="82" t="str">
        <f t="shared" si="320"/>
        <v/>
      </c>
      <c r="P549" s="81" t="str">
        <f t="shared" si="318"/>
        <v/>
      </c>
      <c r="Q549" s="81" t="str">
        <f t="shared" si="321"/>
        <v/>
      </c>
      <c r="R549" s="135" t="str">
        <f t="shared" ca="1" si="322"/>
        <v/>
      </c>
      <c r="S549" s="134" t="str">
        <f t="shared" ca="1" si="323"/>
        <v/>
      </c>
      <c r="T549" s="134" t="str">
        <f ca="1">IF(S549=Dashboard!$D$12,S549,"")</f>
        <v/>
      </c>
      <c r="U549" s="134" t="str">
        <f t="shared" ca="1" si="324"/>
        <v/>
      </c>
      <c r="V549" s="83" t="str">
        <f ca="1">IF(U549="","",IFERROR((RANK(U549,$U$2:$U$2028,1)+COUNTIF($U$2:U549,U549))-1,""))</f>
        <v/>
      </c>
      <c r="W549" s="134" t="str">
        <f t="shared" si="328"/>
        <v/>
      </c>
      <c r="X549" s="134" t="str">
        <f>IF(W549="","",IFERROR((RANK(W549,$W$2:$W$2028,1)+COUNTIF($W$2:W549,W549))-1,""))</f>
        <v/>
      </c>
      <c r="Y549" s="134" t="str">
        <f t="shared" si="325"/>
        <v/>
      </c>
      <c r="Z549" s="134" t="str">
        <f>IF(Y549="","",IFERROR((RANK(Y549,$Y$2:$Y$2028,1)+COUNTIF($Y$2:Y549,Y549))-1,""))</f>
        <v/>
      </c>
      <c r="AA549" s="134" t="str">
        <f t="shared" si="326"/>
        <v/>
      </c>
      <c r="AB549" s="134" t="str">
        <f>IF(AA549="","",IFERROR((RANK(AA549,$AA$2:$AA$2028,1)+COUNTIF($AA$2:AA549,AA549))-1,""))</f>
        <v/>
      </c>
      <c r="AC549" s="134" t="str">
        <f t="shared" si="327"/>
        <v/>
      </c>
      <c r="AD549" s="134" t="str">
        <f>IF(AC549="","",IFERROR((RANK(AC549,$AC$2:$AC$2028,1)+COUNTIF($AC$2:AC549,AC549))-1,""))</f>
        <v/>
      </c>
      <c r="AE549" s="144" t="str">
        <f t="shared" si="319"/>
        <v/>
      </c>
      <c r="AF549" s="144" t="str">
        <f>IF(AE549="","",SUM($AE$2:AE549))</f>
        <v/>
      </c>
    </row>
    <row r="550" spans="14:32" x14ac:dyDescent="0.35">
      <c r="N550" s="134" t="str">
        <f t="shared" si="317"/>
        <v/>
      </c>
      <c r="O550" s="82" t="str">
        <f t="shared" si="320"/>
        <v/>
      </c>
      <c r="P550" s="81" t="str">
        <f t="shared" si="318"/>
        <v/>
      </c>
      <c r="Q550" s="81" t="str">
        <f t="shared" si="321"/>
        <v/>
      </c>
      <c r="R550" s="135" t="str">
        <f t="shared" ca="1" si="322"/>
        <v/>
      </c>
      <c r="S550" s="134" t="str">
        <f t="shared" ca="1" si="323"/>
        <v/>
      </c>
      <c r="T550" s="134" t="str">
        <f ca="1">IF(S550=Dashboard!$D$12,S550,"")</f>
        <v/>
      </c>
      <c r="U550" s="134" t="str">
        <f t="shared" ca="1" si="324"/>
        <v/>
      </c>
      <c r="V550" s="83" t="str">
        <f ca="1">IF(U550="","",IFERROR((RANK(U550,$U$2:$U$2028,1)+COUNTIF($U$2:U550,U550))-1,""))</f>
        <v/>
      </c>
      <c r="W550" s="134" t="str">
        <f t="shared" si="328"/>
        <v/>
      </c>
      <c r="X550" s="134" t="str">
        <f>IF(W550="","",IFERROR((RANK(W550,$W$2:$W$2028,1)+COUNTIF($W$2:W550,W550))-1,""))</f>
        <v/>
      </c>
      <c r="Y550" s="134" t="str">
        <f t="shared" si="325"/>
        <v/>
      </c>
      <c r="Z550" s="134" t="str">
        <f>IF(Y550="","",IFERROR((RANK(Y550,$Y$2:$Y$2028,1)+COUNTIF($Y$2:Y550,Y550))-1,""))</f>
        <v/>
      </c>
      <c r="AA550" s="134" t="str">
        <f t="shared" si="326"/>
        <v/>
      </c>
      <c r="AB550" s="134" t="str">
        <f>IF(AA550="","",IFERROR((RANK(AA550,$AA$2:$AA$2028,1)+COUNTIF($AA$2:AA550,AA550))-1,""))</f>
        <v/>
      </c>
      <c r="AC550" s="134" t="str">
        <f t="shared" si="327"/>
        <v/>
      </c>
      <c r="AD550" s="134" t="str">
        <f>IF(AC550="","",IFERROR((RANK(AC550,$AC$2:$AC$2028,1)+COUNTIF($AC$2:AC550,AC550))-1,""))</f>
        <v/>
      </c>
      <c r="AE550" s="144" t="str">
        <f t="shared" si="319"/>
        <v/>
      </c>
      <c r="AF550" s="144" t="str">
        <f>IF(AE550="","",SUM($AE$2:AE550))</f>
        <v/>
      </c>
    </row>
    <row r="551" spans="14:32" x14ac:dyDescent="0.35">
      <c r="N551" s="134" t="str">
        <f t="shared" si="317"/>
        <v/>
      </c>
      <c r="O551" s="82" t="str">
        <f t="shared" si="320"/>
        <v/>
      </c>
      <c r="P551" s="81" t="str">
        <f t="shared" si="318"/>
        <v/>
      </c>
      <c r="Q551" s="81" t="str">
        <f t="shared" si="321"/>
        <v/>
      </c>
      <c r="R551" s="135" t="str">
        <f t="shared" ca="1" si="322"/>
        <v/>
      </c>
      <c r="S551" s="134" t="str">
        <f t="shared" ca="1" si="323"/>
        <v/>
      </c>
      <c r="T551" s="134" t="str">
        <f ca="1">IF(S551=Dashboard!$D$12,S551,"")</f>
        <v/>
      </c>
      <c r="U551" s="134" t="str">
        <f t="shared" ca="1" si="324"/>
        <v/>
      </c>
      <c r="V551" s="83" t="str">
        <f ca="1">IF(U551="","",IFERROR((RANK(U551,$U$2:$U$2028,1)+COUNTIF($U$2:U551,U551))-1,""))</f>
        <v/>
      </c>
      <c r="W551" s="134" t="str">
        <f t="shared" si="328"/>
        <v/>
      </c>
      <c r="X551" s="134" t="str">
        <f>IF(W551="","",IFERROR((RANK(W551,$W$2:$W$2028,1)+COUNTIF($W$2:W551,W551))-1,""))</f>
        <v/>
      </c>
      <c r="Y551" s="134" t="str">
        <f t="shared" si="325"/>
        <v/>
      </c>
      <c r="Z551" s="134" t="str">
        <f>IF(Y551="","",IFERROR((RANK(Y551,$Y$2:$Y$2028,1)+COUNTIF($Y$2:Y551,Y551))-1,""))</f>
        <v/>
      </c>
      <c r="AA551" s="134" t="str">
        <f t="shared" si="326"/>
        <v/>
      </c>
      <c r="AB551" s="134" t="str">
        <f>IF(AA551="","",IFERROR((RANK(AA551,$AA$2:$AA$2028,1)+COUNTIF($AA$2:AA551,AA551))-1,""))</f>
        <v/>
      </c>
      <c r="AC551" s="134" t="str">
        <f t="shared" si="327"/>
        <v/>
      </c>
      <c r="AD551" s="134" t="str">
        <f>IF(AC551="","",IFERROR((RANK(AC551,$AC$2:$AC$2028,1)+COUNTIF($AC$2:AC551,AC551))-1,""))</f>
        <v/>
      </c>
      <c r="AE551" s="144" t="str">
        <f t="shared" si="319"/>
        <v/>
      </c>
      <c r="AF551" s="144" t="str">
        <f>IF(AE551="","",SUM($AE$2:AE551))</f>
        <v/>
      </c>
    </row>
    <row r="552" spans="14:32" x14ac:dyDescent="0.35">
      <c r="N552" s="134" t="str">
        <f t="shared" si="317"/>
        <v/>
      </c>
      <c r="O552" s="82" t="str">
        <f t="shared" si="320"/>
        <v/>
      </c>
      <c r="P552" s="81" t="str">
        <f t="shared" si="318"/>
        <v/>
      </c>
      <c r="Q552" s="81" t="str">
        <f t="shared" si="321"/>
        <v/>
      </c>
      <c r="R552" s="135" t="str">
        <f t="shared" ca="1" si="322"/>
        <v/>
      </c>
      <c r="S552" s="134" t="str">
        <f t="shared" ca="1" si="323"/>
        <v/>
      </c>
      <c r="T552" s="134" t="str">
        <f ca="1">IF(S552=Dashboard!$D$12,S552,"")</f>
        <v/>
      </c>
      <c r="U552" s="134" t="str">
        <f t="shared" ca="1" si="324"/>
        <v/>
      </c>
      <c r="V552" s="83" t="str">
        <f ca="1">IF(U552="","",IFERROR((RANK(U552,$U$2:$U$2028,1)+COUNTIF($U$2:U552,U552))-1,""))</f>
        <v/>
      </c>
      <c r="W552" s="134" t="str">
        <f t="shared" si="328"/>
        <v/>
      </c>
      <c r="X552" s="134" t="str">
        <f>IF(W552="","",IFERROR((RANK(W552,$W$2:$W$2028,1)+COUNTIF($W$2:W552,W552))-1,""))</f>
        <v/>
      </c>
      <c r="Y552" s="134" t="str">
        <f t="shared" si="325"/>
        <v/>
      </c>
      <c r="Z552" s="134" t="str">
        <f>IF(Y552="","",IFERROR((RANK(Y552,$Y$2:$Y$2028,1)+COUNTIF($Y$2:Y552,Y552))-1,""))</f>
        <v/>
      </c>
      <c r="AA552" s="134" t="str">
        <f t="shared" si="326"/>
        <v/>
      </c>
      <c r="AB552" s="134" t="str">
        <f>IF(AA552="","",IFERROR((RANK(AA552,$AA$2:$AA$2028,1)+COUNTIF($AA$2:AA552,AA552))-1,""))</f>
        <v/>
      </c>
      <c r="AC552" s="134" t="str">
        <f t="shared" si="327"/>
        <v/>
      </c>
      <c r="AD552" s="134" t="str">
        <f>IF(AC552="","",IFERROR((RANK(AC552,$AC$2:$AC$2028,1)+COUNTIF($AC$2:AC552,AC552))-1,""))</f>
        <v/>
      </c>
      <c r="AE552" s="144" t="str">
        <f t="shared" si="319"/>
        <v/>
      </c>
      <c r="AF552" s="144" t="str">
        <f>IF(AE552="","",SUM($AE$2:AE552))</f>
        <v/>
      </c>
    </row>
    <row r="553" spans="14:32" x14ac:dyDescent="0.35">
      <c r="N553" s="134" t="str">
        <f t="shared" si="317"/>
        <v/>
      </c>
      <c r="O553" s="82" t="str">
        <f t="shared" si="320"/>
        <v/>
      </c>
      <c r="P553" s="81" t="str">
        <f t="shared" si="318"/>
        <v/>
      </c>
      <c r="Q553" s="81" t="str">
        <f t="shared" si="321"/>
        <v/>
      </c>
      <c r="R553" s="135" t="str">
        <f t="shared" ca="1" si="322"/>
        <v/>
      </c>
      <c r="S553" s="134" t="str">
        <f t="shared" ca="1" si="323"/>
        <v/>
      </c>
      <c r="T553" s="134" t="str">
        <f ca="1">IF(S553=Dashboard!$D$12,S553,"")</f>
        <v/>
      </c>
      <c r="U553" s="134" t="str">
        <f t="shared" ca="1" si="324"/>
        <v/>
      </c>
      <c r="V553" s="83" t="str">
        <f ca="1">IF(U553="","",IFERROR((RANK(U553,$U$2:$U$2028,1)+COUNTIF($U$2:U553,U553))-1,""))</f>
        <v/>
      </c>
      <c r="W553" s="134" t="str">
        <f t="shared" si="328"/>
        <v/>
      </c>
      <c r="X553" s="134" t="str">
        <f>IF(W553="","",IFERROR((RANK(W553,$W$2:$W$2028,1)+COUNTIF($W$2:W553,W553))-1,""))</f>
        <v/>
      </c>
      <c r="Y553" s="134" t="str">
        <f t="shared" si="325"/>
        <v/>
      </c>
      <c r="Z553" s="134" t="str">
        <f>IF(Y553="","",IFERROR((RANK(Y553,$Y$2:$Y$2028,1)+COUNTIF($Y$2:Y553,Y553))-1,""))</f>
        <v/>
      </c>
      <c r="AA553" s="134" t="str">
        <f t="shared" si="326"/>
        <v/>
      </c>
      <c r="AB553" s="134" t="str">
        <f>IF(AA553="","",IFERROR((RANK(AA553,$AA$2:$AA$2028,1)+COUNTIF($AA$2:AA553,AA553))-1,""))</f>
        <v/>
      </c>
      <c r="AC553" s="134" t="str">
        <f t="shared" si="327"/>
        <v/>
      </c>
      <c r="AD553" s="134" t="str">
        <f>IF(AC553="","",IFERROR((RANK(AC553,$AC$2:$AC$2028,1)+COUNTIF($AC$2:AC553,AC553))-1,""))</f>
        <v/>
      </c>
      <c r="AE553" s="144" t="str">
        <f t="shared" si="319"/>
        <v/>
      </c>
      <c r="AF553" s="144" t="str">
        <f>IF(AE553="","",SUM($AE$2:AE553))</f>
        <v/>
      </c>
    </row>
    <row r="554" spans="14:32" x14ac:dyDescent="0.35">
      <c r="N554" s="134" t="str">
        <f t="shared" si="317"/>
        <v/>
      </c>
      <c r="O554" s="82" t="str">
        <f t="shared" si="320"/>
        <v/>
      </c>
      <c r="P554" s="81" t="str">
        <f t="shared" si="318"/>
        <v/>
      </c>
      <c r="Q554" s="81" t="str">
        <f t="shared" si="321"/>
        <v/>
      </c>
      <c r="R554" s="135" t="str">
        <f t="shared" ca="1" si="322"/>
        <v/>
      </c>
      <c r="S554" s="134" t="str">
        <f t="shared" ca="1" si="323"/>
        <v/>
      </c>
      <c r="T554" s="134" t="str">
        <f ca="1">IF(S554=Dashboard!$D$12,S554,"")</f>
        <v/>
      </c>
      <c r="U554" s="134" t="str">
        <f t="shared" ca="1" si="324"/>
        <v/>
      </c>
      <c r="V554" s="83" t="str">
        <f ca="1">IF(U554="","",IFERROR((RANK(U554,$U$2:$U$2028,1)+COUNTIF($U$2:U554,U554))-1,""))</f>
        <v/>
      </c>
      <c r="W554" s="134" t="str">
        <f t="shared" si="328"/>
        <v/>
      </c>
      <c r="X554" s="134" t="str">
        <f>IF(W554="","",IFERROR((RANK(W554,$W$2:$W$2028,1)+COUNTIF($W$2:W554,W554))-1,""))</f>
        <v/>
      </c>
      <c r="Y554" s="134" t="str">
        <f t="shared" si="325"/>
        <v/>
      </c>
      <c r="Z554" s="134" t="str">
        <f>IF(Y554="","",IFERROR((RANK(Y554,$Y$2:$Y$2028,1)+COUNTIF($Y$2:Y554,Y554))-1,""))</f>
        <v/>
      </c>
      <c r="AA554" s="134" t="str">
        <f t="shared" si="326"/>
        <v/>
      </c>
      <c r="AB554" s="134" t="str">
        <f>IF(AA554="","",IFERROR((RANK(AA554,$AA$2:$AA$2028,1)+COUNTIF($AA$2:AA554,AA554))-1,""))</f>
        <v/>
      </c>
      <c r="AC554" s="134" t="str">
        <f t="shared" si="327"/>
        <v/>
      </c>
      <c r="AD554" s="134" t="str">
        <f>IF(AC554="","",IFERROR((RANK(AC554,$AC$2:$AC$2028,1)+COUNTIF($AC$2:AC554,AC554))-1,""))</f>
        <v/>
      </c>
      <c r="AE554" s="144" t="str">
        <f t="shared" si="319"/>
        <v/>
      </c>
      <c r="AF554" s="144" t="str">
        <f>IF(AE554="","",SUM($AE$2:AE554))</f>
        <v/>
      </c>
    </row>
    <row r="555" spans="14:32" x14ac:dyDescent="0.35">
      <c r="N555" s="134" t="str">
        <f t="shared" si="317"/>
        <v/>
      </c>
      <c r="O555" s="82" t="str">
        <f t="shared" si="320"/>
        <v/>
      </c>
      <c r="P555" s="81" t="str">
        <f t="shared" si="318"/>
        <v/>
      </c>
      <c r="Q555" s="81" t="str">
        <f t="shared" si="321"/>
        <v/>
      </c>
      <c r="R555" s="135" t="str">
        <f t="shared" ca="1" si="322"/>
        <v/>
      </c>
      <c r="S555" s="134" t="str">
        <f t="shared" ca="1" si="323"/>
        <v/>
      </c>
      <c r="T555" s="134" t="str">
        <f ca="1">IF(S555=Dashboard!$D$12,S555,"")</f>
        <v/>
      </c>
      <c r="U555" s="134" t="str">
        <f t="shared" ca="1" si="324"/>
        <v/>
      </c>
      <c r="V555" s="83" t="str">
        <f ca="1">IF(U555="","",IFERROR((RANK(U555,$U$2:$U$2028,1)+COUNTIF($U$2:U555,U555))-1,""))</f>
        <v/>
      </c>
      <c r="W555" s="134" t="str">
        <f t="shared" si="328"/>
        <v/>
      </c>
      <c r="X555" s="134" t="str">
        <f>IF(W555="","",IFERROR((RANK(W555,$W$2:$W$2028,1)+COUNTIF($W$2:W555,W555))-1,""))</f>
        <v/>
      </c>
      <c r="Y555" s="134" t="str">
        <f t="shared" si="325"/>
        <v/>
      </c>
      <c r="Z555" s="134" t="str">
        <f>IF(Y555="","",IFERROR((RANK(Y555,$Y$2:$Y$2028,1)+COUNTIF($Y$2:Y555,Y555))-1,""))</f>
        <v/>
      </c>
      <c r="AA555" s="134" t="str">
        <f t="shared" si="326"/>
        <v/>
      </c>
      <c r="AB555" s="134" t="str">
        <f>IF(AA555="","",IFERROR((RANK(AA555,$AA$2:$AA$2028,1)+COUNTIF($AA$2:AA555,AA555))-1,""))</f>
        <v/>
      </c>
      <c r="AC555" s="134" t="str">
        <f t="shared" si="327"/>
        <v/>
      </c>
      <c r="AD555" s="134" t="str">
        <f>IF(AC555="","",IFERROR((RANK(AC555,$AC$2:$AC$2028,1)+COUNTIF($AC$2:AC555,AC555))-1,""))</f>
        <v/>
      </c>
      <c r="AE555" s="144" t="str">
        <f t="shared" si="319"/>
        <v/>
      </c>
      <c r="AF555" s="144" t="str">
        <f>IF(AE555="","",SUM($AE$2:AE555))</f>
        <v/>
      </c>
    </row>
    <row r="556" spans="14:32" x14ac:dyDescent="0.35">
      <c r="N556" s="134" t="str">
        <f t="shared" si="317"/>
        <v/>
      </c>
      <c r="O556" s="82" t="str">
        <f t="shared" si="320"/>
        <v/>
      </c>
      <c r="P556" s="81" t="str">
        <f t="shared" si="318"/>
        <v/>
      </c>
      <c r="Q556" s="81" t="str">
        <f t="shared" si="321"/>
        <v/>
      </c>
      <c r="R556" s="135" t="str">
        <f t="shared" ca="1" si="322"/>
        <v/>
      </c>
      <c r="S556" s="134" t="str">
        <f t="shared" ca="1" si="323"/>
        <v/>
      </c>
      <c r="T556" s="134" t="str">
        <f ca="1">IF(S556=Dashboard!$D$12,S556,"")</f>
        <v/>
      </c>
      <c r="U556" s="134" t="str">
        <f t="shared" ca="1" si="324"/>
        <v/>
      </c>
      <c r="V556" s="83" t="str">
        <f ca="1">IF(U556="","",IFERROR((RANK(U556,$U$2:$U$2028,1)+COUNTIF($U$2:U556,U556))-1,""))</f>
        <v/>
      </c>
      <c r="W556" s="134" t="str">
        <f t="shared" si="328"/>
        <v/>
      </c>
      <c r="X556" s="134" t="str">
        <f>IF(W556="","",IFERROR((RANK(W556,$W$2:$W$2028,1)+COUNTIF($W$2:W556,W556))-1,""))</f>
        <v/>
      </c>
      <c r="Y556" s="134" t="str">
        <f t="shared" si="325"/>
        <v/>
      </c>
      <c r="Z556" s="134" t="str">
        <f>IF(Y556="","",IFERROR((RANK(Y556,$Y$2:$Y$2028,1)+COUNTIF($Y$2:Y556,Y556))-1,""))</f>
        <v/>
      </c>
      <c r="AA556" s="134" t="str">
        <f t="shared" si="326"/>
        <v/>
      </c>
      <c r="AB556" s="134" t="str">
        <f>IF(AA556="","",IFERROR((RANK(AA556,$AA$2:$AA$2028,1)+COUNTIF($AA$2:AA556,AA556))-1,""))</f>
        <v/>
      </c>
      <c r="AC556" s="134" t="str">
        <f t="shared" si="327"/>
        <v/>
      </c>
      <c r="AD556" s="134" t="str">
        <f>IF(AC556="","",IFERROR((RANK(AC556,$AC$2:$AC$2028,1)+COUNTIF($AC$2:AC556,AC556))-1,""))</f>
        <v/>
      </c>
      <c r="AE556" s="144" t="str">
        <f t="shared" si="319"/>
        <v/>
      </c>
      <c r="AF556" s="144" t="str">
        <f>IF(AE556="","",SUM($AE$2:AE556))</f>
        <v/>
      </c>
    </row>
    <row r="557" spans="14:32" x14ac:dyDescent="0.35">
      <c r="N557" s="134" t="str">
        <f t="shared" si="317"/>
        <v/>
      </c>
      <c r="O557" s="82" t="str">
        <f t="shared" si="320"/>
        <v/>
      </c>
      <c r="P557" s="81" t="str">
        <f t="shared" si="318"/>
        <v/>
      </c>
      <c r="Q557" s="81" t="str">
        <f t="shared" si="321"/>
        <v/>
      </c>
      <c r="R557" s="135" t="str">
        <f t="shared" ca="1" si="322"/>
        <v/>
      </c>
      <c r="S557" s="134" t="str">
        <f t="shared" ca="1" si="323"/>
        <v/>
      </c>
      <c r="T557" s="134" t="str">
        <f ca="1">IF(S557=Dashboard!$D$12,S557,"")</f>
        <v/>
      </c>
      <c r="U557" s="134" t="str">
        <f t="shared" ca="1" si="324"/>
        <v/>
      </c>
      <c r="V557" s="83" t="str">
        <f ca="1">IF(U557="","",IFERROR((RANK(U557,$U$2:$U$2028,1)+COUNTIF($U$2:U557,U557))-1,""))</f>
        <v/>
      </c>
      <c r="W557" s="134" t="str">
        <f t="shared" si="328"/>
        <v/>
      </c>
      <c r="X557" s="134" t="str">
        <f>IF(W557="","",IFERROR((RANK(W557,$W$2:$W$2028,1)+COUNTIF($W$2:W557,W557))-1,""))</f>
        <v/>
      </c>
      <c r="Y557" s="134" t="str">
        <f t="shared" si="325"/>
        <v/>
      </c>
      <c r="Z557" s="134" t="str">
        <f>IF(Y557="","",IFERROR((RANK(Y557,$Y$2:$Y$2028,1)+COUNTIF($Y$2:Y557,Y557))-1,""))</f>
        <v/>
      </c>
      <c r="AA557" s="134" t="str">
        <f t="shared" si="326"/>
        <v/>
      </c>
      <c r="AB557" s="134" t="str">
        <f>IF(AA557="","",IFERROR((RANK(AA557,$AA$2:$AA$2028,1)+COUNTIF($AA$2:AA557,AA557))-1,""))</f>
        <v/>
      </c>
      <c r="AC557" s="134" t="str">
        <f t="shared" si="327"/>
        <v/>
      </c>
      <c r="AD557" s="134" t="str">
        <f>IF(AC557="","",IFERROR((RANK(AC557,$AC$2:$AC$2028,1)+COUNTIF($AC$2:AC557,AC557))-1,""))</f>
        <v/>
      </c>
      <c r="AE557" s="144" t="str">
        <f t="shared" si="319"/>
        <v/>
      </c>
      <c r="AF557" s="144" t="str">
        <f>IF(AE557="","",SUM($AE$2:AE557))</f>
        <v/>
      </c>
    </row>
    <row r="558" spans="14:32" x14ac:dyDescent="0.35">
      <c r="N558" s="134" t="str">
        <f t="shared" si="317"/>
        <v/>
      </c>
      <c r="O558" s="82" t="str">
        <f t="shared" si="320"/>
        <v/>
      </c>
      <c r="P558" s="81" t="str">
        <f t="shared" si="318"/>
        <v/>
      </c>
      <c r="Q558" s="81" t="str">
        <f t="shared" si="321"/>
        <v/>
      </c>
      <c r="R558" s="135" t="str">
        <f t="shared" ca="1" si="322"/>
        <v/>
      </c>
      <c r="S558" s="134" t="str">
        <f t="shared" ca="1" si="323"/>
        <v/>
      </c>
      <c r="T558" s="134" t="str">
        <f ca="1">IF(S558=Dashboard!$D$12,S558,"")</f>
        <v/>
      </c>
      <c r="U558" s="134" t="str">
        <f t="shared" ca="1" si="324"/>
        <v/>
      </c>
      <c r="V558" s="83" t="str">
        <f ca="1">IF(U558="","",IFERROR((RANK(U558,$U$2:$U$2028,1)+COUNTIF($U$2:U558,U558))-1,""))</f>
        <v/>
      </c>
      <c r="W558" s="134" t="str">
        <f t="shared" si="328"/>
        <v/>
      </c>
      <c r="X558" s="134" t="str">
        <f>IF(W558="","",IFERROR((RANK(W558,$W$2:$W$2028,1)+COUNTIF($W$2:W558,W558))-1,""))</f>
        <v/>
      </c>
      <c r="Y558" s="134" t="str">
        <f t="shared" si="325"/>
        <v/>
      </c>
      <c r="Z558" s="134" t="str">
        <f>IF(Y558="","",IFERROR((RANK(Y558,$Y$2:$Y$2028,1)+COUNTIF($Y$2:Y558,Y558))-1,""))</f>
        <v/>
      </c>
      <c r="AA558" s="134" t="str">
        <f t="shared" si="326"/>
        <v/>
      </c>
      <c r="AB558" s="134" t="str">
        <f>IF(AA558="","",IFERROR((RANK(AA558,$AA$2:$AA$2028,1)+COUNTIF($AA$2:AA558,AA558))-1,""))</f>
        <v/>
      </c>
      <c r="AC558" s="134" t="str">
        <f t="shared" si="327"/>
        <v/>
      </c>
      <c r="AD558" s="134" t="str">
        <f>IF(AC558="","",IFERROR((RANK(AC558,$AC$2:$AC$2028,1)+COUNTIF($AC$2:AC558,AC558))-1,""))</f>
        <v/>
      </c>
      <c r="AE558" s="144" t="str">
        <f t="shared" si="319"/>
        <v/>
      </c>
      <c r="AF558" s="144" t="str">
        <f>IF(AE558="","",SUM($AE$2:AE558))</f>
        <v/>
      </c>
    </row>
    <row r="559" spans="14:32" x14ac:dyDescent="0.35">
      <c r="N559" s="134" t="str">
        <f t="shared" si="317"/>
        <v/>
      </c>
      <c r="O559" s="82" t="str">
        <f t="shared" si="320"/>
        <v/>
      </c>
      <c r="P559" s="81" t="str">
        <f t="shared" si="318"/>
        <v/>
      </c>
      <c r="Q559" s="81" t="str">
        <f t="shared" si="321"/>
        <v/>
      </c>
      <c r="R559" s="135" t="str">
        <f t="shared" ca="1" si="322"/>
        <v/>
      </c>
      <c r="S559" s="134" t="str">
        <f t="shared" ca="1" si="323"/>
        <v/>
      </c>
      <c r="T559" s="134" t="str">
        <f ca="1">IF(S559=Dashboard!$D$12,S559,"")</f>
        <v/>
      </c>
      <c r="U559" s="134" t="str">
        <f t="shared" ca="1" si="324"/>
        <v/>
      </c>
      <c r="V559" s="83" t="str">
        <f ca="1">IF(U559="","",IFERROR((RANK(U559,$U$2:$U$2028,1)+COUNTIF($U$2:U559,U559))-1,""))</f>
        <v/>
      </c>
      <c r="W559" s="134" t="str">
        <f t="shared" si="328"/>
        <v/>
      </c>
      <c r="X559" s="134" t="str">
        <f>IF(W559="","",IFERROR((RANK(W559,$W$2:$W$2028,1)+COUNTIF($W$2:W559,W559))-1,""))</f>
        <v/>
      </c>
      <c r="Y559" s="134" t="str">
        <f t="shared" si="325"/>
        <v/>
      </c>
      <c r="Z559" s="134" t="str">
        <f>IF(Y559="","",IFERROR((RANK(Y559,$Y$2:$Y$2028,1)+COUNTIF($Y$2:Y559,Y559))-1,""))</f>
        <v/>
      </c>
      <c r="AA559" s="134" t="str">
        <f t="shared" si="326"/>
        <v/>
      </c>
      <c r="AB559" s="134" t="str">
        <f>IF(AA559="","",IFERROR((RANK(AA559,$AA$2:$AA$2028,1)+COUNTIF($AA$2:AA559,AA559))-1,""))</f>
        <v/>
      </c>
      <c r="AC559" s="134" t="str">
        <f t="shared" si="327"/>
        <v/>
      </c>
      <c r="AD559" s="134" t="str">
        <f>IF(AC559="","",IFERROR((RANK(AC559,$AC$2:$AC$2028,1)+COUNTIF($AC$2:AC559,AC559))-1,""))</f>
        <v/>
      </c>
      <c r="AE559" s="144" t="str">
        <f t="shared" si="319"/>
        <v/>
      </c>
      <c r="AF559" s="144" t="str">
        <f>IF(AE559="","",SUM($AE$2:AE559))</f>
        <v/>
      </c>
    </row>
    <row r="560" spans="14:32" x14ac:dyDescent="0.35">
      <c r="N560" s="134" t="str">
        <f t="shared" si="317"/>
        <v/>
      </c>
      <c r="O560" s="82" t="str">
        <f t="shared" si="320"/>
        <v/>
      </c>
      <c r="P560" s="81" t="str">
        <f t="shared" si="318"/>
        <v/>
      </c>
      <c r="Q560" s="81" t="str">
        <f t="shared" si="321"/>
        <v/>
      </c>
      <c r="R560" s="135" t="str">
        <f t="shared" ca="1" si="322"/>
        <v/>
      </c>
      <c r="S560" s="134" t="str">
        <f t="shared" ca="1" si="323"/>
        <v/>
      </c>
      <c r="T560" s="134" t="str">
        <f ca="1">IF(S560=Dashboard!$D$12,S560,"")</f>
        <v/>
      </c>
      <c r="U560" s="134" t="str">
        <f t="shared" ca="1" si="324"/>
        <v/>
      </c>
      <c r="V560" s="83" t="str">
        <f ca="1">IF(U560="","",IFERROR((RANK(U560,$U$2:$U$2028,1)+COUNTIF($U$2:U560,U560))-1,""))</f>
        <v/>
      </c>
      <c r="W560" s="134" t="str">
        <f t="shared" si="328"/>
        <v/>
      </c>
      <c r="X560" s="134" t="str">
        <f>IF(W560="","",IFERROR((RANK(W560,$W$2:$W$2028,1)+COUNTIF($W$2:W560,W560))-1,""))</f>
        <v/>
      </c>
      <c r="Y560" s="134" t="str">
        <f t="shared" si="325"/>
        <v/>
      </c>
      <c r="Z560" s="134" t="str">
        <f>IF(Y560="","",IFERROR((RANK(Y560,$Y$2:$Y$2028,1)+COUNTIF($Y$2:Y560,Y560))-1,""))</f>
        <v/>
      </c>
      <c r="AA560" s="134" t="str">
        <f t="shared" si="326"/>
        <v/>
      </c>
      <c r="AB560" s="134" t="str">
        <f>IF(AA560="","",IFERROR((RANK(AA560,$AA$2:$AA$2028,1)+COUNTIF($AA$2:AA560,AA560))-1,""))</f>
        <v/>
      </c>
      <c r="AC560" s="134" t="str">
        <f t="shared" si="327"/>
        <v/>
      </c>
      <c r="AD560" s="134" t="str">
        <f>IF(AC560="","",IFERROR((RANK(AC560,$AC$2:$AC$2028,1)+COUNTIF($AC$2:AC560,AC560))-1,""))</f>
        <v/>
      </c>
      <c r="AE560" s="144" t="str">
        <f t="shared" si="319"/>
        <v/>
      </c>
      <c r="AF560" s="144" t="str">
        <f>IF(AE560="","",SUM($AE$2:AE560))</f>
        <v/>
      </c>
    </row>
    <row r="561" spans="14:32" x14ac:dyDescent="0.35">
      <c r="N561" s="134" t="str">
        <f t="shared" si="317"/>
        <v/>
      </c>
      <c r="O561" s="82" t="str">
        <f t="shared" si="320"/>
        <v/>
      </c>
      <c r="P561" s="81" t="str">
        <f t="shared" si="318"/>
        <v/>
      </c>
      <c r="Q561" s="81" t="str">
        <f t="shared" si="321"/>
        <v/>
      </c>
      <c r="R561" s="135" t="str">
        <f t="shared" ca="1" si="322"/>
        <v/>
      </c>
      <c r="S561" s="134" t="str">
        <f t="shared" ca="1" si="323"/>
        <v/>
      </c>
      <c r="T561" s="134" t="str">
        <f ca="1">IF(S561=Dashboard!$D$12,S561,"")</f>
        <v/>
      </c>
      <c r="U561" s="134" t="str">
        <f t="shared" ca="1" si="324"/>
        <v/>
      </c>
      <c r="V561" s="83" t="str">
        <f ca="1">IF(U561="","",IFERROR((RANK(U561,$U$2:$U$2028,1)+COUNTIF($U$2:U561,U561))-1,""))</f>
        <v/>
      </c>
      <c r="W561" s="134" t="str">
        <f t="shared" si="328"/>
        <v/>
      </c>
      <c r="X561" s="134" t="str">
        <f>IF(W561="","",IFERROR((RANK(W561,$W$2:$W$2028,1)+COUNTIF($W$2:W561,W561))-1,""))</f>
        <v/>
      </c>
      <c r="Y561" s="134" t="str">
        <f t="shared" si="325"/>
        <v/>
      </c>
      <c r="Z561" s="134" t="str">
        <f>IF(Y561="","",IFERROR((RANK(Y561,$Y$2:$Y$2028,1)+COUNTIF($Y$2:Y561,Y561))-1,""))</f>
        <v/>
      </c>
      <c r="AA561" s="134" t="str">
        <f t="shared" si="326"/>
        <v/>
      </c>
      <c r="AB561" s="134" t="str">
        <f>IF(AA561="","",IFERROR((RANK(AA561,$AA$2:$AA$2028,1)+COUNTIF($AA$2:AA561,AA561))-1,""))</f>
        <v/>
      </c>
      <c r="AC561" s="134" t="str">
        <f t="shared" si="327"/>
        <v/>
      </c>
      <c r="AD561" s="134" t="str">
        <f>IF(AC561="","",IFERROR((RANK(AC561,$AC$2:$AC$2028,1)+COUNTIF($AC$2:AC561,AC561))-1,""))</f>
        <v/>
      </c>
      <c r="AE561" s="144" t="str">
        <f t="shared" si="319"/>
        <v/>
      </c>
      <c r="AF561" s="144" t="str">
        <f>IF(AE561="","",SUM($AE$2:AE561))</f>
        <v/>
      </c>
    </row>
    <row r="562" spans="14:32" x14ac:dyDescent="0.35">
      <c r="N562" s="134" t="str">
        <f t="shared" si="317"/>
        <v/>
      </c>
      <c r="O562" s="82" t="str">
        <f t="shared" si="320"/>
        <v/>
      </c>
      <c r="P562" s="81" t="str">
        <f t="shared" si="318"/>
        <v/>
      </c>
      <c r="Q562" s="81" t="str">
        <f t="shared" si="321"/>
        <v/>
      </c>
      <c r="R562" s="135" t="str">
        <f t="shared" ca="1" si="322"/>
        <v/>
      </c>
      <c r="S562" s="134" t="str">
        <f t="shared" ca="1" si="323"/>
        <v/>
      </c>
      <c r="T562" s="134" t="str">
        <f ca="1">IF(S562=Dashboard!$D$12,S562,"")</f>
        <v/>
      </c>
      <c r="U562" s="134" t="str">
        <f t="shared" ca="1" si="324"/>
        <v/>
      </c>
      <c r="V562" s="83" t="str">
        <f ca="1">IF(U562="","",IFERROR((RANK(U562,$U$2:$U$2028,1)+COUNTIF($U$2:U562,U562))-1,""))</f>
        <v/>
      </c>
      <c r="W562" s="134" t="str">
        <f t="shared" si="328"/>
        <v/>
      </c>
      <c r="X562" s="134" t="str">
        <f>IF(W562="","",IFERROR((RANK(W562,$W$2:$W$2028,1)+COUNTIF($W$2:W562,W562))-1,""))</f>
        <v/>
      </c>
      <c r="Y562" s="134" t="str">
        <f t="shared" si="325"/>
        <v/>
      </c>
      <c r="Z562" s="134" t="str">
        <f>IF(Y562="","",IFERROR((RANK(Y562,$Y$2:$Y$2028,1)+COUNTIF($Y$2:Y562,Y562))-1,""))</f>
        <v/>
      </c>
      <c r="AA562" s="134" t="str">
        <f t="shared" si="326"/>
        <v/>
      </c>
      <c r="AB562" s="134" t="str">
        <f>IF(AA562="","",IFERROR((RANK(AA562,$AA$2:$AA$2028,1)+COUNTIF($AA$2:AA562,AA562))-1,""))</f>
        <v/>
      </c>
      <c r="AC562" s="134" t="str">
        <f t="shared" si="327"/>
        <v/>
      </c>
      <c r="AD562" s="134" t="str">
        <f>IF(AC562="","",IFERROR((RANK(AC562,$AC$2:$AC$2028,1)+COUNTIF($AC$2:AC562,AC562))-1,""))</f>
        <v/>
      </c>
      <c r="AE562" s="144" t="str">
        <f t="shared" si="319"/>
        <v/>
      </c>
      <c r="AF562" s="144" t="str">
        <f>IF(AE562="","",SUM($AE$2:AE562))</f>
        <v/>
      </c>
    </row>
    <row r="563" spans="14:32" x14ac:dyDescent="0.35">
      <c r="N563" s="134" t="str">
        <f t="shared" si="317"/>
        <v/>
      </c>
      <c r="O563" s="82" t="str">
        <f t="shared" si="320"/>
        <v/>
      </c>
      <c r="P563" s="81" t="str">
        <f t="shared" si="318"/>
        <v/>
      </c>
      <c r="Q563" s="81" t="str">
        <f t="shared" si="321"/>
        <v/>
      </c>
      <c r="R563" s="135" t="str">
        <f t="shared" ca="1" si="322"/>
        <v/>
      </c>
      <c r="S563" s="134" t="str">
        <f t="shared" ca="1" si="323"/>
        <v/>
      </c>
      <c r="T563" s="134" t="str">
        <f ca="1">IF(S563=Dashboard!$D$12,S563,"")</f>
        <v/>
      </c>
      <c r="U563" s="134" t="str">
        <f t="shared" ca="1" si="324"/>
        <v/>
      </c>
      <c r="V563" s="83" t="str">
        <f ca="1">IF(U563="","",IFERROR((RANK(U563,$U$2:$U$2028,1)+COUNTIF($U$2:U563,U563))-1,""))</f>
        <v/>
      </c>
      <c r="W563" s="134" t="str">
        <f t="shared" si="328"/>
        <v/>
      </c>
      <c r="X563" s="134" t="str">
        <f>IF(W563="","",IFERROR((RANK(W563,$W$2:$W$2028,1)+COUNTIF($W$2:W563,W563))-1,""))</f>
        <v/>
      </c>
      <c r="Y563" s="134" t="str">
        <f t="shared" si="325"/>
        <v/>
      </c>
      <c r="Z563" s="134" t="str">
        <f>IF(Y563="","",IFERROR((RANK(Y563,$Y$2:$Y$2028,1)+COUNTIF($Y$2:Y563,Y563))-1,""))</f>
        <v/>
      </c>
      <c r="AA563" s="134" t="str">
        <f t="shared" si="326"/>
        <v/>
      </c>
      <c r="AB563" s="134" t="str">
        <f>IF(AA563="","",IFERROR((RANK(AA563,$AA$2:$AA$2028,1)+COUNTIF($AA$2:AA563,AA563))-1,""))</f>
        <v/>
      </c>
      <c r="AC563" s="134" t="str">
        <f t="shared" si="327"/>
        <v/>
      </c>
      <c r="AD563" s="134" t="str">
        <f>IF(AC563="","",IFERROR((RANK(AC563,$AC$2:$AC$2028,1)+COUNTIF($AC$2:AC563,AC563))-1,""))</f>
        <v/>
      </c>
      <c r="AE563" s="144" t="str">
        <f t="shared" si="319"/>
        <v/>
      </c>
      <c r="AF563" s="144" t="str">
        <f>IF(AE563="","",SUM($AE$2:AE563))</f>
        <v/>
      </c>
    </row>
    <row r="564" spans="14:32" x14ac:dyDescent="0.35">
      <c r="N564" s="134" t="str">
        <f t="shared" si="317"/>
        <v/>
      </c>
      <c r="O564" s="82" t="str">
        <f t="shared" si="320"/>
        <v/>
      </c>
      <c r="P564" s="81" t="str">
        <f t="shared" si="318"/>
        <v/>
      </c>
      <c r="Q564" s="81" t="str">
        <f t="shared" si="321"/>
        <v/>
      </c>
      <c r="R564" s="135" t="str">
        <f t="shared" ca="1" si="322"/>
        <v/>
      </c>
      <c r="S564" s="134" t="str">
        <f t="shared" ca="1" si="323"/>
        <v/>
      </c>
      <c r="T564" s="134" t="str">
        <f ca="1">IF(S564=Dashboard!$D$12,S564,"")</f>
        <v/>
      </c>
      <c r="U564" s="134" t="str">
        <f t="shared" ca="1" si="324"/>
        <v/>
      </c>
      <c r="V564" s="83" t="str">
        <f ca="1">IF(U564="","",IFERROR((RANK(U564,$U$2:$U$2028,1)+COUNTIF($U$2:U564,U564))-1,""))</f>
        <v/>
      </c>
      <c r="W564" s="134" t="str">
        <f t="shared" si="328"/>
        <v/>
      </c>
      <c r="X564" s="134" t="str">
        <f>IF(W564="","",IFERROR((RANK(W564,$W$2:$W$2028,1)+COUNTIF($W$2:W564,W564))-1,""))</f>
        <v/>
      </c>
      <c r="Y564" s="134" t="str">
        <f t="shared" si="325"/>
        <v/>
      </c>
      <c r="Z564" s="134" t="str">
        <f>IF(Y564="","",IFERROR((RANK(Y564,$Y$2:$Y$2028,1)+COUNTIF($Y$2:Y564,Y564))-1,""))</f>
        <v/>
      </c>
      <c r="AA564" s="134" t="str">
        <f t="shared" si="326"/>
        <v/>
      </c>
      <c r="AB564" s="134" t="str">
        <f>IF(AA564="","",IFERROR((RANK(AA564,$AA$2:$AA$2028,1)+COUNTIF($AA$2:AA564,AA564))-1,""))</f>
        <v/>
      </c>
      <c r="AC564" s="134" t="str">
        <f t="shared" si="327"/>
        <v/>
      </c>
      <c r="AD564" s="134" t="str">
        <f>IF(AC564="","",IFERROR((RANK(AC564,$AC$2:$AC$2028,1)+COUNTIF($AC$2:AC564,AC564))-1,""))</f>
        <v/>
      </c>
      <c r="AE564" s="144" t="str">
        <f t="shared" si="319"/>
        <v/>
      </c>
      <c r="AF564" s="144" t="str">
        <f>IF(AE564="","",SUM($AE$2:AE564))</f>
        <v/>
      </c>
    </row>
    <row r="565" spans="14:32" x14ac:dyDescent="0.35">
      <c r="N565" s="134" t="str">
        <f t="shared" si="317"/>
        <v/>
      </c>
      <c r="O565" s="82" t="str">
        <f t="shared" si="320"/>
        <v/>
      </c>
      <c r="P565" s="81" t="str">
        <f t="shared" si="318"/>
        <v/>
      </c>
      <c r="Q565" s="81" t="str">
        <f t="shared" si="321"/>
        <v/>
      </c>
      <c r="R565" s="135" t="str">
        <f t="shared" ca="1" si="322"/>
        <v/>
      </c>
      <c r="S565" s="134" t="str">
        <f t="shared" ca="1" si="323"/>
        <v/>
      </c>
      <c r="T565" s="134" t="str">
        <f ca="1">IF(S565=Dashboard!$D$12,S565,"")</f>
        <v/>
      </c>
      <c r="U565" s="134" t="str">
        <f t="shared" ca="1" si="324"/>
        <v/>
      </c>
      <c r="V565" s="83" t="str">
        <f ca="1">IF(U565="","",IFERROR((RANK(U565,$U$2:$U$2028,1)+COUNTIF($U$2:U565,U565))-1,""))</f>
        <v/>
      </c>
      <c r="W565" s="134" t="str">
        <f t="shared" si="328"/>
        <v/>
      </c>
      <c r="X565" s="134" t="str">
        <f>IF(W565="","",IFERROR((RANK(W565,$W$2:$W$2028,1)+COUNTIF($W$2:W565,W565))-1,""))</f>
        <v/>
      </c>
      <c r="Y565" s="134" t="str">
        <f t="shared" si="325"/>
        <v/>
      </c>
      <c r="Z565" s="134" t="str">
        <f>IF(Y565="","",IFERROR((RANK(Y565,$Y$2:$Y$2028,1)+COUNTIF($Y$2:Y565,Y565))-1,""))</f>
        <v/>
      </c>
      <c r="AA565" s="134" t="str">
        <f t="shared" si="326"/>
        <v/>
      </c>
      <c r="AB565" s="134" t="str">
        <f>IF(AA565="","",IFERROR((RANK(AA565,$AA$2:$AA$2028,1)+COUNTIF($AA$2:AA565,AA565))-1,""))</f>
        <v/>
      </c>
      <c r="AC565" s="134" t="str">
        <f t="shared" si="327"/>
        <v/>
      </c>
      <c r="AD565" s="134" t="str">
        <f>IF(AC565="","",IFERROR((RANK(AC565,$AC$2:$AC$2028,1)+COUNTIF($AC$2:AC565,AC565))-1,""))</f>
        <v/>
      </c>
      <c r="AE565" s="144" t="str">
        <f t="shared" si="319"/>
        <v/>
      </c>
      <c r="AF565" s="144" t="str">
        <f>IF(AE565="","",SUM($AE$2:AE565))</f>
        <v/>
      </c>
    </row>
    <row r="566" spans="14:32" x14ac:dyDescent="0.35">
      <c r="N566" s="134" t="str">
        <f t="shared" si="317"/>
        <v/>
      </c>
      <c r="O566" s="82" t="str">
        <f t="shared" si="320"/>
        <v/>
      </c>
      <c r="P566" s="81" t="str">
        <f t="shared" si="318"/>
        <v/>
      </c>
      <c r="Q566" s="81" t="str">
        <f t="shared" si="321"/>
        <v/>
      </c>
      <c r="R566" s="135" t="str">
        <f t="shared" ca="1" si="322"/>
        <v/>
      </c>
      <c r="S566" s="134" t="str">
        <f t="shared" ca="1" si="323"/>
        <v/>
      </c>
      <c r="T566" s="134" t="str">
        <f ca="1">IF(S566=Dashboard!$D$12,S566,"")</f>
        <v/>
      </c>
      <c r="U566" s="134" t="str">
        <f t="shared" ca="1" si="324"/>
        <v/>
      </c>
      <c r="V566" s="83" t="str">
        <f ca="1">IF(U566="","",IFERROR((RANK(U566,$U$2:$U$2028,1)+COUNTIF($U$2:U566,U566))-1,""))</f>
        <v/>
      </c>
      <c r="W566" s="134" t="str">
        <f t="shared" si="328"/>
        <v/>
      </c>
      <c r="X566" s="134" t="str">
        <f>IF(W566="","",IFERROR((RANK(W566,$W$2:$W$2028,1)+COUNTIF($W$2:W566,W566))-1,""))</f>
        <v/>
      </c>
      <c r="Y566" s="134" t="str">
        <f t="shared" si="325"/>
        <v/>
      </c>
      <c r="Z566" s="134" t="str">
        <f>IF(Y566="","",IFERROR((RANK(Y566,$Y$2:$Y$2028,1)+COUNTIF($Y$2:Y566,Y566))-1,""))</f>
        <v/>
      </c>
      <c r="AA566" s="134" t="str">
        <f t="shared" si="326"/>
        <v/>
      </c>
      <c r="AB566" s="134" t="str">
        <f>IF(AA566="","",IFERROR((RANK(AA566,$AA$2:$AA$2028,1)+COUNTIF($AA$2:AA566,AA566))-1,""))</f>
        <v/>
      </c>
      <c r="AC566" s="134" t="str">
        <f t="shared" si="327"/>
        <v/>
      </c>
      <c r="AD566" s="134" t="str">
        <f>IF(AC566="","",IFERROR((RANK(AC566,$AC$2:$AC$2028,1)+COUNTIF($AC$2:AC566,AC566))-1,""))</f>
        <v/>
      </c>
      <c r="AE566" s="144" t="str">
        <f t="shared" si="319"/>
        <v/>
      </c>
      <c r="AF566" s="144" t="str">
        <f>IF(AE566="","",SUM($AE$2:AE566))</f>
        <v/>
      </c>
    </row>
    <row r="567" spans="14:32" x14ac:dyDescent="0.35">
      <c r="N567" s="134" t="str">
        <f t="shared" si="317"/>
        <v/>
      </c>
      <c r="O567" s="82" t="str">
        <f t="shared" si="320"/>
        <v/>
      </c>
      <c r="P567" s="81" t="str">
        <f t="shared" si="318"/>
        <v/>
      </c>
      <c r="Q567" s="81" t="str">
        <f t="shared" si="321"/>
        <v/>
      </c>
      <c r="R567" s="135" t="str">
        <f t="shared" ca="1" si="322"/>
        <v/>
      </c>
      <c r="S567" s="134" t="str">
        <f t="shared" ca="1" si="323"/>
        <v/>
      </c>
      <c r="T567" s="134" t="str">
        <f ca="1">IF(S567=Dashboard!$D$12,S567,"")</f>
        <v/>
      </c>
      <c r="U567" s="134" t="str">
        <f t="shared" ca="1" si="324"/>
        <v/>
      </c>
      <c r="V567" s="83" t="str">
        <f ca="1">IF(U567="","",IFERROR((RANK(U567,$U$2:$U$2028,1)+COUNTIF($U$2:U567,U567))-1,""))</f>
        <v/>
      </c>
      <c r="W567" s="134" t="str">
        <f t="shared" si="328"/>
        <v/>
      </c>
      <c r="X567" s="134" t="str">
        <f>IF(W567="","",IFERROR((RANK(W567,$W$2:$W$2028,1)+COUNTIF($W$2:W567,W567))-1,""))</f>
        <v/>
      </c>
      <c r="Y567" s="134" t="str">
        <f t="shared" si="325"/>
        <v/>
      </c>
      <c r="Z567" s="134" t="str">
        <f>IF(Y567="","",IFERROR((RANK(Y567,$Y$2:$Y$2028,1)+COUNTIF($Y$2:Y567,Y567))-1,""))</f>
        <v/>
      </c>
      <c r="AA567" s="134" t="str">
        <f t="shared" si="326"/>
        <v/>
      </c>
      <c r="AB567" s="134" t="str">
        <f>IF(AA567="","",IFERROR((RANK(AA567,$AA$2:$AA$2028,1)+COUNTIF($AA$2:AA567,AA567))-1,""))</f>
        <v/>
      </c>
      <c r="AC567" s="134" t="str">
        <f t="shared" si="327"/>
        <v/>
      </c>
      <c r="AD567" s="134" t="str">
        <f>IF(AC567="","",IFERROR((RANK(AC567,$AC$2:$AC$2028,1)+COUNTIF($AC$2:AC567,AC567))-1,""))</f>
        <v/>
      </c>
      <c r="AE567" s="144" t="str">
        <f t="shared" si="319"/>
        <v/>
      </c>
      <c r="AF567" s="144" t="str">
        <f>IF(AE567="","",SUM($AE$2:AE567))</f>
        <v/>
      </c>
    </row>
    <row r="568" spans="14:32" x14ac:dyDescent="0.35">
      <c r="N568" s="134" t="str">
        <f t="shared" si="317"/>
        <v/>
      </c>
      <c r="O568" s="82" t="str">
        <f t="shared" si="320"/>
        <v/>
      </c>
      <c r="P568" s="81" t="str">
        <f t="shared" si="318"/>
        <v/>
      </c>
      <c r="Q568" s="81" t="str">
        <f t="shared" si="321"/>
        <v/>
      </c>
      <c r="R568" s="135" t="str">
        <f t="shared" ca="1" si="322"/>
        <v/>
      </c>
      <c r="S568" s="134" t="str">
        <f t="shared" ca="1" si="323"/>
        <v/>
      </c>
      <c r="T568" s="134" t="str">
        <f ca="1">IF(S568=Dashboard!$D$12,S568,"")</f>
        <v/>
      </c>
      <c r="U568" s="134" t="str">
        <f t="shared" ca="1" si="324"/>
        <v/>
      </c>
      <c r="V568" s="83" t="str">
        <f ca="1">IF(U568="","",IFERROR((RANK(U568,$U$2:$U$2028,1)+COUNTIF($U$2:U568,U568))-1,""))</f>
        <v/>
      </c>
      <c r="W568" s="134" t="str">
        <f t="shared" si="328"/>
        <v/>
      </c>
      <c r="X568" s="134" t="str">
        <f>IF(W568="","",IFERROR((RANK(W568,$W$2:$W$2028,1)+COUNTIF($W$2:W568,W568))-1,""))</f>
        <v/>
      </c>
      <c r="Y568" s="134" t="str">
        <f t="shared" si="325"/>
        <v/>
      </c>
      <c r="Z568" s="134" t="str">
        <f>IF(Y568="","",IFERROR((RANK(Y568,$Y$2:$Y$2028,1)+COUNTIF($Y$2:Y568,Y568))-1,""))</f>
        <v/>
      </c>
      <c r="AA568" s="134" t="str">
        <f t="shared" si="326"/>
        <v/>
      </c>
      <c r="AB568" s="134" t="str">
        <f>IF(AA568="","",IFERROR((RANK(AA568,$AA$2:$AA$2028,1)+COUNTIF($AA$2:AA568,AA568))-1,""))</f>
        <v/>
      </c>
      <c r="AC568" s="134" t="str">
        <f t="shared" si="327"/>
        <v/>
      </c>
      <c r="AD568" s="134" t="str">
        <f>IF(AC568="","",IFERROR((RANK(AC568,$AC$2:$AC$2028,1)+COUNTIF($AC$2:AC568,AC568))-1,""))</f>
        <v/>
      </c>
      <c r="AE568" s="144" t="str">
        <f t="shared" si="319"/>
        <v/>
      </c>
      <c r="AF568" s="144" t="str">
        <f>IF(AE568="","",SUM($AE$2:AE568))</f>
        <v/>
      </c>
    </row>
    <row r="569" spans="14:32" x14ac:dyDescent="0.35">
      <c r="N569" s="134" t="str">
        <f t="shared" si="317"/>
        <v/>
      </c>
      <c r="O569" s="82" t="str">
        <f t="shared" si="320"/>
        <v/>
      </c>
      <c r="P569" s="81" t="str">
        <f t="shared" si="318"/>
        <v/>
      </c>
      <c r="Q569" s="81" t="str">
        <f t="shared" si="321"/>
        <v/>
      </c>
      <c r="R569" s="135" t="str">
        <f t="shared" ca="1" si="322"/>
        <v/>
      </c>
      <c r="S569" s="134" t="str">
        <f t="shared" ca="1" si="323"/>
        <v/>
      </c>
      <c r="T569" s="134" t="str">
        <f ca="1">IF(S569=Dashboard!$D$12,S569,"")</f>
        <v/>
      </c>
      <c r="U569" s="134" t="str">
        <f t="shared" ca="1" si="324"/>
        <v/>
      </c>
      <c r="V569" s="83" t="str">
        <f ca="1">IF(U569="","",IFERROR((RANK(U569,$U$2:$U$2028,1)+COUNTIF($U$2:U569,U569))-1,""))</f>
        <v/>
      </c>
      <c r="W569" s="134" t="str">
        <f t="shared" si="328"/>
        <v/>
      </c>
      <c r="X569" s="134" t="str">
        <f>IF(W569="","",IFERROR((RANK(W569,$W$2:$W$2028,1)+COUNTIF($W$2:W569,W569))-1,""))</f>
        <v/>
      </c>
      <c r="Y569" s="134" t="str">
        <f t="shared" si="325"/>
        <v/>
      </c>
      <c r="Z569" s="134" t="str">
        <f>IF(Y569="","",IFERROR((RANK(Y569,$Y$2:$Y$2028,1)+COUNTIF($Y$2:Y569,Y569))-1,""))</f>
        <v/>
      </c>
      <c r="AA569" s="134" t="str">
        <f t="shared" si="326"/>
        <v/>
      </c>
      <c r="AB569" s="134" t="str">
        <f>IF(AA569="","",IFERROR((RANK(AA569,$AA$2:$AA$2028,1)+COUNTIF($AA$2:AA569,AA569))-1,""))</f>
        <v/>
      </c>
      <c r="AC569" s="134" t="str">
        <f t="shared" si="327"/>
        <v/>
      </c>
      <c r="AD569" s="134" t="str">
        <f>IF(AC569="","",IFERROR((RANK(AC569,$AC$2:$AC$2028,1)+COUNTIF($AC$2:AC569,AC569))-1,""))</f>
        <v/>
      </c>
      <c r="AE569" s="144" t="str">
        <f t="shared" si="319"/>
        <v/>
      </c>
      <c r="AF569" s="144" t="str">
        <f>IF(AE569="","",SUM($AE$2:AE569))</f>
        <v/>
      </c>
    </row>
    <row r="570" spans="14:32" x14ac:dyDescent="0.35">
      <c r="N570" s="134" t="str">
        <f t="shared" si="317"/>
        <v/>
      </c>
      <c r="O570" s="82" t="str">
        <f t="shared" si="320"/>
        <v/>
      </c>
      <c r="P570" s="81" t="str">
        <f t="shared" si="318"/>
        <v/>
      </c>
      <c r="Q570" s="81" t="str">
        <f t="shared" si="321"/>
        <v/>
      </c>
      <c r="R570" s="135" t="str">
        <f t="shared" ca="1" si="322"/>
        <v/>
      </c>
      <c r="S570" s="134" t="str">
        <f t="shared" ca="1" si="323"/>
        <v/>
      </c>
      <c r="T570" s="134" t="str">
        <f ca="1">IF(S570=Dashboard!$D$12,S570,"")</f>
        <v/>
      </c>
      <c r="U570" s="134" t="str">
        <f t="shared" ca="1" si="324"/>
        <v/>
      </c>
      <c r="V570" s="83" t="str">
        <f ca="1">IF(U570="","",IFERROR((RANK(U570,$U$2:$U$2028,1)+COUNTIF($U$2:U570,U570))-1,""))</f>
        <v/>
      </c>
      <c r="W570" s="134" t="str">
        <f t="shared" si="328"/>
        <v/>
      </c>
      <c r="X570" s="134" t="str">
        <f>IF(W570="","",IFERROR((RANK(W570,$W$2:$W$2028,1)+COUNTIF($W$2:W570,W570))-1,""))</f>
        <v/>
      </c>
      <c r="Y570" s="134" t="str">
        <f t="shared" si="325"/>
        <v/>
      </c>
      <c r="Z570" s="134" t="str">
        <f>IF(Y570="","",IFERROR((RANK(Y570,$Y$2:$Y$2028,1)+COUNTIF($Y$2:Y570,Y570))-1,""))</f>
        <v/>
      </c>
      <c r="AA570" s="134" t="str">
        <f t="shared" si="326"/>
        <v/>
      </c>
      <c r="AB570" s="134" t="str">
        <f>IF(AA570="","",IFERROR((RANK(AA570,$AA$2:$AA$2028,1)+COUNTIF($AA$2:AA570,AA570))-1,""))</f>
        <v/>
      </c>
      <c r="AC570" s="134" t="str">
        <f t="shared" si="327"/>
        <v/>
      </c>
      <c r="AD570" s="134" t="str">
        <f>IF(AC570="","",IFERROR((RANK(AC570,$AC$2:$AC$2028,1)+COUNTIF($AC$2:AC570,AC570))-1,""))</f>
        <v/>
      </c>
      <c r="AE570" s="144" t="str">
        <f t="shared" si="319"/>
        <v/>
      </c>
      <c r="AF570" s="144" t="str">
        <f>IF(AE570="","",SUM($AE$2:AE570))</f>
        <v/>
      </c>
    </row>
    <row r="571" spans="14:32" x14ac:dyDescent="0.35">
      <c r="N571" s="134" t="str">
        <f t="shared" si="317"/>
        <v/>
      </c>
      <c r="O571" s="82" t="str">
        <f t="shared" si="320"/>
        <v/>
      </c>
      <c r="P571" s="81" t="str">
        <f t="shared" si="318"/>
        <v/>
      </c>
      <c r="Q571" s="81" t="str">
        <f t="shared" si="321"/>
        <v/>
      </c>
      <c r="R571" s="135" t="str">
        <f t="shared" ca="1" si="322"/>
        <v/>
      </c>
      <c r="S571" s="134" t="str">
        <f t="shared" ca="1" si="323"/>
        <v/>
      </c>
      <c r="T571" s="134" t="str">
        <f ca="1">IF(S571=Dashboard!$D$12,S571,"")</f>
        <v/>
      </c>
      <c r="U571" s="134" t="str">
        <f t="shared" ca="1" si="324"/>
        <v/>
      </c>
      <c r="V571" s="83" t="str">
        <f ca="1">IF(U571="","",IFERROR((RANK(U571,$U$2:$U$2028,1)+COUNTIF($U$2:U571,U571))-1,""))</f>
        <v/>
      </c>
      <c r="W571" s="134" t="str">
        <f t="shared" si="328"/>
        <v/>
      </c>
      <c r="X571" s="134" t="str">
        <f>IF(W571="","",IFERROR((RANK(W571,$W$2:$W$2028,1)+COUNTIF($W$2:W571,W571))-1,""))</f>
        <v/>
      </c>
      <c r="Y571" s="134" t="str">
        <f t="shared" si="325"/>
        <v/>
      </c>
      <c r="Z571" s="134" t="str">
        <f>IF(Y571="","",IFERROR((RANK(Y571,$Y$2:$Y$2028,1)+COUNTIF($Y$2:Y571,Y571))-1,""))</f>
        <v/>
      </c>
      <c r="AA571" s="134" t="str">
        <f t="shared" si="326"/>
        <v/>
      </c>
      <c r="AB571" s="134" t="str">
        <f>IF(AA571="","",IFERROR((RANK(AA571,$AA$2:$AA$2028,1)+COUNTIF($AA$2:AA571,AA571))-1,""))</f>
        <v/>
      </c>
      <c r="AC571" s="134" t="str">
        <f t="shared" si="327"/>
        <v/>
      </c>
      <c r="AD571" s="134" t="str">
        <f>IF(AC571="","",IFERROR((RANK(AC571,$AC$2:$AC$2028,1)+COUNTIF($AC$2:AC571,AC571))-1,""))</f>
        <v/>
      </c>
      <c r="AE571" s="144" t="str">
        <f t="shared" si="319"/>
        <v/>
      </c>
      <c r="AF571" s="144" t="str">
        <f>IF(AE571="","",SUM($AE$2:AE571))</f>
        <v/>
      </c>
    </row>
    <row r="572" spans="14:32" x14ac:dyDescent="0.35">
      <c r="N572" s="134" t="str">
        <f t="shared" si="317"/>
        <v/>
      </c>
      <c r="O572" s="82" t="str">
        <f t="shared" si="320"/>
        <v/>
      </c>
      <c r="P572" s="81" t="str">
        <f t="shared" si="318"/>
        <v/>
      </c>
      <c r="Q572" s="81" t="str">
        <f t="shared" si="321"/>
        <v/>
      </c>
      <c r="R572" s="135" t="str">
        <f t="shared" ca="1" si="322"/>
        <v/>
      </c>
      <c r="S572" s="134" t="str">
        <f t="shared" ca="1" si="323"/>
        <v/>
      </c>
      <c r="T572" s="134" t="str">
        <f ca="1">IF(S572=Dashboard!$D$12,S572,"")</f>
        <v/>
      </c>
      <c r="U572" s="134" t="str">
        <f t="shared" ca="1" si="324"/>
        <v/>
      </c>
      <c r="V572" s="83" t="str">
        <f ca="1">IF(U572="","",IFERROR((RANK(U572,$U$2:$U$2028,1)+COUNTIF($U$2:U572,U572))-1,""))</f>
        <v/>
      </c>
      <c r="W572" s="134" t="str">
        <f t="shared" si="328"/>
        <v/>
      </c>
      <c r="X572" s="134" t="str">
        <f>IF(W572="","",IFERROR((RANK(W572,$W$2:$W$2028,1)+COUNTIF($W$2:W572,W572))-1,""))</f>
        <v/>
      </c>
      <c r="Y572" s="134" t="str">
        <f t="shared" si="325"/>
        <v/>
      </c>
      <c r="Z572" s="134" t="str">
        <f>IF(Y572="","",IFERROR((RANK(Y572,$Y$2:$Y$2028,1)+COUNTIF($Y$2:Y572,Y572))-1,""))</f>
        <v/>
      </c>
      <c r="AA572" s="134" t="str">
        <f t="shared" si="326"/>
        <v/>
      </c>
      <c r="AB572" s="134" t="str">
        <f>IF(AA572="","",IFERROR((RANK(AA572,$AA$2:$AA$2028,1)+COUNTIF($AA$2:AA572,AA572))-1,""))</f>
        <v/>
      </c>
      <c r="AC572" s="134" t="str">
        <f t="shared" si="327"/>
        <v/>
      </c>
      <c r="AD572" s="134" t="str">
        <f>IF(AC572="","",IFERROR((RANK(AC572,$AC$2:$AC$2028,1)+COUNTIF($AC$2:AC572,AC572))-1,""))</f>
        <v/>
      </c>
      <c r="AE572" s="144" t="str">
        <f t="shared" si="319"/>
        <v/>
      </c>
      <c r="AF572" s="144" t="str">
        <f>IF(AE572="","",SUM($AE$2:AE572))</f>
        <v/>
      </c>
    </row>
    <row r="573" spans="14:32" x14ac:dyDescent="0.35">
      <c r="N573" s="134" t="str">
        <f t="shared" si="317"/>
        <v/>
      </c>
      <c r="O573" s="82" t="str">
        <f t="shared" si="320"/>
        <v/>
      </c>
      <c r="P573" s="81" t="str">
        <f t="shared" si="318"/>
        <v/>
      </c>
      <c r="Q573" s="81" t="str">
        <f t="shared" si="321"/>
        <v/>
      </c>
      <c r="R573" s="135" t="str">
        <f t="shared" ca="1" si="322"/>
        <v/>
      </c>
      <c r="S573" s="134" t="str">
        <f t="shared" ca="1" si="323"/>
        <v/>
      </c>
      <c r="T573" s="134" t="str">
        <f ca="1">IF(S573=Dashboard!$D$12,S573,"")</f>
        <v/>
      </c>
      <c r="U573" s="134" t="str">
        <f t="shared" ca="1" si="324"/>
        <v/>
      </c>
      <c r="V573" s="83" t="str">
        <f ca="1">IF(U573="","",IFERROR((RANK(U573,$U$2:$U$2028,1)+COUNTIF($U$2:U573,U573))-1,""))</f>
        <v/>
      </c>
      <c r="W573" s="134" t="str">
        <f t="shared" si="328"/>
        <v/>
      </c>
      <c r="X573" s="134" t="str">
        <f>IF(W573="","",IFERROR((RANK(W573,$W$2:$W$2028,1)+COUNTIF($W$2:W573,W573))-1,""))</f>
        <v/>
      </c>
      <c r="Y573" s="134" t="str">
        <f t="shared" si="325"/>
        <v/>
      </c>
      <c r="Z573" s="134" t="str">
        <f>IF(Y573="","",IFERROR((RANK(Y573,$Y$2:$Y$2028,1)+COUNTIF($Y$2:Y573,Y573))-1,""))</f>
        <v/>
      </c>
      <c r="AA573" s="134" t="str">
        <f t="shared" si="326"/>
        <v/>
      </c>
      <c r="AB573" s="134" t="str">
        <f>IF(AA573="","",IFERROR((RANK(AA573,$AA$2:$AA$2028,1)+COUNTIF($AA$2:AA573,AA573))-1,""))</f>
        <v/>
      </c>
      <c r="AC573" s="134" t="str">
        <f t="shared" si="327"/>
        <v/>
      </c>
      <c r="AD573" s="134" t="str">
        <f>IF(AC573="","",IFERROR((RANK(AC573,$AC$2:$AC$2028,1)+COUNTIF($AC$2:AC573,AC573))-1,""))</f>
        <v/>
      </c>
      <c r="AE573" s="144" t="str">
        <f t="shared" si="319"/>
        <v/>
      </c>
      <c r="AF573" s="144" t="str">
        <f>IF(AE573="","",SUM($AE$2:AE573))</f>
        <v/>
      </c>
    </row>
    <row r="574" spans="14:32" x14ac:dyDescent="0.35">
      <c r="N574" s="134" t="str">
        <f t="shared" si="317"/>
        <v/>
      </c>
      <c r="O574" s="82" t="str">
        <f t="shared" si="320"/>
        <v/>
      </c>
      <c r="P574" s="81" t="str">
        <f t="shared" si="318"/>
        <v/>
      </c>
      <c r="Q574" s="81" t="str">
        <f t="shared" si="321"/>
        <v/>
      </c>
      <c r="R574" s="135" t="str">
        <f t="shared" ca="1" si="322"/>
        <v/>
      </c>
      <c r="S574" s="134" t="str">
        <f t="shared" ca="1" si="323"/>
        <v/>
      </c>
      <c r="T574" s="134" t="str">
        <f ca="1">IF(S574=Dashboard!$D$12,S574,"")</f>
        <v/>
      </c>
      <c r="U574" s="134" t="str">
        <f t="shared" ca="1" si="324"/>
        <v/>
      </c>
      <c r="V574" s="83" t="str">
        <f ca="1">IF(U574="","",IFERROR((RANK(U574,$U$2:$U$2028,1)+COUNTIF($U$2:U574,U574))-1,""))</f>
        <v/>
      </c>
      <c r="W574" s="134" t="str">
        <f t="shared" si="328"/>
        <v/>
      </c>
      <c r="X574" s="134" t="str">
        <f>IF(W574="","",IFERROR((RANK(W574,$W$2:$W$2028,1)+COUNTIF($W$2:W574,W574))-1,""))</f>
        <v/>
      </c>
      <c r="Y574" s="134" t="str">
        <f t="shared" si="325"/>
        <v/>
      </c>
      <c r="Z574" s="134" t="str">
        <f>IF(Y574="","",IFERROR((RANK(Y574,$Y$2:$Y$2028,1)+COUNTIF($Y$2:Y574,Y574))-1,""))</f>
        <v/>
      </c>
      <c r="AA574" s="134" t="str">
        <f t="shared" si="326"/>
        <v/>
      </c>
      <c r="AB574" s="134" t="str">
        <f>IF(AA574="","",IFERROR((RANK(AA574,$AA$2:$AA$2028,1)+COUNTIF($AA$2:AA574,AA574))-1,""))</f>
        <v/>
      </c>
      <c r="AC574" s="134" t="str">
        <f t="shared" si="327"/>
        <v/>
      </c>
      <c r="AD574" s="134" t="str">
        <f>IF(AC574="","",IFERROR((RANK(AC574,$AC$2:$AC$2028,1)+COUNTIF($AC$2:AC574,AC574))-1,""))</f>
        <v/>
      </c>
      <c r="AE574" s="144" t="str">
        <f t="shared" si="319"/>
        <v/>
      </c>
      <c r="AF574" s="144" t="str">
        <f>IF(AE574="","",SUM($AE$2:AE574))</f>
        <v/>
      </c>
    </row>
    <row r="575" spans="14:32" x14ac:dyDescent="0.35">
      <c r="N575" s="134" t="str">
        <f t="shared" si="317"/>
        <v/>
      </c>
      <c r="O575" s="82" t="str">
        <f t="shared" si="320"/>
        <v/>
      </c>
      <c r="P575" s="81" t="str">
        <f t="shared" si="318"/>
        <v/>
      </c>
      <c r="Q575" s="81" t="str">
        <f t="shared" si="321"/>
        <v/>
      </c>
      <c r="R575" s="135" t="str">
        <f t="shared" ca="1" si="322"/>
        <v/>
      </c>
      <c r="S575" s="134" t="str">
        <f t="shared" ca="1" si="323"/>
        <v/>
      </c>
      <c r="T575" s="134" t="str">
        <f ca="1">IF(S575=Dashboard!$D$12,S575,"")</f>
        <v/>
      </c>
      <c r="U575" s="134" t="str">
        <f t="shared" ca="1" si="324"/>
        <v/>
      </c>
      <c r="V575" s="83" t="str">
        <f ca="1">IF(U575="","",IFERROR((RANK(U575,$U$2:$U$2028,1)+COUNTIF($U$2:U575,U575))-1,""))</f>
        <v/>
      </c>
      <c r="W575" s="134" t="str">
        <f t="shared" si="328"/>
        <v/>
      </c>
      <c r="X575" s="134" t="str">
        <f>IF(W575="","",IFERROR((RANK(W575,$W$2:$W$2028,1)+COUNTIF($W$2:W575,W575))-1,""))</f>
        <v/>
      </c>
      <c r="Y575" s="134" t="str">
        <f t="shared" si="325"/>
        <v/>
      </c>
      <c r="Z575" s="134" t="str">
        <f>IF(Y575="","",IFERROR((RANK(Y575,$Y$2:$Y$2028,1)+COUNTIF($Y$2:Y575,Y575))-1,""))</f>
        <v/>
      </c>
      <c r="AA575" s="134" t="str">
        <f t="shared" si="326"/>
        <v/>
      </c>
      <c r="AB575" s="134" t="str">
        <f>IF(AA575="","",IFERROR((RANK(AA575,$AA$2:$AA$2028,1)+COUNTIF($AA$2:AA575,AA575))-1,""))</f>
        <v/>
      </c>
      <c r="AC575" s="134" t="str">
        <f t="shared" si="327"/>
        <v/>
      </c>
      <c r="AD575" s="134" t="str">
        <f>IF(AC575="","",IFERROR((RANK(AC575,$AC$2:$AC$2028,1)+COUNTIF($AC$2:AC575,AC575))-1,""))</f>
        <v/>
      </c>
      <c r="AE575" s="144" t="str">
        <f t="shared" si="319"/>
        <v/>
      </c>
      <c r="AF575" s="144" t="str">
        <f>IF(AE575="","",SUM($AE$2:AE575))</f>
        <v/>
      </c>
    </row>
    <row r="576" spans="14:32" x14ac:dyDescent="0.35">
      <c r="N576" s="134" t="str">
        <f t="shared" si="317"/>
        <v/>
      </c>
      <c r="O576" s="82" t="str">
        <f t="shared" si="320"/>
        <v/>
      </c>
      <c r="P576" s="81" t="str">
        <f t="shared" si="318"/>
        <v/>
      </c>
      <c r="Q576" s="81" t="str">
        <f t="shared" si="321"/>
        <v/>
      </c>
      <c r="R576" s="135" t="str">
        <f t="shared" ca="1" si="322"/>
        <v/>
      </c>
      <c r="S576" s="134" t="str">
        <f t="shared" ca="1" si="323"/>
        <v/>
      </c>
      <c r="T576" s="134" t="str">
        <f ca="1">IF(S576=Dashboard!$D$12,S576,"")</f>
        <v/>
      </c>
      <c r="U576" s="134" t="str">
        <f t="shared" ca="1" si="324"/>
        <v/>
      </c>
      <c r="V576" s="83" t="str">
        <f ca="1">IF(U576="","",IFERROR((RANK(U576,$U$2:$U$2028,1)+COUNTIF($U$2:U576,U576))-1,""))</f>
        <v/>
      </c>
      <c r="W576" s="134" t="str">
        <f t="shared" si="328"/>
        <v/>
      </c>
      <c r="X576" s="134" t="str">
        <f>IF(W576="","",IFERROR((RANK(W576,$W$2:$W$2028,1)+COUNTIF($W$2:W576,W576))-1,""))</f>
        <v/>
      </c>
      <c r="Y576" s="134" t="str">
        <f t="shared" si="325"/>
        <v/>
      </c>
      <c r="Z576" s="134" t="str">
        <f>IF(Y576="","",IFERROR((RANK(Y576,$Y$2:$Y$2028,1)+COUNTIF($Y$2:Y576,Y576))-1,""))</f>
        <v/>
      </c>
      <c r="AA576" s="134" t="str">
        <f t="shared" si="326"/>
        <v/>
      </c>
      <c r="AB576" s="134" t="str">
        <f>IF(AA576="","",IFERROR((RANK(AA576,$AA$2:$AA$2028,1)+COUNTIF($AA$2:AA576,AA576))-1,""))</f>
        <v/>
      </c>
      <c r="AC576" s="134" t="str">
        <f t="shared" si="327"/>
        <v/>
      </c>
      <c r="AD576" s="134" t="str">
        <f>IF(AC576="","",IFERROR((RANK(AC576,$AC$2:$AC$2028,1)+COUNTIF($AC$2:AC576,AC576))-1,""))</f>
        <v/>
      </c>
      <c r="AE576" s="144" t="str">
        <f t="shared" si="319"/>
        <v/>
      </c>
      <c r="AF576" s="144" t="str">
        <f>IF(AE576="","",SUM($AE$2:AE576))</f>
        <v/>
      </c>
    </row>
    <row r="577" spans="14:32" x14ac:dyDescent="0.35">
      <c r="N577" s="134" t="str">
        <f t="shared" si="317"/>
        <v/>
      </c>
      <c r="O577" s="82" t="str">
        <f t="shared" si="320"/>
        <v/>
      </c>
      <c r="P577" s="81" t="str">
        <f t="shared" si="318"/>
        <v/>
      </c>
      <c r="Q577" s="81" t="str">
        <f t="shared" si="321"/>
        <v/>
      </c>
      <c r="R577" s="135" t="str">
        <f t="shared" ca="1" si="322"/>
        <v/>
      </c>
      <c r="S577" s="134" t="str">
        <f t="shared" ca="1" si="323"/>
        <v/>
      </c>
      <c r="T577" s="134" t="str">
        <f ca="1">IF(S577=Dashboard!$D$12,S577,"")</f>
        <v/>
      </c>
      <c r="U577" s="134" t="str">
        <f t="shared" ca="1" si="324"/>
        <v/>
      </c>
      <c r="V577" s="83" t="str">
        <f ca="1">IF(U577="","",IFERROR((RANK(U577,$U$2:$U$2028,1)+COUNTIF($U$2:U577,U577))-1,""))</f>
        <v/>
      </c>
      <c r="W577" s="134" t="str">
        <f t="shared" si="328"/>
        <v/>
      </c>
      <c r="X577" s="134" t="str">
        <f>IF(W577="","",IFERROR((RANK(W577,$W$2:$W$2028,1)+COUNTIF($W$2:W577,W577))-1,""))</f>
        <v/>
      </c>
      <c r="Y577" s="134" t="str">
        <f t="shared" si="325"/>
        <v/>
      </c>
      <c r="Z577" s="134" t="str">
        <f>IF(Y577="","",IFERROR((RANK(Y577,$Y$2:$Y$2028,1)+COUNTIF($Y$2:Y577,Y577))-1,""))</f>
        <v/>
      </c>
      <c r="AA577" s="134" t="str">
        <f t="shared" si="326"/>
        <v/>
      </c>
      <c r="AB577" s="134" t="str">
        <f>IF(AA577="","",IFERROR((RANK(AA577,$AA$2:$AA$2028,1)+COUNTIF($AA$2:AA577,AA577))-1,""))</f>
        <v/>
      </c>
      <c r="AC577" s="134" t="str">
        <f t="shared" si="327"/>
        <v/>
      </c>
      <c r="AD577" s="134" t="str">
        <f>IF(AC577="","",IFERROR((RANK(AC577,$AC$2:$AC$2028,1)+COUNTIF($AC$2:AC577,AC577))-1,""))</f>
        <v/>
      </c>
      <c r="AE577" s="144" t="str">
        <f t="shared" si="319"/>
        <v/>
      </c>
      <c r="AF577" s="144" t="str">
        <f>IF(AE577="","",SUM($AE$2:AE577))</f>
        <v/>
      </c>
    </row>
    <row r="578" spans="14:32" x14ac:dyDescent="0.35">
      <c r="N578" s="134" t="str">
        <f t="shared" ref="N578:N641" si="329">IF(A578="","",COUNTIFS(M:M,M578,H:H,"&lt;"&amp;H578)+1)</f>
        <v/>
      </c>
      <c r="O578" s="82" t="str">
        <f t="shared" si="320"/>
        <v/>
      </c>
      <c r="P578" s="81" t="str">
        <f t="shared" ref="P578:P641" si="330">IF(A578="","",COUNTIFS(M:M,M578,H:H,"&gt;"&amp;H578)+1)</f>
        <v/>
      </c>
      <c r="Q578" s="81" t="str">
        <f t="shared" si="321"/>
        <v/>
      </c>
      <c r="R578" s="135" t="str">
        <f t="shared" ca="1" si="322"/>
        <v/>
      </c>
      <c r="S578" s="134" t="str">
        <f t="shared" ca="1" si="323"/>
        <v/>
      </c>
      <c r="T578" s="134" t="str">
        <f ca="1">IF(S578=Dashboard!$D$12,S578,"")</f>
        <v/>
      </c>
      <c r="U578" s="134" t="str">
        <f t="shared" ca="1" si="324"/>
        <v/>
      </c>
      <c r="V578" s="83" t="str">
        <f ca="1">IF(U578="","",IFERROR((RANK(U578,$U$2:$U$2028,1)+COUNTIF($U$2:U578,U578))-1,""))</f>
        <v/>
      </c>
      <c r="W578" s="134" t="str">
        <f t="shared" si="328"/>
        <v/>
      </c>
      <c r="X578" s="134" t="str">
        <f>IF(W578="","",IFERROR((RANK(W578,$W$2:$W$2028,1)+COUNTIF($W$2:W578,W578))-1,""))</f>
        <v/>
      </c>
      <c r="Y578" s="134" t="str">
        <f t="shared" si="325"/>
        <v/>
      </c>
      <c r="Z578" s="134" t="str">
        <f>IF(Y578="","",IFERROR((RANK(Y578,$Y$2:$Y$2028,1)+COUNTIF($Y$2:Y578,Y578))-1,""))</f>
        <v/>
      </c>
      <c r="AA578" s="134" t="str">
        <f t="shared" si="326"/>
        <v/>
      </c>
      <c r="AB578" s="134" t="str">
        <f>IF(AA578="","",IFERROR((RANK(AA578,$AA$2:$AA$2028,1)+COUNTIF($AA$2:AA578,AA578))-1,""))</f>
        <v/>
      </c>
      <c r="AC578" s="134" t="str">
        <f t="shared" si="327"/>
        <v/>
      </c>
      <c r="AD578" s="134" t="str">
        <f>IF(AC578="","",IFERROR((RANK(AC578,$AC$2:$AC$2028,1)+COUNTIF($AC$2:AC578,AC578))-1,""))</f>
        <v/>
      </c>
      <c r="AE578" s="144" t="str">
        <f t="shared" si="319"/>
        <v/>
      </c>
      <c r="AF578" s="144" t="str">
        <f>IF(AE578="","",SUM($AE$2:AE578))</f>
        <v/>
      </c>
    </row>
    <row r="579" spans="14:32" x14ac:dyDescent="0.35">
      <c r="N579" s="134" t="str">
        <f t="shared" si="329"/>
        <v/>
      </c>
      <c r="O579" s="82" t="str">
        <f t="shared" si="320"/>
        <v/>
      </c>
      <c r="P579" s="81" t="str">
        <f t="shared" si="330"/>
        <v/>
      </c>
      <c r="Q579" s="81" t="str">
        <f t="shared" si="321"/>
        <v/>
      </c>
      <c r="R579" s="135" t="str">
        <f t="shared" ca="1" si="322"/>
        <v/>
      </c>
      <c r="S579" s="134" t="str">
        <f t="shared" ca="1" si="323"/>
        <v/>
      </c>
      <c r="T579" s="134" t="str">
        <f ca="1">IF(S579=Dashboard!$D$12,S579,"")</f>
        <v/>
      </c>
      <c r="U579" s="134" t="str">
        <f t="shared" ca="1" si="324"/>
        <v/>
      </c>
      <c r="V579" s="83" t="str">
        <f ca="1">IF(U579="","",IFERROR((RANK(U579,$U$2:$U$2028,1)+COUNTIF($U$2:U579,U579))-1,""))</f>
        <v/>
      </c>
      <c r="W579" s="134" t="str">
        <f t="shared" si="328"/>
        <v/>
      </c>
      <c r="X579" s="134" t="str">
        <f>IF(W579="","",IFERROR((RANK(W579,$W$2:$W$2028,1)+COUNTIF($W$2:W579,W579))-1,""))</f>
        <v/>
      </c>
      <c r="Y579" s="134" t="str">
        <f t="shared" si="325"/>
        <v/>
      </c>
      <c r="Z579" s="134" t="str">
        <f>IF(Y579="","",IFERROR((RANK(Y579,$Y$2:$Y$2028,1)+COUNTIF($Y$2:Y579,Y579))-1,""))</f>
        <v/>
      </c>
      <c r="AA579" s="134" t="str">
        <f t="shared" si="326"/>
        <v/>
      </c>
      <c r="AB579" s="134" t="str">
        <f>IF(AA579="","",IFERROR((RANK(AA579,$AA$2:$AA$2028,1)+COUNTIF($AA$2:AA579,AA579))-1,""))</f>
        <v/>
      </c>
      <c r="AC579" s="134" t="str">
        <f t="shared" si="327"/>
        <v/>
      </c>
      <c r="AD579" s="134" t="str">
        <f>IF(AC579="","",IFERROR((RANK(AC579,$AC$2:$AC$2028,1)+COUNTIF($AC$2:AC579,AC579))-1,""))</f>
        <v/>
      </c>
      <c r="AE579" s="144" t="str">
        <f t="shared" si="319"/>
        <v/>
      </c>
      <c r="AF579" s="144" t="str">
        <f>IF(AE579="","",SUM($AE$2:AE579))</f>
        <v/>
      </c>
    </row>
    <row r="580" spans="14:32" x14ac:dyDescent="0.35">
      <c r="N580" s="134" t="str">
        <f t="shared" si="329"/>
        <v/>
      </c>
      <c r="O580" s="82" t="str">
        <f t="shared" si="320"/>
        <v/>
      </c>
      <c r="P580" s="81" t="str">
        <f t="shared" si="330"/>
        <v/>
      </c>
      <c r="Q580" s="81" t="str">
        <f t="shared" si="321"/>
        <v/>
      </c>
      <c r="R580" s="135" t="str">
        <f t="shared" ca="1" si="322"/>
        <v/>
      </c>
      <c r="S580" s="134" t="str">
        <f t="shared" ca="1" si="323"/>
        <v/>
      </c>
      <c r="T580" s="134" t="str">
        <f ca="1">IF(S580=Dashboard!$D$12,S580,"")</f>
        <v/>
      </c>
      <c r="U580" s="134" t="str">
        <f t="shared" ca="1" si="324"/>
        <v/>
      </c>
      <c r="V580" s="83" t="str">
        <f ca="1">IF(U580="","",IFERROR((RANK(U580,$U$2:$U$2028,1)+COUNTIF($U$2:U580,U580))-1,""))</f>
        <v/>
      </c>
      <c r="W580" s="134" t="str">
        <f t="shared" si="328"/>
        <v/>
      </c>
      <c r="X580" s="134" t="str">
        <f>IF(W580="","",IFERROR((RANK(W580,$W$2:$W$2028,1)+COUNTIF($W$2:W580,W580))-1,""))</f>
        <v/>
      </c>
      <c r="Y580" s="134" t="str">
        <f t="shared" si="325"/>
        <v/>
      </c>
      <c r="Z580" s="134" t="str">
        <f>IF(Y580="","",IFERROR((RANK(Y580,$Y$2:$Y$2028,1)+COUNTIF($Y$2:Y580,Y580))-1,""))</f>
        <v/>
      </c>
      <c r="AA580" s="134" t="str">
        <f t="shared" si="326"/>
        <v/>
      </c>
      <c r="AB580" s="134" t="str">
        <f>IF(AA580="","",IFERROR((RANK(AA580,$AA$2:$AA$2028,1)+COUNTIF($AA$2:AA580,AA580))-1,""))</f>
        <v/>
      </c>
      <c r="AC580" s="134" t="str">
        <f t="shared" si="327"/>
        <v/>
      </c>
      <c r="AD580" s="134" t="str">
        <f>IF(AC580="","",IFERROR((RANK(AC580,$AC$2:$AC$2028,1)+COUNTIF($AC$2:AC580,AC580))-1,""))</f>
        <v/>
      </c>
      <c r="AE580" s="144" t="str">
        <f t="shared" si="319"/>
        <v/>
      </c>
      <c r="AF580" s="144" t="str">
        <f>IF(AE580="","",SUM($AE$2:AE580))</f>
        <v/>
      </c>
    </row>
    <row r="581" spans="14:32" x14ac:dyDescent="0.35">
      <c r="N581" s="134" t="str">
        <f t="shared" si="329"/>
        <v/>
      </c>
      <c r="O581" s="82" t="str">
        <f t="shared" si="320"/>
        <v/>
      </c>
      <c r="P581" s="81" t="str">
        <f t="shared" si="330"/>
        <v/>
      </c>
      <c r="Q581" s="81" t="str">
        <f t="shared" si="321"/>
        <v/>
      </c>
      <c r="R581" s="135" t="str">
        <f t="shared" ca="1" si="322"/>
        <v/>
      </c>
      <c r="S581" s="134" t="str">
        <f t="shared" ca="1" si="323"/>
        <v/>
      </c>
      <c r="T581" s="134" t="str">
        <f ca="1">IF(S581=Dashboard!$D$12,S581,"")</f>
        <v/>
      </c>
      <c r="U581" s="134" t="str">
        <f t="shared" ca="1" si="324"/>
        <v/>
      </c>
      <c r="V581" s="83" t="str">
        <f ca="1">IF(U581="","",IFERROR((RANK(U581,$U$2:$U$2028,1)+COUNTIF($U$2:U581,U581))-1,""))</f>
        <v/>
      </c>
      <c r="W581" s="134" t="str">
        <f t="shared" si="328"/>
        <v/>
      </c>
      <c r="X581" s="134" t="str">
        <f>IF(W581="","",IFERROR((RANK(W581,$W$2:$W$2028,1)+COUNTIF($W$2:W581,W581))-1,""))</f>
        <v/>
      </c>
      <c r="Y581" s="134" t="str">
        <f t="shared" si="325"/>
        <v/>
      </c>
      <c r="Z581" s="134" t="str">
        <f>IF(Y581="","",IFERROR((RANK(Y581,$Y$2:$Y$2028,1)+COUNTIF($Y$2:Y581,Y581))-1,""))</f>
        <v/>
      </c>
      <c r="AA581" s="134" t="str">
        <f t="shared" si="326"/>
        <v/>
      </c>
      <c r="AB581" s="134" t="str">
        <f>IF(AA581="","",IFERROR((RANK(AA581,$AA$2:$AA$2028,1)+COUNTIF($AA$2:AA581,AA581))-1,""))</f>
        <v/>
      </c>
      <c r="AC581" s="134" t="str">
        <f t="shared" si="327"/>
        <v/>
      </c>
      <c r="AD581" s="134" t="str">
        <f>IF(AC581="","",IFERROR((RANK(AC581,$AC$2:$AC$2028,1)+COUNTIF($AC$2:AC581,AC581))-1,""))</f>
        <v/>
      </c>
      <c r="AE581" s="144" t="str">
        <f t="shared" si="319"/>
        <v/>
      </c>
      <c r="AF581" s="144" t="str">
        <f>IF(AE581="","",SUM($AE$2:AE581))</f>
        <v/>
      </c>
    </row>
    <row r="582" spans="14:32" x14ac:dyDescent="0.35">
      <c r="N582" s="134" t="str">
        <f t="shared" si="329"/>
        <v/>
      </c>
      <c r="O582" s="82" t="str">
        <f t="shared" si="320"/>
        <v/>
      </c>
      <c r="P582" s="81" t="str">
        <f t="shared" si="330"/>
        <v/>
      </c>
      <c r="Q582" s="81" t="str">
        <f t="shared" si="321"/>
        <v/>
      </c>
      <c r="R582" s="135" t="str">
        <f t="shared" ca="1" si="322"/>
        <v/>
      </c>
      <c r="S582" s="134" t="str">
        <f t="shared" ca="1" si="323"/>
        <v/>
      </c>
      <c r="T582" s="134" t="str">
        <f ca="1">IF(S582=Dashboard!$D$12,S582,"")</f>
        <v/>
      </c>
      <c r="U582" s="134" t="str">
        <f t="shared" ca="1" si="324"/>
        <v/>
      </c>
      <c r="V582" s="83" t="str">
        <f ca="1">IF(U582="","",IFERROR((RANK(U582,$U$2:$U$2028,1)+COUNTIF($U$2:U582,U582))-1,""))</f>
        <v/>
      </c>
      <c r="W582" s="134" t="str">
        <f t="shared" si="328"/>
        <v/>
      </c>
      <c r="X582" s="134" t="str">
        <f>IF(W582="","",IFERROR((RANK(W582,$W$2:$W$2028,1)+COUNTIF($W$2:W582,W582))-1,""))</f>
        <v/>
      </c>
      <c r="Y582" s="134" t="str">
        <f t="shared" si="325"/>
        <v/>
      </c>
      <c r="Z582" s="134" t="str">
        <f>IF(Y582="","",IFERROR((RANK(Y582,$Y$2:$Y$2028,1)+COUNTIF($Y$2:Y582,Y582))-1,""))</f>
        <v/>
      </c>
      <c r="AA582" s="134" t="str">
        <f t="shared" si="326"/>
        <v/>
      </c>
      <c r="AB582" s="134" t="str">
        <f>IF(AA582="","",IFERROR((RANK(AA582,$AA$2:$AA$2028,1)+COUNTIF($AA$2:AA582,AA582))-1,""))</f>
        <v/>
      </c>
      <c r="AC582" s="134" t="str">
        <f t="shared" si="327"/>
        <v/>
      </c>
      <c r="AD582" s="134" t="str">
        <f>IF(AC582="","",IFERROR((RANK(AC582,$AC$2:$AC$2028,1)+COUNTIF($AC$2:AC582,AC582))-1,""))</f>
        <v/>
      </c>
      <c r="AE582" s="144" t="str">
        <f t="shared" si="319"/>
        <v/>
      </c>
      <c r="AF582" s="144" t="str">
        <f>IF(AE582="","",SUM($AE$2:AE582))</f>
        <v/>
      </c>
    </row>
    <row r="583" spans="14:32" x14ac:dyDescent="0.35">
      <c r="N583" s="134" t="str">
        <f t="shared" si="329"/>
        <v/>
      </c>
      <c r="O583" s="82" t="str">
        <f t="shared" si="320"/>
        <v/>
      </c>
      <c r="P583" s="81" t="str">
        <f t="shared" si="330"/>
        <v/>
      </c>
      <c r="Q583" s="81" t="str">
        <f t="shared" si="321"/>
        <v/>
      </c>
      <c r="R583" s="135" t="str">
        <f t="shared" ca="1" si="322"/>
        <v/>
      </c>
      <c r="S583" s="134" t="str">
        <f t="shared" ca="1" si="323"/>
        <v/>
      </c>
      <c r="T583" s="134" t="str">
        <f ca="1">IF(S583=Dashboard!$D$12,S583,"")</f>
        <v/>
      </c>
      <c r="U583" s="134" t="str">
        <f t="shared" ca="1" si="324"/>
        <v/>
      </c>
      <c r="V583" s="83" t="str">
        <f ca="1">IF(U583="","",IFERROR((RANK(U583,$U$2:$U$2028,1)+COUNTIF($U$2:U583,U583))-1,""))</f>
        <v/>
      </c>
      <c r="W583" s="134" t="str">
        <f t="shared" si="328"/>
        <v/>
      </c>
      <c r="X583" s="134" t="str">
        <f>IF(W583="","",IFERROR((RANK(W583,$W$2:$W$2028,1)+COUNTIF($W$2:W583,W583))-1,""))</f>
        <v/>
      </c>
      <c r="Y583" s="134" t="str">
        <f t="shared" si="325"/>
        <v/>
      </c>
      <c r="Z583" s="134" t="str">
        <f>IF(Y583="","",IFERROR((RANK(Y583,$Y$2:$Y$2028,1)+COUNTIF($Y$2:Y583,Y583))-1,""))</f>
        <v/>
      </c>
      <c r="AA583" s="134" t="str">
        <f t="shared" si="326"/>
        <v/>
      </c>
      <c r="AB583" s="134" t="str">
        <f>IF(AA583="","",IFERROR((RANK(AA583,$AA$2:$AA$2028,1)+COUNTIF($AA$2:AA583,AA583))-1,""))</f>
        <v/>
      </c>
      <c r="AC583" s="134" t="str">
        <f t="shared" si="327"/>
        <v/>
      </c>
      <c r="AD583" s="134" t="str">
        <f>IF(AC583="","",IFERROR((RANK(AC583,$AC$2:$AC$2028,1)+COUNTIF($AC$2:AC583,AC583))-1,""))</f>
        <v/>
      </c>
      <c r="AE583" s="144" t="str">
        <f t="shared" ref="AE583:AE646" si="331">IF(P583=1,P583,"")</f>
        <v/>
      </c>
      <c r="AF583" s="144" t="str">
        <f>IF(AE583="","",SUM($AE$2:AE583))</f>
        <v/>
      </c>
    </row>
    <row r="584" spans="14:32" x14ac:dyDescent="0.35">
      <c r="N584" s="134" t="str">
        <f t="shared" si="329"/>
        <v/>
      </c>
      <c r="O584" s="82" t="str">
        <f t="shared" si="320"/>
        <v/>
      </c>
      <c r="P584" s="81" t="str">
        <f t="shared" si="330"/>
        <v/>
      </c>
      <c r="Q584" s="81" t="str">
        <f t="shared" si="321"/>
        <v/>
      </c>
      <c r="R584" s="135" t="str">
        <f t="shared" ca="1" si="322"/>
        <v/>
      </c>
      <c r="S584" s="134" t="str">
        <f t="shared" ca="1" si="323"/>
        <v/>
      </c>
      <c r="T584" s="134" t="str">
        <f ca="1">IF(S584=Dashboard!$D$12,S584,"")</f>
        <v/>
      </c>
      <c r="U584" s="134" t="str">
        <f t="shared" ca="1" si="324"/>
        <v/>
      </c>
      <c r="V584" s="83" t="str">
        <f ca="1">IF(U584="","",IFERROR((RANK(U584,$U$2:$U$2028,1)+COUNTIF($U$2:U584,U584))-1,""))</f>
        <v/>
      </c>
      <c r="W584" s="134" t="str">
        <f t="shared" si="328"/>
        <v/>
      </c>
      <c r="X584" s="134" t="str">
        <f>IF(W584="","",IFERROR((RANK(W584,$W$2:$W$2028,1)+COUNTIF($W$2:W584,W584))-1,""))</f>
        <v/>
      </c>
      <c r="Y584" s="134" t="str">
        <f t="shared" si="325"/>
        <v/>
      </c>
      <c r="Z584" s="134" t="str">
        <f>IF(Y584="","",IFERROR((RANK(Y584,$Y$2:$Y$2028,1)+COUNTIF($Y$2:Y584,Y584))-1,""))</f>
        <v/>
      </c>
      <c r="AA584" s="134" t="str">
        <f t="shared" si="326"/>
        <v/>
      </c>
      <c r="AB584" s="134" t="str">
        <f>IF(AA584="","",IFERROR((RANK(AA584,$AA$2:$AA$2028,1)+COUNTIF($AA$2:AA584,AA584))-1,""))</f>
        <v/>
      </c>
      <c r="AC584" s="134" t="str">
        <f t="shared" si="327"/>
        <v/>
      </c>
      <c r="AD584" s="134" t="str">
        <f>IF(AC584="","",IFERROR((RANK(AC584,$AC$2:$AC$2028,1)+COUNTIF($AC$2:AC584,AC584))-1,""))</f>
        <v/>
      </c>
      <c r="AE584" s="144" t="str">
        <f t="shared" si="331"/>
        <v/>
      </c>
      <c r="AF584" s="144" t="str">
        <f>IF(AE584="","",SUM($AE$2:AE584))</f>
        <v/>
      </c>
    </row>
    <row r="585" spans="14:32" x14ac:dyDescent="0.35">
      <c r="N585" s="134" t="str">
        <f t="shared" si="329"/>
        <v/>
      </c>
      <c r="O585" s="82" t="str">
        <f t="shared" si="320"/>
        <v/>
      </c>
      <c r="P585" s="81" t="str">
        <f t="shared" si="330"/>
        <v/>
      </c>
      <c r="Q585" s="81" t="str">
        <f t="shared" si="321"/>
        <v/>
      </c>
      <c r="R585" s="135" t="str">
        <f t="shared" ca="1" si="322"/>
        <v/>
      </c>
      <c r="S585" s="134" t="str">
        <f t="shared" ca="1" si="323"/>
        <v/>
      </c>
      <c r="T585" s="134" t="str">
        <f ca="1">IF(S585=Dashboard!$D$12,S585,"")</f>
        <v/>
      </c>
      <c r="U585" s="134" t="str">
        <f t="shared" ca="1" si="324"/>
        <v/>
      </c>
      <c r="V585" s="83" t="str">
        <f ca="1">IF(U585="","",IFERROR((RANK(U585,$U$2:$U$2028,1)+COUNTIF($U$2:U585,U585))-1,""))</f>
        <v/>
      </c>
      <c r="W585" s="134" t="str">
        <f t="shared" si="328"/>
        <v/>
      </c>
      <c r="X585" s="134" t="str">
        <f>IF(W585="","",IFERROR((RANK(W585,$W$2:$W$2028,1)+COUNTIF($W$2:W585,W585))-1,""))</f>
        <v/>
      </c>
      <c r="Y585" s="134" t="str">
        <f t="shared" si="325"/>
        <v/>
      </c>
      <c r="Z585" s="134" t="str">
        <f>IF(Y585="","",IFERROR((RANK(Y585,$Y$2:$Y$2028,1)+COUNTIF($Y$2:Y585,Y585))-1,""))</f>
        <v/>
      </c>
      <c r="AA585" s="134" t="str">
        <f t="shared" si="326"/>
        <v/>
      </c>
      <c r="AB585" s="134" t="str">
        <f>IF(AA585="","",IFERROR((RANK(AA585,$AA$2:$AA$2028,1)+COUNTIF($AA$2:AA585,AA585))-1,""))</f>
        <v/>
      </c>
      <c r="AC585" s="134" t="str">
        <f t="shared" si="327"/>
        <v/>
      </c>
      <c r="AD585" s="134" t="str">
        <f>IF(AC585="","",IFERROR((RANK(AC585,$AC$2:$AC$2028,1)+COUNTIF($AC$2:AC585,AC585))-1,""))</f>
        <v/>
      </c>
      <c r="AE585" s="144" t="str">
        <f t="shared" si="331"/>
        <v/>
      </c>
      <c r="AF585" s="144" t="str">
        <f>IF(AE585="","",SUM($AE$2:AE585))</f>
        <v/>
      </c>
    </row>
    <row r="586" spans="14:32" x14ac:dyDescent="0.35">
      <c r="N586" s="134" t="str">
        <f t="shared" si="329"/>
        <v/>
      </c>
      <c r="O586" s="82" t="str">
        <f t="shared" si="320"/>
        <v/>
      </c>
      <c r="P586" s="81" t="str">
        <f t="shared" si="330"/>
        <v/>
      </c>
      <c r="Q586" s="81" t="str">
        <f t="shared" si="321"/>
        <v/>
      </c>
      <c r="R586" s="135" t="str">
        <f t="shared" ca="1" si="322"/>
        <v/>
      </c>
      <c r="S586" s="134" t="str">
        <f t="shared" ca="1" si="323"/>
        <v/>
      </c>
      <c r="T586" s="134" t="str">
        <f ca="1">IF(S586=Dashboard!$D$12,S586,"")</f>
        <v/>
      </c>
      <c r="U586" s="134" t="str">
        <f t="shared" ca="1" si="324"/>
        <v/>
      </c>
      <c r="V586" s="83" t="str">
        <f ca="1">IF(U586="","",IFERROR((RANK(U586,$U$2:$U$2028,1)+COUNTIF($U$2:U586,U586))-1,""))</f>
        <v/>
      </c>
      <c r="W586" s="134" t="str">
        <f t="shared" si="328"/>
        <v/>
      </c>
      <c r="X586" s="134" t="str">
        <f>IF(W586="","",IFERROR((RANK(W586,$W$2:$W$2028,1)+COUNTIF($W$2:W586,W586))-1,""))</f>
        <v/>
      </c>
      <c r="Y586" s="134" t="str">
        <f t="shared" si="325"/>
        <v/>
      </c>
      <c r="Z586" s="134" t="str">
        <f>IF(Y586="","",IFERROR((RANK(Y586,$Y$2:$Y$2028,1)+COUNTIF($Y$2:Y586,Y586))-1,""))</f>
        <v/>
      </c>
      <c r="AA586" s="134" t="str">
        <f t="shared" si="326"/>
        <v/>
      </c>
      <c r="AB586" s="134" t="str">
        <f>IF(AA586="","",IFERROR((RANK(AA586,$AA$2:$AA$2028,1)+COUNTIF($AA$2:AA586,AA586))-1,""))</f>
        <v/>
      </c>
      <c r="AC586" s="134" t="str">
        <f t="shared" si="327"/>
        <v/>
      </c>
      <c r="AD586" s="134" t="str">
        <f>IF(AC586="","",IFERROR((RANK(AC586,$AC$2:$AC$2028,1)+COUNTIF($AC$2:AC586,AC586))-1,""))</f>
        <v/>
      </c>
      <c r="AE586" s="144" t="str">
        <f t="shared" si="331"/>
        <v/>
      </c>
      <c r="AF586" s="144" t="str">
        <f>IF(AE586="","",SUM($AE$2:AE586))</f>
        <v/>
      </c>
    </row>
    <row r="587" spans="14:32" x14ac:dyDescent="0.35">
      <c r="N587" s="134" t="str">
        <f t="shared" si="329"/>
        <v/>
      </c>
      <c r="O587" s="82" t="str">
        <f t="shared" si="320"/>
        <v/>
      </c>
      <c r="P587" s="81" t="str">
        <f t="shared" si="330"/>
        <v/>
      </c>
      <c r="Q587" s="81" t="str">
        <f t="shared" si="321"/>
        <v/>
      </c>
      <c r="R587" s="135" t="str">
        <f t="shared" ca="1" si="322"/>
        <v/>
      </c>
      <c r="S587" s="134" t="str">
        <f t="shared" ca="1" si="323"/>
        <v/>
      </c>
      <c r="T587" s="134" t="str">
        <f ca="1">IF(S587=Dashboard!$D$12,S587,"")</f>
        <v/>
      </c>
      <c r="U587" s="134" t="str">
        <f t="shared" ca="1" si="324"/>
        <v/>
      </c>
      <c r="V587" s="83" t="str">
        <f ca="1">IF(U587="","",IFERROR((RANK(U587,$U$2:$U$2028,1)+COUNTIF($U$2:U587,U587))-1,""))</f>
        <v/>
      </c>
      <c r="W587" s="134" t="str">
        <f t="shared" si="328"/>
        <v/>
      </c>
      <c r="X587" s="134" t="str">
        <f>IF(W587="","",IFERROR((RANK(W587,$W$2:$W$2028,1)+COUNTIF($W$2:W587,W587))-1,""))</f>
        <v/>
      </c>
      <c r="Y587" s="134" t="str">
        <f t="shared" si="325"/>
        <v/>
      </c>
      <c r="Z587" s="134" t="str">
        <f>IF(Y587="","",IFERROR((RANK(Y587,$Y$2:$Y$2028,1)+COUNTIF($Y$2:Y587,Y587))-1,""))</f>
        <v/>
      </c>
      <c r="AA587" s="134" t="str">
        <f t="shared" si="326"/>
        <v/>
      </c>
      <c r="AB587" s="134" t="str">
        <f>IF(AA587="","",IFERROR((RANK(AA587,$AA$2:$AA$2028,1)+COUNTIF($AA$2:AA587,AA587))-1,""))</f>
        <v/>
      </c>
      <c r="AC587" s="134" t="str">
        <f t="shared" si="327"/>
        <v/>
      </c>
      <c r="AD587" s="134" t="str">
        <f>IF(AC587="","",IFERROR((RANK(AC587,$AC$2:$AC$2028,1)+COUNTIF($AC$2:AC587,AC587))-1,""))</f>
        <v/>
      </c>
      <c r="AE587" s="144" t="str">
        <f t="shared" si="331"/>
        <v/>
      </c>
      <c r="AF587" s="144" t="str">
        <f>IF(AE587="","",SUM($AE$2:AE587))</f>
        <v/>
      </c>
    </row>
    <row r="588" spans="14:32" x14ac:dyDescent="0.35">
      <c r="N588" s="134" t="str">
        <f t="shared" si="329"/>
        <v/>
      </c>
      <c r="O588" s="82" t="str">
        <f t="shared" si="320"/>
        <v/>
      </c>
      <c r="P588" s="81" t="str">
        <f t="shared" si="330"/>
        <v/>
      </c>
      <c r="Q588" s="81" t="str">
        <f t="shared" si="321"/>
        <v/>
      </c>
      <c r="R588" s="135" t="str">
        <f t="shared" ca="1" si="322"/>
        <v/>
      </c>
      <c r="S588" s="134" t="str">
        <f t="shared" ca="1" si="323"/>
        <v/>
      </c>
      <c r="T588" s="134" t="str">
        <f ca="1">IF(S588=Dashboard!$D$12,S588,"")</f>
        <v/>
      </c>
      <c r="U588" s="134" t="str">
        <f t="shared" ca="1" si="324"/>
        <v/>
      </c>
      <c r="V588" s="83" t="str">
        <f ca="1">IF(U588="","",IFERROR((RANK(U588,$U$2:$U$2028,1)+COUNTIF($U$2:U588,U588))-1,""))</f>
        <v/>
      </c>
      <c r="W588" s="134" t="str">
        <f t="shared" si="328"/>
        <v/>
      </c>
      <c r="X588" s="134" t="str">
        <f>IF(W588="","",IFERROR((RANK(W588,$W$2:$W$2028,1)+COUNTIF($W$2:W588,W588))-1,""))</f>
        <v/>
      </c>
      <c r="Y588" s="134" t="str">
        <f t="shared" si="325"/>
        <v/>
      </c>
      <c r="Z588" s="134" t="str">
        <f>IF(Y588="","",IFERROR((RANK(Y588,$Y$2:$Y$2028,1)+COUNTIF($Y$2:Y588,Y588))-1,""))</f>
        <v/>
      </c>
      <c r="AA588" s="134" t="str">
        <f t="shared" si="326"/>
        <v/>
      </c>
      <c r="AB588" s="134" t="str">
        <f>IF(AA588="","",IFERROR((RANK(AA588,$AA$2:$AA$2028,1)+COUNTIF($AA$2:AA588,AA588))-1,""))</f>
        <v/>
      </c>
      <c r="AC588" s="134" t="str">
        <f t="shared" si="327"/>
        <v/>
      </c>
      <c r="AD588" s="134" t="str">
        <f>IF(AC588="","",IFERROR((RANK(AC588,$AC$2:$AC$2028,1)+COUNTIF($AC$2:AC588,AC588))-1,""))</f>
        <v/>
      </c>
      <c r="AE588" s="144" t="str">
        <f t="shared" si="331"/>
        <v/>
      </c>
      <c r="AF588" s="144" t="str">
        <f>IF(AE588="","",SUM($AE$2:AE588))</f>
        <v/>
      </c>
    </row>
    <row r="589" spans="14:32" x14ac:dyDescent="0.35">
      <c r="N589" s="134" t="str">
        <f t="shared" si="329"/>
        <v/>
      </c>
      <c r="O589" s="82" t="str">
        <f t="shared" si="320"/>
        <v/>
      </c>
      <c r="P589" s="81" t="str">
        <f t="shared" si="330"/>
        <v/>
      </c>
      <c r="Q589" s="81" t="str">
        <f t="shared" si="321"/>
        <v/>
      </c>
      <c r="R589" s="135" t="str">
        <f t="shared" ca="1" si="322"/>
        <v/>
      </c>
      <c r="S589" s="134" t="str">
        <f t="shared" ca="1" si="323"/>
        <v/>
      </c>
      <c r="T589" s="134" t="str">
        <f ca="1">IF(S589=Dashboard!$D$12,S589,"")</f>
        <v/>
      </c>
      <c r="U589" s="134" t="str">
        <f t="shared" ca="1" si="324"/>
        <v/>
      </c>
      <c r="V589" s="83" t="str">
        <f ca="1">IF(U589="","",IFERROR((RANK(U589,$U$2:$U$2028,1)+COUNTIF($U$2:U589,U589))-1,""))</f>
        <v/>
      </c>
      <c r="W589" s="134" t="str">
        <f t="shared" si="328"/>
        <v/>
      </c>
      <c r="X589" s="134" t="str">
        <f>IF(W589="","",IFERROR((RANK(W589,$W$2:$W$2028,1)+COUNTIF($W$2:W589,W589))-1,""))</f>
        <v/>
      </c>
      <c r="Y589" s="134" t="str">
        <f t="shared" si="325"/>
        <v/>
      </c>
      <c r="Z589" s="134" t="str">
        <f>IF(Y589="","",IFERROR((RANK(Y589,$Y$2:$Y$2028,1)+COUNTIF($Y$2:Y589,Y589))-1,""))</f>
        <v/>
      </c>
      <c r="AA589" s="134" t="str">
        <f t="shared" si="326"/>
        <v/>
      </c>
      <c r="AB589" s="134" t="str">
        <f>IF(AA589="","",IFERROR((RANK(AA589,$AA$2:$AA$2028,1)+COUNTIF($AA$2:AA589,AA589))-1,""))</f>
        <v/>
      </c>
      <c r="AC589" s="134" t="str">
        <f t="shared" si="327"/>
        <v/>
      </c>
      <c r="AD589" s="134" t="str">
        <f>IF(AC589="","",IFERROR((RANK(AC589,$AC$2:$AC$2028,1)+COUNTIF($AC$2:AC589,AC589))-1,""))</f>
        <v/>
      </c>
      <c r="AE589" s="144" t="str">
        <f t="shared" si="331"/>
        <v/>
      </c>
      <c r="AF589" s="144" t="str">
        <f>IF(AE589="","",SUM($AE$2:AE589))</f>
        <v/>
      </c>
    </row>
    <row r="590" spans="14:32" x14ac:dyDescent="0.35">
      <c r="N590" s="134" t="str">
        <f t="shared" si="329"/>
        <v/>
      </c>
      <c r="O590" s="82" t="str">
        <f t="shared" si="320"/>
        <v/>
      </c>
      <c r="P590" s="81" t="str">
        <f t="shared" si="330"/>
        <v/>
      </c>
      <c r="Q590" s="81" t="str">
        <f t="shared" si="321"/>
        <v/>
      </c>
      <c r="R590" s="135" t="str">
        <f t="shared" ca="1" si="322"/>
        <v/>
      </c>
      <c r="S590" s="134" t="str">
        <f t="shared" ca="1" si="323"/>
        <v/>
      </c>
      <c r="T590" s="134" t="str">
        <f ca="1">IF(S590=Dashboard!$D$12,S590,"")</f>
        <v/>
      </c>
      <c r="U590" s="134" t="str">
        <f t="shared" ca="1" si="324"/>
        <v/>
      </c>
      <c r="V590" s="83" t="str">
        <f ca="1">IF(U590="","",IFERROR((RANK(U590,$U$2:$U$2028,1)+COUNTIF($U$2:U590,U590))-1,""))</f>
        <v/>
      </c>
      <c r="W590" s="134" t="str">
        <f t="shared" si="328"/>
        <v/>
      </c>
      <c r="X590" s="134" t="str">
        <f>IF(W590="","",IFERROR((RANK(W590,$W$2:$W$2028,1)+COUNTIF($W$2:W590,W590))-1,""))</f>
        <v/>
      </c>
      <c r="Y590" s="134" t="str">
        <f t="shared" si="325"/>
        <v/>
      </c>
      <c r="Z590" s="134" t="str">
        <f>IF(Y590="","",IFERROR((RANK(Y590,$Y$2:$Y$2028,1)+COUNTIF($Y$2:Y590,Y590))-1,""))</f>
        <v/>
      </c>
      <c r="AA590" s="134" t="str">
        <f t="shared" si="326"/>
        <v/>
      </c>
      <c r="AB590" s="134" t="str">
        <f>IF(AA590="","",IFERROR((RANK(AA590,$AA$2:$AA$2028,1)+COUNTIF($AA$2:AA590,AA590))-1,""))</f>
        <v/>
      </c>
      <c r="AC590" s="134" t="str">
        <f t="shared" si="327"/>
        <v/>
      </c>
      <c r="AD590" s="134" t="str">
        <f>IF(AC590="","",IFERROR((RANK(AC590,$AC$2:$AC$2028,1)+COUNTIF($AC$2:AC590,AC590))-1,""))</f>
        <v/>
      </c>
      <c r="AE590" s="144" t="str">
        <f t="shared" si="331"/>
        <v/>
      </c>
      <c r="AF590" s="144" t="str">
        <f>IF(AE590="","",SUM($AE$2:AE590))</f>
        <v/>
      </c>
    </row>
    <row r="591" spans="14:32" x14ac:dyDescent="0.35">
      <c r="N591" s="134" t="str">
        <f t="shared" si="329"/>
        <v/>
      </c>
      <c r="O591" s="82" t="str">
        <f t="shared" si="320"/>
        <v/>
      </c>
      <c r="P591" s="81" t="str">
        <f t="shared" si="330"/>
        <v/>
      </c>
      <c r="Q591" s="81" t="str">
        <f t="shared" si="321"/>
        <v/>
      </c>
      <c r="R591" s="135" t="str">
        <f t="shared" ca="1" si="322"/>
        <v/>
      </c>
      <c r="S591" s="134" t="str">
        <f t="shared" ca="1" si="323"/>
        <v/>
      </c>
      <c r="T591" s="134" t="str">
        <f ca="1">IF(S591=Dashboard!$D$12,S591,"")</f>
        <v/>
      </c>
      <c r="U591" s="134" t="str">
        <f t="shared" ca="1" si="324"/>
        <v/>
      </c>
      <c r="V591" s="83" t="str">
        <f ca="1">IF(U591="","",IFERROR((RANK(U591,$U$2:$U$2028,1)+COUNTIF($U$2:U591,U591))-1,""))</f>
        <v/>
      </c>
      <c r="W591" s="134" t="str">
        <f t="shared" si="328"/>
        <v/>
      </c>
      <c r="X591" s="134" t="str">
        <f>IF(W591="","",IFERROR((RANK(W591,$W$2:$W$2028,1)+COUNTIF($W$2:W591,W591))-1,""))</f>
        <v/>
      </c>
      <c r="Y591" s="134" t="str">
        <f t="shared" si="325"/>
        <v/>
      </c>
      <c r="Z591" s="134" t="str">
        <f>IF(Y591="","",IFERROR((RANK(Y591,$Y$2:$Y$2028,1)+COUNTIF($Y$2:Y591,Y591))-1,""))</f>
        <v/>
      </c>
      <c r="AA591" s="134" t="str">
        <f t="shared" si="326"/>
        <v/>
      </c>
      <c r="AB591" s="134" t="str">
        <f>IF(AA591="","",IFERROR((RANK(AA591,$AA$2:$AA$2028,1)+COUNTIF($AA$2:AA591,AA591))-1,""))</f>
        <v/>
      </c>
      <c r="AC591" s="134" t="str">
        <f t="shared" si="327"/>
        <v/>
      </c>
      <c r="AD591" s="134" t="str">
        <f>IF(AC591="","",IFERROR((RANK(AC591,$AC$2:$AC$2028,1)+COUNTIF($AC$2:AC591,AC591))-1,""))</f>
        <v/>
      </c>
      <c r="AE591" s="144" t="str">
        <f t="shared" si="331"/>
        <v/>
      </c>
      <c r="AF591" s="144" t="str">
        <f>IF(AE591="","",SUM($AE$2:AE591))</f>
        <v/>
      </c>
    </row>
    <row r="592" spans="14:32" x14ac:dyDescent="0.35">
      <c r="N592" s="134" t="str">
        <f t="shared" si="329"/>
        <v/>
      </c>
      <c r="O592" s="82" t="str">
        <f t="shared" si="320"/>
        <v/>
      </c>
      <c r="P592" s="81" t="str">
        <f t="shared" si="330"/>
        <v/>
      </c>
      <c r="Q592" s="81" t="str">
        <f t="shared" si="321"/>
        <v/>
      </c>
      <c r="R592" s="135" t="str">
        <f t="shared" ca="1" si="322"/>
        <v/>
      </c>
      <c r="S592" s="134" t="str">
        <f t="shared" ca="1" si="323"/>
        <v/>
      </c>
      <c r="T592" s="134" t="str">
        <f ca="1">IF(S592=Dashboard!$D$12,S592,"")</f>
        <v/>
      </c>
      <c r="U592" s="134" t="str">
        <f t="shared" ca="1" si="324"/>
        <v/>
      </c>
      <c r="V592" s="83" t="str">
        <f ca="1">IF(U592="","",IFERROR((RANK(U592,$U$2:$U$2028,1)+COUNTIF($U$2:U592,U592))-1,""))</f>
        <v/>
      </c>
      <c r="W592" s="134" t="str">
        <f t="shared" si="328"/>
        <v/>
      </c>
      <c r="X592" s="134" t="str">
        <f>IF(W592="","",IFERROR((RANK(W592,$W$2:$W$2028,1)+COUNTIF($W$2:W592,W592))-1,""))</f>
        <v/>
      </c>
      <c r="Y592" s="134" t="str">
        <f t="shared" si="325"/>
        <v/>
      </c>
      <c r="Z592" s="134" t="str">
        <f>IF(Y592="","",IFERROR((RANK(Y592,$Y$2:$Y$2028,1)+COUNTIF($Y$2:Y592,Y592))-1,""))</f>
        <v/>
      </c>
      <c r="AA592" s="134" t="str">
        <f t="shared" si="326"/>
        <v/>
      </c>
      <c r="AB592" s="134" t="str">
        <f>IF(AA592="","",IFERROR((RANK(AA592,$AA$2:$AA$2028,1)+COUNTIF($AA$2:AA592,AA592))-1,""))</f>
        <v/>
      </c>
      <c r="AC592" s="134" t="str">
        <f t="shared" si="327"/>
        <v/>
      </c>
      <c r="AD592" s="134" t="str">
        <f>IF(AC592="","",IFERROR((RANK(AC592,$AC$2:$AC$2028,1)+COUNTIF($AC$2:AC592,AC592))-1,""))</f>
        <v/>
      </c>
      <c r="AE592" s="144" t="str">
        <f t="shared" si="331"/>
        <v/>
      </c>
      <c r="AF592" s="144" t="str">
        <f>IF(AE592="","",SUM($AE$2:AE592))</f>
        <v/>
      </c>
    </row>
    <row r="593" spans="14:32" x14ac:dyDescent="0.35">
      <c r="N593" s="134" t="str">
        <f t="shared" si="329"/>
        <v/>
      </c>
      <c r="O593" s="82" t="str">
        <f t="shared" si="320"/>
        <v/>
      </c>
      <c r="P593" s="81" t="str">
        <f t="shared" si="330"/>
        <v/>
      </c>
      <c r="Q593" s="81" t="str">
        <f t="shared" si="321"/>
        <v/>
      </c>
      <c r="R593" s="135" t="str">
        <f t="shared" ca="1" si="322"/>
        <v/>
      </c>
      <c r="S593" s="134" t="str">
        <f t="shared" ca="1" si="323"/>
        <v/>
      </c>
      <c r="T593" s="134" t="str">
        <f ca="1">IF(S593=Dashboard!$D$12,S593,"")</f>
        <v/>
      </c>
      <c r="U593" s="134" t="str">
        <f t="shared" ca="1" si="324"/>
        <v/>
      </c>
      <c r="V593" s="83" t="str">
        <f ca="1">IF(U593="","",IFERROR((RANK(U593,$U$2:$U$2028,1)+COUNTIF($U$2:U593,U593))-1,""))</f>
        <v/>
      </c>
      <c r="W593" s="134" t="str">
        <f t="shared" si="328"/>
        <v/>
      </c>
      <c r="X593" s="134" t="str">
        <f>IF(W593="","",IFERROR((RANK(W593,$W$2:$W$2028,1)+COUNTIF($W$2:W593,W593))-1,""))</f>
        <v/>
      </c>
      <c r="Y593" s="134" t="str">
        <f t="shared" si="325"/>
        <v/>
      </c>
      <c r="Z593" s="134" t="str">
        <f>IF(Y593="","",IFERROR((RANK(Y593,$Y$2:$Y$2028,1)+COUNTIF($Y$2:Y593,Y593))-1,""))</f>
        <v/>
      </c>
      <c r="AA593" s="134" t="str">
        <f t="shared" si="326"/>
        <v/>
      </c>
      <c r="AB593" s="134" t="str">
        <f>IF(AA593="","",IFERROR((RANK(AA593,$AA$2:$AA$2028,1)+COUNTIF($AA$2:AA593,AA593))-1,""))</f>
        <v/>
      </c>
      <c r="AC593" s="134" t="str">
        <f t="shared" si="327"/>
        <v/>
      </c>
      <c r="AD593" s="134" t="str">
        <f>IF(AC593="","",IFERROR((RANK(AC593,$AC$2:$AC$2028,1)+COUNTIF($AC$2:AC593,AC593))-1,""))</f>
        <v/>
      </c>
      <c r="AE593" s="144" t="str">
        <f t="shared" si="331"/>
        <v/>
      </c>
      <c r="AF593" s="144" t="str">
        <f>IF(AE593="","",SUM($AE$2:AE593))</f>
        <v/>
      </c>
    </row>
    <row r="594" spans="14:32" x14ac:dyDescent="0.35">
      <c r="N594" s="134" t="str">
        <f t="shared" si="329"/>
        <v/>
      </c>
      <c r="O594" s="82" t="str">
        <f t="shared" si="320"/>
        <v/>
      </c>
      <c r="P594" s="81" t="str">
        <f t="shared" si="330"/>
        <v/>
      </c>
      <c r="Q594" s="81" t="str">
        <f t="shared" si="321"/>
        <v/>
      </c>
      <c r="R594" s="135" t="str">
        <f t="shared" ca="1" si="322"/>
        <v/>
      </c>
      <c r="S594" s="134" t="str">
        <f t="shared" ca="1" si="323"/>
        <v/>
      </c>
      <c r="T594" s="134" t="str">
        <f ca="1">IF(S594=Dashboard!$D$12,S594,"")</f>
        <v/>
      </c>
      <c r="U594" s="134" t="str">
        <f t="shared" ca="1" si="324"/>
        <v/>
      </c>
      <c r="V594" s="83" t="str">
        <f ca="1">IF(U594="","",IFERROR((RANK(U594,$U$2:$U$2028,1)+COUNTIF($U$2:U594,U594))-1,""))</f>
        <v/>
      </c>
      <c r="W594" s="134" t="str">
        <f t="shared" si="328"/>
        <v/>
      </c>
      <c r="X594" s="134" t="str">
        <f>IF(W594="","",IFERROR((RANK(W594,$W$2:$W$2028,1)+COUNTIF($W$2:W594,W594))-1,""))</f>
        <v/>
      </c>
      <c r="Y594" s="134" t="str">
        <f t="shared" si="325"/>
        <v/>
      </c>
      <c r="Z594" s="134" t="str">
        <f>IF(Y594="","",IFERROR((RANK(Y594,$Y$2:$Y$2028,1)+COUNTIF($Y$2:Y594,Y594))-1,""))</f>
        <v/>
      </c>
      <c r="AA594" s="134" t="str">
        <f t="shared" si="326"/>
        <v/>
      </c>
      <c r="AB594" s="134" t="str">
        <f>IF(AA594="","",IFERROR((RANK(AA594,$AA$2:$AA$2028,1)+COUNTIF($AA$2:AA594,AA594))-1,""))</f>
        <v/>
      </c>
      <c r="AC594" s="134" t="str">
        <f t="shared" si="327"/>
        <v/>
      </c>
      <c r="AD594" s="134" t="str">
        <f>IF(AC594="","",IFERROR((RANK(AC594,$AC$2:$AC$2028,1)+COUNTIF($AC$2:AC594,AC594))-1,""))</f>
        <v/>
      </c>
      <c r="AE594" s="144" t="str">
        <f t="shared" si="331"/>
        <v/>
      </c>
      <c r="AF594" s="144" t="str">
        <f>IF(AE594="","",SUM($AE$2:AE594))</f>
        <v/>
      </c>
    </row>
    <row r="595" spans="14:32" x14ac:dyDescent="0.35">
      <c r="N595" s="134" t="str">
        <f t="shared" si="329"/>
        <v/>
      </c>
      <c r="O595" s="82" t="str">
        <f t="shared" si="320"/>
        <v/>
      </c>
      <c r="P595" s="81" t="str">
        <f t="shared" si="330"/>
        <v/>
      </c>
      <c r="Q595" s="81" t="str">
        <f t="shared" si="321"/>
        <v/>
      </c>
      <c r="R595" s="135" t="str">
        <f t="shared" ca="1" si="322"/>
        <v/>
      </c>
      <c r="S595" s="134" t="str">
        <f t="shared" ca="1" si="323"/>
        <v/>
      </c>
      <c r="T595" s="134" t="str">
        <f ca="1">IF(S595=Dashboard!$D$12,S595,"")</f>
        <v/>
      </c>
      <c r="U595" s="134" t="str">
        <f t="shared" ca="1" si="324"/>
        <v/>
      </c>
      <c r="V595" s="83" t="str">
        <f ca="1">IF(U595="","",IFERROR((RANK(U595,$U$2:$U$2028,1)+COUNTIF($U$2:U595,U595))-1,""))</f>
        <v/>
      </c>
      <c r="W595" s="134" t="str">
        <f t="shared" si="328"/>
        <v/>
      </c>
      <c r="X595" s="134" t="str">
        <f>IF(W595="","",IFERROR((RANK(W595,$W$2:$W$2028,1)+COUNTIF($W$2:W595,W595))-1,""))</f>
        <v/>
      </c>
      <c r="Y595" s="134" t="str">
        <f t="shared" si="325"/>
        <v/>
      </c>
      <c r="Z595" s="134" t="str">
        <f>IF(Y595="","",IFERROR((RANK(Y595,$Y$2:$Y$2028,1)+COUNTIF($Y$2:Y595,Y595))-1,""))</f>
        <v/>
      </c>
      <c r="AA595" s="134" t="str">
        <f t="shared" si="326"/>
        <v/>
      </c>
      <c r="AB595" s="134" t="str">
        <f>IF(AA595="","",IFERROR((RANK(AA595,$AA$2:$AA$2028,1)+COUNTIF($AA$2:AA595,AA595))-1,""))</f>
        <v/>
      </c>
      <c r="AC595" s="134" t="str">
        <f t="shared" si="327"/>
        <v/>
      </c>
      <c r="AD595" s="134" t="str">
        <f>IF(AC595="","",IFERROR((RANK(AC595,$AC$2:$AC$2028,1)+COUNTIF($AC$2:AC595,AC595))-1,""))</f>
        <v/>
      </c>
      <c r="AE595" s="144" t="str">
        <f t="shared" si="331"/>
        <v/>
      </c>
      <c r="AF595" s="144" t="str">
        <f>IF(AE595="","",SUM($AE$2:AE595))</f>
        <v/>
      </c>
    </row>
    <row r="596" spans="14:32" x14ac:dyDescent="0.35">
      <c r="N596" s="134" t="str">
        <f t="shared" si="329"/>
        <v/>
      </c>
      <c r="O596" s="82" t="str">
        <f t="shared" si="320"/>
        <v/>
      </c>
      <c r="P596" s="81" t="str">
        <f t="shared" si="330"/>
        <v/>
      </c>
      <c r="Q596" s="81" t="str">
        <f t="shared" si="321"/>
        <v/>
      </c>
      <c r="R596" s="135" t="str">
        <f t="shared" ca="1" si="322"/>
        <v/>
      </c>
      <c r="S596" s="134" t="str">
        <f t="shared" ca="1" si="323"/>
        <v/>
      </c>
      <c r="T596" s="134" t="str">
        <f ca="1">IF(S596=Dashboard!$D$12,S596,"")</f>
        <v/>
      </c>
      <c r="U596" s="134" t="str">
        <f t="shared" ca="1" si="324"/>
        <v/>
      </c>
      <c r="V596" s="83" t="str">
        <f ca="1">IF(U596="","",IFERROR((RANK(U596,$U$2:$U$2028,1)+COUNTIF($U$2:U596,U596))-1,""))</f>
        <v/>
      </c>
      <c r="W596" s="134" t="str">
        <f t="shared" si="328"/>
        <v/>
      </c>
      <c r="X596" s="134" t="str">
        <f>IF(W596="","",IFERROR((RANK(W596,$W$2:$W$2028,1)+COUNTIF($W$2:W596,W596))-1,""))</f>
        <v/>
      </c>
      <c r="Y596" s="134" t="str">
        <f t="shared" si="325"/>
        <v/>
      </c>
      <c r="Z596" s="134" t="str">
        <f>IF(Y596="","",IFERROR((RANK(Y596,$Y$2:$Y$2028,1)+COUNTIF($Y$2:Y596,Y596))-1,""))</f>
        <v/>
      </c>
      <c r="AA596" s="134" t="str">
        <f t="shared" si="326"/>
        <v/>
      </c>
      <c r="AB596" s="134" t="str">
        <f>IF(AA596="","",IFERROR((RANK(AA596,$AA$2:$AA$2028,1)+COUNTIF($AA$2:AA596,AA596))-1,""))</f>
        <v/>
      </c>
      <c r="AC596" s="134" t="str">
        <f t="shared" si="327"/>
        <v/>
      </c>
      <c r="AD596" s="134" t="str">
        <f>IF(AC596="","",IFERROR((RANK(AC596,$AC$2:$AC$2028,1)+COUNTIF($AC$2:AC596,AC596))-1,""))</f>
        <v/>
      </c>
      <c r="AE596" s="144" t="str">
        <f t="shared" si="331"/>
        <v/>
      </c>
      <c r="AF596" s="144" t="str">
        <f>IF(AE596="","",SUM($AE$2:AE596))</f>
        <v/>
      </c>
    </row>
    <row r="597" spans="14:32" x14ac:dyDescent="0.35">
      <c r="N597" s="134" t="str">
        <f t="shared" si="329"/>
        <v/>
      </c>
      <c r="O597" s="82" t="str">
        <f t="shared" si="320"/>
        <v/>
      </c>
      <c r="P597" s="81" t="str">
        <f t="shared" si="330"/>
        <v/>
      </c>
      <c r="Q597" s="81" t="str">
        <f t="shared" si="321"/>
        <v/>
      </c>
      <c r="R597" s="135" t="str">
        <f t="shared" ca="1" si="322"/>
        <v/>
      </c>
      <c r="S597" s="134" t="str">
        <f t="shared" ca="1" si="323"/>
        <v/>
      </c>
      <c r="T597" s="134" t="str">
        <f ca="1">IF(S597=Dashboard!$D$12,S597,"")</f>
        <v/>
      </c>
      <c r="U597" s="134" t="str">
        <f t="shared" ca="1" si="324"/>
        <v/>
      </c>
      <c r="V597" s="83" t="str">
        <f ca="1">IF(U597="","",IFERROR((RANK(U597,$U$2:$U$2028,1)+COUNTIF($U$2:U597,U597))-1,""))</f>
        <v/>
      </c>
      <c r="W597" s="134" t="str">
        <f t="shared" si="328"/>
        <v/>
      </c>
      <c r="X597" s="134" t="str">
        <f>IF(W597="","",IFERROR((RANK(W597,$W$2:$W$2028,1)+COUNTIF($W$2:W597,W597))-1,""))</f>
        <v/>
      </c>
      <c r="Y597" s="134" t="str">
        <f t="shared" si="325"/>
        <v/>
      </c>
      <c r="Z597" s="134" t="str">
        <f>IF(Y597="","",IFERROR((RANK(Y597,$Y$2:$Y$2028,1)+COUNTIF($Y$2:Y597,Y597))-1,""))</f>
        <v/>
      </c>
      <c r="AA597" s="134" t="str">
        <f t="shared" si="326"/>
        <v/>
      </c>
      <c r="AB597" s="134" t="str">
        <f>IF(AA597="","",IFERROR((RANK(AA597,$AA$2:$AA$2028,1)+COUNTIF($AA$2:AA597,AA597))-1,""))</f>
        <v/>
      </c>
      <c r="AC597" s="134" t="str">
        <f t="shared" si="327"/>
        <v/>
      </c>
      <c r="AD597" s="134" t="str">
        <f>IF(AC597="","",IFERROR((RANK(AC597,$AC$2:$AC$2028,1)+COUNTIF($AC$2:AC597,AC597))-1,""))</f>
        <v/>
      </c>
      <c r="AE597" s="144" t="str">
        <f t="shared" si="331"/>
        <v/>
      </c>
      <c r="AF597" s="144" t="str">
        <f>IF(AE597="","",SUM($AE$2:AE597))</f>
        <v/>
      </c>
    </row>
    <row r="598" spans="14:32" x14ac:dyDescent="0.35">
      <c r="N598" s="134" t="str">
        <f t="shared" si="329"/>
        <v/>
      </c>
      <c r="O598" s="82" t="str">
        <f t="shared" si="320"/>
        <v/>
      </c>
      <c r="P598" s="81" t="str">
        <f t="shared" si="330"/>
        <v/>
      </c>
      <c r="Q598" s="81" t="str">
        <f t="shared" si="321"/>
        <v/>
      </c>
      <c r="R598" s="135" t="str">
        <f t="shared" ca="1" si="322"/>
        <v/>
      </c>
      <c r="S598" s="134" t="str">
        <f t="shared" ca="1" si="323"/>
        <v/>
      </c>
      <c r="T598" s="134" t="str">
        <f ca="1">IF(S598=Dashboard!$D$12,S598,"")</f>
        <v/>
      </c>
      <c r="U598" s="134" t="str">
        <f t="shared" ca="1" si="324"/>
        <v/>
      </c>
      <c r="V598" s="83" t="str">
        <f ca="1">IF(U598="","",IFERROR((RANK(U598,$U$2:$U$2028,1)+COUNTIF($U$2:U598,U598))-1,""))</f>
        <v/>
      </c>
      <c r="W598" s="134" t="str">
        <f t="shared" si="328"/>
        <v/>
      </c>
      <c r="X598" s="134" t="str">
        <f>IF(W598="","",IFERROR((RANK(W598,$W$2:$W$2028,1)+COUNTIF($W$2:W598,W598))-1,""))</f>
        <v/>
      </c>
      <c r="Y598" s="134" t="str">
        <f t="shared" si="325"/>
        <v/>
      </c>
      <c r="Z598" s="134" t="str">
        <f>IF(Y598="","",IFERROR((RANK(Y598,$Y$2:$Y$2028,1)+COUNTIF($Y$2:Y598,Y598))-1,""))</f>
        <v/>
      </c>
      <c r="AA598" s="134" t="str">
        <f t="shared" si="326"/>
        <v/>
      </c>
      <c r="AB598" s="134" t="str">
        <f>IF(AA598="","",IFERROR((RANK(AA598,$AA$2:$AA$2028,1)+COUNTIF($AA$2:AA598,AA598))-1,""))</f>
        <v/>
      </c>
      <c r="AC598" s="134" t="str">
        <f t="shared" si="327"/>
        <v/>
      </c>
      <c r="AD598" s="134" t="str">
        <f>IF(AC598="","",IFERROR((RANK(AC598,$AC$2:$AC$2028,1)+COUNTIF($AC$2:AC598,AC598))-1,""))</f>
        <v/>
      </c>
      <c r="AE598" s="144" t="str">
        <f t="shared" si="331"/>
        <v/>
      </c>
      <c r="AF598" s="144" t="str">
        <f>IF(AE598="","",SUM($AE$2:AE598))</f>
        <v/>
      </c>
    </row>
    <row r="599" spans="14:32" x14ac:dyDescent="0.35">
      <c r="N599" s="134" t="str">
        <f t="shared" si="329"/>
        <v/>
      </c>
      <c r="O599" s="82" t="str">
        <f t="shared" si="320"/>
        <v/>
      </c>
      <c r="P599" s="81" t="str">
        <f t="shared" si="330"/>
        <v/>
      </c>
      <c r="Q599" s="81" t="str">
        <f t="shared" si="321"/>
        <v/>
      </c>
      <c r="R599" s="135" t="str">
        <f t="shared" ca="1" si="322"/>
        <v/>
      </c>
      <c r="S599" s="134" t="str">
        <f t="shared" ca="1" si="323"/>
        <v/>
      </c>
      <c r="T599" s="134" t="str">
        <f ca="1">IF(S599=Dashboard!$D$12,S599,"")</f>
        <v/>
      </c>
      <c r="U599" s="134" t="str">
        <f t="shared" ca="1" si="324"/>
        <v/>
      </c>
      <c r="V599" s="83" t="str">
        <f ca="1">IF(U599="","",IFERROR((RANK(U599,$U$2:$U$2028,1)+COUNTIF($U$2:U599,U599))-1,""))</f>
        <v/>
      </c>
      <c r="W599" s="134" t="str">
        <f t="shared" si="328"/>
        <v/>
      </c>
      <c r="X599" s="134" t="str">
        <f>IF(W599="","",IFERROR((RANK(W599,$W$2:$W$2028,1)+COUNTIF($W$2:W599,W599))-1,""))</f>
        <v/>
      </c>
      <c r="Y599" s="134" t="str">
        <f t="shared" si="325"/>
        <v/>
      </c>
      <c r="Z599" s="134" t="str">
        <f>IF(Y599="","",IFERROR((RANK(Y599,$Y$2:$Y$2028,1)+COUNTIF($Y$2:Y599,Y599))-1,""))</f>
        <v/>
      </c>
      <c r="AA599" s="134" t="str">
        <f t="shared" si="326"/>
        <v/>
      </c>
      <c r="AB599" s="134" t="str">
        <f>IF(AA599="","",IFERROR((RANK(AA599,$AA$2:$AA$2028,1)+COUNTIF($AA$2:AA599,AA599))-1,""))</f>
        <v/>
      </c>
      <c r="AC599" s="134" t="str">
        <f t="shared" si="327"/>
        <v/>
      </c>
      <c r="AD599" s="134" t="str">
        <f>IF(AC599="","",IFERROR((RANK(AC599,$AC$2:$AC$2028,1)+COUNTIF($AC$2:AC599,AC599))-1,""))</f>
        <v/>
      </c>
      <c r="AE599" s="144" t="str">
        <f t="shared" si="331"/>
        <v/>
      </c>
      <c r="AF599" s="144" t="str">
        <f>IF(AE599="","",SUM($AE$2:AE599))</f>
        <v/>
      </c>
    </row>
    <row r="600" spans="14:32" x14ac:dyDescent="0.35">
      <c r="N600" s="134" t="str">
        <f t="shared" si="329"/>
        <v/>
      </c>
      <c r="O600" s="82" t="str">
        <f t="shared" si="320"/>
        <v/>
      </c>
      <c r="P600" s="81" t="str">
        <f t="shared" si="330"/>
        <v/>
      </c>
      <c r="Q600" s="81" t="str">
        <f t="shared" si="321"/>
        <v/>
      </c>
      <c r="R600" s="135" t="str">
        <f t="shared" ca="1" si="322"/>
        <v/>
      </c>
      <c r="S600" s="134" t="str">
        <f t="shared" ca="1" si="323"/>
        <v/>
      </c>
      <c r="T600" s="134" t="str">
        <f ca="1">IF(S600=Dashboard!$D$12,S600,"")</f>
        <v/>
      </c>
      <c r="U600" s="134" t="str">
        <f t="shared" ca="1" si="324"/>
        <v/>
      </c>
      <c r="V600" s="83" t="str">
        <f ca="1">IF(U600="","",IFERROR((RANK(U600,$U$2:$U$2028,1)+COUNTIF($U$2:U600,U600))-1,""))</f>
        <v/>
      </c>
      <c r="W600" s="134" t="str">
        <f t="shared" si="328"/>
        <v/>
      </c>
      <c r="X600" s="134" t="str">
        <f>IF(W600="","",IFERROR((RANK(W600,$W$2:$W$2028,1)+COUNTIF($W$2:W600,W600))-1,""))</f>
        <v/>
      </c>
      <c r="Y600" s="134" t="str">
        <f t="shared" si="325"/>
        <v/>
      </c>
      <c r="Z600" s="134" t="str">
        <f>IF(Y600="","",IFERROR((RANK(Y600,$Y$2:$Y$2028,1)+COUNTIF($Y$2:Y600,Y600))-1,""))</f>
        <v/>
      </c>
      <c r="AA600" s="134" t="str">
        <f t="shared" si="326"/>
        <v/>
      </c>
      <c r="AB600" s="134" t="str">
        <f>IF(AA600="","",IFERROR((RANK(AA600,$AA$2:$AA$2028,1)+COUNTIF($AA$2:AA600,AA600))-1,""))</f>
        <v/>
      </c>
      <c r="AC600" s="134" t="str">
        <f t="shared" si="327"/>
        <v/>
      </c>
      <c r="AD600" s="134" t="str">
        <f>IF(AC600="","",IFERROR((RANK(AC600,$AC$2:$AC$2028,1)+COUNTIF($AC$2:AC600,AC600))-1,""))</f>
        <v/>
      </c>
      <c r="AE600" s="144" t="str">
        <f t="shared" si="331"/>
        <v/>
      </c>
      <c r="AF600" s="144" t="str">
        <f>IF(AE600="","",SUM($AE$2:AE600))</f>
        <v/>
      </c>
    </row>
    <row r="601" spans="14:32" x14ac:dyDescent="0.35">
      <c r="N601" s="134" t="str">
        <f t="shared" si="329"/>
        <v/>
      </c>
      <c r="O601" s="82" t="str">
        <f t="shared" si="320"/>
        <v/>
      </c>
      <c r="P601" s="81" t="str">
        <f t="shared" si="330"/>
        <v/>
      </c>
      <c r="Q601" s="81" t="str">
        <f t="shared" si="321"/>
        <v/>
      </c>
      <c r="R601" s="135" t="str">
        <f t="shared" ca="1" si="322"/>
        <v/>
      </c>
      <c r="S601" s="134" t="str">
        <f t="shared" ca="1" si="323"/>
        <v/>
      </c>
      <c r="T601" s="134" t="str">
        <f ca="1">IF(S601=Dashboard!$D$12,S601,"")</f>
        <v/>
      </c>
      <c r="U601" s="134" t="str">
        <f t="shared" ca="1" si="324"/>
        <v/>
      </c>
      <c r="V601" s="83" t="str">
        <f ca="1">IF(U601="","",IFERROR((RANK(U601,$U$2:$U$2028,1)+COUNTIF($U$2:U601,U601))-1,""))</f>
        <v/>
      </c>
      <c r="W601" s="134" t="str">
        <f t="shared" si="328"/>
        <v/>
      </c>
      <c r="X601" s="134" t="str">
        <f>IF(W601="","",IFERROR((RANK(W601,$W$2:$W$2028,1)+COUNTIF($W$2:W601,W601))-1,""))</f>
        <v/>
      </c>
      <c r="Y601" s="134" t="str">
        <f t="shared" si="325"/>
        <v/>
      </c>
      <c r="Z601" s="134" t="str">
        <f>IF(Y601="","",IFERROR((RANK(Y601,$Y$2:$Y$2028,1)+COUNTIF($Y$2:Y601,Y601))-1,""))</f>
        <v/>
      </c>
      <c r="AA601" s="134" t="str">
        <f t="shared" si="326"/>
        <v/>
      </c>
      <c r="AB601" s="134" t="str">
        <f>IF(AA601="","",IFERROR((RANK(AA601,$AA$2:$AA$2028,1)+COUNTIF($AA$2:AA601,AA601))-1,""))</f>
        <v/>
      </c>
      <c r="AC601" s="134" t="str">
        <f t="shared" si="327"/>
        <v/>
      </c>
      <c r="AD601" s="134" t="str">
        <f>IF(AC601="","",IFERROR((RANK(AC601,$AC$2:$AC$2028,1)+COUNTIF($AC$2:AC601,AC601))-1,""))</f>
        <v/>
      </c>
      <c r="AE601" s="144" t="str">
        <f t="shared" si="331"/>
        <v/>
      </c>
      <c r="AF601" s="144" t="str">
        <f>IF(AE601="","",SUM($AE$2:AE601))</f>
        <v/>
      </c>
    </row>
    <row r="602" spans="14:32" x14ac:dyDescent="0.35">
      <c r="N602" s="134" t="str">
        <f t="shared" si="329"/>
        <v/>
      </c>
      <c r="O602" s="82" t="str">
        <f t="shared" si="320"/>
        <v/>
      </c>
      <c r="P602" s="81" t="str">
        <f t="shared" si="330"/>
        <v/>
      </c>
      <c r="Q602" s="81" t="str">
        <f t="shared" si="321"/>
        <v/>
      </c>
      <c r="R602" s="135" t="str">
        <f t="shared" ca="1" si="322"/>
        <v/>
      </c>
      <c r="S602" s="134" t="str">
        <f t="shared" ca="1" si="323"/>
        <v/>
      </c>
      <c r="T602" s="134" t="str">
        <f ca="1">IF(S602=Dashboard!$D$12,S602,"")</f>
        <v/>
      </c>
      <c r="U602" s="134" t="str">
        <f t="shared" ca="1" si="324"/>
        <v/>
      </c>
      <c r="V602" s="83" t="str">
        <f ca="1">IF(U602="","",IFERROR((RANK(U602,$U$2:$U$2028,1)+COUNTIF($U$2:U602,U602))-1,""))</f>
        <v/>
      </c>
      <c r="W602" s="134" t="str">
        <f t="shared" si="328"/>
        <v/>
      </c>
      <c r="X602" s="134" t="str">
        <f>IF(W602="","",IFERROR((RANK(W602,$W$2:$W$2028,1)+COUNTIF($W$2:W602,W602))-1,""))</f>
        <v/>
      </c>
      <c r="Y602" s="134" t="str">
        <f t="shared" si="325"/>
        <v/>
      </c>
      <c r="Z602" s="134" t="str">
        <f>IF(Y602="","",IFERROR((RANK(Y602,$Y$2:$Y$2028,1)+COUNTIF($Y$2:Y602,Y602))-1,""))</f>
        <v/>
      </c>
      <c r="AA602" s="134" t="str">
        <f t="shared" si="326"/>
        <v/>
      </c>
      <c r="AB602" s="134" t="str">
        <f>IF(AA602="","",IFERROR((RANK(AA602,$AA$2:$AA$2028,1)+COUNTIF($AA$2:AA602,AA602))-1,""))</f>
        <v/>
      </c>
      <c r="AC602" s="134" t="str">
        <f t="shared" si="327"/>
        <v/>
      </c>
      <c r="AD602" s="134" t="str">
        <f>IF(AC602="","",IFERROR((RANK(AC602,$AC$2:$AC$2028,1)+COUNTIF($AC$2:AC602,AC602))-1,""))</f>
        <v/>
      </c>
      <c r="AE602" s="144" t="str">
        <f t="shared" si="331"/>
        <v/>
      </c>
      <c r="AF602" s="144" t="str">
        <f>IF(AE602="","",SUM($AE$2:AE602))</f>
        <v/>
      </c>
    </row>
    <row r="603" spans="14:32" x14ac:dyDescent="0.35">
      <c r="N603" s="134" t="str">
        <f t="shared" si="329"/>
        <v/>
      </c>
      <c r="O603" s="82" t="str">
        <f t="shared" si="320"/>
        <v/>
      </c>
      <c r="P603" s="81" t="str">
        <f t="shared" si="330"/>
        <v/>
      </c>
      <c r="Q603" s="81" t="str">
        <f t="shared" si="321"/>
        <v/>
      </c>
      <c r="R603" s="135" t="str">
        <f t="shared" ca="1" si="322"/>
        <v/>
      </c>
      <c r="S603" s="134" t="str">
        <f t="shared" ca="1" si="323"/>
        <v/>
      </c>
      <c r="T603" s="134" t="str">
        <f ca="1">IF(S603=Dashboard!$D$12,S603,"")</f>
        <v/>
      </c>
      <c r="U603" s="134" t="str">
        <f t="shared" ca="1" si="324"/>
        <v/>
      </c>
      <c r="V603" s="83" t="str">
        <f ca="1">IF(U603="","",IFERROR((RANK(U603,$U$2:$U$2028,1)+COUNTIF($U$2:U603,U603))-1,""))</f>
        <v/>
      </c>
      <c r="W603" s="134" t="str">
        <f t="shared" si="328"/>
        <v/>
      </c>
      <c r="X603" s="134" t="str">
        <f>IF(W603="","",IFERROR((RANK(W603,$W$2:$W$2028,1)+COUNTIF($W$2:W603,W603))-1,""))</f>
        <v/>
      </c>
      <c r="Y603" s="134" t="str">
        <f t="shared" si="325"/>
        <v/>
      </c>
      <c r="Z603" s="134" t="str">
        <f>IF(Y603="","",IFERROR((RANK(Y603,$Y$2:$Y$2028,1)+COUNTIF($Y$2:Y603,Y603))-1,""))</f>
        <v/>
      </c>
      <c r="AA603" s="134" t="str">
        <f t="shared" si="326"/>
        <v/>
      </c>
      <c r="AB603" s="134" t="str">
        <f>IF(AA603="","",IFERROR((RANK(AA603,$AA$2:$AA$2028,1)+COUNTIF($AA$2:AA603,AA603))-1,""))</f>
        <v/>
      </c>
      <c r="AC603" s="134" t="str">
        <f t="shared" si="327"/>
        <v/>
      </c>
      <c r="AD603" s="134" t="str">
        <f>IF(AC603="","",IFERROR((RANK(AC603,$AC$2:$AC$2028,1)+COUNTIF($AC$2:AC603,AC603))-1,""))</f>
        <v/>
      </c>
      <c r="AE603" s="144" t="str">
        <f t="shared" si="331"/>
        <v/>
      </c>
      <c r="AF603" s="144" t="str">
        <f>IF(AE603="","",SUM($AE$2:AE603))</f>
        <v/>
      </c>
    </row>
    <row r="604" spans="14:32" x14ac:dyDescent="0.35">
      <c r="N604" s="134" t="str">
        <f t="shared" si="329"/>
        <v/>
      </c>
      <c r="O604" s="82" t="str">
        <f t="shared" si="320"/>
        <v/>
      </c>
      <c r="P604" s="81" t="str">
        <f t="shared" si="330"/>
        <v/>
      </c>
      <c r="Q604" s="81" t="str">
        <f t="shared" si="321"/>
        <v/>
      </c>
      <c r="R604" s="135" t="str">
        <f t="shared" ca="1" si="322"/>
        <v/>
      </c>
      <c r="S604" s="134" t="str">
        <f t="shared" ca="1" si="323"/>
        <v/>
      </c>
      <c r="T604" s="134" t="str">
        <f ca="1">IF(S604=Dashboard!$D$12,S604,"")</f>
        <v/>
      </c>
      <c r="U604" s="134" t="str">
        <f t="shared" ca="1" si="324"/>
        <v/>
      </c>
      <c r="V604" s="83" t="str">
        <f ca="1">IF(U604="","",IFERROR((RANK(U604,$U$2:$U$2028,1)+COUNTIF($U$2:U604,U604))-1,""))</f>
        <v/>
      </c>
      <c r="W604" s="134" t="str">
        <f t="shared" si="328"/>
        <v/>
      </c>
      <c r="X604" s="134" t="str">
        <f>IF(W604="","",IFERROR((RANK(W604,$W$2:$W$2028,1)+COUNTIF($W$2:W604,W604))-1,""))</f>
        <v/>
      </c>
      <c r="Y604" s="134" t="str">
        <f t="shared" si="325"/>
        <v/>
      </c>
      <c r="Z604" s="134" t="str">
        <f>IF(Y604="","",IFERROR((RANK(Y604,$Y$2:$Y$2028,1)+COUNTIF($Y$2:Y604,Y604))-1,""))</f>
        <v/>
      </c>
      <c r="AA604" s="134" t="str">
        <f t="shared" si="326"/>
        <v/>
      </c>
      <c r="AB604" s="134" t="str">
        <f>IF(AA604="","",IFERROR((RANK(AA604,$AA$2:$AA$2028,1)+COUNTIF($AA$2:AA604,AA604))-1,""))</f>
        <v/>
      </c>
      <c r="AC604" s="134" t="str">
        <f t="shared" si="327"/>
        <v/>
      </c>
      <c r="AD604" s="134" t="str">
        <f>IF(AC604="","",IFERROR((RANK(AC604,$AC$2:$AC$2028,1)+COUNTIF($AC$2:AC604,AC604))-1,""))</f>
        <v/>
      </c>
      <c r="AE604" s="144" t="str">
        <f t="shared" si="331"/>
        <v/>
      </c>
      <c r="AF604" s="144" t="str">
        <f>IF(AE604="","",SUM($AE$2:AE604))</f>
        <v/>
      </c>
    </row>
    <row r="605" spans="14:32" x14ac:dyDescent="0.35">
      <c r="N605" s="134" t="str">
        <f t="shared" si="329"/>
        <v/>
      </c>
      <c r="O605" s="82" t="str">
        <f t="shared" si="320"/>
        <v/>
      </c>
      <c r="P605" s="81" t="str">
        <f t="shared" si="330"/>
        <v/>
      </c>
      <c r="Q605" s="81" t="str">
        <f t="shared" si="321"/>
        <v/>
      </c>
      <c r="R605" s="135" t="str">
        <f t="shared" ca="1" si="322"/>
        <v/>
      </c>
      <c r="S605" s="134" t="str">
        <f t="shared" ca="1" si="323"/>
        <v/>
      </c>
      <c r="T605" s="134" t="str">
        <f ca="1">IF(S605=Dashboard!$D$12,S605,"")</f>
        <v/>
      </c>
      <c r="U605" s="134" t="str">
        <f t="shared" ca="1" si="324"/>
        <v/>
      </c>
      <c r="V605" s="83" t="str">
        <f ca="1">IF(U605="","",IFERROR((RANK(U605,$U$2:$U$2028,1)+COUNTIF($U$2:U605,U605))-1,""))</f>
        <v/>
      </c>
      <c r="W605" s="134" t="str">
        <f t="shared" si="328"/>
        <v/>
      </c>
      <c r="X605" s="134" t="str">
        <f>IF(W605="","",IFERROR((RANK(W605,$W$2:$W$2028,1)+COUNTIF($W$2:W605,W605))-1,""))</f>
        <v/>
      </c>
      <c r="Y605" s="134" t="str">
        <f t="shared" si="325"/>
        <v/>
      </c>
      <c r="Z605" s="134" t="str">
        <f>IF(Y605="","",IFERROR((RANK(Y605,$Y$2:$Y$2028,1)+COUNTIF($Y$2:Y605,Y605))-1,""))</f>
        <v/>
      </c>
      <c r="AA605" s="134" t="str">
        <f t="shared" si="326"/>
        <v/>
      </c>
      <c r="AB605" s="134" t="str">
        <f>IF(AA605="","",IFERROR((RANK(AA605,$AA$2:$AA$2028,1)+COUNTIF($AA$2:AA605,AA605))-1,""))</f>
        <v/>
      </c>
      <c r="AC605" s="134" t="str">
        <f t="shared" si="327"/>
        <v/>
      </c>
      <c r="AD605" s="134" t="str">
        <f>IF(AC605="","",IFERROR((RANK(AC605,$AC$2:$AC$2028,1)+COUNTIF($AC$2:AC605,AC605))-1,""))</f>
        <v/>
      </c>
      <c r="AE605" s="144" t="str">
        <f t="shared" si="331"/>
        <v/>
      </c>
      <c r="AF605" s="144" t="str">
        <f>IF(AE605="","",SUM($AE$2:AE605))</f>
        <v/>
      </c>
    </row>
    <row r="606" spans="14:32" x14ac:dyDescent="0.35">
      <c r="N606" s="134" t="str">
        <f t="shared" si="329"/>
        <v/>
      </c>
      <c r="O606" s="82" t="str">
        <f t="shared" ref="O606:O669" si="332">IF(A606="","",N606&amp;"-"&amp;M606)</f>
        <v/>
      </c>
      <c r="P606" s="81" t="str">
        <f t="shared" si="330"/>
        <v/>
      </c>
      <c r="Q606" s="81" t="str">
        <f t="shared" ref="Q606:Q669" si="333">IF(A606="","",IF(P606=1,M606,""))</f>
        <v/>
      </c>
      <c r="R606" s="135" t="str">
        <f t="shared" ref="R606:R669" ca="1" si="334">IF(Q606="","",I606-TODAY())</f>
        <v/>
      </c>
      <c r="S606" s="134" t="str">
        <f t="shared" ref="S606:S669" ca="1" si="335">IF(R606="","",
IF(R606&lt;-90,"Pass&gt;90",IF(R606&lt;-60,"Pass 61-90",IF(R606&lt;-30,"Pass 31-60",IF(R606&lt;0,"Pass 0-30",IF(R606&lt;31,"Run 0-30",IF(R606&lt;61,"Run 31-60",IF(R606&lt;91,"Run 60-90","Run &gt;90"))))))))</f>
        <v/>
      </c>
      <c r="T606" s="134" t="str">
        <f ca="1">IF(S606=Dashboard!$D$12,S606,"")</f>
        <v/>
      </c>
      <c r="U606" s="134" t="str">
        <f t="shared" ref="U606:U669" ca="1" si="336">IF(T606="","",R606)</f>
        <v/>
      </c>
      <c r="V606" s="83" t="str">
        <f ca="1">IF(U606="","",IFERROR((RANK(U606,$U$2:$U$2028,1)+COUNTIF($U$2:U606,U606))-1,""))</f>
        <v/>
      </c>
      <c r="W606" s="134" t="str">
        <f t="shared" si="328"/>
        <v/>
      </c>
      <c r="X606" s="134" t="str">
        <f>IF(W606="","",IFERROR((RANK(W606,$W$2:$W$2028,1)+COUNTIF($W$2:W606,W606))-1,""))</f>
        <v/>
      </c>
      <c r="Y606" s="134" t="str">
        <f t="shared" ref="Y606:Y669" si="337">IF($J606=Y$1,$U606,"")</f>
        <v/>
      </c>
      <c r="Z606" s="134" t="str">
        <f>IF(Y606="","",IFERROR((RANK(Y606,$Y$2:$Y$2028,1)+COUNTIF($Y$2:Y606,Y606))-1,""))</f>
        <v/>
      </c>
      <c r="AA606" s="134" t="str">
        <f t="shared" ref="AA606:AA669" si="338">IF($J606=AA$1,$U606,"")</f>
        <v/>
      </c>
      <c r="AB606" s="134" t="str">
        <f>IF(AA606="","",IFERROR((RANK(AA606,$AA$2:$AA$2028,1)+COUNTIF($AA$2:AA606,AA606))-1,""))</f>
        <v/>
      </c>
      <c r="AC606" s="134" t="str">
        <f t="shared" ref="AC606:AC669" si="339">IF($J606=AC$1,$U606,"")</f>
        <v/>
      </c>
      <c r="AD606" s="134" t="str">
        <f>IF(AC606="","",IFERROR((RANK(AC606,$AC$2:$AC$2028,1)+COUNTIF($AC$2:AC606,AC606))-1,""))</f>
        <v/>
      </c>
      <c r="AE606" s="144" t="str">
        <f t="shared" si="331"/>
        <v/>
      </c>
      <c r="AF606" s="144" t="str">
        <f>IF(AE606="","",SUM($AE$2:AE606))</f>
        <v/>
      </c>
    </row>
    <row r="607" spans="14:32" x14ac:dyDescent="0.35">
      <c r="N607" s="134" t="str">
        <f t="shared" si="329"/>
        <v/>
      </c>
      <c r="O607" s="82" t="str">
        <f t="shared" si="332"/>
        <v/>
      </c>
      <c r="P607" s="81" t="str">
        <f t="shared" si="330"/>
        <v/>
      </c>
      <c r="Q607" s="81" t="str">
        <f t="shared" si="333"/>
        <v/>
      </c>
      <c r="R607" s="135" t="str">
        <f t="shared" ca="1" si="334"/>
        <v/>
      </c>
      <c r="S607" s="134" t="str">
        <f t="shared" ca="1" si="335"/>
        <v/>
      </c>
      <c r="T607" s="134" t="str">
        <f ca="1">IF(S607=Dashboard!$D$12,S607,"")</f>
        <v/>
      </c>
      <c r="U607" s="134" t="str">
        <f t="shared" ca="1" si="336"/>
        <v/>
      </c>
      <c r="V607" s="83" t="str">
        <f ca="1">IF(U607="","",IFERROR((RANK(U607,$U$2:$U$2028,1)+COUNTIF($U$2:U607,U607))-1,""))</f>
        <v/>
      </c>
      <c r="W607" s="134" t="str">
        <f t="shared" ref="W607:W670" si="340">IF($J607=$W$1,U607,"")</f>
        <v/>
      </c>
      <c r="X607" s="134" t="str">
        <f>IF(W607="","",IFERROR((RANK(W607,$W$2:$W$2028,1)+COUNTIF($W$2:W607,W607))-1,""))</f>
        <v/>
      </c>
      <c r="Y607" s="134" t="str">
        <f t="shared" si="337"/>
        <v/>
      </c>
      <c r="Z607" s="134" t="str">
        <f>IF(Y607="","",IFERROR((RANK(Y607,$Y$2:$Y$2028,1)+COUNTIF($Y$2:Y607,Y607))-1,""))</f>
        <v/>
      </c>
      <c r="AA607" s="134" t="str">
        <f t="shared" si="338"/>
        <v/>
      </c>
      <c r="AB607" s="134" t="str">
        <f>IF(AA607="","",IFERROR((RANK(AA607,$AA$2:$AA$2028,1)+COUNTIF($AA$2:AA607,AA607))-1,""))</f>
        <v/>
      </c>
      <c r="AC607" s="134" t="str">
        <f t="shared" si="339"/>
        <v/>
      </c>
      <c r="AD607" s="134" t="str">
        <f>IF(AC607="","",IFERROR((RANK(AC607,$AC$2:$AC$2028,1)+COUNTIF($AC$2:AC607,AC607))-1,""))</f>
        <v/>
      </c>
      <c r="AE607" s="144" t="str">
        <f t="shared" si="331"/>
        <v/>
      </c>
      <c r="AF607" s="144" t="str">
        <f>IF(AE607="","",SUM($AE$2:AE607))</f>
        <v/>
      </c>
    </row>
    <row r="608" spans="14:32" x14ac:dyDescent="0.35">
      <c r="N608" s="134" t="str">
        <f t="shared" si="329"/>
        <v/>
      </c>
      <c r="O608" s="82" t="str">
        <f t="shared" si="332"/>
        <v/>
      </c>
      <c r="P608" s="81" t="str">
        <f t="shared" si="330"/>
        <v/>
      </c>
      <c r="Q608" s="81" t="str">
        <f t="shared" si="333"/>
        <v/>
      </c>
      <c r="R608" s="135" t="str">
        <f t="shared" ca="1" si="334"/>
        <v/>
      </c>
      <c r="S608" s="134" t="str">
        <f t="shared" ca="1" si="335"/>
        <v/>
      </c>
      <c r="T608" s="134" t="str">
        <f ca="1">IF(S608=Dashboard!$D$12,S608,"")</f>
        <v/>
      </c>
      <c r="U608" s="134" t="str">
        <f t="shared" ca="1" si="336"/>
        <v/>
      </c>
      <c r="V608" s="83" t="str">
        <f ca="1">IF(U608="","",IFERROR((RANK(U608,$U$2:$U$2028,1)+COUNTIF($U$2:U608,U608))-1,""))</f>
        <v/>
      </c>
      <c r="W608" s="134" t="str">
        <f t="shared" si="340"/>
        <v/>
      </c>
      <c r="X608" s="134" t="str">
        <f>IF(W608="","",IFERROR((RANK(W608,$W$2:$W$2028,1)+COUNTIF($W$2:W608,W608))-1,""))</f>
        <v/>
      </c>
      <c r="Y608" s="134" t="str">
        <f t="shared" si="337"/>
        <v/>
      </c>
      <c r="Z608" s="134" t="str">
        <f>IF(Y608="","",IFERROR((RANK(Y608,$Y$2:$Y$2028,1)+COUNTIF($Y$2:Y608,Y608))-1,""))</f>
        <v/>
      </c>
      <c r="AA608" s="134" t="str">
        <f t="shared" si="338"/>
        <v/>
      </c>
      <c r="AB608" s="134" t="str">
        <f>IF(AA608="","",IFERROR((RANK(AA608,$AA$2:$AA$2028,1)+COUNTIF($AA$2:AA608,AA608))-1,""))</f>
        <v/>
      </c>
      <c r="AC608" s="134" t="str">
        <f t="shared" si="339"/>
        <v/>
      </c>
      <c r="AD608" s="134" t="str">
        <f>IF(AC608="","",IFERROR((RANK(AC608,$AC$2:$AC$2028,1)+COUNTIF($AC$2:AC608,AC608))-1,""))</f>
        <v/>
      </c>
      <c r="AE608" s="144" t="str">
        <f t="shared" si="331"/>
        <v/>
      </c>
      <c r="AF608" s="144" t="str">
        <f>IF(AE608="","",SUM($AE$2:AE608))</f>
        <v/>
      </c>
    </row>
    <row r="609" spans="14:32" x14ac:dyDescent="0.35">
      <c r="N609" s="134" t="str">
        <f t="shared" si="329"/>
        <v/>
      </c>
      <c r="O609" s="82" t="str">
        <f t="shared" si="332"/>
        <v/>
      </c>
      <c r="P609" s="81" t="str">
        <f t="shared" si="330"/>
        <v/>
      </c>
      <c r="Q609" s="81" t="str">
        <f t="shared" si="333"/>
        <v/>
      </c>
      <c r="R609" s="135" t="str">
        <f t="shared" ca="1" si="334"/>
        <v/>
      </c>
      <c r="S609" s="134" t="str">
        <f t="shared" ca="1" si="335"/>
        <v/>
      </c>
      <c r="T609" s="134" t="str">
        <f ca="1">IF(S609=Dashboard!$D$12,S609,"")</f>
        <v/>
      </c>
      <c r="U609" s="134" t="str">
        <f t="shared" ca="1" si="336"/>
        <v/>
      </c>
      <c r="V609" s="83" t="str">
        <f ca="1">IF(U609="","",IFERROR((RANK(U609,$U$2:$U$2028,1)+COUNTIF($U$2:U609,U609))-1,""))</f>
        <v/>
      </c>
      <c r="W609" s="134" t="str">
        <f t="shared" si="340"/>
        <v/>
      </c>
      <c r="X609" s="134" t="str">
        <f>IF(W609="","",IFERROR((RANK(W609,$W$2:$W$2028,1)+COUNTIF($W$2:W609,W609))-1,""))</f>
        <v/>
      </c>
      <c r="Y609" s="134" t="str">
        <f t="shared" si="337"/>
        <v/>
      </c>
      <c r="Z609" s="134" t="str">
        <f>IF(Y609="","",IFERROR((RANK(Y609,$Y$2:$Y$2028,1)+COUNTIF($Y$2:Y609,Y609))-1,""))</f>
        <v/>
      </c>
      <c r="AA609" s="134" t="str">
        <f t="shared" si="338"/>
        <v/>
      </c>
      <c r="AB609" s="134" t="str">
        <f>IF(AA609="","",IFERROR((RANK(AA609,$AA$2:$AA$2028,1)+COUNTIF($AA$2:AA609,AA609))-1,""))</f>
        <v/>
      </c>
      <c r="AC609" s="134" t="str">
        <f t="shared" si="339"/>
        <v/>
      </c>
      <c r="AD609" s="134" t="str">
        <f>IF(AC609="","",IFERROR((RANK(AC609,$AC$2:$AC$2028,1)+COUNTIF($AC$2:AC609,AC609))-1,""))</f>
        <v/>
      </c>
      <c r="AE609" s="144" t="str">
        <f t="shared" si="331"/>
        <v/>
      </c>
      <c r="AF609" s="144" t="str">
        <f>IF(AE609="","",SUM($AE$2:AE609))</f>
        <v/>
      </c>
    </row>
    <row r="610" spans="14:32" x14ac:dyDescent="0.35">
      <c r="N610" s="134" t="str">
        <f t="shared" si="329"/>
        <v/>
      </c>
      <c r="O610" s="82" t="str">
        <f t="shared" si="332"/>
        <v/>
      </c>
      <c r="P610" s="81" t="str">
        <f t="shared" si="330"/>
        <v/>
      </c>
      <c r="Q610" s="81" t="str">
        <f t="shared" si="333"/>
        <v/>
      </c>
      <c r="R610" s="135" t="str">
        <f t="shared" ca="1" si="334"/>
        <v/>
      </c>
      <c r="S610" s="134" t="str">
        <f t="shared" ca="1" si="335"/>
        <v/>
      </c>
      <c r="T610" s="134" t="str">
        <f ca="1">IF(S610=Dashboard!$D$12,S610,"")</f>
        <v/>
      </c>
      <c r="U610" s="134" t="str">
        <f t="shared" ca="1" si="336"/>
        <v/>
      </c>
      <c r="V610" s="83" t="str">
        <f ca="1">IF(U610="","",IFERROR((RANK(U610,$U$2:$U$2028,1)+COUNTIF($U$2:U610,U610))-1,""))</f>
        <v/>
      </c>
      <c r="W610" s="134" t="str">
        <f t="shared" si="340"/>
        <v/>
      </c>
      <c r="X610" s="134" t="str">
        <f>IF(W610="","",IFERROR((RANK(W610,$W$2:$W$2028,1)+COUNTIF($W$2:W610,W610))-1,""))</f>
        <v/>
      </c>
      <c r="Y610" s="134" t="str">
        <f t="shared" si="337"/>
        <v/>
      </c>
      <c r="Z610" s="134" t="str">
        <f>IF(Y610="","",IFERROR((RANK(Y610,$Y$2:$Y$2028,1)+COUNTIF($Y$2:Y610,Y610))-1,""))</f>
        <v/>
      </c>
      <c r="AA610" s="134" t="str">
        <f t="shared" si="338"/>
        <v/>
      </c>
      <c r="AB610" s="134" t="str">
        <f>IF(AA610="","",IFERROR((RANK(AA610,$AA$2:$AA$2028,1)+COUNTIF($AA$2:AA610,AA610))-1,""))</f>
        <v/>
      </c>
      <c r="AC610" s="134" t="str">
        <f t="shared" si="339"/>
        <v/>
      </c>
      <c r="AD610" s="134" t="str">
        <f>IF(AC610="","",IFERROR((RANK(AC610,$AC$2:$AC$2028,1)+COUNTIF($AC$2:AC610,AC610))-1,""))</f>
        <v/>
      </c>
      <c r="AE610" s="144" t="str">
        <f t="shared" si="331"/>
        <v/>
      </c>
      <c r="AF610" s="144" t="str">
        <f>IF(AE610="","",SUM($AE$2:AE610))</f>
        <v/>
      </c>
    </row>
    <row r="611" spans="14:32" x14ac:dyDescent="0.35">
      <c r="N611" s="134" t="str">
        <f t="shared" si="329"/>
        <v/>
      </c>
      <c r="O611" s="82" t="str">
        <f t="shared" si="332"/>
        <v/>
      </c>
      <c r="P611" s="81" t="str">
        <f t="shared" si="330"/>
        <v/>
      </c>
      <c r="Q611" s="81" t="str">
        <f t="shared" si="333"/>
        <v/>
      </c>
      <c r="R611" s="135" t="str">
        <f t="shared" ca="1" si="334"/>
        <v/>
      </c>
      <c r="S611" s="134" t="str">
        <f t="shared" ca="1" si="335"/>
        <v/>
      </c>
      <c r="T611" s="134" t="str">
        <f ca="1">IF(S611=Dashboard!$D$12,S611,"")</f>
        <v/>
      </c>
      <c r="U611" s="134" t="str">
        <f t="shared" ca="1" si="336"/>
        <v/>
      </c>
      <c r="V611" s="83" t="str">
        <f ca="1">IF(U611="","",IFERROR((RANK(U611,$U$2:$U$2028,1)+COUNTIF($U$2:U611,U611))-1,""))</f>
        <v/>
      </c>
      <c r="W611" s="134" t="str">
        <f t="shared" si="340"/>
        <v/>
      </c>
      <c r="X611" s="134" t="str">
        <f>IF(W611="","",IFERROR((RANK(W611,$W$2:$W$2028,1)+COUNTIF($W$2:W611,W611))-1,""))</f>
        <v/>
      </c>
      <c r="Y611" s="134" t="str">
        <f t="shared" si="337"/>
        <v/>
      </c>
      <c r="Z611" s="134" t="str">
        <f>IF(Y611="","",IFERROR((RANK(Y611,$Y$2:$Y$2028,1)+COUNTIF($Y$2:Y611,Y611))-1,""))</f>
        <v/>
      </c>
      <c r="AA611" s="134" t="str">
        <f t="shared" si="338"/>
        <v/>
      </c>
      <c r="AB611" s="134" t="str">
        <f>IF(AA611="","",IFERROR((RANK(AA611,$AA$2:$AA$2028,1)+COUNTIF($AA$2:AA611,AA611))-1,""))</f>
        <v/>
      </c>
      <c r="AC611" s="134" t="str">
        <f t="shared" si="339"/>
        <v/>
      </c>
      <c r="AD611" s="134" t="str">
        <f>IF(AC611="","",IFERROR((RANK(AC611,$AC$2:$AC$2028,1)+COUNTIF($AC$2:AC611,AC611))-1,""))</f>
        <v/>
      </c>
      <c r="AE611" s="144" t="str">
        <f t="shared" si="331"/>
        <v/>
      </c>
      <c r="AF611" s="144" t="str">
        <f>IF(AE611="","",SUM($AE$2:AE611))</f>
        <v/>
      </c>
    </row>
    <row r="612" spans="14:32" x14ac:dyDescent="0.35">
      <c r="N612" s="134" t="str">
        <f t="shared" si="329"/>
        <v/>
      </c>
      <c r="O612" s="82" t="str">
        <f t="shared" si="332"/>
        <v/>
      </c>
      <c r="P612" s="81" t="str">
        <f t="shared" si="330"/>
        <v/>
      </c>
      <c r="Q612" s="81" t="str">
        <f t="shared" si="333"/>
        <v/>
      </c>
      <c r="R612" s="135" t="str">
        <f t="shared" ca="1" si="334"/>
        <v/>
      </c>
      <c r="S612" s="134" t="str">
        <f t="shared" ca="1" si="335"/>
        <v/>
      </c>
      <c r="T612" s="134" t="str">
        <f ca="1">IF(S612=Dashboard!$D$12,S612,"")</f>
        <v/>
      </c>
      <c r="U612" s="134" t="str">
        <f t="shared" ca="1" si="336"/>
        <v/>
      </c>
      <c r="V612" s="83" t="str">
        <f ca="1">IF(U612="","",IFERROR((RANK(U612,$U$2:$U$2028,1)+COUNTIF($U$2:U612,U612))-1,""))</f>
        <v/>
      </c>
      <c r="W612" s="134" t="str">
        <f t="shared" si="340"/>
        <v/>
      </c>
      <c r="X612" s="134" t="str">
        <f>IF(W612="","",IFERROR((RANK(W612,$W$2:$W$2028,1)+COUNTIF($W$2:W612,W612))-1,""))</f>
        <v/>
      </c>
      <c r="Y612" s="134" t="str">
        <f t="shared" si="337"/>
        <v/>
      </c>
      <c r="Z612" s="134" t="str">
        <f>IF(Y612="","",IFERROR((RANK(Y612,$Y$2:$Y$2028,1)+COUNTIF($Y$2:Y612,Y612))-1,""))</f>
        <v/>
      </c>
      <c r="AA612" s="134" t="str">
        <f t="shared" si="338"/>
        <v/>
      </c>
      <c r="AB612" s="134" t="str">
        <f>IF(AA612="","",IFERROR((RANK(AA612,$AA$2:$AA$2028,1)+COUNTIF($AA$2:AA612,AA612))-1,""))</f>
        <v/>
      </c>
      <c r="AC612" s="134" t="str">
        <f t="shared" si="339"/>
        <v/>
      </c>
      <c r="AD612" s="134" t="str">
        <f>IF(AC612="","",IFERROR((RANK(AC612,$AC$2:$AC$2028,1)+COUNTIF($AC$2:AC612,AC612))-1,""))</f>
        <v/>
      </c>
      <c r="AE612" s="144" t="str">
        <f t="shared" si="331"/>
        <v/>
      </c>
      <c r="AF612" s="144" t="str">
        <f>IF(AE612="","",SUM($AE$2:AE612))</f>
        <v/>
      </c>
    </row>
    <row r="613" spans="14:32" x14ac:dyDescent="0.35">
      <c r="N613" s="134" t="str">
        <f t="shared" si="329"/>
        <v/>
      </c>
      <c r="O613" s="82" t="str">
        <f t="shared" si="332"/>
        <v/>
      </c>
      <c r="P613" s="81" t="str">
        <f t="shared" si="330"/>
        <v/>
      </c>
      <c r="Q613" s="81" t="str">
        <f t="shared" si="333"/>
        <v/>
      </c>
      <c r="R613" s="135" t="str">
        <f t="shared" ca="1" si="334"/>
        <v/>
      </c>
      <c r="S613" s="134" t="str">
        <f t="shared" ca="1" si="335"/>
        <v/>
      </c>
      <c r="T613" s="134" t="str">
        <f ca="1">IF(S613=Dashboard!$D$12,S613,"")</f>
        <v/>
      </c>
      <c r="U613" s="134" t="str">
        <f t="shared" ca="1" si="336"/>
        <v/>
      </c>
      <c r="V613" s="83" t="str">
        <f ca="1">IF(U613="","",IFERROR((RANK(U613,$U$2:$U$2028,1)+COUNTIF($U$2:U613,U613))-1,""))</f>
        <v/>
      </c>
      <c r="W613" s="134" t="str">
        <f t="shared" si="340"/>
        <v/>
      </c>
      <c r="X613" s="134" t="str">
        <f>IF(W613="","",IFERROR((RANK(W613,$W$2:$W$2028,1)+COUNTIF($W$2:W613,W613))-1,""))</f>
        <v/>
      </c>
      <c r="Y613" s="134" t="str">
        <f t="shared" si="337"/>
        <v/>
      </c>
      <c r="Z613" s="134" t="str">
        <f>IF(Y613="","",IFERROR((RANK(Y613,$Y$2:$Y$2028,1)+COUNTIF($Y$2:Y613,Y613))-1,""))</f>
        <v/>
      </c>
      <c r="AA613" s="134" t="str">
        <f t="shared" si="338"/>
        <v/>
      </c>
      <c r="AB613" s="134" t="str">
        <f>IF(AA613="","",IFERROR((RANK(AA613,$AA$2:$AA$2028,1)+COUNTIF($AA$2:AA613,AA613))-1,""))</f>
        <v/>
      </c>
      <c r="AC613" s="134" t="str">
        <f t="shared" si="339"/>
        <v/>
      </c>
      <c r="AD613" s="134" t="str">
        <f>IF(AC613="","",IFERROR((RANK(AC613,$AC$2:$AC$2028,1)+COUNTIF($AC$2:AC613,AC613))-1,""))</f>
        <v/>
      </c>
      <c r="AE613" s="144" t="str">
        <f t="shared" si="331"/>
        <v/>
      </c>
      <c r="AF613" s="144" t="str">
        <f>IF(AE613="","",SUM($AE$2:AE613))</f>
        <v/>
      </c>
    </row>
    <row r="614" spans="14:32" x14ac:dyDescent="0.35">
      <c r="N614" s="134" t="str">
        <f t="shared" si="329"/>
        <v/>
      </c>
      <c r="O614" s="82" t="str">
        <f t="shared" si="332"/>
        <v/>
      </c>
      <c r="P614" s="81" t="str">
        <f t="shared" si="330"/>
        <v/>
      </c>
      <c r="Q614" s="81" t="str">
        <f t="shared" si="333"/>
        <v/>
      </c>
      <c r="R614" s="135" t="str">
        <f t="shared" ca="1" si="334"/>
        <v/>
      </c>
      <c r="S614" s="134" t="str">
        <f t="shared" ca="1" si="335"/>
        <v/>
      </c>
      <c r="T614" s="134" t="str">
        <f ca="1">IF(S614=Dashboard!$D$12,S614,"")</f>
        <v/>
      </c>
      <c r="U614" s="134" t="str">
        <f t="shared" ca="1" si="336"/>
        <v/>
      </c>
      <c r="V614" s="83" t="str">
        <f ca="1">IF(U614="","",IFERROR((RANK(U614,$U$2:$U$2028,1)+COUNTIF($U$2:U614,U614))-1,""))</f>
        <v/>
      </c>
      <c r="W614" s="134" t="str">
        <f t="shared" si="340"/>
        <v/>
      </c>
      <c r="X614" s="134" t="str">
        <f>IF(W614="","",IFERROR((RANK(W614,$W$2:$W$2028,1)+COUNTIF($W$2:W614,W614))-1,""))</f>
        <v/>
      </c>
      <c r="Y614" s="134" t="str">
        <f t="shared" si="337"/>
        <v/>
      </c>
      <c r="Z614" s="134" t="str">
        <f>IF(Y614="","",IFERROR((RANK(Y614,$Y$2:$Y$2028,1)+COUNTIF($Y$2:Y614,Y614))-1,""))</f>
        <v/>
      </c>
      <c r="AA614" s="134" t="str">
        <f t="shared" si="338"/>
        <v/>
      </c>
      <c r="AB614" s="134" t="str">
        <f>IF(AA614="","",IFERROR((RANK(AA614,$AA$2:$AA$2028,1)+COUNTIF($AA$2:AA614,AA614))-1,""))</f>
        <v/>
      </c>
      <c r="AC614" s="134" t="str">
        <f t="shared" si="339"/>
        <v/>
      </c>
      <c r="AD614" s="134" t="str">
        <f>IF(AC614="","",IFERROR((RANK(AC614,$AC$2:$AC$2028,1)+COUNTIF($AC$2:AC614,AC614))-1,""))</f>
        <v/>
      </c>
      <c r="AE614" s="144" t="str">
        <f t="shared" si="331"/>
        <v/>
      </c>
      <c r="AF614" s="144" t="str">
        <f>IF(AE614="","",SUM($AE$2:AE614))</f>
        <v/>
      </c>
    </row>
    <row r="615" spans="14:32" x14ac:dyDescent="0.35">
      <c r="N615" s="134" t="str">
        <f t="shared" si="329"/>
        <v/>
      </c>
      <c r="O615" s="82" t="str">
        <f t="shared" si="332"/>
        <v/>
      </c>
      <c r="P615" s="81" t="str">
        <f t="shared" si="330"/>
        <v/>
      </c>
      <c r="Q615" s="81" t="str">
        <f t="shared" si="333"/>
        <v/>
      </c>
      <c r="R615" s="135" t="str">
        <f t="shared" ca="1" si="334"/>
        <v/>
      </c>
      <c r="S615" s="134" t="str">
        <f t="shared" ca="1" si="335"/>
        <v/>
      </c>
      <c r="T615" s="134" t="str">
        <f ca="1">IF(S615=Dashboard!$D$12,S615,"")</f>
        <v/>
      </c>
      <c r="U615" s="134" t="str">
        <f t="shared" ca="1" si="336"/>
        <v/>
      </c>
      <c r="V615" s="83" t="str">
        <f ca="1">IF(U615="","",IFERROR((RANK(U615,$U$2:$U$2028,1)+COUNTIF($U$2:U615,U615))-1,""))</f>
        <v/>
      </c>
      <c r="W615" s="134" t="str">
        <f t="shared" si="340"/>
        <v/>
      </c>
      <c r="X615" s="134" t="str">
        <f>IF(W615="","",IFERROR((RANK(W615,$W$2:$W$2028,1)+COUNTIF($W$2:W615,W615))-1,""))</f>
        <v/>
      </c>
      <c r="Y615" s="134" t="str">
        <f t="shared" si="337"/>
        <v/>
      </c>
      <c r="Z615" s="134" t="str">
        <f>IF(Y615="","",IFERROR((RANK(Y615,$Y$2:$Y$2028,1)+COUNTIF($Y$2:Y615,Y615))-1,""))</f>
        <v/>
      </c>
      <c r="AA615" s="134" t="str">
        <f t="shared" si="338"/>
        <v/>
      </c>
      <c r="AB615" s="134" t="str">
        <f>IF(AA615="","",IFERROR((RANK(AA615,$AA$2:$AA$2028,1)+COUNTIF($AA$2:AA615,AA615))-1,""))</f>
        <v/>
      </c>
      <c r="AC615" s="134" t="str">
        <f t="shared" si="339"/>
        <v/>
      </c>
      <c r="AD615" s="134" t="str">
        <f>IF(AC615="","",IFERROR((RANK(AC615,$AC$2:$AC$2028,1)+COUNTIF($AC$2:AC615,AC615))-1,""))</f>
        <v/>
      </c>
      <c r="AE615" s="144" t="str">
        <f t="shared" si="331"/>
        <v/>
      </c>
      <c r="AF615" s="144" t="str">
        <f>IF(AE615="","",SUM($AE$2:AE615))</f>
        <v/>
      </c>
    </row>
    <row r="616" spans="14:32" x14ac:dyDescent="0.35">
      <c r="N616" s="134" t="str">
        <f t="shared" si="329"/>
        <v/>
      </c>
      <c r="O616" s="82" t="str">
        <f t="shared" si="332"/>
        <v/>
      </c>
      <c r="P616" s="81" t="str">
        <f t="shared" si="330"/>
        <v/>
      </c>
      <c r="Q616" s="81" t="str">
        <f t="shared" si="333"/>
        <v/>
      </c>
      <c r="R616" s="135" t="str">
        <f t="shared" ca="1" si="334"/>
        <v/>
      </c>
      <c r="S616" s="134" t="str">
        <f t="shared" ca="1" si="335"/>
        <v/>
      </c>
      <c r="T616" s="134" t="str">
        <f ca="1">IF(S616=Dashboard!$D$12,S616,"")</f>
        <v/>
      </c>
      <c r="U616" s="134" t="str">
        <f t="shared" ca="1" si="336"/>
        <v/>
      </c>
      <c r="V616" s="83" t="str">
        <f ca="1">IF(U616="","",IFERROR((RANK(U616,$U$2:$U$2028,1)+COUNTIF($U$2:U616,U616))-1,""))</f>
        <v/>
      </c>
      <c r="W616" s="134" t="str">
        <f t="shared" si="340"/>
        <v/>
      </c>
      <c r="X616" s="134" t="str">
        <f>IF(W616="","",IFERROR((RANK(W616,$W$2:$W$2028,1)+COUNTIF($W$2:W616,W616))-1,""))</f>
        <v/>
      </c>
      <c r="Y616" s="134" t="str">
        <f t="shared" si="337"/>
        <v/>
      </c>
      <c r="Z616" s="134" t="str">
        <f>IF(Y616="","",IFERROR((RANK(Y616,$Y$2:$Y$2028,1)+COUNTIF($Y$2:Y616,Y616))-1,""))</f>
        <v/>
      </c>
      <c r="AA616" s="134" t="str">
        <f t="shared" si="338"/>
        <v/>
      </c>
      <c r="AB616" s="134" t="str">
        <f>IF(AA616="","",IFERROR((RANK(AA616,$AA$2:$AA$2028,1)+COUNTIF($AA$2:AA616,AA616))-1,""))</f>
        <v/>
      </c>
      <c r="AC616" s="134" t="str">
        <f t="shared" si="339"/>
        <v/>
      </c>
      <c r="AD616" s="134" t="str">
        <f>IF(AC616="","",IFERROR((RANK(AC616,$AC$2:$AC$2028,1)+COUNTIF($AC$2:AC616,AC616))-1,""))</f>
        <v/>
      </c>
      <c r="AE616" s="144" t="str">
        <f t="shared" si="331"/>
        <v/>
      </c>
      <c r="AF616" s="144" t="str">
        <f>IF(AE616="","",SUM($AE$2:AE616))</f>
        <v/>
      </c>
    </row>
    <row r="617" spans="14:32" x14ac:dyDescent="0.35">
      <c r="N617" s="134" t="str">
        <f t="shared" si="329"/>
        <v/>
      </c>
      <c r="O617" s="82" t="str">
        <f t="shared" si="332"/>
        <v/>
      </c>
      <c r="P617" s="81" t="str">
        <f t="shared" si="330"/>
        <v/>
      </c>
      <c r="Q617" s="81" t="str">
        <f t="shared" si="333"/>
        <v/>
      </c>
      <c r="R617" s="135" t="str">
        <f t="shared" ca="1" si="334"/>
        <v/>
      </c>
      <c r="S617" s="134" t="str">
        <f t="shared" ca="1" si="335"/>
        <v/>
      </c>
      <c r="T617" s="134" t="str">
        <f ca="1">IF(S617=Dashboard!$D$12,S617,"")</f>
        <v/>
      </c>
      <c r="U617" s="134" t="str">
        <f t="shared" ca="1" si="336"/>
        <v/>
      </c>
      <c r="V617" s="83" t="str">
        <f ca="1">IF(U617="","",IFERROR((RANK(U617,$U$2:$U$2028,1)+COUNTIF($U$2:U617,U617))-1,""))</f>
        <v/>
      </c>
      <c r="W617" s="134" t="str">
        <f t="shared" si="340"/>
        <v/>
      </c>
      <c r="X617" s="134" t="str">
        <f>IF(W617="","",IFERROR((RANK(W617,$W$2:$W$2028,1)+COUNTIF($W$2:W617,W617))-1,""))</f>
        <v/>
      </c>
      <c r="Y617" s="134" t="str">
        <f t="shared" si="337"/>
        <v/>
      </c>
      <c r="Z617" s="134" t="str">
        <f>IF(Y617="","",IFERROR((RANK(Y617,$Y$2:$Y$2028,1)+COUNTIF($Y$2:Y617,Y617))-1,""))</f>
        <v/>
      </c>
      <c r="AA617" s="134" t="str">
        <f t="shared" si="338"/>
        <v/>
      </c>
      <c r="AB617" s="134" t="str">
        <f>IF(AA617="","",IFERROR((RANK(AA617,$AA$2:$AA$2028,1)+COUNTIF($AA$2:AA617,AA617))-1,""))</f>
        <v/>
      </c>
      <c r="AC617" s="134" t="str">
        <f t="shared" si="339"/>
        <v/>
      </c>
      <c r="AD617" s="134" t="str">
        <f>IF(AC617="","",IFERROR((RANK(AC617,$AC$2:$AC$2028,1)+COUNTIF($AC$2:AC617,AC617))-1,""))</f>
        <v/>
      </c>
      <c r="AE617" s="144" t="str">
        <f t="shared" si="331"/>
        <v/>
      </c>
      <c r="AF617" s="144" t="str">
        <f>IF(AE617="","",SUM($AE$2:AE617))</f>
        <v/>
      </c>
    </row>
    <row r="618" spans="14:32" x14ac:dyDescent="0.35">
      <c r="N618" s="134" t="str">
        <f t="shared" si="329"/>
        <v/>
      </c>
      <c r="O618" s="82" t="str">
        <f t="shared" si="332"/>
        <v/>
      </c>
      <c r="P618" s="81" t="str">
        <f t="shared" si="330"/>
        <v/>
      </c>
      <c r="Q618" s="81" t="str">
        <f t="shared" si="333"/>
        <v/>
      </c>
      <c r="R618" s="135" t="str">
        <f t="shared" ca="1" si="334"/>
        <v/>
      </c>
      <c r="S618" s="134" t="str">
        <f t="shared" ca="1" si="335"/>
        <v/>
      </c>
      <c r="T618" s="134" t="str">
        <f ca="1">IF(S618=Dashboard!$D$12,S618,"")</f>
        <v/>
      </c>
      <c r="U618" s="134" t="str">
        <f t="shared" ca="1" si="336"/>
        <v/>
      </c>
      <c r="V618" s="83" t="str">
        <f ca="1">IF(U618="","",IFERROR((RANK(U618,$U$2:$U$2028,1)+COUNTIF($U$2:U618,U618))-1,""))</f>
        <v/>
      </c>
      <c r="W618" s="134" t="str">
        <f t="shared" si="340"/>
        <v/>
      </c>
      <c r="X618" s="134" t="str">
        <f>IF(W618="","",IFERROR((RANK(W618,$W$2:$W$2028,1)+COUNTIF($W$2:W618,W618))-1,""))</f>
        <v/>
      </c>
      <c r="Y618" s="134" t="str">
        <f t="shared" si="337"/>
        <v/>
      </c>
      <c r="Z618" s="134" t="str">
        <f>IF(Y618="","",IFERROR((RANK(Y618,$Y$2:$Y$2028,1)+COUNTIF($Y$2:Y618,Y618))-1,""))</f>
        <v/>
      </c>
      <c r="AA618" s="134" t="str">
        <f t="shared" si="338"/>
        <v/>
      </c>
      <c r="AB618" s="134" t="str">
        <f>IF(AA618="","",IFERROR((RANK(AA618,$AA$2:$AA$2028,1)+COUNTIF($AA$2:AA618,AA618))-1,""))</f>
        <v/>
      </c>
      <c r="AC618" s="134" t="str">
        <f t="shared" si="339"/>
        <v/>
      </c>
      <c r="AD618" s="134" t="str">
        <f>IF(AC618="","",IFERROR((RANK(AC618,$AC$2:$AC$2028,1)+COUNTIF($AC$2:AC618,AC618))-1,""))</f>
        <v/>
      </c>
      <c r="AE618" s="144" t="str">
        <f t="shared" si="331"/>
        <v/>
      </c>
      <c r="AF618" s="144" t="str">
        <f>IF(AE618="","",SUM($AE$2:AE618))</f>
        <v/>
      </c>
    </row>
    <row r="619" spans="14:32" x14ac:dyDescent="0.35">
      <c r="N619" s="134" t="str">
        <f t="shared" si="329"/>
        <v/>
      </c>
      <c r="O619" s="82" t="str">
        <f t="shared" si="332"/>
        <v/>
      </c>
      <c r="P619" s="81" t="str">
        <f t="shared" si="330"/>
        <v/>
      </c>
      <c r="Q619" s="81" t="str">
        <f t="shared" si="333"/>
        <v/>
      </c>
      <c r="R619" s="135" t="str">
        <f t="shared" ca="1" si="334"/>
        <v/>
      </c>
      <c r="S619" s="134" t="str">
        <f t="shared" ca="1" si="335"/>
        <v/>
      </c>
      <c r="T619" s="134" t="str">
        <f ca="1">IF(S619=Dashboard!$D$12,S619,"")</f>
        <v/>
      </c>
      <c r="U619" s="134" t="str">
        <f t="shared" ca="1" si="336"/>
        <v/>
      </c>
      <c r="V619" s="83" t="str">
        <f ca="1">IF(U619="","",IFERROR((RANK(U619,$U$2:$U$2028,1)+COUNTIF($U$2:U619,U619))-1,""))</f>
        <v/>
      </c>
      <c r="W619" s="134" t="str">
        <f t="shared" si="340"/>
        <v/>
      </c>
      <c r="X619" s="134" t="str">
        <f>IF(W619="","",IFERROR((RANK(W619,$W$2:$W$2028,1)+COUNTIF($W$2:W619,W619))-1,""))</f>
        <v/>
      </c>
      <c r="Y619" s="134" t="str">
        <f t="shared" si="337"/>
        <v/>
      </c>
      <c r="Z619" s="134" t="str">
        <f>IF(Y619="","",IFERROR((RANK(Y619,$Y$2:$Y$2028,1)+COUNTIF($Y$2:Y619,Y619))-1,""))</f>
        <v/>
      </c>
      <c r="AA619" s="134" t="str">
        <f t="shared" si="338"/>
        <v/>
      </c>
      <c r="AB619" s="134" t="str">
        <f>IF(AA619="","",IFERROR((RANK(AA619,$AA$2:$AA$2028,1)+COUNTIF($AA$2:AA619,AA619))-1,""))</f>
        <v/>
      </c>
      <c r="AC619" s="134" t="str">
        <f t="shared" si="339"/>
        <v/>
      </c>
      <c r="AD619" s="134" t="str">
        <f>IF(AC619="","",IFERROR((RANK(AC619,$AC$2:$AC$2028,1)+COUNTIF($AC$2:AC619,AC619))-1,""))</f>
        <v/>
      </c>
      <c r="AE619" s="144" t="str">
        <f t="shared" si="331"/>
        <v/>
      </c>
      <c r="AF619" s="144" t="str">
        <f>IF(AE619="","",SUM($AE$2:AE619))</f>
        <v/>
      </c>
    </row>
    <row r="620" spans="14:32" x14ac:dyDescent="0.35">
      <c r="N620" s="134" t="str">
        <f t="shared" si="329"/>
        <v/>
      </c>
      <c r="O620" s="82" t="str">
        <f t="shared" si="332"/>
        <v/>
      </c>
      <c r="P620" s="81" t="str">
        <f t="shared" si="330"/>
        <v/>
      </c>
      <c r="Q620" s="81" t="str">
        <f t="shared" si="333"/>
        <v/>
      </c>
      <c r="R620" s="135" t="str">
        <f t="shared" ca="1" si="334"/>
        <v/>
      </c>
      <c r="S620" s="134" t="str">
        <f t="shared" ca="1" si="335"/>
        <v/>
      </c>
      <c r="T620" s="134" t="str">
        <f ca="1">IF(S620=Dashboard!$D$12,S620,"")</f>
        <v/>
      </c>
      <c r="U620" s="134" t="str">
        <f t="shared" ca="1" si="336"/>
        <v/>
      </c>
      <c r="V620" s="83" t="str">
        <f ca="1">IF(U620="","",IFERROR((RANK(U620,$U$2:$U$2028,1)+COUNTIF($U$2:U620,U620))-1,""))</f>
        <v/>
      </c>
      <c r="W620" s="134" t="str">
        <f t="shared" si="340"/>
        <v/>
      </c>
      <c r="X620" s="134" t="str">
        <f>IF(W620="","",IFERROR((RANK(W620,$W$2:$W$2028,1)+COUNTIF($W$2:W620,W620))-1,""))</f>
        <v/>
      </c>
      <c r="Y620" s="134" t="str">
        <f t="shared" si="337"/>
        <v/>
      </c>
      <c r="Z620" s="134" t="str">
        <f>IF(Y620="","",IFERROR((RANK(Y620,$Y$2:$Y$2028,1)+COUNTIF($Y$2:Y620,Y620))-1,""))</f>
        <v/>
      </c>
      <c r="AA620" s="134" t="str">
        <f t="shared" si="338"/>
        <v/>
      </c>
      <c r="AB620" s="134" t="str">
        <f>IF(AA620="","",IFERROR((RANK(AA620,$AA$2:$AA$2028,1)+COUNTIF($AA$2:AA620,AA620))-1,""))</f>
        <v/>
      </c>
      <c r="AC620" s="134" t="str">
        <f t="shared" si="339"/>
        <v/>
      </c>
      <c r="AD620" s="134" t="str">
        <f>IF(AC620="","",IFERROR((RANK(AC620,$AC$2:$AC$2028,1)+COUNTIF($AC$2:AC620,AC620))-1,""))</f>
        <v/>
      </c>
      <c r="AE620" s="144" t="str">
        <f t="shared" si="331"/>
        <v/>
      </c>
      <c r="AF620" s="144" t="str">
        <f>IF(AE620="","",SUM($AE$2:AE620))</f>
        <v/>
      </c>
    </row>
    <row r="621" spans="14:32" x14ac:dyDescent="0.35">
      <c r="N621" s="134" t="str">
        <f t="shared" si="329"/>
        <v/>
      </c>
      <c r="O621" s="82" t="str">
        <f t="shared" si="332"/>
        <v/>
      </c>
      <c r="P621" s="81" t="str">
        <f t="shared" si="330"/>
        <v/>
      </c>
      <c r="Q621" s="81" t="str">
        <f t="shared" si="333"/>
        <v/>
      </c>
      <c r="R621" s="135" t="str">
        <f t="shared" ca="1" si="334"/>
        <v/>
      </c>
      <c r="S621" s="134" t="str">
        <f t="shared" ca="1" si="335"/>
        <v/>
      </c>
      <c r="T621" s="134" t="str">
        <f ca="1">IF(S621=Dashboard!$D$12,S621,"")</f>
        <v/>
      </c>
      <c r="U621" s="134" t="str">
        <f t="shared" ca="1" si="336"/>
        <v/>
      </c>
      <c r="V621" s="83" t="str">
        <f ca="1">IF(U621="","",IFERROR((RANK(U621,$U$2:$U$2028,1)+COUNTIF($U$2:U621,U621))-1,""))</f>
        <v/>
      </c>
      <c r="W621" s="134" t="str">
        <f t="shared" si="340"/>
        <v/>
      </c>
      <c r="X621" s="134" t="str">
        <f>IF(W621="","",IFERROR((RANK(W621,$W$2:$W$2028,1)+COUNTIF($W$2:W621,W621))-1,""))</f>
        <v/>
      </c>
      <c r="Y621" s="134" t="str">
        <f t="shared" si="337"/>
        <v/>
      </c>
      <c r="Z621" s="134" t="str">
        <f>IF(Y621="","",IFERROR((RANK(Y621,$Y$2:$Y$2028,1)+COUNTIF($Y$2:Y621,Y621))-1,""))</f>
        <v/>
      </c>
      <c r="AA621" s="134" t="str">
        <f t="shared" si="338"/>
        <v/>
      </c>
      <c r="AB621" s="134" t="str">
        <f>IF(AA621="","",IFERROR((RANK(AA621,$AA$2:$AA$2028,1)+COUNTIF($AA$2:AA621,AA621))-1,""))</f>
        <v/>
      </c>
      <c r="AC621" s="134" t="str">
        <f t="shared" si="339"/>
        <v/>
      </c>
      <c r="AD621" s="134" t="str">
        <f>IF(AC621="","",IFERROR((RANK(AC621,$AC$2:$AC$2028,1)+COUNTIF($AC$2:AC621,AC621))-1,""))</f>
        <v/>
      </c>
      <c r="AE621" s="144" t="str">
        <f t="shared" si="331"/>
        <v/>
      </c>
      <c r="AF621" s="144" t="str">
        <f>IF(AE621="","",SUM($AE$2:AE621))</f>
        <v/>
      </c>
    </row>
    <row r="622" spans="14:32" x14ac:dyDescent="0.35">
      <c r="N622" s="134" t="str">
        <f t="shared" si="329"/>
        <v/>
      </c>
      <c r="O622" s="82" t="str">
        <f t="shared" si="332"/>
        <v/>
      </c>
      <c r="P622" s="81" t="str">
        <f t="shared" si="330"/>
        <v/>
      </c>
      <c r="Q622" s="81" t="str">
        <f t="shared" si="333"/>
        <v/>
      </c>
      <c r="R622" s="135" t="str">
        <f t="shared" ca="1" si="334"/>
        <v/>
      </c>
      <c r="S622" s="134" t="str">
        <f t="shared" ca="1" si="335"/>
        <v/>
      </c>
      <c r="T622" s="134" t="str">
        <f ca="1">IF(S622=Dashboard!$D$12,S622,"")</f>
        <v/>
      </c>
      <c r="U622" s="134" t="str">
        <f t="shared" ca="1" si="336"/>
        <v/>
      </c>
      <c r="V622" s="83" t="str">
        <f ca="1">IF(U622="","",IFERROR((RANK(U622,$U$2:$U$2028,1)+COUNTIF($U$2:U622,U622))-1,""))</f>
        <v/>
      </c>
      <c r="W622" s="134" t="str">
        <f t="shared" si="340"/>
        <v/>
      </c>
      <c r="X622" s="134" t="str">
        <f>IF(W622="","",IFERROR((RANK(W622,$W$2:$W$2028,1)+COUNTIF($W$2:W622,W622))-1,""))</f>
        <v/>
      </c>
      <c r="Y622" s="134" t="str">
        <f t="shared" si="337"/>
        <v/>
      </c>
      <c r="Z622" s="134" t="str">
        <f>IF(Y622="","",IFERROR((RANK(Y622,$Y$2:$Y$2028,1)+COUNTIF($Y$2:Y622,Y622))-1,""))</f>
        <v/>
      </c>
      <c r="AA622" s="134" t="str">
        <f t="shared" si="338"/>
        <v/>
      </c>
      <c r="AB622" s="134" t="str">
        <f>IF(AA622="","",IFERROR((RANK(AA622,$AA$2:$AA$2028,1)+COUNTIF($AA$2:AA622,AA622))-1,""))</f>
        <v/>
      </c>
      <c r="AC622" s="134" t="str">
        <f t="shared" si="339"/>
        <v/>
      </c>
      <c r="AD622" s="134" t="str">
        <f>IF(AC622="","",IFERROR((RANK(AC622,$AC$2:$AC$2028,1)+COUNTIF($AC$2:AC622,AC622))-1,""))</f>
        <v/>
      </c>
      <c r="AE622" s="144" t="str">
        <f t="shared" si="331"/>
        <v/>
      </c>
      <c r="AF622" s="144" t="str">
        <f>IF(AE622="","",SUM($AE$2:AE622))</f>
        <v/>
      </c>
    </row>
    <row r="623" spans="14:32" x14ac:dyDescent="0.35">
      <c r="N623" s="134" t="str">
        <f t="shared" si="329"/>
        <v/>
      </c>
      <c r="O623" s="82" t="str">
        <f t="shared" si="332"/>
        <v/>
      </c>
      <c r="P623" s="81" t="str">
        <f t="shared" si="330"/>
        <v/>
      </c>
      <c r="Q623" s="81" t="str">
        <f t="shared" si="333"/>
        <v/>
      </c>
      <c r="R623" s="135" t="str">
        <f t="shared" ca="1" si="334"/>
        <v/>
      </c>
      <c r="S623" s="134" t="str">
        <f t="shared" ca="1" si="335"/>
        <v/>
      </c>
      <c r="T623" s="134" t="str">
        <f ca="1">IF(S623=Dashboard!$D$12,S623,"")</f>
        <v/>
      </c>
      <c r="U623" s="134" t="str">
        <f t="shared" ca="1" si="336"/>
        <v/>
      </c>
      <c r="V623" s="83" t="str">
        <f ca="1">IF(U623="","",IFERROR((RANK(U623,$U$2:$U$2028,1)+COUNTIF($U$2:U623,U623))-1,""))</f>
        <v/>
      </c>
      <c r="W623" s="134" t="str">
        <f t="shared" si="340"/>
        <v/>
      </c>
      <c r="X623" s="134" t="str">
        <f>IF(W623="","",IFERROR((RANK(W623,$W$2:$W$2028,1)+COUNTIF($W$2:W623,W623))-1,""))</f>
        <v/>
      </c>
      <c r="Y623" s="134" t="str">
        <f t="shared" si="337"/>
        <v/>
      </c>
      <c r="Z623" s="134" t="str">
        <f>IF(Y623="","",IFERROR((RANK(Y623,$Y$2:$Y$2028,1)+COUNTIF($Y$2:Y623,Y623))-1,""))</f>
        <v/>
      </c>
      <c r="AA623" s="134" t="str">
        <f t="shared" si="338"/>
        <v/>
      </c>
      <c r="AB623" s="134" t="str">
        <f>IF(AA623="","",IFERROR((RANK(AA623,$AA$2:$AA$2028,1)+COUNTIF($AA$2:AA623,AA623))-1,""))</f>
        <v/>
      </c>
      <c r="AC623" s="134" t="str">
        <f t="shared" si="339"/>
        <v/>
      </c>
      <c r="AD623" s="134" t="str">
        <f>IF(AC623="","",IFERROR((RANK(AC623,$AC$2:$AC$2028,1)+COUNTIF($AC$2:AC623,AC623))-1,""))</f>
        <v/>
      </c>
      <c r="AE623" s="144" t="str">
        <f t="shared" si="331"/>
        <v/>
      </c>
      <c r="AF623" s="144" t="str">
        <f>IF(AE623="","",SUM($AE$2:AE623))</f>
        <v/>
      </c>
    </row>
    <row r="624" spans="14:32" x14ac:dyDescent="0.35">
      <c r="N624" s="134" t="str">
        <f t="shared" si="329"/>
        <v/>
      </c>
      <c r="O624" s="82" t="str">
        <f t="shared" si="332"/>
        <v/>
      </c>
      <c r="P624" s="81" t="str">
        <f t="shared" si="330"/>
        <v/>
      </c>
      <c r="Q624" s="81" t="str">
        <f t="shared" si="333"/>
        <v/>
      </c>
      <c r="R624" s="135" t="str">
        <f t="shared" ca="1" si="334"/>
        <v/>
      </c>
      <c r="S624" s="134" t="str">
        <f t="shared" ca="1" si="335"/>
        <v/>
      </c>
      <c r="T624" s="134" t="str">
        <f ca="1">IF(S624=Dashboard!$D$12,S624,"")</f>
        <v/>
      </c>
      <c r="U624" s="134" t="str">
        <f t="shared" ca="1" si="336"/>
        <v/>
      </c>
      <c r="V624" s="83" t="str">
        <f ca="1">IF(U624="","",IFERROR((RANK(U624,$U$2:$U$2028,1)+COUNTIF($U$2:U624,U624))-1,""))</f>
        <v/>
      </c>
      <c r="W624" s="134" t="str">
        <f t="shared" si="340"/>
        <v/>
      </c>
      <c r="X624" s="134" t="str">
        <f>IF(W624="","",IFERROR((RANK(W624,$W$2:$W$2028,1)+COUNTIF($W$2:W624,W624))-1,""))</f>
        <v/>
      </c>
      <c r="Y624" s="134" t="str">
        <f t="shared" si="337"/>
        <v/>
      </c>
      <c r="Z624" s="134" t="str">
        <f>IF(Y624="","",IFERROR((RANK(Y624,$Y$2:$Y$2028,1)+COUNTIF($Y$2:Y624,Y624))-1,""))</f>
        <v/>
      </c>
      <c r="AA624" s="134" t="str">
        <f t="shared" si="338"/>
        <v/>
      </c>
      <c r="AB624" s="134" t="str">
        <f>IF(AA624="","",IFERROR((RANK(AA624,$AA$2:$AA$2028,1)+COUNTIF($AA$2:AA624,AA624))-1,""))</f>
        <v/>
      </c>
      <c r="AC624" s="134" t="str">
        <f t="shared" si="339"/>
        <v/>
      </c>
      <c r="AD624" s="134" t="str">
        <f>IF(AC624="","",IFERROR((RANK(AC624,$AC$2:$AC$2028,1)+COUNTIF($AC$2:AC624,AC624))-1,""))</f>
        <v/>
      </c>
      <c r="AE624" s="144" t="str">
        <f t="shared" si="331"/>
        <v/>
      </c>
      <c r="AF624" s="144" t="str">
        <f>IF(AE624="","",SUM($AE$2:AE624))</f>
        <v/>
      </c>
    </row>
    <row r="625" spans="14:32" x14ac:dyDescent="0.35">
      <c r="N625" s="134" t="str">
        <f t="shared" si="329"/>
        <v/>
      </c>
      <c r="O625" s="82" t="str">
        <f t="shared" si="332"/>
        <v/>
      </c>
      <c r="P625" s="81" t="str">
        <f t="shared" si="330"/>
        <v/>
      </c>
      <c r="Q625" s="81" t="str">
        <f t="shared" si="333"/>
        <v/>
      </c>
      <c r="R625" s="135" t="str">
        <f t="shared" ca="1" si="334"/>
        <v/>
      </c>
      <c r="S625" s="134" t="str">
        <f t="shared" ca="1" si="335"/>
        <v/>
      </c>
      <c r="T625" s="134" t="str">
        <f ca="1">IF(S625=Dashboard!$D$12,S625,"")</f>
        <v/>
      </c>
      <c r="U625" s="134" t="str">
        <f t="shared" ca="1" si="336"/>
        <v/>
      </c>
      <c r="V625" s="83" t="str">
        <f ca="1">IF(U625="","",IFERROR((RANK(U625,$U$2:$U$2028,1)+COUNTIF($U$2:U625,U625))-1,""))</f>
        <v/>
      </c>
      <c r="W625" s="134" t="str">
        <f t="shared" si="340"/>
        <v/>
      </c>
      <c r="X625" s="134" t="str">
        <f>IF(W625="","",IFERROR((RANK(W625,$W$2:$W$2028,1)+COUNTIF($W$2:W625,W625))-1,""))</f>
        <v/>
      </c>
      <c r="Y625" s="134" t="str">
        <f t="shared" si="337"/>
        <v/>
      </c>
      <c r="Z625" s="134" t="str">
        <f>IF(Y625="","",IFERROR((RANK(Y625,$Y$2:$Y$2028,1)+COUNTIF($Y$2:Y625,Y625))-1,""))</f>
        <v/>
      </c>
      <c r="AA625" s="134" t="str">
        <f t="shared" si="338"/>
        <v/>
      </c>
      <c r="AB625" s="134" t="str">
        <f>IF(AA625="","",IFERROR((RANK(AA625,$AA$2:$AA$2028,1)+COUNTIF($AA$2:AA625,AA625))-1,""))</f>
        <v/>
      </c>
      <c r="AC625" s="134" t="str">
        <f t="shared" si="339"/>
        <v/>
      </c>
      <c r="AD625" s="134" t="str">
        <f>IF(AC625="","",IFERROR((RANK(AC625,$AC$2:$AC$2028,1)+COUNTIF($AC$2:AC625,AC625))-1,""))</f>
        <v/>
      </c>
      <c r="AE625" s="144" t="str">
        <f t="shared" si="331"/>
        <v/>
      </c>
      <c r="AF625" s="144" t="str">
        <f>IF(AE625="","",SUM($AE$2:AE625))</f>
        <v/>
      </c>
    </row>
    <row r="626" spans="14:32" x14ac:dyDescent="0.35">
      <c r="N626" s="134" t="str">
        <f t="shared" si="329"/>
        <v/>
      </c>
      <c r="O626" s="82" t="str">
        <f t="shared" si="332"/>
        <v/>
      </c>
      <c r="P626" s="81" t="str">
        <f t="shared" si="330"/>
        <v/>
      </c>
      <c r="Q626" s="81" t="str">
        <f t="shared" si="333"/>
        <v/>
      </c>
      <c r="R626" s="135" t="str">
        <f t="shared" ca="1" si="334"/>
        <v/>
      </c>
      <c r="S626" s="134" t="str">
        <f t="shared" ca="1" si="335"/>
        <v/>
      </c>
      <c r="T626" s="134" t="str">
        <f ca="1">IF(S626=Dashboard!$D$12,S626,"")</f>
        <v/>
      </c>
      <c r="U626" s="134" t="str">
        <f t="shared" ca="1" si="336"/>
        <v/>
      </c>
      <c r="V626" s="83" t="str">
        <f ca="1">IF(U626="","",IFERROR((RANK(U626,$U$2:$U$2028,1)+COUNTIF($U$2:U626,U626))-1,""))</f>
        <v/>
      </c>
      <c r="W626" s="134" t="str">
        <f t="shared" si="340"/>
        <v/>
      </c>
      <c r="X626" s="134" t="str">
        <f>IF(W626="","",IFERROR((RANK(W626,$W$2:$W$2028,1)+COUNTIF($W$2:W626,W626))-1,""))</f>
        <v/>
      </c>
      <c r="Y626" s="134" t="str">
        <f t="shared" si="337"/>
        <v/>
      </c>
      <c r="Z626" s="134" t="str">
        <f>IF(Y626="","",IFERROR((RANK(Y626,$Y$2:$Y$2028,1)+COUNTIF($Y$2:Y626,Y626))-1,""))</f>
        <v/>
      </c>
      <c r="AA626" s="134" t="str">
        <f t="shared" si="338"/>
        <v/>
      </c>
      <c r="AB626" s="134" t="str">
        <f>IF(AA626="","",IFERROR((RANK(AA626,$AA$2:$AA$2028,1)+COUNTIF($AA$2:AA626,AA626))-1,""))</f>
        <v/>
      </c>
      <c r="AC626" s="134" t="str">
        <f t="shared" si="339"/>
        <v/>
      </c>
      <c r="AD626" s="134" t="str">
        <f>IF(AC626="","",IFERROR((RANK(AC626,$AC$2:$AC$2028,1)+COUNTIF($AC$2:AC626,AC626))-1,""))</f>
        <v/>
      </c>
      <c r="AE626" s="144" t="str">
        <f t="shared" si="331"/>
        <v/>
      </c>
      <c r="AF626" s="144" t="str">
        <f>IF(AE626="","",SUM($AE$2:AE626))</f>
        <v/>
      </c>
    </row>
    <row r="627" spans="14:32" x14ac:dyDescent="0.35">
      <c r="N627" s="134" t="str">
        <f t="shared" si="329"/>
        <v/>
      </c>
      <c r="O627" s="82" t="str">
        <f t="shared" si="332"/>
        <v/>
      </c>
      <c r="P627" s="81" t="str">
        <f t="shared" si="330"/>
        <v/>
      </c>
      <c r="Q627" s="81" t="str">
        <f t="shared" si="333"/>
        <v/>
      </c>
      <c r="R627" s="135" t="str">
        <f t="shared" ca="1" si="334"/>
        <v/>
      </c>
      <c r="S627" s="134" t="str">
        <f t="shared" ca="1" si="335"/>
        <v/>
      </c>
      <c r="T627" s="134" t="str">
        <f ca="1">IF(S627=Dashboard!$D$12,S627,"")</f>
        <v/>
      </c>
      <c r="U627" s="134" t="str">
        <f t="shared" ca="1" si="336"/>
        <v/>
      </c>
      <c r="V627" s="83" t="str">
        <f ca="1">IF(U627="","",IFERROR((RANK(U627,$U$2:$U$2028,1)+COUNTIF($U$2:U627,U627))-1,""))</f>
        <v/>
      </c>
      <c r="W627" s="134" t="str">
        <f t="shared" si="340"/>
        <v/>
      </c>
      <c r="X627" s="134" t="str">
        <f>IF(W627="","",IFERROR((RANK(W627,$W$2:$W$2028,1)+COUNTIF($W$2:W627,W627))-1,""))</f>
        <v/>
      </c>
      <c r="Y627" s="134" t="str">
        <f t="shared" si="337"/>
        <v/>
      </c>
      <c r="Z627" s="134" t="str">
        <f>IF(Y627="","",IFERROR((RANK(Y627,$Y$2:$Y$2028,1)+COUNTIF($Y$2:Y627,Y627))-1,""))</f>
        <v/>
      </c>
      <c r="AA627" s="134" t="str">
        <f t="shared" si="338"/>
        <v/>
      </c>
      <c r="AB627" s="134" t="str">
        <f>IF(AA627="","",IFERROR((RANK(AA627,$AA$2:$AA$2028,1)+COUNTIF($AA$2:AA627,AA627))-1,""))</f>
        <v/>
      </c>
      <c r="AC627" s="134" t="str">
        <f t="shared" si="339"/>
        <v/>
      </c>
      <c r="AD627" s="134" t="str">
        <f>IF(AC627="","",IFERROR((RANK(AC627,$AC$2:$AC$2028,1)+COUNTIF($AC$2:AC627,AC627))-1,""))</f>
        <v/>
      </c>
      <c r="AE627" s="144" t="str">
        <f t="shared" si="331"/>
        <v/>
      </c>
      <c r="AF627" s="144" t="str">
        <f>IF(AE627="","",SUM($AE$2:AE627))</f>
        <v/>
      </c>
    </row>
    <row r="628" spans="14:32" x14ac:dyDescent="0.35">
      <c r="N628" s="134" t="str">
        <f t="shared" si="329"/>
        <v/>
      </c>
      <c r="O628" s="82" t="str">
        <f t="shared" si="332"/>
        <v/>
      </c>
      <c r="P628" s="81" t="str">
        <f t="shared" si="330"/>
        <v/>
      </c>
      <c r="Q628" s="81" t="str">
        <f t="shared" si="333"/>
        <v/>
      </c>
      <c r="R628" s="135" t="str">
        <f t="shared" ca="1" si="334"/>
        <v/>
      </c>
      <c r="S628" s="134" t="str">
        <f t="shared" ca="1" si="335"/>
        <v/>
      </c>
      <c r="T628" s="134" t="str">
        <f ca="1">IF(S628=Dashboard!$D$12,S628,"")</f>
        <v/>
      </c>
      <c r="U628" s="134" t="str">
        <f t="shared" ca="1" si="336"/>
        <v/>
      </c>
      <c r="V628" s="83" t="str">
        <f ca="1">IF(U628="","",IFERROR((RANK(U628,$U$2:$U$2028,1)+COUNTIF($U$2:U628,U628))-1,""))</f>
        <v/>
      </c>
      <c r="W628" s="134" t="str">
        <f t="shared" si="340"/>
        <v/>
      </c>
      <c r="X628" s="134" t="str">
        <f>IF(W628="","",IFERROR((RANK(W628,$W$2:$W$2028,1)+COUNTIF($W$2:W628,W628))-1,""))</f>
        <v/>
      </c>
      <c r="Y628" s="134" t="str">
        <f t="shared" si="337"/>
        <v/>
      </c>
      <c r="Z628" s="134" t="str">
        <f>IF(Y628="","",IFERROR((RANK(Y628,$Y$2:$Y$2028,1)+COUNTIF($Y$2:Y628,Y628))-1,""))</f>
        <v/>
      </c>
      <c r="AA628" s="134" t="str">
        <f t="shared" si="338"/>
        <v/>
      </c>
      <c r="AB628" s="134" t="str">
        <f>IF(AA628="","",IFERROR((RANK(AA628,$AA$2:$AA$2028,1)+COUNTIF($AA$2:AA628,AA628))-1,""))</f>
        <v/>
      </c>
      <c r="AC628" s="134" t="str">
        <f t="shared" si="339"/>
        <v/>
      </c>
      <c r="AD628" s="134" t="str">
        <f>IF(AC628="","",IFERROR((RANK(AC628,$AC$2:$AC$2028,1)+COUNTIF($AC$2:AC628,AC628))-1,""))</f>
        <v/>
      </c>
      <c r="AE628" s="144" t="str">
        <f t="shared" si="331"/>
        <v/>
      </c>
      <c r="AF628" s="144" t="str">
        <f>IF(AE628="","",SUM($AE$2:AE628))</f>
        <v/>
      </c>
    </row>
    <row r="629" spans="14:32" x14ac:dyDescent="0.35">
      <c r="N629" s="134" t="str">
        <f t="shared" si="329"/>
        <v/>
      </c>
      <c r="O629" s="82" t="str">
        <f t="shared" si="332"/>
        <v/>
      </c>
      <c r="P629" s="81" t="str">
        <f t="shared" si="330"/>
        <v/>
      </c>
      <c r="Q629" s="81" t="str">
        <f t="shared" si="333"/>
        <v/>
      </c>
      <c r="R629" s="135" t="str">
        <f t="shared" ca="1" si="334"/>
        <v/>
      </c>
      <c r="S629" s="134" t="str">
        <f t="shared" ca="1" si="335"/>
        <v/>
      </c>
      <c r="T629" s="134" t="str">
        <f ca="1">IF(S629=Dashboard!$D$12,S629,"")</f>
        <v/>
      </c>
      <c r="U629" s="134" t="str">
        <f t="shared" ca="1" si="336"/>
        <v/>
      </c>
      <c r="V629" s="83" t="str">
        <f ca="1">IF(U629="","",IFERROR((RANK(U629,$U$2:$U$2028,1)+COUNTIF($U$2:U629,U629))-1,""))</f>
        <v/>
      </c>
      <c r="W629" s="134" t="str">
        <f t="shared" si="340"/>
        <v/>
      </c>
      <c r="X629" s="134" t="str">
        <f>IF(W629="","",IFERROR((RANK(W629,$W$2:$W$2028,1)+COUNTIF($W$2:W629,W629))-1,""))</f>
        <v/>
      </c>
      <c r="Y629" s="134" t="str">
        <f t="shared" si="337"/>
        <v/>
      </c>
      <c r="Z629" s="134" t="str">
        <f>IF(Y629="","",IFERROR((RANK(Y629,$Y$2:$Y$2028,1)+COUNTIF($Y$2:Y629,Y629))-1,""))</f>
        <v/>
      </c>
      <c r="AA629" s="134" t="str">
        <f t="shared" si="338"/>
        <v/>
      </c>
      <c r="AB629" s="134" t="str">
        <f>IF(AA629="","",IFERROR((RANK(AA629,$AA$2:$AA$2028,1)+COUNTIF($AA$2:AA629,AA629))-1,""))</f>
        <v/>
      </c>
      <c r="AC629" s="134" t="str">
        <f t="shared" si="339"/>
        <v/>
      </c>
      <c r="AD629" s="134" t="str">
        <f>IF(AC629="","",IFERROR((RANK(AC629,$AC$2:$AC$2028,1)+COUNTIF($AC$2:AC629,AC629))-1,""))</f>
        <v/>
      </c>
      <c r="AE629" s="144" t="str">
        <f t="shared" si="331"/>
        <v/>
      </c>
      <c r="AF629" s="144" t="str">
        <f>IF(AE629="","",SUM($AE$2:AE629))</f>
        <v/>
      </c>
    </row>
    <row r="630" spans="14:32" x14ac:dyDescent="0.35">
      <c r="N630" s="134" t="str">
        <f t="shared" si="329"/>
        <v/>
      </c>
      <c r="O630" s="82" t="str">
        <f t="shared" si="332"/>
        <v/>
      </c>
      <c r="P630" s="81" t="str">
        <f t="shared" si="330"/>
        <v/>
      </c>
      <c r="Q630" s="81" t="str">
        <f t="shared" si="333"/>
        <v/>
      </c>
      <c r="R630" s="135" t="str">
        <f t="shared" ca="1" si="334"/>
        <v/>
      </c>
      <c r="S630" s="134" t="str">
        <f t="shared" ca="1" si="335"/>
        <v/>
      </c>
      <c r="T630" s="134" t="str">
        <f ca="1">IF(S630=Dashboard!$D$12,S630,"")</f>
        <v/>
      </c>
      <c r="U630" s="134" t="str">
        <f t="shared" ca="1" si="336"/>
        <v/>
      </c>
      <c r="V630" s="83" t="str">
        <f ca="1">IF(U630="","",IFERROR((RANK(U630,$U$2:$U$2028,1)+COUNTIF($U$2:U630,U630))-1,""))</f>
        <v/>
      </c>
      <c r="W630" s="134" t="str">
        <f t="shared" si="340"/>
        <v/>
      </c>
      <c r="X630" s="134" t="str">
        <f>IF(W630="","",IFERROR((RANK(W630,$W$2:$W$2028,1)+COUNTIF($W$2:W630,W630))-1,""))</f>
        <v/>
      </c>
      <c r="Y630" s="134" t="str">
        <f t="shared" si="337"/>
        <v/>
      </c>
      <c r="Z630" s="134" t="str">
        <f>IF(Y630="","",IFERROR((RANK(Y630,$Y$2:$Y$2028,1)+COUNTIF($Y$2:Y630,Y630))-1,""))</f>
        <v/>
      </c>
      <c r="AA630" s="134" t="str">
        <f t="shared" si="338"/>
        <v/>
      </c>
      <c r="AB630" s="134" t="str">
        <f>IF(AA630="","",IFERROR((RANK(AA630,$AA$2:$AA$2028,1)+COUNTIF($AA$2:AA630,AA630))-1,""))</f>
        <v/>
      </c>
      <c r="AC630" s="134" t="str">
        <f t="shared" si="339"/>
        <v/>
      </c>
      <c r="AD630" s="134" t="str">
        <f>IF(AC630="","",IFERROR((RANK(AC630,$AC$2:$AC$2028,1)+COUNTIF($AC$2:AC630,AC630))-1,""))</f>
        <v/>
      </c>
      <c r="AE630" s="144" t="str">
        <f t="shared" si="331"/>
        <v/>
      </c>
      <c r="AF630" s="144" t="str">
        <f>IF(AE630="","",SUM($AE$2:AE630))</f>
        <v/>
      </c>
    </row>
    <row r="631" spans="14:32" x14ac:dyDescent="0.35">
      <c r="N631" s="134" t="str">
        <f t="shared" si="329"/>
        <v/>
      </c>
      <c r="O631" s="82" t="str">
        <f t="shared" si="332"/>
        <v/>
      </c>
      <c r="P631" s="81" t="str">
        <f t="shared" si="330"/>
        <v/>
      </c>
      <c r="Q631" s="81" t="str">
        <f t="shared" si="333"/>
        <v/>
      </c>
      <c r="R631" s="135" t="str">
        <f t="shared" ca="1" si="334"/>
        <v/>
      </c>
      <c r="S631" s="134" t="str">
        <f t="shared" ca="1" si="335"/>
        <v/>
      </c>
      <c r="T631" s="134" t="str">
        <f ca="1">IF(S631=Dashboard!$D$12,S631,"")</f>
        <v/>
      </c>
      <c r="U631" s="134" t="str">
        <f t="shared" ca="1" si="336"/>
        <v/>
      </c>
      <c r="V631" s="83" t="str">
        <f ca="1">IF(U631="","",IFERROR((RANK(U631,$U$2:$U$2028,1)+COUNTIF($U$2:U631,U631))-1,""))</f>
        <v/>
      </c>
      <c r="W631" s="134" t="str">
        <f t="shared" si="340"/>
        <v/>
      </c>
      <c r="X631" s="134" t="str">
        <f>IF(W631="","",IFERROR((RANK(W631,$W$2:$W$2028,1)+COUNTIF($W$2:W631,W631))-1,""))</f>
        <v/>
      </c>
      <c r="Y631" s="134" t="str">
        <f t="shared" si="337"/>
        <v/>
      </c>
      <c r="Z631" s="134" t="str">
        <f>IF(Y631="","",IFERROR((RANK(Y631,$Y$2:$Y$2028,1)+COUNTIF($Y$2:Y631,Y631))-1,""))</f>
        <v/>
      </c>
      <c r="AA631" s="134" t="str">
        <f t="shared" si="338"/>
        <v/>
      </c>
      <c r="AB631" s="134" t="str">
        <f>IF(AA631="","",IFERROR((RANK(AA631,$AA$2:$AA$2028,1)+COUNTIF($AA$2:AA631,AA631))-1,""))</f>
        <v/>
      </c>
      <c r="AC631" s="134" t="str">
        <f t="shared" si="339"/>
        <v/>
      </c>
      <c r="AD631" s="134" t="str">
        <f>IF(AC631="","",IFERROR((RANK(AC631,$AC$2:$AC$2028,1)+COUNTIF($AC$2:AC631,AC631))-1,""))</f>
        <v/>
      </c>
      <c r="AE631" s="144" t="str">
        <f t="shared" si="331"/>
        <v/>
      </c>
      <c r="AF631" s="144" t="str">
        <f>IF(AE631="","",SUM($AE$2:AE631))</f>
        <v/>
      </c>
    </row>
    <row r="632" spans="14:32" x14ac:dyDescent="0.35">
      <c r="N632" s="134" t="str">
        <f t="shared" si="329"/>
        <v/>
      </c>
      <c r="O632" s="82" t="str">
        <f t="shared" si="332"/>
        <v/>
      </c>
      <c r="P632" s="81" t="str">
        <f t="shared" si="330"/>
        <v/>
      </c>
      <c r="Q632" s="81" t="str">
        <f t="shared" si="333"/>
        <v/>
      </c>
      <c r="R632" s="135" t="str">
        <f t="shared" ca="1" si="334"/>
        <v/>
      </c>
      <c r="S632" s="134" t="str">
        <f t="shared" ca="1" si="335"/>
        <v/>
      </c>
      <c r="T632" s="134" t="str">
        <f ca="1">IF(S632=Dashboard!$D$12,S632,"")</f>
        <v/>
      </c>
      <c r="U632" s="134" t="str">
        <f t="shared" ca="1" si="336"/>
        <v/>
      </c>
      <c r="V632" s="83" t="str">
        <f ca="1">IF(U632="","",IFERROR((RANK(U632,$U$2:$U$2028,1)+COUNTIF($U$2:U632,U632))-1,""))</f>
        <v/>
      </c>
      <c r="W632" s="134" t="str">
        <f t="shared" si="340"/>
        <v/>
      </c>
      <c r="X632" s="134" t="str">
        <f>IF(W632="","",IFERROR((RANK(W632,$W$2:$W$2028,1)+COUNTIF($W$2:W632,W632))-1,""))</f>
        <v/>
      </c>
      <c r="Y632" s="134" t="str">
        <f t="shared" si="337"/>
        <v/>
      </c>
      <c r="Z632" s="134" t="str">
        <f>IF(Y632="","",IFERROR((RANK(Y632,$Y$2:$Y$2028,1)+COUNTIF($Y$2:Y632,Y632))-1,""))</f>
        <v/>
      </c>
      <c r="AA632" s="134" t="str">
        <f t="shared" si="338"/>
        <v/>
      </c>
      <c r="AB632" s="134" t="str">
        <f>IF(AA632="","",IFERROR((RANK(AA632,$AA$2:$AA$2028,1)+COUNTIF($AA$2:AA632,AA632))-1,""))</f>
        <v/>
      </c>
      <c r="AC632" s="134" t="str">
        <f t="shared" si="339"/>
        <v/>
      </c>
      <c r="AD632" s="134" t="str">
        <f>IF(AC632="","",IFERROR((RANK(AC632,$AC$2:$AC$2028,1)+COUNTIF($AC$2:AC632,AC632))-1,""))</f>
        <v/>
      </c>
      <c r="AE632" s="144" t="str">
        <f t="shared" si="331"/>
        <v/>
      </c>
      <c r="AF632" s="144" t="str">
        <f>IF(AE632="","",SUM($AE$2:AE632))</f>
        <v/>
      </c>
    </row>
    <row r="633" spans="14:32" x14ac:dyDescent="0.35">
      <c r="N633" s="134" t="str">
        <f t="shared" si="329"/>
        <v/>
      </c>
      <c r="O633" s="82" t="str">
        <f t="shared" si="332"/>
        <v/>
      </c>
      <c r="P633" s="81" t="str">
        <f t="shared" si="330"/>
        <v/>
      </c>
      <c r="Q633" s="81" t="str">
        <f t="shared" si="333"/>
        <v/>
      </c>
      <c r="R633" s="135" t="str">
        <f t="shared" ca="1" si="334"/>
        <v/>
      </c>
      <c r="S633" s="134" t="str">
        <f t="shared" ca="1" si="335"/>
        <v/>
      </c>
      <c r="T633" s="134" t="str">
        <f ca="1">IF(S633=Dashboard!$D$12,S633,"")</f>
        <v/>
      </c>
      <c r="U633" s="134" t="str">
        <f t="shared" ca="1" si="336"/>
        <v/>
      </c>
      <c r="V633" s="83" t="str">
        <f ca="1">IF(U633="","",IFERROR((RANK(U633,$U$2:$U$2028,1)+COUNTIF($U$2:U633,U633))-1,""))</f>
        <v/>
      </c>
      <c r="W633" s="134" t="str">
        <f t="shared" si="340"/>
        <v/>
      </c>
      <c r="X633" s="134" t="str">
        <f>IF(W633="","",IFERROR((RANK(W633,$W$2:$W$2028,1)+COUNTIF($W$2:W633,W633))-1,""))</f>
        <v/>
      </c>
      <c r="Y633" s="134" t="str">
        <f t="shared" si="337"/>
        <v/>
      </c>
      <c r="Z633" s="134" t="str">
        <f>IF(Y633="","",IFERROR((RANK(Y633,$Y$2:$Y$2028,1)+COUNTIF($Y$2:Y633,Y633))-1,""))</f>
        <v/>
      </c>
      <c r="AA633" s="134" t="str">
        <f t="shared" si="338"/>
        <v/>
      </c>
      <c r="AB633" s="134" t="str">
        <f>IF(AA633="","",IFERROR((RANK(AA633,$AA$2:$AA$2028,1)+COUNTIF($AA$2:AA633,AA633))-1,""))</f>
        <v/>
      </c>
      <c r="AC633" s="134" t="str">
        <f t="shared" si="339"/>
        <v/>
      </c>
      <c r="AD633" s="134" t="str">
        <f>IF(AC633="","",IFERROR((RANK(AC633,$AC$2:$AC$2028,1)+COUNTIF($AC$2:AC633,AC633))-1,""))</f>
        <v/>
      </c>
      <c r="AE633" s="144" t="str">
        <f t="shared" si="331"/>
        <v/>
      </c>
      <c r="AF633" s="144" t="str">
        <f>IF(AE633="","",SUM($AE$2:AE633))</f>
        <v/>
      </c>
    </row>
    <row r="634" spans="14:32" x14ac:dyDescent="0.35">
      <c r="N634" s="134" t="str">
        <f t="shared" si="329"/>
        <v/>
      </c>
      <c r="O634" s="82" t="str">
        <f t="shared" si="332"/>
        <v/>
      </c>
      <c r="P634" s="81" t="str">
        <f t="shared" si="330"/>
        <v/>
      </c>
      <c r="Q634" s="81" t="str">
        <f t="shared" si="333"/>
        <v/>
      </c>
      <c r="R634" s="135" t="str">
        <f t="shared" ca="1" si="334"/>
        <v/>
      </c>
      <c r="S634" s="134" t="str">
        <f t="shared" ca="1" si="335"/>
        <v/>
      </c>
      <c r="T634" s="134" t="str">
        <f ca="1">IF(S634=Dashboard!$D$12,S634,"")</f>
        <v/>
      </c>
      <c r="U634" s="134" t="str">
        <f t="shared" ca="1" si="336"/>
        <v/>
      </c>
      <c r="V634" s="83" t="str">
        <f ca="1">IF(U634="","",IFERROR((RANK(U634,$U$2:$U$2028,1)+COUNTIF($U$2:U634,U634))-1,""))</f>
        <v/>
      </c>
      <c r="W634" s="134" t="str">
        <f t="shared" si="340"/>
        <v/>
      </c>
      <c r="X634" s="134" t="str">
        <f>IF(W634="","",IFERROR((RANK(W634,$W$2:$W$2028,1)+COUNTIF($W$2:W634,W634))-1,""))</f>
        <v/>
      </c>
      <c r="Y634" s="134" t="str">
        <f t="shared" si="337"/>
        <v/>
      </c>
      <c r="Z634" s="134" t="str">
        <f>IF(Y634="","",IFERROR((RANK(Y634,$Y$2:$Y$2028,1)+COUNTIF($Y$2:Y634,Y634))-1,""))</f>
        <v/>
      </c>
      <c r="AA634" s="134" t="str">
        <f t="shared" si="338"/>
        <v/>
      </c>
      <c r="AB634" s="134" t="str">
        <f>IF(AA634="","",IFERROR((RANK(AA634,$AA$2:$AA$2028,1)+COUNTIF($AA$2:AA634,AA634))-1,""))</f>
        <v/>
      </c>
      <c r="AC634" s="134" t="str">
        <f t="shared" si="339"/>
        <v/>
      </c>
      <c r="AD634" s="134" t="str">
        <f>IF(AC634="","",IFERROR((RANK(AC634,$AC$2:$AC$2028,1)+COUNTIF($AC$2:AC634,AC634))-1,""))</f>
        <v/>
      </c>
      <c r="AE634" s="144" t="str">
        <f t="shared" si="331"/>
        <v/>
      </c>
      <c r="AF634" s="144" t="str">
        <f>IF(AE634="","",SUM($AE$2:AE634))</f>
        <v/>
      </c>
    </row>
    <row r="635" spans="14:32" x14ac:dyDescent="0.35">
      <c r="N635" s="134" t="str">
        <f t="shared" si="329"/>
        <v/>
      </c>
      <c r="O635" s="82" t="str">
        <f t="shared" si="332"/>
        <v/>
      </c>
      <c r="P635" s="81" t="str">
        <f t="shared" si="330"/>
        <v/>
      </c>
      <c r="Q635" s="81" t="str">
        <f t="shared" si="333"/>
        <v/>
      </c>
      <c r="R635" s="135" t="str">
        <f t="shared" ca="1" si="334"/>
        <v/>
      </c>
      <c r="S635" s="134" t="str">
        <f t="shared" ca="1" si="335"/>
        <v/>
      </c>
      <c r="T635" s="134" t="str">
        <f ca="1">IF(S635=Dashboard!$D$12,S635,"")</f>
        <v/>
      </c>
      <c r="U635" s="134" t="str">
        <f t="shared" ca="1" si="336"/>
        <v/>
      </c>
      <c r="V635" s="83" t="str">
        <f ca="1">IF(U635="","",IFERROR((RANK(U635,$U$2:$U$2028,1)+COUNTIF($U$2:U635,U635))-1,""))</f>
        <v/>
      </c>
      <c r="W635" s="134" t="str">
        <f t="shared" si="340"/>
        <v/>
      </c>
      <c r="X635" s="134" t="str">
        <f>IF(W635="","",IFERROR((RANK(W635,$W$2:$W$2028,1)+COUNTIF($W$2:W635,W635))-1,""))</f>
        <v/>
      </c>
      <c r="Y635" s="134" t="str">
        <f t="shared" si="337"/>
        <v/>
      </c>
      <c r="Z635" s="134" t="str">
        <f>IF(Y635="","",IFERROR((RANK(Y635,$Y$2:$Y$2028,1)+COUNTIF($Y$2:Y635,Y635))-1,""))</f>
        <v/>
      </c>
      <c r="AA635" s="134" t="str">
        <f t="shared" si="338"/>
        <v/>
      </c>
      <c r="AB635" s="134" t="str">
        <f>IF(AA635="","",IFERROR((RANK(AA635,$AA$2:$AA$2028,1)+COUNTIF($AA$2:AA635,AA635))-1,""))</f>
        <v/>
      </c>
      <c r="AC635" s="134" t="str">
        <f t="shared" si="339"/>
        <v/>
      </c>
      <c r="AD635" s="134" t="str">
        <f>IF(AC635="","",IFERROR((RANK(AC635,$AC$2:$AC$2028,1)+COUNTIF($AC$2:AC635,AC635))-1,""))</f>
        <v/>
      </c>
      <c r="AE635" s="144" t="str">
        <f t="shared" si="331"/>
        <v/>
      </c>
      <c r="AF635" s="144" t="str">
        <f>IF(AE635="","",SUM($AE$2:AE635))</f>
        <v/>
      </c>
    </row>
    <row r="636" spans="14:32" x14ac:dyDescent="0.35">
      <c r="N636" s="134" t="str">
        <f t="shared" si="329"/>
        <v/>
      </c>
      <c r="O636" s="82" t="str">
        <f t="shared" si="332"/>
        <v/>
      </c>
      <c r="P636" s="81" t="str">
        <f t="shared" si="330"/>
        <v/>
      </c>
      <c r="Q636" s="81" t="str">
        <f t="shared" si="333"/>
        <v/>
      </c>
      <c r="R636" s="135" t="str">
        <f t="shared" ca="1" si="334"/>
        <v/>
      </c>
      <c r="S636" s="134" t="str">
        <f t="shared" ca="1" si="335"/>
        <v/>
      </c>
      <c r="T636" s="134" t="str">
        <f ca="1">IF(S636=Dashboard!$D$12,S636,"")</f>
        <v/>
      </c>
      <c r="U636" s="134" t="str">
        <f t="shared" ca="1" si="336"/>
        <v/>
      </c>
      <c r="V636" s="83" t="str">
        <f ca="1">IF(U636="","",IFERROR((RANK(U636,$U$2:$U$2028,1)+COUNTIF($U$2:U636,U636))-1,""))</f>
        <v/>
      </c>
      <c r="W636" s="134" t="str">
        <f t="shared" si="340"/>
        <v/>
      </c>
      <c r="X636" s="134" t="str">
        <f>IF(W636="","",IFERROR((RANK(W636,$W$2:$W$2028,1)+COUNTIF($W$2:W636,W636))-1,""))</f>
        <v/>
      </c>
      <c r="Y636" s="134" t="str">
        <f t="shared" si="337"/>
        <v/>
      </c>
      <c r="Z636" s="134" t="str">
        <f>IF(Y636="","",IFERROR((RANK(Y636,$Y$2:$Y$2028,1)+COUNTIF($Y$2:Y636,Y636))-1,""))</f>
        <v/>
      </c>
      <c r="AA636" s="134" t="str">
        <f t="shared" si="338"/>
        <v/>
      </c>
      <c r="AB636" s="134" t="str">
        <f>IF(AA636="","",IFERROR((RANK(AA636,$AA$2:$AA$2028,1)+COUNTIF($AA$2:AA636,AA636))-1,""))</f>
        <v/>
      </c>
      <c r="AC636" s="134" t="str">
        <f t="shared" si="339"/>
        <v/>
      </c>
      <c r="AD636" s="134" t="str">
        <f>IF(AC636="","",IFERROR((RANK(AC636,$AC$2:$AC$2028,1)+COUNTIF($AC$2:AC636,AC636))-1,""))</f>
        <v/>
      </c>
      <c r="AE636" s="144" t="str">
        <f t="shared" si="331"/>
        <v/>
      </c>
      <c r="AF636" s="144" t="str">
        <f>IF(AE636="","",SUM($AE$2:AE636))</f>
        <v/>
      </c>
    </row>
    <row r="637" spans="14:32" x14ac:dyDescent="0.35">
      <c r="N637" s="134" t="str">
        <f t="shared" si="329"/>
        <v/>
      </c>
      <c r="O637" s="82" t="str">
        <f t="shared" si="332"/>
        <v/>
      </c>
      <c r="P637" s="81" t="str">
        <f t="shared" si="330"/>
        <v/>
      </c>
      <c r="Q637" s="81" t="str">
        <f t="shared" si="333"/>
        <v/>
      </c>
      <c r="R637" s="135" t="str">
        <f t="shared" ca="1" si="334"/>
        <v/>
      </c>
      <c r="S637" s="134" t="str">
        <f t="shared" ca="1" si="335"/>
        <v/>
      </c>
      <c r="T637" s="134" t="str">
        <f ca="1">IF(S637=Dashboard!$D$12,S637,"")</f>
        <v/>
      </c>
      <c r="U637" s="134" t="str">
        <f t="shared" ca="1" si="336"/>
        <v/>
      </c>
      <c r="V637" s="83" t="str">
        <f ca="1">IF(U637="","",IFERROR((RANK(U637,$U$2:$U$2028,1)+COUNTIF($U$2:U637,U637))-1,""))</f>
        <v/>
      </c>
      <c r="W637" s="134" t="str">
        <f t="shared" si="340"/>
        <v/>
      </c>
      <c r="X637" s="134" t="str">
        <f>IF(W637="","",IFERROR((RANK(W637,$W$2:$W$2028,1)+COUNTIF($W$2:W637,W637))-1,""))</f>
        <v/>
      </c>
      <c r="Y637" s="134" t="str">
        <f t="shared" si="337"/>
        <v/>
      </c>
      <c r="Z637" s="134" t="str">
        <f>IF(Y637="","",IFERROR((RANK(Y637,$Y$2:$Y$2028,1)+COUNTIF($Y$2:Y637,Y637))-1,""))</f>
        <v/>
      </c>
      <c r="AA637" s="134" t="str">
        <f t="shared" si="338"/>
        <v/>
      </c>
      <c r="AB637" s="134" t="str">
        <f>IF(AA637="","",IFERROR((RANK(AA637,$AA$2:$AA$2028,1)+COUNTIF($AA$2:AA637,AA637))-1,""))</f>
        <v/>
      </c>
      <c r="AC637" s="134" t="str">
        <f t="shared" si="339"/>
        <v/>
      </c>
      <c r="AD637" s="134" t="str">
        <f>IF(AC637="","",IFERROR((RANK(AC637,$AC$2:$AC$2028,1)+COUNTIF($AC$2:AC637,AC637))-1,""))</f>
        <v/>
      </c>
      <c r="AE637" s="144" t="str">
        <f t="shared" si="331"/>
        <v/>
      </c>
      <c r="AF637" s="144" t="str">
        <f>IF(AE637="","",SUM($AE$2:AE637))</f>
        <v/>
      </c>
    </row>
    <row r="638" spans="14:32" x14ac:dyDescent="0.35">
      <c r="N638" s="134" t="str">
        <f t="shared" si="329"/>
        <v/>
      </c>
      <c r="O638" s="82" t="str">
        <f t="shared" si="332"/>
        <v/>
      </c>
      <c r="P638" s="81" t="str">
        <f t="shared" si="330"/>
        <v/>
      </c>
      <c r="Q638" s="81" t="str">
        <f t="shared" si="333"/>
        <v/>
      </c>
      <c r="R638" s="135" t="str">
        <f t="shared" ca="1" si="334"/>
        <v/>
      </c>
      <c r="S638" s="134" t="str">
        <f t="shared" ca="1" si="335"/>
        <v/>
      </c>
      <c r="T638" s="134" t="str">
        <f ca="1">IF(S638=Dashboard!$D$12,S638,"")</f>
        <v/>
      </c>
      <c r="U638" s="134" t="str">
        <f t="shared" ca="1" si="336"/>
        <v/>
      </c>
      <c r="V638" s="83" t="str">
        <f ca="1">IF(U638="","",IFERROR((RANK(U638,$U$2:$U$2028,1)+COUNTIF($U$2:U638,U638))-1,""))</f>
        <v/>
      </c>
      <c r="W638" s="134" t="str">
        <f t="shared" si="340"/>
        <v/>
      </c>
      <c r="X638" s="134" t="str">
        <f>IF(W638="","",IFERROR((RANK(W638,$W$2:$W$2028,1)+COUNTIF($W$2:W638,W638))-1,""))</f>
        <v/>
      </c>
      <c r="Y638" s="134" t="str">
        <f t="shared" si="337"/>
        <v/>
      </c>
      <c r="Z638" s="134" t="str">
        <f>IF(Y638="","",IFERROR((RANK(Y638,$Y$2:$Y$2028,1)+COUNTIF($Y$2:Y638,Y638))-1,""))</f>
        <v/>
      </c>
      <c r="AA638" s="134" t="str">
        <f t="shared" si="338"/>
        <v/>
      </c>
      <c r="AB638" s="134" t="str">
        <f>IF(AA638="","",IFERROR((RANK(AA638,$AA$2:$AA$2028,1)+COUNTIF($AA$2:AA638,AA638))-1,""))</f>
        <v/>
      </c>
      <c r="AC638" s="134" t="str">
        <f t="shared" si="339"/>
        <v/>
      </c>
      <c r="AD638" s="134" t="str">
        <f>IF(AC638="","",IFERROR((RANK(AC638,$AC$2:$AC$2028,1)+COUNTIF($AC$2:AC638,AC638))-1,""))</f>
        <v/>
      </c>
      <c r="AE638" s="144" t="str">
        <f t="shared" si="331"/>
        <v/>
      </c>
      <c r="AF638" s="144" t="str">
        <f>IF(AE638="","",SUM($AE$2:AE638))</f>
        <v/>
      </c>
    </row>
    <row r="639" spans="14:32" x14ac:dyDescent="0.35">
      <c r="N639" s="134" t="str">
        <f t="shared" si="329"/>
        <v/>
      </c>
      <c r="O639" s="82" t="str">
        <f t="shared" si="332"/>
        <v/>
      </c>
      <c r="P639" s="81" t="str">
        <f t="shared" si="330"/>
        <v/>
      </c>
      <c r="Q639" s="81" t="str">
        <f t="shared" si="333"/>
        <v/>
      </c>
      <c r="R639" s="135" t="str">
        <f t="shared" ca="1" si="334"/>
        <v/>
      </c>
      <c r="S639" s="134" t="str">
        <f t="shared" ca="1" si="335"/>
        <v/>
      </c>
      <c r="T639" s="134" t="str">
        <f ca="1">IF(S639=Dashboard!$D$12,S639,"")</f>
        <v/>
      </c>
      <c r="U639" s="134" t="str">
        <f t="shared" ca="1" si="336"/>
        <v/>
      </c>
      <c r="V639" s="83" t="str">
        <f ca="1">IF(U639="","",IFERROR((RANK(U639,$U$2:$U$2028,1)+COUNTIF($U$2:U639,U639))-1,""))</f>
        <v/>
      </c>
      <c r="W639" s="134" t="str">
        <f t="shared" si="340"/>
        <v/>
      </c>
      <c r="X639" s="134" t="str">
        <f>IF(W639="","",IFERROR((RANK(W639,$W$2:$W$2028,1)+COUNTIF($W$2:W639,W639))-1,""))</f>
        <v/>
      </c>
      <c r="Y639" s="134" t="str">
        <f t="shared" si="337"/>
        <v/>
      </c>
      <c r="Z639" s="134" t="str">
        <f>IF(Y639="","",IFERROR((RANK(Y639,$Y$2:$Y$2028,1)+COUNTIF($Y$2:Y639,Y639))-1,""))</f>
        <v/>
      </c>
      <c r="AA639" s="134" t="str">
        <f t="shared" si="338"/>
        <v/>
      </c>
      <c r="AB639" s="134" t="str">
        <f>IF(AA639="","",IFERROR((RANK(AA639,$AA$2:$AA$2028,1)+COUNTIF($AA$2:AA639,AA639))-1,""))</f>
        <v/>
      </c>
      <c r="AC639" s="134" t="str">
        <f t="shared" si="339"/>
        <v/>
      </c>
      <c r="AD639" s="134" t="str">
        <f>IF(AC639="","",IFERROR((RANK(AC639,$AC$2:$AC$2028,1)+COUNTIF($AC$2:AC639,AC639))-1,""))</f>
        <v/>
      </c>
      <c r="AE639" s="144" t="str">
        <f t="shared" si="331"/>
        <v/>
      </c>
      <c r="AF639" s="144" t="str">
        <f>IF(AE639="","",SUM($AE$2:AE639))</f>
        <v/>
      </c>
    </row>
    <row r="640" spans="14:32" x14ac:dyDescent="0.35">
      <c r="N640" s="134" t="str">
        <f t="shared" si="329"/>
        <v/>
      </c>
      <c r="O640" s="82" t="str">
        <f t="shared" si="332"/>
        <v/>
      </c>
      <c r="P640" s="81" t="str">
        <f t="shared" si="330"/>
        <v/>
      </c>
      <c r="Q640" s="81" t="str">
        <f t="shared" si="333"/>
        <v/>
      </c>
      <c r="R640" s="135" t="str">
        <f t="shared" ca="1" si="334"/>
        <v/>
      </c>
      <c r="S640" s="134" t="str">
        <f t="shared" ca="1" si="335"/>
        <v/>
      </c>
      <c r="T640" s="134" t="str">
        <f ca="1">IF(S640=Dashboard!$D$12,S640,"")</f>
        <v/>
      </c>
      <c r="U640" s="134" t="str">
        <f t="shared" ca="1" si="336"/>
        <v/>
      </c>
      <c r="V640" s="83" t="str">
        <f ca="1">IF(U640="","",IFERROR((RANK(U640,$U$2:$U$2028,1)+COUNTIF($U$2:U640,U640))-1,""))</f>
        <v/>
      </c>
      <c r="W640" s="134" t="str">
        <f t="shared" si="340"/>
        <v/>
      </c>
      <c r="X640" s="134" t="str">
        <f>IF(W640="","",IFERROR((RANK(W640,$W$2:$W$2028,1)+COUNTIF($W$2:W640,W640))-1,""))</f>
        <v/>
      </c>
      <c r="Y640" s="134" t="str">
        <f t="shared" si="337"/>
        <v/>
      </c>
      <c r="Z640" s="134" t="str">
        <f>IF(Y640="","",IFERROR((RANK(Y640,$Y$2:$Y$2028,1)+COUNTIF($Y$2:Y640,Y640))-1,""))</f>
        <v/>
      </c>
      <c r="AA640" s="134" t="str">
        <f t="shared" si="338"/>
        <v/>
      </c>
      <c r="AB640" s="134" t="str">
        <f>IF(AA640="","",IFERROR((RANK(AA640,$AA$2:$AA$2028,1)+COUNTIF($AA$2:AA640,AA640))-1,""))</f>
        <v/>
      </c>
      <c r="AC640" s="134" t="str">
        <f t="shared" si="339"/>
        <v/>
      </c>
      <c r="AD640" s="134" t="str">
        <f>IF(AC640="","",IFERROR((RANK(AC640,$AC$2:$AC$2028,1)+COUNTIF($AC$2:AC640,AC640))-1,""))</f>
        <v/>
      </c>
      <c r="AE640" s="144" t="str">
        <f t="shared" si="331"/>
        <v/>
      </c>
      <c r="AF640" s="144" t="str">
        <f>IF(AE640="","",SUM($AE$2:AE640))</f>
        <v/>
      </c>
    </row>
    <row r="641" spans="14:32" x14ac:dyDescent="0.35">
      <c r="N641" s="134" t="str">
        <f t="shared" si="329"/>
        <v/>
      </c>
      <c r="O641" s="82" t="str">
        <f t="shared" si="332"/>
        <v/>
      </c>
      <c r="P641" s="81" t="str">
        <f t="shared" si="330"/>
        <v/>
      </c>
      <c r="Q641" s="81" t="str">
        <f t="shared" si="333"/>
        <v/>
      </c>
      <c r="R641" s="135" t="str">
        <f t="shared" ca="1" si="334"/>
        <v/>
      </c>
      <c r="S641" s="134" t="str">
        <f t="shared" ca="1" si="335"/>
        <v/>
      </c>
      <c r="T641" s="134" t="str">
        <f ca="1">IF(S641=Dashboard!$D$12,S641,"")</f>
        <v/>
      </c>
      <c r="U641" s="134" t="str">
        <f t="shared" ca="1" si="336"/>
        <v/>
      </c>
      <c r="V641" s="83" t="str">
        <f ca="1">IF(U641="","",IFERROR((RANK(U641,$U$2:$U$2028,1)+COUNTIF($U$2:U641,U641))-1,""))</f>
        <v/>
      </c>
      <c r="W641" s="134" t="str">
        <f t="shared" si="340"/>
        <v/>
      </c>
      <c r="X641" s="134" t="str">
        <f>IF(W641="","",IFERROR((RANK(W641,$W$2:$W$2028,1)+COUNTIF($W$2:W641,W641))-1,""))</f>
        <v/>
      </c>
      <c r="Y641" s="134" t="str">
        <f t="shared" si="337"/>
        <v/>
      </c>
      <c r="Z641" s="134" t="str">
        <f>IF(Y641="","",IFERROR((RANK(Y641,$Y$2:$Y$2028,1)+COUNTIF($Y$2:Y641,Y641))-1,""))</f>
        <v/>
      </c>
      <c r="AA641" s="134" t="str">
        <f t="shared" si="338"/>
        <v/>
      </c>
      <c r="AB641" s="134" t="str">
        <f>IF(AA641="","",IFERROR((RANK(AA641,$AA$2:$AA$2028,1)+COUNTIF($AA$2:AA641,AA641))-1,""))</f>
        <v/>
      </c>
      <c r="AC641" s="134" t="str">
        <f t="shared" si="339"/>
        <v/>
      </c>
      <c r="AD641" s="134" t="str">
        <f>IF(AC641="","",IFERROR((RANK(AC641,$AC$2:$AC$2028,1)+COUNTIF($AC$2:AC641,AC641))-1,""))</f>
        <v/>
      </c>
      <c r="AE641" s="144" t="str">
        <f t="shared" si="331"/>
        <v/>
      </c>
      <c r="AF641" s="144" t="str">
        <f>IF(AE641="","",SUM($AE$2:AE641))</f>
        <v/>
      </c>
    </row>
    <row r="642" spans="14:32" x14ac:dyDescent="0.35">
      <c r="N642" s="134" t="str">
        <f t="shared" ref="N642:N705" si="341">IF(A642="","",COUNTIFS(M:M,M642,H:H,"&lt;"&amp;H642)+1)</f>
        <v/>
      </c>
      <c r="O642" s="82" t="str">
        <f t="shared" si="332"/>
        <v/>
      </c>
      <c r="P642" s="81" t="str">
        <f t="shared" ref="P642:P705" si="342">IF(A642="","",COUNTIFS(M:M,M642,H:H,"&gt;"&amp;H642)+1)</f>
        <v/>
      </c>
      <c r="Q642" s="81" t="str">
        <f t="shared" si="333"/>
        <v/>
      </c>
      <c r="R642" s="135" t="str">
        <f t="shared" ca="1" si="334"/>
        <v/>
      </c>
      <c r="S642" s="134" t="str">
        <f t="shared" ca="1" si="335"/>
        <v/>
      </c>
      <c r="T642" s="134" t="str">
        <f ca="1">IF(S642=Dashboard!$D$12,S642,"")</f>
        <v/>
      </c>
      <c r="U642" s="134" t="str">
        <f t="shared" ca="1" si="336"/>
        <v/>
      </c>
      <c r="V642" s="83" t="str">
        <f ca="1">IF(U642="","",IFERROR((RANK(U642,$U$2:$U$2028,1)+COUNTIF($U$2:U642,U642))-1,""))</f>
        <v/>
      </c>
      <c r="W642" s="134" t="str">
        <f t="shared" si="340"/>
        <v/>
      </c>
      <c r="X642" s="134" t="str">
        <f>IF(W642="","",IFERROR((RANK(W642,$W$2:$W$2028,1)+COUNTIF($W$2:W642,W642))-1,""))</f>
        <v/>
      </c>
      <c r="Y642" s="134" t="str">
        <f t="shared" si="337"/>
        <v/>
      </c>
      <c r="Z642" s="134" t="str">
        <f>IF(Y642="","",IFERROR((RANK(Y642,$Y$2:$Y$2028,1)+COUNTIF($Y$2:Y642,Y642))-1,""))</f>
        <v/>
      </c>
      <c r="AA642" s="134" t="str">
        <f t="shared" si="338"/>
        <v/>
      </c>
      <c r="AB642" s="134" t="str">
        <f>IF(AA642="","",IFERROR((RANK(AA642,$AA$2:$AA$2028,1)+COUNTIF($AA$2:AA642,AA642))-1,""))</f>
        <v/>
      </c>
      <c r="AC642" s="134" t="str">
        <f t="shared" si="339"/>
        <v/>
      </c>
      <c r="AD642" s="134" t="str">
        <f>IF(AC642="","",IFERROR((RANK(AC642,$AC$2:$AC$2028,1)+COUNTIF($AC$2:AC642,AC642))-1,""))</f>
        <v/>
      </c>
      <c r="AE642" s="144" t="str">
        <f t="shared" si="331"/>
        <v/>
      </c>
      <c r="AF642" s="144" t="str">
        <f>IF(AE642="","",SUM($AE$2:AE642))</f>
        <v/>
      </c>
    </row>
    <row r="643" spans="14:32" x14ac:dyDescent="0.35">
      <c r="N643" s="134" t="str">
        <f t="shared" si="341"/>
        <v/>
      </c>
      <c r="O643" s="82" t="str">
        <f t="shared" si="332"/>
        <v/>
      </c>
      <c r="P643" s="81" t="str">
        <f t="shared" si="342"/>
        <v/>
      </c>
      <c r="Q643" s="81" t="str">
        <f t="shared" si="333"/>
        <v/>
      </c>
      <c r="R643" s="135" t="str">
        <f t="shared" ca="1" si="334"/>
        <v/>
      </c>
      <c r="S643" s="134" t="str">
        <f t="shared" ca="1" si="335"/>
        <v/>
      </c>
      <c r="T643" s="134" t="str">
        <f ca="1">IF(S643=Dashboard!$D$12,S643,"")</f>
        <v/>
      </c>
      <c r="U643" s="134" t="str">
        <f t="shared" ca="1" si="336"/>
        <v/>
      </c>
      <c r="V643" s="83" t="str">
        <f ca="1">IF(U643="","",IFERROR((RANK(U643,$U$2:$U$2028,1)+COUNTIF($U$2:U643,U643))-1,""))</f>
        <v/>
      </c>
      <c r="W643" s="134" t="str">
        <f t="shared" si="340"/>
        <v/>
      </c>
      <c r="X643" s="134" t="str">
        <f>IF(W643="","",IFERROR((RANK(W643,$W$2:$W$2028,1)+COUNTIF($W$2:W643,W643))-1,""))</f>
        <v/>
      </c>
      <c r="Y643" s="134" t="str">
        <f t="shared" si="337"/>
        <v/>
      </c>
      <c r="Z643" s="134" t="str">
        <f>IF(Y643="","",IFERROR((RANK(Y643,$Y$2:$Y$2028,1)+COUNTIF($Y$2:Y643,Y643))-1,""))</f>
        <v/>
      </c>
      <c r="AA643" s="134" t="str">
        <f t="shared" si="338"/>
        <v/>
      </c>
      <c r="AB643" s="134" t="str">
        <f>IF(AA643="","",IFERROR((RANK(AA643,$AA$2:$AA$2028,1)+COUNTIF($AA$2:AA643,AA643))-1,""))</f>
        <v/>
      </c>
      <c r="AC643" s="134" t="str">
        <f t="shared" si="339"/>
        <v/>
      </c>
      <c r="AD643" s="134" t="str">
        <f>IF(AC643="","",IFERROR((RANK(AC643,$AC$2:$AC$2028,1)+COUNTIF($AC$2:AC643,AC643))-1,""))</f>
        <v/>
      </c>
      <c r="AE643" s="144" t="str">
        <f t="shared" si="331"/>
        <v/>
      </c>
      <c r="AF643" s="144" t="str">
        <f>IF(AE643="","",SUM($AE$2:AE643))</f>
        <v/>
      </c>
    </row>
    <row r="644" spans="14:32" x14ac:dyDescent="0.35">
      <c r="N644" s="134" t="str">
        <f t="shared" si="341"/>
        <v/>
      </c>
      <c r="O644" s="82" t="str">
        <f t="shared" si="332"/>
        <v/>
      </c>
      <c r="P644" s="81" t="str">
        <f t="shared" si="342"/>
        <v/>
      </c>
      <c r="Q644" s="81" t="str">
        <f t="shared" si="333"/>
        <v/>
      </c>
      <c r="R644" s="135" t="str">
        <f t="shared" ca="1" si="334"/>
        <v/>
      </c>
      <c r="S644" s="134" t="str">
        <f t="shared" ca="1" si="335"/>
        <v/>
      </c>
      <c r="T644" s="134" t="str">
        <f ca="1">IF(S644=Dashboard!$D$12,S644,"")</f>
        <v/>
      </c>
      <c r="U644" s="134" t="str">
        <f t="shared" ca="1" si="336"/>
        <v/>
      </c>
      <c r="V644" s="83" t="str">
        <f ca="1">IF(U644="","",IFERROR((RANK(U644,$U$2:$U$2028,1)+COUNTIF($U$2:U644,U644))-1,""))</f>
        <v/>
      </c>
      <c r="W644" s="134" t="str">
        <f t="shared" si="340"/>
        <v/>
      </c>
      <c r="X644" s="134" t="str">
        <f>IF(W644="","",IFERROR((RANK(W644,$W$2:$W$2028,1)+COUNTIF($W$2:W644,W644))-1,""))</f>
        <v/>
      </c>
      <c r="Y644" s="134" t="str">
        <f t="shared" si="337"/>
        <v/>
      </c>
      <c r="Z644" s="134" t="str">
        <f>IF(Y644="","",IFERROR((RANK(Y644,$Y$2:$Y$2028,1)+COUNTIF($Y$2:Y644,Y644))-1,""))</f>
        <v/>
      </c>
      <c r="AA644" s="134" t="str">
        <f t="shared" si="338"/>
        <v/>
      </c>
      <c r="AB644" s="134" t="str">
        <f>IF(AA644="","",IFERROR((RANK(AA644,$AA$2:$AA$2028,1)+COUNTIF($AA$2:AA644,AA644))-1,""))</f>
        <v/>
      </c>
      <c r="AC644" s="134" t="str">
        <f t="shared" si="339"/>
        <v/>
      </c>
      <c r="AD644" s="134" t="str">
        <f>IF(AC644="","",IFERROR((RANK(AC644,$AC$2:$AC$2028,1)+COUNTIF($AC$2:AC644,AC644))-1,""))</f>
        <v/>
      </c>
      <c r="AE644" s="144" t="str">
        <f t="shared" si="331"/>
        <v/>
      </c>
      <c r="AF644" s="144" t="str">
        <f>IF(AE644="","",SUM($AE$2:AE644))</f>
        <v/>
      </c>
    </row>
    <row r="645" spans="14:32" x14ac:dyDescent="0.35">
      <c r="N645" s="134" t="str">
        <f t="shared" si="341"/>
        <v/>
      </c>
      <c r="O645" s="82" t="str">
        <f t="shared" si="332"/>
        <v/>
      </c>
      <c r="P645" s="81" t="str">
        <f t="shared" si="342"/>
        <v/>
      </c>
      <c r="Q645" s="81" t="str">
        <f t="shared" si="333"/>
        <v/>
      </c>
      <c r="R645" s="135" t="str">
        <f t="shared" ca="1" si="334"/>
        <v/>
      </c>
      <c r="S645" s="134" t="str">
        <f t="shared" ca="1" si="335"/>
        <v/>
      </c>
      <c r="T645" s="134" t="str">
        <f ca="1">IF(S645=Dashboard!$D$12,S645,"")</f>
        <v/>
      </c>
      <c r="U645" s="134" t="str">
        <f t="shared" ca="1" si="336"/>
        <v/>
      </c>
      <c r="V645" s="83" t="str">
        <f ca="1">IF(U645="","",IFERROR((RANK(U645,$U$2:$U$2028,1)+COUNTIF($U$2:U645,U645))-1,""))</f>
        <v/>
      </c>
      <c r="W645" s="134" t="str">
        <f t="shared" si="340"/>
        <v/>
      </c>
      <c r="X645" s="134" t="str">
        <f>IF(W645="","",IFERROR((RANK(W645,$W$2:$W$2028,1)+COUNTIF($W$2:W645,W645))-1,""))</f>
        <v/>
      </c>
      <c r="Y645" s="134" t="str">
        <f t="shared" si="337"/>
        <v/>
      </c>
      <c r="Z645" s="134" t="str">
        <f>IF(Y645="","",IFERROR((RANK(Y645,$Y$2:$Y$2028,1)+COUNTIF($Y$2:Y645,Y645))-1,""))</f>
        <v/>
      </c>
      <c r="AA645" s="134" t="str">
        <f t="shared" si="338"/>
        <v/>
      </c>
      <c r="AB645" s="134" t="str">
        <f>IF(AA645="","",IFERROR((RANK(AA645,$AA$2:$AA$2028,1)+COUNTIF($AA$2:AA645,AA645))-1,""))</f>
        <v/>
      </c>
      <c r="AC645" s="134" t="str">
        <f t="shared" si="339"/>
        <v/>
      </c>
      <c r="AD645" s="134" t="str">
        <f>IF(AC645="","",IFERROR((RANK(AC645,$AC$2:$AC$2028,1)+COUNTIF($AC$2:AC645,AC645))-1,""))</f>
        <v/>
      </c>
      <c r="AE645" s="144" t="str">
        <f t="shared" si="331"/>
        <v/>
      </c>
      <c r="AF645" s="144" t="str">
        <f>IF(AE645="","",SUM($AE$2:AE645))</f>
        <v/>
      </c>
    </row>
    <row r="646" spans="14:32" x14ac:dyDescent="0.35">
      <c r="N646" s="134" t="str">
        <f t="shared" si="341"/>
        <v/>
      </c>
      <c r="O646" s="82" t="str">
        <f t="shared" si="332"/>
        <v/>
      </c>
      <c r="P646" s="81" t="str">
        <f t="shared" si="342"/>
        <v/>
      </c>
      <c r="Q646" s="81" t="str">
        <f t="shared" si="333"/>
        <v/>
      </c>
      <c r="R646" s="135" t="str">
        <f t="shared" ca="1" si="334"/>
        <v/>
      </c>
      <c r="S646" s="134" t="str">
        <f t="shared" ca="1" si="335"/>
        <v/>
      </c>
      <c r="T646" s="134" t="str">
        <f ca="1">IF(S646=Dashboard!$D$12,S646,"")</f>
        <v/>
      </c>
      <c r="U646" s="134" t="str">
        <f t="shared" ca="1" si="336"/>
        <v/>
      </c>
      <c r="V646" s="83" t="str">
        <f ca="1">IF(U646="","",IFERROR((RANK(U646,$U$2:$U$2028,1)+COUNTIF($U$2:U646,U646))-1,""))</f>
        <v/>
      </c>
      <c r="W646" s="134" t="str">
        <f t="shared" si="340"/>
        <v/>
      </c>
      <c r="X646" s="134" t="str">
        <f>IF(W646="","",IFERROR((RANK(W646,$W$2:$W$2028,1)+COUNTIF($W$2:W646,W646))-1,""))</f>
        <v/>
      </c>
      <c r="Y646" s="134" t="str">
        <f t="shared" si="337"/>
        <v/>
      </c>
      <c r="Z646" s="134" t="str">
        <f>IF(Y646="","",IFERROR((RANK(Y646,$Y$2:$Y$2028,1)+COUNTIF($Y$2:Y646,Y646))-1,""))</f>
        <v/>
      </c>
      <c r="AA646" s="134" t="str">
        <f t="shared" si="338"/>
        <v/>
      </c>
      <c r="AB646" s="134" t="str">
        <f>IF(AA646="","",IFERROR((RANK(AA646,$AA$2:$AA$2028,1)+COUNTIF($AA$2:AA646,AA646))-1,""))</f>
        <v/>
      </c>
      <c r="AC646" s="134" t="str">
        <f t="shared" si="339"/>
        <v/>
      </c>
      <c r="AD646" s="134" t="str">
        <f>IF(AC646="","",IFERROR((RANK(AC646,$AC$2:$AC$2028,1)+COUNTIF($AC$2:AC646,AC646))-1,""))</f>
        <v/>
      </c>
      <c r="AE646" s="144" t="str">
        <f t="shared" si="331"/>
        <v/>
      </c>
      <c r="AF646" s="144" t="str">
        <f>IF(AE646="","",SUM($AE$2:AE646))</f>
        <v/>
      </c>
    </row>
    <row r="647" spans="14:32" x14ac:dyDescent="0.35">
      <c r="N647" s="134" t="str">
        <f t="shared" si="341"/>
        <v/>
      </c>
      <c r="O647" s="82" t="str">
        <f t="shared" si="332"/>
        <v/>
      </c>
      <c r="P647" s="81" t="str">
        <f t="shared" si="342"/>
        <v/>
      </c>
      <c r="Q647" s="81" t="str">
        <f t="shared" si="333"/>
        <v/>
      </c>
      <c r="R647" s="135" t="str">
        <f t="shared" ca="1" si="334"/>
        <v/>
      </c>
      <c r="S647" s="134" t="str">
        <f t="shared" ca="1" si="335"/>
        <v/>
      </c>
      <c r="T647" s="134" t="str">
        <f ca="1">IF(S647=Dashboard!$D$12,S647,"")</f>
        <v/>
      </c>
      <c r="U647" s="134" t="str">
        <f t="shared" ca="1" si="336"/>
        <v/>
      </c>
      <c r="V647" s="83" t="str">
        <f ca="1">IF(U647="","",IFERROR((RANK(U647,$U$2:$U$2028,1)+COUNTIF($U$2:U647,U647))-1,""))</f>
        <v/>
      </c>
      <c r="W647" s="134" t="str">
        <f t="shared" si="340"/>
        <v/>
      </c>
      <c r="X647" s="134" t="str">
        <f>IF(W647="","",IFERROR((RANK(W647,$W$2:$W$2028,1)+COUNTIF($W$2:W647,W647))-1,""))</f>
        <v/>
      </c>
      <c r="Y647" s="134" t="str">
        <f t="shared" si="337"/>
        <v/>
      </c>
      <c r="Z647" s="134" t="str">
        <f>IF(Y647="","",IFERROR((RANK(Y647,$Y$2:$Y$2028,1)+COUNTIF($Y$2:Y647,Y647))-1,""))</f>
        <v/>
      </c>
      <c r="AA647" s="134" t="str">
        <f t="shared" si="338"/>
        <v/>
      </c>
      <c r="AB647" s="134" t="str">
        <f>IF(AA647="","",IFERROR((RANK(AA647,$AA$2:$AA$2028,1)+COUNTIF($AA$2:AA647,AA647))-1,""))</f>
        <v/>
      </c>
      <c r="AC647" s="134" t="str">
        <f t="shared" si="339"/>
        <v/>
      </c>
      <c r="AD647" s="134" t="str">
        <f>IF(AC647="","",IFERROR((RANK(AC647,$AC$2:$AC$2028,1)+COUNTIF($AC$2:AC647,AC647))-1,""))</f>
        <v/>
      </c>
      <c r="AE647" s="144" t="str">
        <f t="shared" ref="AE647:AE710" si="343">IF(P647=1,P647,"")</f>
        <v/>
      </c>
      <c r="AF647" s="144" t="str">
        <f>IF(AE647="","",SUM($AE$2:AE647))</f>
        <v/>
      </c>
    </row>
    <row r="648" spans="14:32" x14ac:dyDescent="0.35">
      <c r="N648" s="134" t="str">
        <f t="shared" si="341"/>
        <v/>
      </c>
      <c r="O648" s="82" t="str">
        <f t="shared" si="332"/>
        <v/>
      </c>
      <c r="P648" s="81" t="str">
        <f t="shared" si="342"/>
        <v/>
      </c>
      <c r="Q648" s="81" t="str">
        <f t="shared" si="333"/>
        <v/>
      </c>
      <c r="R648" s="135" t="str">
        <f t="shared" ca="1" si="334"/>
        <v/>
      </c>
      <c r="S648" s="134" t="str">
        <f t="shared" ca="1" si="335"/>
        <v/>
      </c>
      <c r="T648" s="134" t="str">
        <f ca="1">IF(S648=Dashboard!$D$12,S648,"")</f>
        <v/>
      </c>
      <c r="U648" s="134" t="str">
        <f t="shared" ca="1" si="336"/>
        <v/>
      </c>
      <c r="V648" s="83" t="str">
        <f ca="1">IF(U648="","",IFERROR((RANK(U648,$U$2:$U$2028,1)+COUNTIF($U$2:U648,U648))-1,""))</f>
        <v/>
      </c>
      <c r="W648" s="134" t="str">
        <f t="shared" si="340"/>
        <v/>
      </c>
      <c r="X648" s="134" t="str">
        <f>IF(W648="","",IFERROR((RANK(W648,$W$2:$W$2028,1)+COUNTIF($W$2:W648,W648))-1,""))</f>
        <v/>
      </c>
      <c r="Y648" s="134" t="str">
        <f t="shared" si="337"/>
        <v/>
      </c>
      <c r="Z648" s="134" t="str">
        <f>IF(Y648="","",IFERROR((RANK(Y648,$Y$2:$Y$2028,1)+COUNTIF($Y$2:Y648,Y648))-1,""))</f>
        <v/>
      </c>
      <c r="AA648" s="134" t="str">
        <f t="shared" si="338"/>
        <v/>
      </c>
      <c r="AB648" s="134" t="str">
        <f>IF(AA648="","",IFERROR((RANK(AA648,$AA$2:$AA$2028,1)+COUNTIF($AA$2:AA648,AA648))-1,""))</f>
        <v/>
      </c>
      <c r="AC648" s="134" t="str">
        <f t="shared" si="339"/>
        <v/>
      </c>
      <c r="AD648" s="134" t="str">
        <f>IF(AC648="","",IFERROR((RANK(AC648,$AC$2:$AC$2028,1)+COUNTIF($AC$2:AC648,AC648))-1,""))</f>
        <v/>
      </c>
      <c r="AE648" s="144" t="str">
        <f t="shared" si="343"/>
        <v/>
      </c>
      <c r="AF648" s="144" t="str">
        <f>IF(AE648="","",SUM($AE$2:AE648))</f>
        <v/>
      </c>
    </row>
    <row r="649" spans="14:32" x14ac:dyDescent="0.35">
      <c r="N649" s="134" t="str">
        <f t="shared" si="341"/>
        <v/>
      </c>
      <c r="O649" s="82" t="str">
        <f t="shared" si="332"/>
        <v/>
      </c>
      <c r="P649" s="81" t="str">
        <f t="shared" si="342"/>
        <v/>
      </c>
      <c r="Q649" s="81" t="str">
        <f t="shared" si="333"/>
        <v/>
      </c>
      <c r="R649" s="135" t="str">
        <f t="shared" ca="1" si="334"/>
        <v/>
      </c>
      <c r="S649" s="134" t="str">
        <f t="shared" ca="1" si="335"/>
        <v/>
      </c>
      <c r="T649" s="134" t="str">
        <f ca="1">IF(S649=Dashboard!$D$12,S649,"")</f>
        <v/>
      </c>
      <c r="U649" s="134" t="str">
        <f t="shared" ca="1" si="336"/>
        <v/>
      </c>
      <c r="V649" s="83" t="str">
        <f ca="1">IF(U649="","",IFERROR((RANK(U649,$U$2:$U$2028,1)+COUNTIF($U$2:U649,U649))-1,""))</f>
        <v/>
      </c>
      <c r="W649" s="134" t="str">
        <f t="shared" si="340"/>
        <v/>
      </c>
      <c r="X649" s="134" t="str">
        <f>IF(W649="","",IFERROR((RANK(W649,$W$2:$W$2028,1)+COUNTIF($W$2:W649,W649))-1,""))</f>
        <v/>
      </c>
      <c r="Y649" s="134" t="str">
        <f t="shared" si="337"/>
        <v/>
      </c>
      <c r="Z649" s="134" t="str">
        <f>IF(Y649="","",IFERROR((RANK(Y649,$Y$2:$Y$2028,1)+COUNTIF($Y$2:Y649,Y649))-1,""))</f>
        <v/>
      </c>
      <c r="AA649" s="134" t="str">
        <f t="shared" si="338"/>
        <v/>
      </c>
      <c r="AB649" s="134" t="str">
        <f>IF(AA649="","",IFERROR((RANK(AA649,$AA$2:$AA$2028,1)+COUNTIF($AA$2:AA649,AA649))-1,""))</f>
        <v/>
      </c>
      <c r="AC649" s="134" t="str">
        <f t="shared" si="339"/>
        <v/>
      </c>
      <c r="AD649" s="134" t="str">
        <f>IF(AC649="","",IFERROR((RANK(AC649,$AC$2:$AC$2028,1)+COUNTIF($AC$2:AC649,AC649))-1,""))</f>
        <v/>
      </c>
      <c r="AE649" s="144" t="str">
        <f t="shared" si="343"/>
        <v/>
      </c>
      <c r="AF649" s="144" t="str">
        <f>IF(AE649="","",SUM($AE$2:AE649))</f>
        <v/>
      </c>
    </row>
    <row r="650" spans="14:32" x14ac:dyDescent="0.35">
      <c r="N650" s="134" t="str">
        <f t="shared" si="341"/>
        <v/>
      </c>
      <c r="O650" s="82" t="str">
        <f t="shared" si="332"/>
        <v/>
      </c>
      <c r="P650" s="81" t="str">
        <f t="shared" si="342"/>
        <v/>
      </c>
      <c r="Q650" s="81" t="str">
        <f t="shared" si="333"/>
        <v/>
      </c>
      <c r="R650" s="135" t="str">
        <f t="shared" ca="1" si="334"/>
        <v/>
      </c>
      <c r="S650" s="134" t="str">
        <f t="shared" ca="1" si="335"/>
        <v/>
      </c>
      <c r="T650" s="134" t="str">
        <f ca="1">IF(S650=Dashboard!$D$12,S650,"")</f>
        <v/>
      </c>
      <c r="U650" s="134" t="str">
        <f t="shared" ca="1" si="336"/>
        <v/>
      </c>
      <c r="V650" s="83" t="str">
        <f ca="1">IF(U650="","",IFERROR((RANK(U650,$U$2:$U$2028,1)+COUNTIF($U$2:U650,U650))-1,""))</f>
        <v/>
      </c>
      <c r="W650" s="134" t="str">
        <f t="shared" si="340"/>
        <v/>
      </c>
      <c r="X650" s="134" t="str">
        <f>IF(W650="","",IFERROR((RANK(W650,$W$2:$W$2028,1)+COUNTIF($W$2:W650,W650))-1,""))</f>
        <v/>
      </c>
      <c r="Y650" s="134" t="str">
        <f t="shared" si="337"/>
        <v/>
      </c>
      <c r="Z650" s="134" t="str">
        <f>IF(Y650="","",IFERROR((RANK(Y650,$Y$2:$Y$2028,1)+COUNTIF($Y$2:Y650,Y650))-1,""))</f>
        <v/>
      </c>
      <c r="AA650" s="134" t="str">
        <f t="shared" si="338"/>
        <v/>
      </c>
      <c r="AB650" s="134" t="str">
        <f>IF(AA650="","",IFERROR((RANK(AA650,$AA$2:$AA$2028,1)+COUNTIF($AA$2:AA650,AA650))-1,""))</f>
        <v/>
      </c>
      <c r="AC650" s="134" t="str">
        <f t="shared" si="339"/>
        <v/>
      </c>
      <c r="AD650" s="134" t="str">
        <f>IF(AC650="","",IFERROR((RANK(AC650,$AC$2:$AC$2028,1)+COUNTIF($AC$2:AC650,AC650))-1,""))</f>
        <v/>
      </c>
      <c r="AE650" s="144" t="str">
        <f t="shared" si="343"/>
        <v/>
      </c>
      <c r="AF650" s="144" t="str">
        <f>IF(AE650="","",SUM($AE$2:AE650))</f>
        <v/>
      </c>
    </row>
    <row r="651" spans="14:32" x14ac:dyDescent="0.35">
      <c r="N651" s="134" t="str">
        <f t="shared" si="341"/>
        <v/>
      </c>
      <c r="O651" s="82" t="str">
        <f t="shared" si="332"/>
        <v/>
      </c>
      <c r="P651" s="81" t="str">
        <f t="shared" si="342"/>
        <v/>
      </c>
      <c r="Q651" s="81" t="str">
        <f t="shared" si="333"/>
        <v/>
      </c>
      <c r="R651" s="135" t="str">
        <f t="shared" ca="1" si="334"/>
        <v/>
      </c>
      <c r="S651" s="134" t="str">
        <f t="shared" ca="1" si="335"/>
        <v/>
      </c>
      <c r="T651" s="134" t="str">
        <f ca="1">IF(S651=Dashboard!$D$12,S651,"")</f>
        <v/>
      </c>
      <c r="U651" s="134" t="str">
        <f t="shared" ca="1" si="336"/>
        <v/>
      </c>
      <c r="V651" s="83" t="str">
        <f ca="1">IF(U651="","",IFERROR((RANK(U651,$U$2:$U$2028,1)+COUNTIF($U$2:U651,U651))-1,""))</f>
        <v/>
      </c>
      <c r="W651" s="134" t="str">
        <f t="shared" si="340"/>
        <v/>
      </c>
      <c r="X651" s="134" t="str">
        <f>IF(W651="","",IFERROR((RANK(W651,$W$2:$W$2028,1)+COUNTIF($W$2:W651,W651))-1,""))</f>
        <v/>
      </c>
      <c r="Y651" s="134" t="str">
        <f t="shared" si="337"/>
        <v/>
      </c>
      <c r="Z651" s="134" t="str">
        <f>IF(Y651="","",IFERROR((RANK(Y651,$Y$2:$Y$2028,1)+COUNTIF($Y$2:Y651,Y651))-1,""))</f>
        <v/>
      </c>
      <c r="AA651" s="134" t="str">
        <f t="shared" si="338"/>
        <v/>
      </c>
      <c r="AB651" s="134" t="str">
        <f>IF(AA651="","",IFERROR((RANK(AA651,$AA$2:$AA$2028,1)+COUNTIF($AA$2:AA651,AA651))-1,""))</f>
        <v/>
      </c>
      <c r="AC651" s="134" t="str">
        <f t="shared" si="339"/>
        <v/>
      </c>
      <c r="AD651" s="134" t="str">
        <f>IF(AC651="","",IFERROR((RANK(AC651,$AC$2:$AC$2028,1)+COUNTIF($AC$2:AC651,AC651))-1,""))</f>
        <v/>
      </c>
      <c r="AE651" s="144" t="str">
        <f t="shared" si="343"/>
        <v/>
      </c>
      <c r="AF651" s="144" t="str">
        <f>IF(AE651="","",SUM($AE$2:AE651))</f>
        <v/>
      </c>
    </row>
    <row r="652" spans="14:32" x14ac:dyDescent="0.35">
      <c r="N652" s="134" t="str">
        <f t="shared" si="341"/>
        <v/>
      </c>
      <c r="O652" s="82" t="str">
        <f t="shared" si="332"/>
        <v/>
      </c>
      <c r="P652" s="81" t="str">
        <f t="shared" si="342"/>
        <v/>
      </c>
      <c r="Q652" s="81" t="str">
        <f t="shared" si="333"/>
        <v/>
      </c>
      <c r="R652" s="135" t="str">
        <f t="shared" ca="1" si="334"/>
        <v/>
      </c>
      <c r="S652" s="134" t="str">
        <f t="shared" ca="1" si="335"/>
        <v/>
      </c>
      <c r="T652" s="134" t="str">
        <f ca="1">IF(S652=Dashboard!$D$12,S652,"")</f>
        <v/>
      </c>
      <c r="U652" s="134" t="str">
        <f t="shared" ca="1" si="336"/>
        <v/>
      </c>
      <c r="V652" s="83" t="str">
        <f ca="1">IF(U652="","",IFERROR((RANK(U652,$U$2:$U$2028,1)+COUNTIF($U$2:U652,U652))-1,""))</f>
        <v/>
      </c>
      <c r="W652" s="134" t="str">
        <f t="shared" si="340"/>
        <v/>
      </c>
      <c r="X652" s="134" t="str">
        <f>IF(W652="","",IFERROR((RANK(W652,$W$2:$W$2028,1)+COUNTIF($W$2:W652,W652))-1,""))</f>
        <v/>
      </c>
      <c r="Y652" s="134" t="str">
        <f t="shared" si="337"/>
        <v/>
      </c>
      <c r="Z652" s="134" t="str">
        <f>IF(Y652="","",IFERROR((RANK(Y652,$Y$2:$Y$2028,1)+COUNTIF($Y$2:Y652,Y652))-1,""))</f>
        <v/>
      </c>
      <c r="AA652" s="134" t="str">
        <f t="shared" si="338"/>
        <v/>
      </c>
      <c r="AB652" s="134" t="str">
        <f>IF(AA652="","",IFERROR((RANK(AA652,$AA$2:$AA$2028,1)+COUNTIF($AA$2:AA652,AA652))-1,""))</f>
        <v/>
      </c>
      <c r="AC652" s="134" t="str">
        <f t="shared" si="339"/>
        <v/>
      </c>
      <c r="AD652" s="134" t="str">
        <f>IF(AC652="","",IFERROR((RANK(AC652,$AC$2:$AC$2028,1)+COUNTIF($AC$2:AC652,AC652))-1,""))</f>
        <v/>
      </c>
      <c r="AE652" s="144" t="str">
        <f t="shared" si="343"/>
        <v/>
      </c>
      <c r="AF652" s="144" t="str">
        <f>IF(AE652="","",SUM($AE$2:AE652))</f>
        <v/>
      </c>
    </row>
    <row r="653" spans="14:32" x14ac:dyDescent="0.35">
      <c r="N653" s="134" t="str">
        <f t="shared" si="341"/>
        <v/>
      </c>
      <c r="O653" s="82" t="str">
        <f t="shared" si="332"/>
        <v/>
      </c>
      <c r="P653" s="81" t="str">
        <f t="shared" si="342"/>
        <v/>
      </c>
      <c r="Q653" s="81" t="str">
        <f t="shared" si="333"/>
        <v/>
      </c>
      <c r="R653" s="135" t="str">
        <f t="shared" ca="1" si="334"/>
        <v/>
      </c>
      <c r="S653" s="134" t="str">
        <f t="shared" ca="1" si="335"/>
        <v/>
      </c>
      <c r="T653" s="134" t="str">
        <f ca="1">IF(S653=Dashboard!$D$12,S653,"")</f>
        <v/>
      </c>
      <c r="U653" s="134" t="str">
        <f t="shared" ca="1" si="336"/>
        <v/>
      </c>
      <c r="V653" s="83" t="str">
        <f ca="1">IF(U653="","",IFERROR((RANK(U653,$U$2:$U$2028,1)+COUNTIF($U$2:U653,U653))-1,""))</f>
        <v/>
      </c>
      <c r="W653" s="134" t="str">
        <f t="shared" si="340"/>
        <v/>
      </c>
      <c r="X653" s="134" t="str">
        <f>IF(W653="","",IFERROR((RANK(W653,$W$2:$W$2028,1)+COUNTIF($W$2:W653,W653))-1,""))</f>
        <v/>
      </c>
      <c r="Y653" s="134" t="str">
        <f t="shared" si="337"/>
        <v/>
      </c>
      <c r="Z653" s="134" t="str">
        <f>IF(Y653="","",IFERROR((RANK(Y653,$Y$2:$Y$2028,1)+COUNTIF($Y$2:Y653,Y653))-1,""))</f>
        <v/>
      </c>
      <c r="AA653" s="134" t="str">
        <f t="shared" si="338"/>
        <v/>
      </c>
      <c r="AB653" s="134" t="str">
        <f>IF(AA653="","",IFERROR((RANK(AA653,$AA$2:$AA$2028,1)+COUNTIF($AA$2:AA653,AA653))-1,""))</f>
        <v/>
      </c>
      <c r="AC653" s="134" t="str">
        <f t="shared" si="339"/>
        <v/>
      </c>
      <c r="AD653" s="134" t="str">
        <f>IF(AC653="","",IFERROR((RANK(AC653,$AC$2:$AC$2028,1)+COUNTIF($AC$2:AC653,AC653))-1,""))</f>
        <v/>
      </c>
      <c r="AE653" s="144" t="str">
        <f t="shared" si="343"/>
        <v/>
      </c>
      <c r="AF653" s="144" t="str">
        <f>IF(AE653="","",SUM($AE$2:AE653))</f>
        <v/>
      </c>
    </row>
    <row r="654" spans="14:32" x14ac:dyDescent="0.35">
      <c r="N654" s="134" t="str">
        <f t="shared" si="341"/>
        <v/>
      </c>
      <c r="O654" s="82" t="str">
        <f t="shared" si="332"/>
        <v/>
      </c>
      <c r="P654" s="81" t="str">
        <f t="shared" si="342"/>
        <v/>
      </c>
      <c r="Q654" s="81" t="str">
        <f t="shared" si="333"/>
        <v/>
      </c>
      <c r="R654" s="135" t="str">
        <f t="shared" ca="1" si="334"/>
        <v/>
      </c>
      <c r="S654" s="134" t="str">
        <f t="shared" ca="1" si="335"/>
        <v/>
      </c>
      <c r="T654" s="134" t="str">
        <f ca="1">IF(S654=Dashboard!$D$12,S654,"")</f>
        <v/>
      </c>
      <c r="U654" s="134" t="str">
        <f t="shared" ca="1" si="336"/>
        <v/>
      </c>
      <c r="V654" s="83" t="str">
        <f ca="1">IF(U654="","",IFERROR((RANK(U654,$U$2:$U$2028,1)+COUNTIF($U$2:U654,U654))-1,""))</f>
        <v/>
      </c>
      <c r="W654" s="134" t="str">
        <f t="shared" si="340"/>
        <v/>
      </c>
      <c r="X654" s="134" t="str">
        <f>IF(W654="","",IFERROR((RANK(W654,$W$2:$W$2028,1)+COUNTIF($W$2:W654,W654))-1,""))</f>
        <v/>
      </c>
      <c r="Y654" s="134" t="str">
        <f t="shared" si="337"/>
        <v/>
      </c>
      <c r="Z654" s="134" t="str">
        <f>IF(Y654="","",IFERROR((RANK(Y654,$Y$2:$Y$2028,1)+COUNTIF($Y$2:Y654,Y654))-1,""))</f>
        <v/>
      </c>
      <c r="AA654" s="134" t="str">
        <f t="shared" si="338"/>
        <v/>
      </c>
      <c r="AB654" s="134" t="str">
        <f>IF(AA654="","",IFERROR((RANK(AA654,$AA$2:$AA$2028,1)+COUNTIF($AA$2:AA654,AA654))-1,""))</f>
        <v/>
      </c>
      <c r="AC654" s="134" t="str">
        <f t="shared" si="339"/>
        <v/>
      </c>
      <c r="AD654" s="134" t="str">
        <f>IF(AC654="","",IFERROR((RANK(AC654,$AC$2:$AC$2028,1)+COUNTIF($AC$2:AC654,AC654))-1,""))</f>
        <v/>
      </c>
      <c r="AE654" s="144" t="str">
        <f t="shared" si="343"/>
        <v/>
      </c>
      <c r="AF654" s="144" t="str">
        <f>IF(AE654="","",SUM($AE$2:AE654))</f>
        <v/>
      </c>
    </row>
    <row r="655" spans="14:32" x14ac:dyDescent="0.35">
      <c r="N655" s="134" t="str">
        <f t="shared" si="341"/>
        <v/>
      </c>
      <c r="O655" s="82" t="str">
        <f t="shared" si="332"/>
        <v/>
      </c>
      <c r="P655" s="81" t="str">
        <f t="shared" si="342"/>
        <v/>
      </c>
      <c r="Q655" s="81" t="str">
        <f t="shared" si="333"/>
        <v/>
      </c>
      <c r="R655" s="135" t="str">
        <f t="shared" ca="1" si="334"/>
        <v/>
      </c>
      <c r="S655" s="134" t="str">
        <f t="shared" ca="1" si="335"/>
        <v/>
      </c>
      <c r="T655" s="134" t="str">
        <f ca="1">IF(S655=Dashboard!$D$12,S655,"")</f>
        <v/>
      </c>
      <c r="U655" s="134" t="str">
        <f t="shared" ca="1" si="336"/>
        <v/>
      </c>
      <c r="V655" s="83" t="str">
        <f ca="1">IF(U655="","",IFERROR((RANK(U655,$U$2:$U$2028,1)+COUNTIF($U$2:U655,U655))-1,""))</f>
        <v/>
      </c>
      <c r="W655" s="134" t="str">
        <f t="shared" si="340"/>
        <v/>
      </c>
      <c r="X655" s="134" t="str">
        <f>IF(W655="","",IFERROR((RANK(W655,$W$2:$W$2028,1)+COUNTIF($W$2:W655,W655))-1,""))</f>
        <v/>
      </c>
      <c r="Y655" s="134" t="str">
        <f t="shared" si="337"/>
        <v/>
      </c>
      <c r="Z655" s="134" t="str">
        <f>IF(Y655="","",IFERROR((RANK(Y655,$Y$2:$Y$2028,1)+COUNTIF($Y$2:Y655,Y655))-1,""))</f>
        <v/>
      </c>
      <c r="AA655" s="134" t="str">
        <f t="shared" si="338"/>
        <v/>
      </c>
      <c r="AB655" s="134" t="str">
        <f>IF(AA655="","",IFERROR((RANK(AA655,$AA$2:$AA$2028,1)+COUNTIF($AA$2:AA655,AA655))-1,""))</f>
        <v/>
      </c>
      <c r="AC655" s="134" t="str">
        <f t="shared" si="339"/>
        <v/>
      </c>
      <c r="AD655" s="134" t="str">
        <f>IF(AC655="","",IFERROR((RANK(AC655,$AC$2:$AC$2028,1)+COUNTIF($AC$2:AC655,AC655))-1,""))</f>
        <v/>
      </c>
      <c r="AE655" s="144" t="str">
        <f t="shared" si="343"/>
        <v/>
      </c>
      <c r="AF655" s="144" t="str">
        <f>IF(AE655="","",SUM($AE$2:AE655))</f>
        <v/>
      </c>
    </row>
    <row r="656" spans="14:32" x14ac:dyDescent="0.35">
      <c r="N656" s="134" t="str">
        <f t="shared" si="341"/>
        <v/>
      </c>
      <c r="O656" s="82" t="str">
        <f t="shared" si="332"/>
        <v/>
      </c>
      <c r="P656" s="81" t="str">
        <f t="shared" si="342"/>
        <v/>
      </c>
      <c r="Q656" s="81" t="str">
        <f t="shared" si="333"/>
        <v/>
      </c>
      <c r="R656" s="135" t="str">
        <f t="shared" ca="1" si="334"/>
        <v/>
      </c>
      <c r="S656" s="134" t="str">
        <f t="shared" ca="1" si="335"/>
        <v/>
      </c>
      <c r="T656" s="134" t="str">
        <f ca="1">IF(S656=Dashboard!$D$12,S656,"")</f>
        <v/>
      </c>
      <c r="U656" s="134" t="str">
        <f t="shared" ca="1" si="336"/>
        <v/>
      </c>
      <c r="V656" s="83" t="str">
        <f ca="1">IF(U656="","",IFERROR((RANK(U656,$U$2:$U$2028,1)+COUNTIF($U$2:U656,U656))-1,""))</f>
        <v/>
      </c>
      <c r="W656" s="134" t="str">
        <f t="shared" si="340"/>
        <v/>
      </c>
      <c r="X656" s="134" t="str">
        <f>IF(W656="","",IFERROR((RANK(W656,$W$2:$W$2028,1)+COUNTIF($W$2:W656,W656))-1,""))</f>
        <v/>
      </c>
      <c r="Y656" s="134" t="str">
        <f t="shared" si="337"/>
        <v/>
      </c>
      <c r="Z656" s="134" t="str">
        <f>IF(Y656="","",IFERROR((RANK(Y656,$Y$2:$Y$2028,1)+COUNTIF($Y$2:Y656,Y656))-1,""))</f>
        <v/>
      </c>
      <c r="AA656" s="134" t="str">
        <f t="shared" si="338"/>
        <v/>
      </c>
      <c r="AB656" s="134" t="str">
        <f>IF(AA656="","",IFERROR((RANK(AA656,$AA$2:$AA$2028,1)+COUNTIF($AA$2:AA656,AA656))-1,""))</f>
        <v/>
      </c>
      <c r="AC656" s="134" t="str">
        <f t="shared" si="339"/>
        <v/>
      </c>
      <c r="AD656" s="134" t="str">
        <f>IF(AC656="","",IFERROR((RANK(AC656,$AC$2:$AC$2028,1)+COUNTIF($AC$2:AC656,AC656))-1,""))</f>
        <v/>
      </c>
      <c r="AE656" s="144" t="str">
        <f t="shared" si="343"/>
        <v/>
      </c>
      <c r="AF656" s="144" t="str">
        <f>IF(AE656="","",SUM($AE$2:AE656))</f>
        <v/>
      </c>
    </row>
    <row r="657" spans="14:32" x14ac:dyDescent="0.35">
      <c r="N657" s="134" t="str">
        <f t="shared" si="341"/>
        <v/>
      </c>
      <c r="O657" s="82" t="str">
        <f t="shared" si="332"/>
        <v/>
      </c>
      <c r="P657" s="81" t="str">
        <f t="shared" si="342"/>
        <v/>
      </c>
      <c r="Q657" s="81" t="str">
        <f t="shared" si="333"/>
        <v/>
      </c>
      <c r="R657" s="135" t="str">
        <f t="shared" ca="1" si="334"/>
        <v/>
      </c>
      <c r="S657" s="134" t="str">
        <f t="shared" ca="1" si="335"/>
        <v/>
      </c>
      <c r="T657" s="134" t="str">
        <f ca="1">IF(S657=Dashboard!$D$12,S657,"")</f>
        <v/>
      </c>
      <c r="U657" s="134" t="str">
        <f t="shared" ca="1" si="336"/>
        <v/>
      </c>
      <c r="V657" s="83" t="str">
        <f ca="1">IF(U657="","",IFERROR((RANK(U657,$U$2:$U$2028,1)+COUNTIF($U$2:U657,U657))-1,""))</f>
        <v/>
      </c>
      <c r="W657" s="134" t="str">
        <f t="shared" si="340"/>
        <v/>
      </c>
      <c r="X657" s="134" t="str">
        <f>IF(W657="","",IFERROR((RANK(W657,$W$2:$W$2028,1)+COUNTIF($W$2:W657,W657))-1,""))</f>
        <v/>
      </c>
      <c r="Y657" s="134" t="str">
        <f t="shared" si="337"/>
        <v/>
      </c>
      <c r="Z657" s="134" t="str">
        <f>IF(Y657="","",IFERROR((RANK(Y657,$Y$2:$Y$2028,1)+COUNTIF($Y$2:Y657,Y657))-1,""))</f>
        <v/>
      </c>
      <c r="AA657" s="134" t="str">
        <f t="shared" si="338"/>
        <v/>
      </c>
      <c r="AB657" s="134" t="str">
        <f>IF(AA657="","",IFERROR((RANK(AA657,$AA$2:$AA$2028,1)+COUNTIF($AA$2:AA657,AA657))-1,""))</f>
        <v/>
      </c>
      <c r="AC657" s="134" t="str">
        <f t="shared" si="339"/>
        <v/>
      </c>
      <c r="AD657" s="134" t="str">
        <f>IF(AC657="","",IFERROR((RANK(AC657,$AC$2:$AC$2028,1)+COUNTIF($AC$2:AC657,AC657))-1,""))</f>
        <v/>
      </c>
      <c r="AE657" s="144" t="str">
        <f t="shared" si="343"/>
        <v/>
      </c>
      <c r="AF657" s="144" t="str">
        <f>IF(AE657="","",SUM($AE$2:AE657))</f>
        <v/>
      </c>
    </row>
    <row r="658" spans="14:32" x14ac:dyDescent="0.35">
      <c r="N658" s="134" t="str">
        <f t="shared" si="341"/>
        <v/>
      </c>
      <c r="O658" s="82" t="str">
        <f t="shared" si="332"/>
        <v/>
      </c>
      <c r="P658" s="81" t="str">
        <f t="shared" si="342"/>
        <v/>
      </c>
      <c r="Q658" s="81" t="str">
        <f t="shared" si="333"/>
        <v/>
      </c>
      <c r="R658" s="135" t="str">
        <f t="shared" ca="1" si="334"/>
        <v/>
      </c>
      <c r="S658" s="134" t="str">
        <f t="shared" ca="1" si="335"/>
        <v/>
      </c>
      <c r="T658" s="134" t="str">
        <f ca="1">IF(S658=Dashboard!$D$12,S658,"")</f>
        <v/>
      </c>
      <c r="U658" s="134" t="str">
        <f t="shared" ca="1" si="336"/>
        <v/>
      </c>
      <c r="V658" s="83" t="str">
        <f ca="1">IF(U658="","",IFERROR((RANK(U658,$U$2:$U$2028,1)+COUNTIF($U$2:U658,U658))-1,""))</f>
        <v/>
      </c>
      <c r="W658" s="134" t="str">
        <f t="shared" si="340"/>
        <v/>
      </c>
      <c r="X658" s="134" t="str">
        <f>IF(W658="","",IFERROR((RANK(W658,$W$2:$W$2028,1)+COUNTIF($W$2:W658,W658))-1,""))</f>
        <v/>
      </c>
      <c r="Y658" s="134" t="str">
        <f t="shared" si="337"/>
        <v/>
      </c>
      <c r="Z658" s="134" t="str">
        <f>IF(Y658="","",IFERROR((RANK(Y658,$Y$2:$Y$2028,1)+COUNTIF($Y$2:Y658,Y658))-1,""))</f>
        <v/>
      </c>
      <c r="AA658" s="134" t="str">
        <f t="shared" si="338"/>
        <v/>
      </c>
      <c r="AB658" s="134" t="str">
        <f>IF(AA658="","",IFERROR((RANK(AA658,$AA$2:$AA$2028,1)+COUNTIF($AA$2:AA658,AA658))-1,""))</f>
        <v/>
      </c>
      <c r="AC658" s="134" t="str">
        <f t="shared" si="339"/>
        <v/>
      </c>
      <c r="AD658" s="134" t="str">
        <f>IF(AC658="","",IFERROR((RANK(AC658,$AC$2:$AC$2028,1)+COUNTIF($AC$2:AC658,AC658))-1,""))</f>
        <v/>
      </c>
      <c r="AE658" s="144" t="str">
        <f t="shared" si="343"/>
        <v/>
      </c>
      <c r="AF658" s="144" t="str">
        <f>IF(AE658="","",SUM($AE$2:AE658))</f>
        <v/>
      </c>
    </row>
    <row r="659" spans="14:32" x14ac:dyDescent="0.35">
      <c r="N659" s="134" t="str">
        <f t="shared" si="341"/>
        <v/>
      </c>
      <c r="O659" s="82" t="str">
        <f t="shared" si="332"/>
        <v/>
      </c>
      <c r="P659" s="81" t="str">
        <f t="shared" si="342"/>
        <v/>
      </c>
      <c r="Q659" s="81" t="str">
        <f t="shared" si="333"/>
        <v/>
      </c>
      <c r="R659" s="135" t="str">
        <f t="shared" ca="1" si="334"/>
        <v/>
      </c>
      <c r="S659" s="134" t="str">
        <f t="shared" ca="1" si="335"/>
        <v/>
      </c>
      <c r="T659" s="134" t="str">
        <f ca="1">IF(S659=Dashboard!$D$12,S659,"")</f>
        <v/>
      </c>
      <c r="U659" s="134" t="str">
        <f t="shared" ca="1" si="336"/>
        <v/>
      </c>
      <c r="V659" s="83" t="str">
        <f ca="1">IF(U659="","",IFERROR((RANK(U659,$U$2:$U$2028,1)+COUNTIF($U$2:U659,U659))-1,""))</f>
        <v/>
      </c>
      <c r="W659" s="134" t="str">
        <f t="shared" si="340"/>
        <v/>
      </c>
      <c r="X659" s="134" t="str">
        <f>IF(W659="","",IFERROR((RANK(W659,$W$2:$W$2028,1)+COUNTIF($W$2:W659,W659))-1,""))</f>
        <v/>
      </c>
      <c r="Y659" s="134" t="str">
        <f t="shared" si="337"/>
        <v/>
      </c>
      <c r="Z659" s="134" t="str">
        <f>IF(Y659="","",IFERROR((RANK(Y659,$Y$2:$Y$2028,1)+COUNTIF($Y$2:Y659,Y659))-1,""))</f>
        <v/>
      </c>
      <c r="AA659" s="134" t="str">
        <f t="shared" si="338"/>
        <v/>
      </c>
      <c r="AB659" s="134" t="str">
        <f>IF(AA659="","",IFERROR((RANK(AA659,$AA$2:$AA$2028,1)+COUNTIF($AA$2:AA659,AA659))-1,""))</f>
        <v/>
      </c>
      <c r="AC659" s="134" t="str">
        <f t="shared" si="339"/>
        <v/>
      </c>
      <c r="AD659" s="134" t="str">
        <f>IF(AC659="","",IFERROR((RANK(AC659,$AC$2:$AC$2028,1)+COUNTIF($AC$2:AC659,AC659))-1,""))</f>
        <v/>
      </c>
      <c r="AE659" s="144" t="str">
        <f t="shared" si="343"/>
        <v/>
      </c>
      <c r="AF659" s="144" t="str">
        <f>IF(AE659="","",SUM($AE$2:AE659))</f>
        <v/>
      </c>
    </row>
    <row r="660" spans="14:32" x14ac:dyDescent="0.35">
      <c r="N660" s="134" t="str">
        <f t="shared" si="341"/>
        <v/>
      </c>
      <c r="O660" s="82" t="str">
        <f t="shared" si="332"/>
        <v/>
      </c>
      <c r="P660" s="81" t="str">
        <f t="shared" si="342"/>
        <v/>
      </c>
      <c r="Q660" s="81" t="str">
        <f t="shared" si="333"/>
        <v/>
      </c>
      <c r="R660" s="135" t="str">
        <f t="shared" ca="1" si="334"/>
        <v/>
      </c>
      <c r="S660" s="134" t="str">
        <f t="shared" ca="1" si="335"/>
        <v/>
      </c>
      <c r="T660" s="134" t="str">
        <f ca="1">IF(S660=Dashboard!$D$12,S660,"")</f>
        <v/>
      </c>
      <c r="U660" s="134" t="str">
        <f t="shared" ca="1" si="336"/>
        <v/>
      </c>
      <c r="V660" s="83" t="str">
        <f ca="1">IF(U660="","",IFERROR((RANK(U660,$U$2:$U$2028,1)+COUNTIF($U$2:U660,U660))-1,""))</f>
        <v/>
      </c>
      <c r="W660" s="134" t="str">
        <f t="shared" si="340"/>
        <v/>
      </c>
      <c r="X660" s="134" t="str">
        <f>IF(W660="","",IFERROR((RANK(W660,$W$2:$W$2028,1)+COUNTIF($W$2:W660,W660))-1,""))</f>
        <v/>
      </c>
      <c r="Y660" s="134" t="str">
        <f t="shared" si="337"/>
        <v/>
      </c>
      <c r="Z660" s="134" t="str">
        <f>IF(Y660="","",IFERROR((RANK(Y660,$Y$2:$Y$2028,1)+COUNTIF($Y$2:Y660,Y660))-1,""))</f>
        <v/>
      </c>
      <c r="AA660" s="134" t="str">
        <f t="shared" si="338"/>
        <v/>
      </c>
      <c r="AB660" s="134" t="str">
        <f>IF(AA660="","",IFERROR((RANK(AA660,$AA$2:$AA$2028,1)+COUNTIF($AA$2:AA660,AA660))-1,""))</f>
        <v/>
      </c>
      <c r="AC660" s="134" t="str">
        <f t="shared" si="339"/>
        <v/>
      </c>
      <c r="AD660" s="134" t="str">
        <f>IF(AC660="","",IFERROR((RANK(AC660,$AC$2:$AC$2028,1)+COUNTIF($AC$2:AC660,AC660))-1,""))</f>
        <v/>
      </c>
      <c r="AE660" s="144" t="str">
        <f t="shared" si="343"/>
        <v/>
      </c>
      <c r="AF660" s="144" t="str">
        <f>IF(AE660="","",SUM($AE$2:AE660))</f>
        <v/>
      </c>
    </row>
    <row r="661" spans="14:32" x14ac:dyDescent="0.35">
      <c r="N661" s="134" t="str">
        <f t="shared" si="341"/>
        <v/>
      </c>
      <c r="O661" s="82" t="str">
        <f t="shared" si="332"/>
        <v/>
      </c>
      <c r="P661" s="81" t="str">
        <f t="shared" si="342"/>
        <v/>
      </c>
      <c r="Q661" s="81" t="str">
        <f t="shared" si="333"/>
        <v/>
      </c>
      <c r="R661" s="135" t="str">
        <f t="shared" ca="1" si="334"/>
        <v/>
      </c>
      <c r="S661" s="134" t="str">
        <f t="shared" ca="1" si="335"/>
        <v/>
      </c>
      <c r="T661" s="134" t="str">
        <f ca="1">IF(S661=Dashboard!$D$12,S661,"")</f>
        <v/>
      </c>
      <c r="U661" s="134" t="str">
        <f t="shared" ca="1" si="336"/>
        <v/>
      </c>
      <c r="V661" s="83" t="str">
        <f ca="1">IF(U661="","",IFERROR((RANK(U661,$U$2:$U$2028,1)+COUNTIF($U$2:U661,U661))-1,""))</f>
        <v/>
      </c>
      <c r="W661" s="134" t="str">
        <f t="shared" si="340"/>
        <v/>
      </c>
      <c r="X661" s="134" t="str">
        <f>IF(W661="","",IFERROR((RANK(W661,$W$2:$W$2028,1)+COUNTIF($W$2:W661,W661))-1,""))</f>
        <v/>
      </c>
      <c r="Y661" s="134" t="str">
        <f t="shared" si="337"/>
        <v/>
      </c>
      <c r="Z661" s="134" t="str">
        <f>IF(Y661="","",IFERROR((RANK(Y661,$Y$2:$Y$2028,1)+COUNTIF($Y$2:Y661,Y661))-1,""))</f>
        <v/>
      </c>
      <c r="AA661" s="134" t="str">
        <f t="shared" si="338"/>
        <v/>
      </c>
      <c r="AB661" s="134" t="str">
        <f>IF(AA661="","",IFERROR((RANK(AA661,$AA$2:$AA$2028,1)+COUNTIF($AA$2:AA661,AA661))-1,""))</f>
        <v/>
      </c>
      <c r="AC661" s="134" t="str">
        <f t="shared" si="339"/>
        <v/>
      </c>
      <c r="AD661" s="134" t="str">
        <f>IF(AC661="","",IFERROR((RANK(AC661,$AC$2:$AC$2028,1)+COUNTIF($AC$2:AC661,AC661))-1,""))</f>
        <v/>
      </c>
      <c r="AE661" s="144" t="str">
        <f t="shared" si="343"/>
        <v/>
      </c>
      <c r="AF661" s="144" t="str">
        <f>IF(AE661="","",SUM($AE$2:AE661))</f>
        <v/>
      </c>
    </row>
    <row r="662" spans="14:32" x14ac:dyDescent="0.35">
      <c r="N662" s="134" t="str">
        <f t="shared" si="341"/>
        <v/>
      </c>
      <c r="O662" s="82" t="str">
        <f t="shared" si="332"/>
        <v/>
      </c>
      <c r="P662" s="81" t="str">
        <f t="shared" si="342"/>
        <v/>
      </c>
      <c r="Q662" s="81" t="str">
        <f t="shared" si="333"/>
        <v/>
      </c>
      <c r="R662" s="135" t="str">
        <f t="shared" ca="1" si="334"/>
        <v/>
      </c>
      <c r="S662" s="134" t="str">
        <f t="shared" ca="1" si="335"/>
        <v/>
      </c>
      <c r="T662" s="134" t="str">
        <f ca="1">IF(S662=Dashboard!$D$12,S662,"")</f>
        <v/>
      </c>
      <c r="U662" s="134" t="str">
        <f t="shared" ca="1" si="336"/>
        <v/>
      </c>
      <c r="V662" s="83" t="str">
        <f ca="1">IF(U662="","",IFERROR((RANK(U662,$U$2:$U$2028,1)+COUNTIF($U$2:U662,U662))-1,""))</f>
        <v/>
      </c>
      <c r="W662" s="134" t="str">
        <f t="shared" si="340"/>
        <v/>
      </c>
      <c r="X662" s="134" t="str">
        <f>IF(W662="","",IFERROR((RANK(W662,$W$2:$W$2028,1)+COUNTIF($W$2:W662,W662))-1,""))</f>
        <v/>
      </c>
      <c r="Y662" s="134" t="str">
        <f t="shared" si="337"/>
        <v/>
      </c>
      <c r="Z662" s="134" t="str">
        <f>IF(Y662="","",IFERROR((RANK(Y662,$Y$2:$Y$2028,1)+COUNTIF($Y$2:Y662,Y662))-1,""))</f>
        <v/>
      </c>
      <c r="AA662" s="134" t="str">
        <f t="shared" si="338"/>
        <v/>
      </c>
      <c r="AB662" s="134" t="str">
        <f>IF(AA662="","",IFERROR((RANK(AA662,$AA$2:$AA$2028,1)+COUNTIF($AA$2:AA662,AA662))-1,""))</f>
        <v/>
      </c>
      <c r="AC662" s="134" t="str">
        <f t="shared" si="339"/>
        <v/>
      </c>
      <c r="AD662" s="134" t="str">
        <f>IF(AC662="","",IFERROR((RANK(AC662,$AC$2:$AC$2028,1)+COUNTIF($AC$2:AC662,AC662))-1,""))</f>
        <v/>
      </c>
      <c r="AE662" s="144" t="str">
        <f t="shared" si="343"/>
        <v/>
      </c>
      <c r="AF662" s="144" t="str">
        <f>IF(AE662="","",SUM($AE$2:AE662))</f>
        <v/>
      </c>
    </row>
    <row r="663" spans="14:32" x14ac:dyDescent="0.35">
      <c r="N663" s="134" t="str">
        <f t="shared" si="341"/>
        <v/>
      </c>
      <c r="O663" s="82" t="str">
        <f t="shared" si="332"/>
        <v/>
      </c>
      <c r="P663" s="81" t="str">
        <f t="shared" si="342"/>
        <v/>
      </c>
      <c r="Q663" s="81" t="str">
        <f t="shared" si="333"/>
        <v/>
      </c>
      <c r="R663" s="135" t="str">
        <f t="shared" ca="1" si="334"/>
        <v/>
      </c>
      <c r="S663" s="134" t="str">
        <f t="shared" ca="1" si="335"/>
        <v/>
      </c>
      <c r="T663" s="134" t="str">
        <f ca="1">IF(S663=Dashboard!$D$12,S663,"")</f>
        <v/>
      </c>
      <c r="U663" s="134" t="str">
        <f t="shared" ca="1" si="336"/>
        <v/>
      </c>
      <c r="V663" s="83" t="str">
        <f ca="1">IF(U663="","",IFERROR((RANK(U663,$U$2:$U$2028,1)+COUNTIF($U$2:U663,U663))-1,""))</f>
        <v/>
      </c>
      <c r="W663" s="134" t="str">
        <f t="shared" si="340"/>
        <v/>
      </c>
      <c r="X663" s="134" t="str">
        <f>IF(W663="","",IFERROR((RANK(W663,$W$2:$W$2028,1)+COUNTIF($W$2:W663,W663))-1,""))</f>
        <v/>
      </c>
      <c r="Y663" s="134" t="str">
        <f t="shared" si="337"/>
        <v/>
      </c>
      <c r="Z663" s="134" t="str">
        <f>IF(Y663="","",IFERROR((RANK(Y663,$Y$2:$Y$2028,1)+COUNTIF($Y$2:Y663,Y663))-1,""))</f>
        <v/>
      </c>
      <c r="AA663" s="134" t="str">
        <f t="shared" si="338"/>
        <v/>
      </c>
      <c r="AB663" s="134" t="str">
        <f>IF(AA663="","",IFERROR((RANK(AA663,$AA$2:$AA$2028,1)+COUNTIF($AA$2:AA663,AA663))-1,""))</f>
        <v/>
      </c>
      <c r="AC663" s="134" t="str">
        <f t="shared" si="339"/>
        <v/>
      </c>
      <c r="AD663" s="134" t="str">
        <f>IF(AC663="","",IFERROR((RANK(AC663,$AC$2:$AC$2028,1)+COUNTIF($AC$2:AC663,AC663))-1,""))</f>
        <v/>
      </c>
      <c r="AE663" s="144" t="str">
        <f t="shared" si="343"/>
        <v/>
      </c>
      <c r="AF663" s="144" t="str">
        <f>IF(AE663="","",SUM($AE$2:AE663))</f>
        <v/>
      </c>
    </row>
    <row r="664" spans="14:32" x14ac:dyDescent="0.35">
      <c r="N664" s="134" t="str">
        <f t="shared" si="341"/>
        <v/>
      </c>
      <c r="O664" s="82" t="str">
        <f t="shared" si="332"/>
        <v/>
      </c>
      <c r="P664" s="81" t="str">
        <f t="shared" si="342"/>
        <v/>
      </c>
      <c r="Q664" s="81" t="str">
        <f t="shared" si="333"/>
        <v/>
      </c>
      <c r="R664" s="135" t="str">
        <f t="shared" ca="1" si="334"/>
        <v/>
      </c>
      <c r="S664" s="134" t="str">
        <f t="shared" ca="1" si="335"/>
        <v/>
      </c>
      <c r="T664" s="134" t="str">
        <f ca="1">IF(S664=Dashboard!$D$12,S664,"")</f>
        <v/>
      </c>
      <c r="U664" s="134" t="str">
        <f t="shared" ca="1" si="336"/>
        <v/>
      </c>
      <c r="V664" s="83" t="str">
        <f ca="1">IF(U664="","",IFERROR((RANK(U664,$U$2:$U$2028,1)+COUNTIF($U$2:U664,U664))-1,""))</f>
        <v/>
      </c>
      <c r="W664" s="134" t="str">
        <f t="shared" si="340"/>
        <v/>
      </c>
      <c r="X664" s="134" t="str">
        <f>IF(W664="","",IFERROR((RANK(W664,$W$2:$W$2028,1)+COUNTIF($W$2:W664,W664))-1,""))</f>
        <v/>
      </c>
      <c r="Y664" s="134" t="str">
        <f t="shared" si="337"/>
        <v/>
      </c>
      <c r="Z664" s="134" t="str">
        <f>IF(Y664="","",IFERROR((RANK(Y664,$Y$2:$Y$2028,1)+COUNTIF($Y$2:Y664,Y664))-1,""))</f>
        <v/>
      </c>
      <c r="AA664" s="134" t="str">
        <f t="shared" si="338"/>
        <v/>
      </c>
      <c r="AB664" s="134" t="str">
        <f>IF(AA664="","",IFERROR((RANK(AA664,$AA$2:$AA$2028,1)+COUNTIF($AA$2:AA664,AA664))-1,""))</f>
        <v/>
      </c>
      <c r="AC664" s="134" t="str">
        <f t="shared" si="339"/>
        <v/>
      </c>
      <c r="AD664" s="134" t="str">
        <f>IF(AC664="","",IFERROR((RANK(AC664,$AC$2:$AC$2028,1)+COUNTIF($AC$2:AC664,AC664))-1,""))</f>
        <v/>
      </c>
      <c r="AE664" s="144" t="str">
        <f t="shared" si="343"/>
        <v/>
      </c>
      <c r="AF664" s="144" t="str">
        <f>IF(AE664="","",SUM($AE$2:AE664))</f>
        <v/>
      </c>
    </row>
    <row r="665" spans="14:32" x14ac:dyDescent="0.35">
      <c r="N665" s="134" t="str">
        <f t="shared" si="341"/>
        <v/>
      </c>
      <c r="O665" s="82" t="str">
        <f t="shared" si="332"/>
        <v/>
      </c>
      <c r="P665" s="81" t="str">
        <f t="shared" si="342"/>
        <v/>
      </c>
      <c r="Q665" s="81" t="str">
        <f t="shared" si="333"/>
        <v/>
      </c>
      <c r="R665" s="135" t="str">
        <f t="shared" ca="1" si="334"/>
        <v/>
      </c>
      <c r="S665" s="134" t="str">
        <f t="shared" ca="1" si="335"/>
        <v/>
      </c>
      <c r="T665" s="134" t="str">
        <f ca="1">IF(S665=Dashboard!$D$12,S665,"")</f>
        <v/>
      </c>
      <c r="U665" s="134" t="str">
        <f t="shared" ca="1" si="336"/>
        <v/>
      </c>
      <c r="V665" s="83" t="str">
        <f ca="1">IF(U665="","",IFERROR((RANK(U665,$U$2:$U$2028,1)+COUNTIF($U$2:U665,U665))-1,""))</f>
        <v/>
      </c>
      <c r="W665" s="134" t="str">
        <f t="shared" si="340"/>
        <v/>
      </c>
      <c r="X665" s="134" t="str">
        <f>IF(W665="","",IFERROR((RANK(W665,$W$2:$W$2028,1)+COUNTIF($W$2:W665,W665))-1,""))</f>
        <v/>
      </c>
      <c r="Y665" s="134" t="str">
        <f t="shared" si="337"/>
        <v/>
      </c>
      <c r="Z665" s="134" t="str">
        <f>IF(Y665="","",IFERROR((RANK(Y665,$Y$2:$Y$2028,1)+COUNTIF($Y$2:Y665,Y665))-1,""))</f>
        <v/>
      </c>
      <c r="AA665" s="134" t="str">
        <f t="shared" si="338"/>
        <v/>
      </c>
      <c r="AB665" s="134" t="str">
        <f>IF(AA665="","",IFERROR((RANK(AA665,$AA$2:$AA$2028,1)+COUNTIF($AA$2:AA665,AA665))-1,""))</f>
        <v/>
      </c>
      <c r="AC665" s="134" t="str">
        <f t="shared" si="339"/>
        <v/>
      </c>
      <c r="AD665" s="134" t="str">
        <f>IF(AC665="","",IFERROR((RANK(AC665,$AC$2:$AC$2028,1)+COUNTIF($AC$2:AC665,AC665))-1,""))</f>
        <v/>
      </c>
      <c r="AE665" s="144" t="str">
        <f t="shared" si="343"/>
        <v/>
      </c>
      <c r="AF665" s="144" t="str">
        <f>IF(AE665="","",SUM($AE$2:AE665))</f>
        <v/>
      </c>
    </row>
    <row r="666" spans="14:32" x14ac:dyDescent="0.35">
      <c r="N666" s="134" t="str">
        <f t="shared" si="341"/>
        <v/>
      </c>
      <c r="O666" s="82" t="str">
        <f t="shared" si="332"/>
        <v/>
      </c>
      <c r="P666" s="81" t="str">
        <f t="shared" si="342"/>
        <v/>
      </c>
      <c r="Q666" s="81" t="str">
        <f t="shared" si="333"/>
        <v/>
      </c>
      <c r="R666" s="135" t="str">
        <f t="shared" ca="1" si="334"/>
        <v/>
      </c>
      <c r="S666" s="134" t="str">
        <f t="shared" ca="1" si="335"/>
        <v/>
      </c>
      <c r="T666" s="134" t="str">
        <f ca="1">IF(S666=Dashboard!$D$12,S666,"")</f>
        <v/>
      </c>
      <c r="U666" s="134" t="str">
        <f t="shared" ca="1" si="336"/>
        <v/>
      </c>
      <c r="V666" s="83" t="str">
        <f ca="1">IF(U666="","",IFERROR((RANK(U666,$U$2:$U$2028,1)+COUNTIF($U$2:U666,U666))-1,""))</f>
        <v/>
      </c>
      <c r="W666" s="134" t="str">
        <f t="shared" si="340"/>
        <v/>
      </c>
      <c r="X666" s="134" t="str">
        <f>IF(W666="","",IFERROR((RANK(W666,$W$2:$W$2028,1)+COUNTIF($W$2:W666,W666))-1,""))</f>
        <v/>
      </c>
      <c r="Y666" s="134" t="str">
        <f t="shared" si="337"/>
        <v/>
      </c>
      <c r="Z666" s="134" t="str">
        <f>IF(Y666="","",IFERROR((RANK(Y666,$Y$2:$Y$2028,1)+COUNTIF($Y$2:Y666,Y666))-1,""))</f>
        <v/>
      </c>
      <c r="AA666" s="134" t="str">
        <f t="shared" si="338"/>
        <v/>
      </c>
      <c r="AB666" s="134" t="str">
        <f>IF(AA666="","",IFERROR((RANK(AA666,$AA$2:$AA$2028,1)+COUNTIF($AA$2:AA666,AA666))-1,""))</f>
        <v/>
      </c>
      <c r="AC666" s="134" t="str">
        <f t="shared" si="339"/>
        <v/>
      </c>
      <c r="AD666" s="134" t="str">
        <f>IF(AC666="","",IFERROR((RANK(AC666,$AC$2:$AC$2028,1)+COUNTIF($AC$2:AC666,AC666))-1,""))</f>
        <v/>
      </c>
      <c r="AE666" s="144" t="str">
        <f t="shared" si="343"/>
        <v/>
      </c>
      <c r="AF666" s="144" t="str">
        <f>IF(AE666="","",SUM($AE$2:AE666))</f>
        <v/>
      </c>
    </row>
    <row r="667" spans="14:32" x14ac:dyDescent="0.35">
      <c r="N667" s="134" t="str">
        <f t="shared" si="341"/>
        <v/>
      </c>
      <c r="O667" s="82" t="str">
        <f t="shared" si="332"/>
        <v/>
      </c>
      <c r="P667" s="81" t="str">
        <f t="shared" si="342"/>
        <v/>
      </c>
      <c r="Q667" s="81" t="str">
        <f t="shared" si="333"/>
        <v/>
      </c>
      <c r="R667" s="135" t="str">
        <f t="shared" ca="1" si="334"/>
        <v/>
      </c>
      <c r="S667" s="134" t="str">
        <f t="shared" ca="1" si="335"/>
        <v/>
      </c>
      <c r="T667" s="134" t="str">
        <f ca="1">IF(S667=Dashboard!$D$12,S667,"")</f>
        <v/>
      </c>
      <c r="U667" s="134" t="str">
        <f t="shared" ca="1" si="336"/>
        <v/>
      </c>
      <c r="V667" s="83" t="str">
        <f ca="1">IF(U667="","",IFERROR((RANK(U667,$U$2:$U$2028,1)+COUNTIF($U$2:U667,U667))-1,""))</f>
        <v/>
      </c>
      <c r="W667" s="134" t="str">
        <f t="shared" si="340"/>
        <v/>
      </c>
      <c r="X667" s="134" t="str">
        <f>IF(W667="","",IFERROR((RANK(W667,$W$2:$W$2028,1)+COUNTIF($W$2:W667,W667))-1,""))</f>
        <v/>
      </c>
      <c r="Y667" s="134" t="str">
        <f t="shared" si="337"/>
        <v/>
      </c>
      <c r="Z667" s="134" t="str">
        <f>IF(Y667="","",IFERROR((RANK(Y667,$Y$2:$Y$2028,1)+COUNTIF($Y$2:Y667,Y667))-1,""))</f>
        <v/>
      </c>
      <c r="AA667" s="134" t="str">
        <f t="shared" si="338"/>
        <v/>
      </c>
      <c r="AB667" s="134" t="str">
        <f>IF(AA667="","",IFERROR((RANK(AA667,$AA$2:$AA$2028,1)+COUNTIF($AA$2:AA667,AA667))-1,""))</f>
        <v/>
      </c>
      <c r="AC667" s="134" t="str">
        <f t="shared" si="339"/>
        <v/>
      </c>
      <c r="AD667" s="134" t="str">
        <f>IF(AC667="","",IFERROR((RANK(AC667,$AC$2:$AC$2028,1)+COUNTIF($AC$2:AC667,AC667))-1,""))</f>
        <v/>
      </c>
      <c r="AE667" s="144" t="str">
        <f t="shared" si="343"/>
        <v/>
      </c>
      <c r="AF667" s="144" t="str">
        <f>IF(AE667="","",SUM($AE$2:AE667))</f>
        <v/>
      </c>
    </row>
    <row r="668" spans="14:32" x14ac:dyDescent="0.35">
      <c r="N668" s="134" t="str">
        <f t="shared" si="341"/>
        <v/>
      </c>
      <c r="O668" s="82" t="str">
        <f t="shared" si="332"/>
        <v/>
      </c>
      <c r="P668" s="81" t="str">
        <f t="shared" si="342"/>
        <v/>
      </c>
      <c r="Q668" s="81" t="str">
        <f t="shared" si="333"/>
        <v/>
      </c>
      <c r="R668" s="135" t="str">
        <f t="shared" ca="1" si="334"/>
        <v/>
      </c>
      <c r="S668" s="134" t="str">
        <f t="shared" ca="1" si="335"/>
        <v/>
      </c>
      <c r="T668" s="134" t="str">
        <f ca="1">IF(S668=Dashboard!$D$12,S668,"")</f>
        <v/>
      </c>
      <c r="U668" s="134" t="str">
        <f t="shared" ca="1" si="336"/>
        <v/>
      </c>
      <c r="V668" s="83" t="str">
        <f ca="1">IF(U668="","",IFERROR((RANK(U668,$U$2:$U$2028,1)+COUNTIF($U$2:U668,U668))-1,""))</f>
        <v/>
      </c>
      <c r="W668" s="134" t="str">
        <f t="shared" si="340"/>
        <v/>
      </c>
      <c r="X668" s="134" t="str">
        <f>IF(W668="","",IFERROR((RANK(W668,$W$2:$W$2028,1)+COUNTIF($W$2:W668,W668))-1,""))</f>
        <v/>
      </c>
      <c r="Y668" s="134" t="str">
        <f t="shared" si="337"/>
        <v/>
      </c>
      <c r="Z668" s="134" t="str">
        <f>IF(Y668="","",IFERROR((RANK(Y668,$Y$2:$Y$2028,1)+COUNTIF($Y$2:Y668,Y668))-1,""))</f>
        <v/>
      </c>
      <c r="AA668" s="134" t="str">
        <f t="shared" si="338"/>
        <v/>
      </c>
      <c r="AB668" s="134" t="str">
        <f>IF(AA668="","",IFERROR((RANK(AA668,$AA$2:$AA$2028,1)+COUNTIF($AA$2:AA668,AA668))-1,""))</f>
        <v/>
      </c>
      <c r="AC668" s="134" t="str">
        <f t="shared" si="339"/>
        <v/>
      </c>
      <c r="AD668" s="134" t="str">
        <f>IF(AC668="","",IFERROR((RANK(AC668,$AC$2:$AC$2028,1)+COUNTIF($AC$2:AC668,AC668))-1,""))</f>
        <v/>
      </c>
      <c r="AE668" s="144" t="str">
        <f t="shared" si="343"/>
        <v/>
      </c>
      <c r="AF668" s="144" t="str">
        <f>IF(AE668="","",SUM($AE$2:AE668))</f>
        <v/>
      </c>
    </row>
    <row r="669" spans="14:32" x14ac:dyDescent="0.35">
      <c r="N669" s="134" t="str">
        <f t="shared" si="341"/>
        <v/>
      </c>
      <c r="O669" s="82" t="str">
        <f t="shared" si="332"/>
        <v/>
      </c>
      <c r="P669" s="81" t="str">
        <f t="shared" si="342"/>
        <v/>
      </c>
      <c r="Q669" s="81" t="str">
        <f t="shared" si="333"/>
        <v/>
      </c>
      <c r="R669" s="135" t="str">
        <f t="shared" ca="1" si="334"/>
        <v/>
      </c>
      <c r="S669" s="134" t="str">
        <f t="shared" ca="1" si="335"/>
        <v/>
      </c>
      <c r="T669" s="134" t="str">
        <f ca="1">IF(S669=Dashboard!$D$12,S669,"")</f>
        <v/>
      </c>
      <c r="U669" s="134" t="str">
        <f t="shared" ca="1" si="336"/>
        <v/>
      </c>
      <c r="V669" s="83" t="str">
        <f ca="1">IF(U669="","",IFERROR((RANK(U669,$U$2:$U$2028,1)+COUNTIF($U$2:U669,U669))-1,""))</f>
        <v/>
      </c>
      <c r="W669" s="134" t="str">
        <f t="shared" si="340"/>
        <v/>
      </c>
      <c r="X669" s="134" t="str">
        <f>IF(W669="","",IFERROR((RANK(W669,$W$2:$W$2028,1)+COUNTIF($W$2:W669,W669))-1,""))</f>
        <v/>
      </c>
      <c r="Y669" s="134" t="str">
        <f t="shared" si="337"/>
        <v/>
      </c>
      <c r="Z669" s="134" t="str">
        <f>IF(Y669="","",IFERROR((RANK(Y669,$Y$2:$Y$2028,1)+COUNTIF($Y$2:Y669,Y669))-1,""))</f>
        <v/>
      </c>
      <c r="AA669" s="134" t="str">
        <f t="shared" si="338"/>
        <v/>
      </c>
      <c r="AB669" s="134" t="str">
        <f>IF(AA669="","",IFERROR((RANK(AA669,$AA$2:$AA$2028,1)+COUNTIF($AA$2:AA669,AA669))-1,""))</f>
        <v/>
      </c>
      <c r="AC669" s="134" t="str">
        <f t="shared" si="339"/>
        <v/>
      </c>
      <c r="AD669" s="134" t="str">
        <f>IF(AC669="","",IFERROR((RANK(AC669,$AC$2:$AC$2028,1)+COUNTIF($AC$2:AC669,AC669))-1,""))</f>
        <v/>
      </c>
      <c r="AE669" s="144" t="str">
        <f t="shared" si="343"/>
        <v/>
      </c>
      <c r="AF669" s="144" t="str">
        <f>IF(AE669="","",SUM($AE$2:AE669))</f>
        <v/>
      </c>
    </row>
    <row r="670" spans="14:32" x14ac:dyDescent="0.35">
      <c r="N670" s="134" t="str">
        <f t="shared" si="341"/>
        <v/>
      </c>
      <c r="O670" s="82" t="str">
        <f t="shared" ref="O670:O733" si="344">IF(A670="","",N670&amp;"-"&amp;M670)</f>
        <v/>
      </c>
      <c r="P670" s="81" t="str">
        <f t="shared" si="342"/>
        <v/>
      </c>
      <c r="Q670" s="81" t="str">
        <f t="shared" ref="Q670:Q733" si="345">IF(A670="","",IF(P670=1,M670,""))</f>
        <v/>
      </c>
      <c r="R670" s="135" t="str">
        <f t="shared" ref="R670:R733" ca="1" si="346">IF(Q670="","",I670-TODAY())</f>
        <v/>
      </c>
      <c r="S670" s="134" t="str">
        <f t="shared" ref="S670:S733" ca="1" si="347">IF(R670="","",
IF(R670&lt;-90,"Pass&gt;90",IF(R670&lt;-60,"Pass 61-90",IF(R670&lt;-30,"Pass 31-60",IF(R670&lt;0,"Pass 0-30",IF(R670&lt;31,"Run 0-30",IF(R670&lt;61,"Run 31-60",IF(R670&lt;91,"Run 60-90","Run &gt;90"))))))))</f>
        <v/>
      </c>
      <c r="T670" s="134" t="str">
        <f ca="1">IF(S670=Dashboard!$D$12,S670,"")</f>
        <v/>
      </c>
      <c r="U670" s="134" t="str">
        <f t="shared" ref="U670:U733" ca="1" si="348">IF(T670="","",R670)</f>
        <v/>
      </c>
      <c r="V670" s="83" t="str">
        <f ca="1">IF(U670="","",IFERROR((RANK(U670,$U$2:$U$2028,1)+COUNTIF($U$2:U670,U670))-1,""))</f>
        <v/>
      </c>
      <c r="W670" s="134" t="str">
        <f t="shared" si="340"/>
        <v/>
      </c>
      <c r="X670" s="134" t="str">
        <f>IF(W670="","",IFERROR((RANK(W670,$W$2:$W$2028,1)+COUNTIF($W$2:W670,W670))-1,""))</f>
        <v/>
      </c>
      <c r="Y670" s="134" t="str">
        <f t="shared" ref="Y670:Y733" si="349">IF($J670=Y$1,$U670,"")</f>
        <v/>
      </c>
      <c r="Z670" s="134" t="str">
        <f>IF(Y670="","",IFERROR((RANK(Y670,$Y$2:$Y$2028,1)+COUNTIF($Y$2:Y670,Y670))-1,""))</f>
        <v/>
      </c>
      <c r="AA670" s="134" t="str">
        <f t="shared" ref="AA670:AA733" si="350">IF($J670=AA$1,$U670,"")</f>
        <v/>
      </c>
      <c r="AB670" s="134" t="str">
        <f>IF(AA670="","",IFERROR((RANK(AA670,$AA$2:$AA$2028,1)+COUNTIF($AA$2:AA670,AA670))-1,""))</f>
        <v/>
      </c>
      <c r="AC670" s="134" t="str">
        <f t="shared" ref="AC670:AC733" si="351">IF($J670=AC$1,$U670,"")</f>
        <v/>
      </c>
      <c r="AD670" s="134" t="str">
        <f>IF(AC670="","",IFERROR((RANK(AC670,$AC$2:$AC$2028,1)+COUNTIF($AC$2:AC670,AC670))-1,""))</f>
        <v/>
      </c>
      <c r="AE670" s="144" t="str">
        <f t="shared" si="343"/>
        <v/>
      </c>
      <c r="AF670" s="144" t="str">
        <f>IF(AE670="","",SUM($AE$2:AE670))</f>
        <v/>
      </c>
    </row>
    <row r="671" spans="14:32" x14ac:dyDescent="0.35">
      <c r="N671" s="134" t="str">
        <f t="shared" si="341"/>
        <v/>
      </c>
      <c r="O671" s="82" t="str">
        <f t="shared" si="344"/>
        <v/>
      </c>
      <c r="P671" s="81" t="str">
        <f t="shared" si="342"/>
        <v/>
      </c>
      <c r="Q671" s="81" t="str">
        <f t="shared" si="345"/>
        <v/>
      </c>
      <c r="R671" s="135" t="str">
        <f t="shared" ca="1" si="346"/>
        <v/>
      </c>
      <c r="S671" s="134" t="str">
        <f t="shared" ca="1" si="347"/>
        <v/>
      </c>
      <c r="T671" s="134" t="str">
        <f ca="1">IF(S671=Dashboard!$D$12,S671,"")</f>
        <v/>
      </c>
      <c r="U671" s="134" t="str">
        <f t="shared" ca="1" si="348"/>
        <v/>
      </c>
      <c r="V671" s="83" t="str">
        <f ca="1">IF(U671="","",IFERROR((RANK(U671,$U$2:$U$2028,1)+COUNTIF($U$2:U671,U671))-1,""))</f>
        <v/>
      </c>
      <c r="W671" s="134" t="str">
        <f t="shared" ref="W671:W734" si="352">IF($J671=$W$1,U671,"")</f>
        <v/>
      </c>
      <c r="X671" s="134" t="str">
        <f>IF(W671="","",IFERROR((RANK(W671,$W$2:$W$2028,1)+COUNTIF($W$2:W671,W671))-1,""))</f>
        <v/>
      </c>
      <c r="Y671" s="134" t="str">
        <f t="shared" si="349"/>
        <v/>
      </c>
      <c r="Z671" s="134" t="str">
        <f>IF(Y671="","",IFERROR((RANK(Y671,$Y$2:$Y$2028,1)+COUNTIF($Y$2:Y671,Y671))-1,""))</f>
        <v/>
      </c>
      <c r="AA671" s="134" t="str">
        <f t="shared" si="350"/>
        <v/>
      </c>
      <c r="AB671" s="134" t="str">
        <f>IF(AA671="","",IFERROR((RANK(AA671,$AA$2:$AA$2028,1)+COUNTIF($AA$2:AA671,AA671))-1,""))</f>
        <v/>
      </c>
      <c r="AC671" s="134" t="str">
        <f t="shared" si="351"/>
        <v/>
      </c>
      <c r="AD671" s="134" t="str">
        <f>IF(AC671="","",IFERROR((RANK(AC671,$AC$2:$AC$2028,1)+COUNTIF($AC$2:AC671,AC671))-1,""))</f>
        <v/>
      </c>
      <c r="AE671" s="144" t="str">
        <f t="shared" si="343"/>
        <v/>
      </c>
      <c r="AF671" s="144" t="str">
        <f>IF(AE671="","",SUM($AE$2:AE671))</f>
        <v/>
      </c>
    </row>
    <row r="672" spans="14:32" x14ac:dyDescent="0.35">
      <c r="N672" s="134" t="str">
        <f t="shared" si="341"/>
        <v/>
      </c>
      <c r="O672" s="82" t="str">
        <f t="shared" si="344"/>
        <v/>
      </c>
      <c r="P672" s="81" t="str">
        <f t="shared" si="342"/>
        <v/>
      </c>
      <c r="Q672" s="81" t="str">
        <f t="shared" si="345"/>
        <v/>
      </c>
      <c r="R672" s="135" t="str">
        <f t="shared" ca="1" si="346"/>
        <v/>
      </c>
      <c r="S672" s="134" t="str">
        <f t="shared" ca="1" si="347"/>
        <v/>
      </c>
      <c r="T672" s="134" t="str">
        <f ca="1">IF(S672=Dashboard!$D$12,S672,"")</f>
        <v/>
      </c>
      <c r="U672" s="134" t="str">
        <f t="shared" ca="1" si="348"/>
        <v/>
      </c>
      <c r="V672" s="83" t="str">
        <f ca="1">IF(U672="","",IFERROR((RANK(U672,$U$2:$U$2028,1)+COUNTIF($U$2:U672,U672))-1,""))</f>
        <v/>
      </c>
      <c r="W672" s="134" t="str">
        <f t="shared" si="352"/>
        <v/>
      </c>
      <c r="X672" s="134" t="str">
        <f>IF(W672="","",IFERROR((RANK(W672,$W$2:$W$2028,1)+COUNTIF($W$2:W672,W672))-1,""))</f>
        <v/>
      </c>
      <c r="Y672" s="134" t="str">
        <f t="shared" si="349"/>
        <v/>
      </c>
      <c r="Z672" s="134" t="str">
        <f>IF(Y672="","",IFERROR((RANK(Y672,$Y$2:$Y$2028,1)+COUNTIF($Y$2:Y672,Y672))-1,""))</f>
        <v/>
      </c>
      <c r="AA672" s="134" t="str">
        <f t="shared" si="350"/>
        <v/>
      </c>
      <c r="AB672" s="134" t="str">
        <f>IF(AA672="","",IFERROR((RANK(AA672,$AA$2:$AA$2028,1)+COUNTIF($AA$2:AA672,AA672))-1,""))</f>
        <v/>
      </c>
      <c r="AC672" s="134" t="str">
        <f t="shared" si="351"/>
        <v/>
      </c>
      <c r="AD672" s="134" t="str">
        <f>IF(AC672="","",IFERROR((RANK(AC672,$AC$2:$AC$2028,1)+COUNTIF($AC$2:AC672,AC672))-1,""))</f>
        <v/>
      </c>
      <c r="AE672" s="144" t="str">
        <f t="shared" si="343"/>
        <v/>
      </c>
      <c r="AF672" s="144" t="str">
        <f>IF(AE672="","",SUM($AE$2:AE672))</f>
        <v/>
      </c>
    </row>
    <row r="673" spans="14:32" x14ac:dyDescent="0.35">
      <c r="N673" s="134" t="str">
        <f t="shared" si="341"/>
        <v/>
      </c>
      <c r="O673" s="82" t="str">
        <f t="shared" si="344"/>
        <v/>
      </c>
      <c r="P673" s="81" t="str">
        <f t="shared" si="342"/>
        <v/>
      </c>
      <c r="Q673" s="81" t="str">
        <f t="shared" si="345"/>
        <v/>
      </c>
      <c r="R673" s="135" t="str">
        <f t="shared" ca="1" si="346"/>
        <v/>
      </c>
      <c r="S673" s="134" t="str">
        <f t="shared" ca="1" si="347"/>
        <v/>
      </c>
      <c r="T673" s="134" t="str">
        <f ca="1">IF(S673=Dashboard!$D$12,S673,"")</f>
        <v/>
      </c>
      <c r="U673" s="134" t="str">
        <f t="shared" ca="1" si="348"/>
        <v/>
      </c>
      <c r="V673" s="83" t="str">
        <f ca="1">IF(U673="","",IFERROR((RANK(U673,$U$2:$U$2028,1)+COUNTIF($U$2:U673,U673))-1,""))</f>
        <v/>
      </c>
      <c r="W673" s="134" t="str">
        <f t="shared" si="352"/>
        <v/>
      </c>
      <c r="X673" s="134" t="str">
        <f>IF(W673="","",IFERROR((RANK(W673,$W$2:$W$2028,1)+COUNTIF($W$2:W673,W673))-1,""))</f>
        <v/>
      </c>
      <c r="Y673" s="134" t="str">
        <f t="shared" si="349"/>
        <v/>
      </c>
      <c r="Z673" s="134" t="str">
        <f>IF(Y673="","",IFERROR((RANK(Y673,$Y$2:$Y$2028,1)+COUNTIF($Y$2:Y673,Y673))-1,""))</f>
        <v/>
      </c>
      <c r="AA673" s="134" t="str">
        <f t="shared" si="350"/>
        <v/>
      </c>
      <c r="AB673" s="134" t="str">
        <f>IF(AA673="","",IFERROR((RANK(AA673,$AA$2:$AA$2028,1)+COUNTIF($AA$2:AA673,AA673))-1,""))</f>
        <v/>
      </c>
      <c r="AC673" s="134" t="str">
        <f t="shared" si="351"/>
        <v/>
      </c>
      <c r="AD673" s="134" t="str">
        <f>IF(AC673="","",IFERROR((RANK(AC673,$AC$2:$AC$2028,1)+COUNTIF($AC$2:AC673,AC673))-1,""))</f>
        <v/>
      </c>
      <c r="AE673" s="144" t="str">
        <f t="shared" si="343"/>
        <v/>
      </c>
      <c r="AF673" s="144" t="str">
        <f>IF(AE673="","",SUM($AE$2:AE673))</f>
        <v/>
      </c>
    </row>
    <row r="674" spans="14:32" x14ac:dyDescent="0.35">
      <c r="N674" s="134" t="str">
        <f t="shared" si="341"/>
        <v/>
      </c>
      <c r="O674" s="82" t="str">
        <f t="shared" si="344"/>
        <v/>
      </c>
      <c r="P674" s="81" t="str">
        <f t="shared" si="342"/>
        <v/>
      </c>
      <c r="Q674" s="81" t="str">
        <f t="shared" si="345"/>
        <v/>
      </c>
      <c r="R674" s="135" t="str">
        <f t="shared" ca="1" si="346"/>
        <v/>
      </c>
      <c r="S674" s="134" t="str">
        <f t="shared" ca="1" si="347"/>
        <v/>
      </c>
      <c r="T674" s="134" t="str">
        <f ca="1">IF(S674=Dashboard!$D$12,S674,"")</f>
        <v/>
      </c>
      <c r="U674" s="134" t="str">
        <f t="shared" ca="1" si="348"/>
        <v/>
      </c>
      <c r="V674" s="83" t="str">
        <f ca="1">IF(U674="","",IFERROR((RANK(U674,$U$2:$U$2028,1)+COUNTIF($U$2:U674,U674))-1,""))</f>
        <v/>
      </c>
      <c r="W674" s="134" t="str">
        <f t="shared" si="352"/>
        <v/>
      </c>
      <c r="X674" s="134" t="str">
        <f>IF(W674="","",IFERROR((RANK(W674,$W$2:$W$2028,1)+COUNTIF($W$2:W674,W674))-1,""))</f>
        <v/>
      </c>
      <c r="Y674" s="134" t="str">
        <f t="shared" si="349"/>
        <v/>
      </c>
      <c r="Z674" s="134" t="str">
        <f>IF(Y674="","",IFERROR((RANK(Y674,$Y$2:$Y$2028,1)+COUNTIF($Y$2:Y674,Y674))-1,""))</f>
        <v/>
      </c>
      <c r="AA674" s="134" t="str">
        <f t="shared" si="350"/>
        <v/>
      </c>
      <c r="AB674" s="134" t="str">
        <f>IF(AA674="","",IFERROR((RANK(AA674,$AA$2:$AA$2028,1)+COUNTIF($AA$2:AA674,AA674))-1,""))</f>
        <v/>
      </c>
      <c r="AC674" s="134" t="str">
        <f t="shared" si="351"/>
        <v/>
      </c>
      <c r="AD674" s="134" t="str">
        <f>IF(AC674="","",IFERROR((RANK(AC674,$AC$2:$AC$2028,1)+COUNTIF($AC$2:AC674,AC674))-1,""))</f>
        <v/>
      </c>
      <c r="AE674" s="144" t="str">
        <f t="shared" si="343"/>
        <v/>
      </c>
      <c r="AF674" s="144" t="str">
        <f>IF(AE674="","",SUM($AE$2:AE674))</f>
        <v/>
      </c>
    </row>
    <row r="675" spans="14:32" x14ac:dyDescent="0.35">
      <c r="N675" s="134" t="str">
        <f t="shared" si="341"/>
        <v/>
      </c>
      <c r="O675" s="82" t="str">
        <f t="shared" si="344"/>
        <v/>
      </c>
      <c r="P675" s="81" t="str">
        <f t="shared" si="342"/>
        <v/>
      </c>
      <c r="Q675" s="81" t="str">
        <f t="shared" si="345"/>
        <v/>
      </c>
      <c r="R675" s="135" t="str">
        <f t="shared" ca="1" si="346"/>
        <v/>
      </c>
      <c r="S675" s="134" t="str">
        <f t="shared" ca="1" si="347"/>
        <v/>
      </c>
      <c r="T675" s="134" t="str">
        <f ca="1">IF(S675=Dashboard!$D$12,S675,"")</f>
        <v/>
      </c>
      <c r="U675" s="134" t="str">
        <f t="shared" ca="1" si="348"/>
        <v/>
      </c>
      <c r="V675" s="83" t="str">
        <f ca="1">IF(U675="","",IFERROR((RANK(U675,$U$2:$U$2028,1)+COUNTIF($U$2:U675,U675))-1,""))</f>
        <v/>
      </c>
      <c r="W675" s="134" t="str">
        <f t="shared" si="352"/>
        <v/>
      </c>
      <c r="X675" s="134" t="str">
        <f>IF(W675="","",IFERROR((RANK(W675,$W$2:$W$2028,1)+COUNTIF($W$2:W675,W675))-1,""))</f>
        <v/>
      </c>
      <c r="Y675" s="134" t="str">
        <f t="shared" si="349"/>
        <v/>
      </c>
      <c r="Z675" s="134" t="str">
        <f>IF(Y675="","",IFERROR((RANK(Y675,$Y$2:$Y$2028,1)+COUNTIF($Y$2:Y675,Y675))-1,""))</f>
        <v/>
      </c>
      <c r="AA675" s="134" t="str">
        <f t="shared" si="350"/>
        <v/>
      </c>
      <c r="AB675" s="134" t="str">
        <f>IF(AA675="","",IFERROR((RANK(AA675,$AA$2:$AA$2028,1)+COUNTIF($AA$2:AA675,AA675))-1,""))</f>
        <v/>
      </c>
      <c r="AC675" s="134" t="str">
        <f t="shared" si="351"/>
        <v/>
      </c>
      <c r="AD675" s="134" t="str">
        <f>IF(AC675="","",IFERROR((RANK(AC675,$AC$2:$AC$2028,1)+COUNTIF($AC$2:AC675,AC675))-1,""))</f>
        <v/>
      </c>
      <c r="AE675" s="144" t="str">
        <f t="shared" si="343"/>
        <v/>
      </c>
      <c r="AF675" s="144" t="str">
        <f>IF(AE675="","",SUM($AE$2:AE675))</f>
        <v/>
      </c>
    </row>
    <row r="676" spans="14:32" x14ac:dyDescent="0.35">
      <c r="N676" s="134" t="str">
        <f t="shared" si="341"/>
        <v/>
      </c>
      <c r="O676" s="82" t="str">
        <f t="shared" si="344"/>
        <v/>
      </c>
      <c r="P676" s="81" t="str">
        <f t="shared" si="342"/>
        <v/>
      </c>
      <c r="Q676" s="81" t="str">
        <f t="shared" si="345"/>
        <v/>
      </c>
      <c r="R676" s="135" t="str">
        <f t="shared" ca="1" si="346"/>
        <v/>
      </c>
      <c r="S676" s="134" t="str">
        <f t="shared" ca="1" si="347"/>
        <v/>
      </c>
      <c r="T676" s="134" t="str">
        <f ca="1">IF(S676=Dashboard!$D$12,S676,"")</f>
        <v/>
      </c>
      <c r="U676" s="134" t="str">
        <f t="shared" ca="1" si="348"/>
        <v/>
      </c>
      <c r="V676" s="83" t="str">
        <f ca="1">IF(U676="","",IFERROR((RANK(U676,$U$2:$U$2028,1)+COUNTIF($U$2:U676,U676))-1,""))</f>
        <v/>
      </c>
      <c r="W676" s="134" t="str">
        <f t="shared" si="352"/>
        <v/>
      </c>
      <c r="X676" s="134" t="str">
        <f>IF(W676="","",IFERROR((RANK(W676,$W$2:$W$2028,1)+COUNTIF($W$2:W676,W676))-1,""))</f>
        <v/>
      </c>
      <c r="Y676" s="134" t="str">
        <f t="shared" si="349"/>
        <v/>
      </c>
      <c r="Z676" s="134" t="str">
        <f>IF(Y676="","",IFERROR((RANK(Y676,$Y$2:$Y$2028,1)+COUNTIF($Y$2:Y676,Y676))-1,""))</f>
        <v/>
      </c>
      <c r="AA676" s="134" t="str">
        <f t="shared" si="350"/>
        <v/>
      </c>
      <c r="AB676" s="134" t="str">
        <f>IF(AA676="","",IFERROR((RANK(AA676,$AA$2:$AA$2028,1)+COUNTIF($AA$2:AA676,AA676))-1,""))</f>
        <v/>
      </c>
      <c r="AC676" s="134" t="str">
        <f t="shared" si="351"/>
        <v/>
      </c>
      <c r="AD676" s="134" t="str">
        <f>IF(AC676="","",IFERROR((RANK(AC676,$AC$2:$AC$2028,1)+COUNTIF($AC$2:AC676,AC676))-1,""))</f>
        <v/>
      </c>
      <c r="AE676" s="144" t="str">
        <f t="shared" si="343"/>
        <v/>
      </c>
      <c r="AF676" s="144" t="str">
        <f>IF(AE676="","",SUM($AE$2:AE676))</f>
        <v/>
      </c>
    </row>
    <row r="677" spans="14:32" x14ac:dyDescent="0.35">
      <c r="N677" s="134" t="str">
        <f t="shared" si="341"/>
        <v/>
      </c>
      <c r="O677" s="82" t="str">
        <f t="shared" si="344"/>
        <v/>
      </c>
      <c r="P677" s="81" t="str">
        <f t="shared" si="342"/>
        <v/>
      </c>
      <c r="Q677" s="81" t="str">
        <f t="shared" si="345"/>
        <v/>
      </c>
      <c r="R677" s="135" t="str">
        <f t="shared" ca="1" si="346"/>
        <v/>
      </c>
      <c r="S677" s="134" t="str">
        <f t="shared" ca="1" si="347"/>
        <v/>
      </c>
      <c r="T677" s="134" t="str">
        <f ca="1">IF(S677=Dashboard!$D$12,S677,"")</f>
        <v/>
      </c>
      <c r="U677" s="134" t="str">
        <f t="shared" ca="1" si="348"/>
        <v/>
      </c>
      <c r="V677" s="83" t="str">
        <f ca="1">IF(U677="","",IFERROR((RANK(U677,$U$2:$U$2028,1)+COUNTIF($U$2:U677,U677))-1,""))</f>
        <v/>
      </c>
      <c r="W677" s="134" t="str">
        <f t="shared" si="352"/>
        <v/>
      </c>
      <c r="X677" s="134" t="str">
        <f>IF(W677="","",IFERROR((RANK(W677,$W$2:$W$2028,1)+COUNTIF($W$2:W677,W677))-1,""))</f>
        <v/>
      </c>
      <c r="Y677" s="134" t="str">
        <f t="shared" si="349"/>
        <v/>
      </c>
      <c r="Z677" s="134" t="str">
        <f>IF(Y677="","",IFERROR((RANK(Y677,$Y$2:$Y$2028,1)+COUNTIF($Y$2:Y677,Y677))-1,""))</f>
        <v/>
      </c>
      <c r="AA677" s="134" t="str">
        <f t="shared" si="350"/>
        <v/>
      </c>
      <c r="AB677" s="134" t="str">
        <f>IF(AA677="","",IFERROR((RANK(AA677,$AA$2:$AA$2028,1)+COUNTIF($AA$2:AA677,AA677))-1,""))</f>
        <v/>
      </c>
      <c r="AC677" s="134" t="str">
        <f t="shared" si="351"/>
        <v/>
      </c>
      <c r="AD677" s="134" t="str">
        <f>IF(AC677="","",IFERROR((RANK(AC677,$AC$2:$AC$2028,1)+COUNTIF($AC$2:AC677,AC677))-1,""))</f>
        <v/>
      </c>
      <c r="AE677" s="144" t="str">
        <f t="shared" si="343"/>
        <v/>
      </c>
      <c r="AF677" s="144" t="str">
        <f>IF(AE677="","",SUM($AE$2:AE677))</f>
        <v/>
      </c>
    </row>
    <row r="678" spans="14:32" x14ac:dyDescent="0.35">
      <c r="N678" s="134" t="str">
        <f t="shared" si="341"/>
        <v/>
      </c>
      <c r="O678" s="82" t="str">
        <f t="shared" si="344"/>
        <v/>
      </c>
      <c r="P678" s="81" t="str">
        <f t="shared" si="342"/>
        <v/>
      </c>
      <c r="Q678" s="81" t="str">
        <f t="shared" si="345"/>
        <v/>
      </c>
      <c r="R678" s="135" t="str">
        <f t="shared" ca="1" si="346"/>
        <v/>
      </c>
      <c r="S678" s="134" t="str">
        <f t="shared" ca="1" si="347"/>
        <v/>
      </c>
      <c r="T678" s="134" t="str">
        <f ca="1">IF(S678=Dashboard!$D$12,S678,"")</f>
        <v/>
      </c>
      <c r="U678" s="134" t="str">
        <f t="shared" ca="1" si="348"/>
        <v/>
      </c>
      <c r="V678" s="83" t="str">
        <f ca="1">IF(U678="","",IFERROR((RANK(U678,$U$2:$U$2028,1)+COUNTIF($U$2:U678,U678))-1,""))</f>
        <v/>
      </c>
      <c r="W678" s="134" t="str">
        <f t="shared" si="352"/>
        <v/>
      </c>
      <c r="X678" s="134" t="str">
        <f>IF(W678="","",IFERROR((RANK(W678,$W$2:$W$2028,1)+COUNTIF($W$2:W678,W678))-1,""))</f>
        <v/>
      </c>
      <c r="Y678" s="134" t="str">
        <f t="shared" si="349"/>
        <v/>
      </c>
      <c r="Z678" s="134" t="str">
        <f>IF(Y678="","",IFERROR((RANK(Y678,$Y$2:$Y$2028,1)+COUNTIF($Y$2:Y678,Y678))-1,""))</f>
        <v/>
      </c>
      <c r="AA678" s="134" t="str">
        <f t="shared" si="350"/>
        <v/>
      </c>
      <c r="AB678" s="134" t="str">
        <f>IF(AA678="","",IFERROR((RANK(AA678,$AA$2:$AA$2028,1)+COUNTIF($AA$2:AA678,AA678))-1,""))</f>
        <v/>
      </c>
      <c r="AC678" s="134" t="str">
        <f t="shared" si="351"/>
        <v/>
      </c>
      <c r="AD678" s="134" t="str">
        <f>IF(AC678="","",IFERROR((RANK(AC678,$AC$2:$AC$2028,1)+COUNTIF($AC$2:AC678,AC678))-1,""))</f>
        <v/>
      </c>
      <c r="AE678" s="144" t="str">
        <f t="shared" si="343"/>
        <v/>
      </c>
      <c r="AF678" s="144" t="str">
        <f>IF(AE678="","",SUM($AE$2:AE678))</f>
        <v/>
      </c>
    </row>
    <row r="679" spans="14:32" x14ac:dyDescent="0.35">
      <c r="N679" s="134" t="str">
        <f t="shared" si="341"/>
        <v/>
      </c>
      <c r="O679" s="82" t="str">
        <f t="shared" si="344"/>
        <v/>
      </c>
      <c r="P679" s="81" t="str">
        <f t="shared" si="342"/>
        <v/>
      </c>
      <c r="Q679" s="81" t="str">
        <f t="shared" si="345"/>
        <v/>
      </c>
      <c r="R679" s="135" t="str">
        <f t="shared" ca="1" si="346"/>
        <v/>
      </c>
      <c r="S679" s="134" t="str">
        <f t="shared" ca="1" si="347"/>
        <v/>
      </c>
      <c r="T679" s="134" t="str">
        <f ca="1">IF(S679=Dashboard!$D$12,S679,"")</f>
        <v/>
      </c>
      <c r="U679" s="134" t="str">
        <f t="shared" ca="1" si="348"/>
        <v/>
      </c>
      <c r="V679" s="83" t="str">
        <f ca="1">IF(U679="","",IFERROR((RANK(U679,$U$2:$U$2028,1)+COUNTIF($U$2:U679,U679))-1,""))</f>
        <v/>
      </c>
      <c r="W679" s="134" t="str">
        <f t="shared" si="352"/>
        <v/>
      </c>
      <c r="X679" s="134" t="str">
        <f>IF(W679="","",IFERROR((RANK(W679,$W$2:$W$2028,1)+COUNTIF($W$2:W679,W679))-1,""))</f>
        <v/>
      </c>
      <c r="Y679" s="134" t="str">
        <f t="shared" si="349"/>
        <v/>
      </c>
      <c r="Z679" s="134" t="str">
        <f>IF(Y679="","",IFERROR((RANK(Y679,$Y$2:$Y$2028,1)+COUNTIF($Y$2:Y679,Y679))-1,""))</f>
        <v/>
      </c>
      <c r="AA679" s="134" t="str">
        <f t="shared" si="350"/>
        <v/>
      </c>
      <c r="AB679" s="134" t="str">
        <f>IF(AA679="","",IFERROR((RANK(AA679,$AA$2:$AA$2028,1)+COUNTIF($AA$2:AA679,AA679))-1,""))</f>
        <v/>
      </c>
      <c r="AC679" s="134" t="str">
        <f t="shared" si="351"/>
        <v/>
      </c>
      <c r="AD679" s="134" t="str">
        <f>IF(AC679="","",IFERROR((RANK(AC679,$AC$2:$AC$2028,1)+COUNTIF($AC$2:AC679,AC679))-1,""))</f>
        <v/>
      </c>
      <c r="AE679" s="144" t="str">
        <f t="shared" si="343"/>
        <v/>
      </c>
      <c r="AF679" s="144" t="str">
        <f>IF(AE679="","",SUM($AE$2:AE679))</f>
        <v/>
      </c>
    </row>
    <row r="680" spans="14:32" x14ac:dyDescent="0.35">
      <c r="N680" s="134" t="str">
        <f t="shared" si="341"/>
        <v/>
      </c>
      <c r="O680" s="82" t="str">
        <f t="shared" si="344"/>
        <v/>
      </c>
      <c r="P680" s="81" t="str">
        <f t="shared" si="342"/>
        <v/>
      </c>
      <c r="Q680" s="81" t="str">
        <f t="shared" si="345"/>
        <v/>
      </c>
      <c r="R680" s="135" t="str">
        <f t="shared" ca="1" si="346"/>
        <v/>
      </c>
      <c r="S680" s="134" t="str">
        <f t="shared" ca="1" si="347"/>
        <v/>
      </c>
      <c r="T680" s="134" t="str">
        <f ca="1">IF(S680=Dashboard!$D$12,S680,"")</f>
        <v/>
      </c>
      <c r="U680" s="134" t="str">
        <f t="shared" ca="1" si="348"/>
        <v/>
      </c>
      <c r="V680" s="83" t="str">
        <f ca="1">IF(U680="","",IFERROR((RANK(U680,$U$2:$U$2028,1)+COUNTIF($U$2:U680,U680))-1,""))</f>
        <v/>
      </c>
      <c r="W680" s="134" t="str">
        <f t="shared" si="352"/>
        <v/>
      </c>
      <c r="X680" s="134" t="str">
        <f>IF(W680="","",IFERROR((RANK(W680,$W$2:$W$2028,1)+COUNTIF($W$2:W680,W680))-1,""))</f>
        <v/>
      </c>
      <c r="Y680" s="134" t="str">
        <f t="shared" si="349"/>
        <v/>
      </c>
      <c r="Z680" s="134" t="str">
        <f>IF(Y680="","",IFERROR((RANK(Y680,$Y$2:$Y$2028,1)+COUNTIF($Y$2:Y680,Y680))-1,""))</f>
        <v/>
      </c>
      <c r="AA680" s="134" t="str">
        <f t="shared" si="350"/>
        <v/>
      </c>
      <c r="AB680" s="134" t="str">
        <f>IF(AA680="","",IFERROR((RANK(AA680,$AA$2:$AA$2028,1)+COUNTIF($AA$2:AA680,AA680))-1,""))</f>
        <v/>
      </c>
      <c r="AC680" s="134" t="str">
        <f t="shared" si="351"/>
        <v/>
      </c>
      <c r="AD680" s="134" t="str">
        <f>IF(AC680="","",IFERROR((RANK(AC680,$AC$2:$AC$2028,1)+COUNTIF($AC$2:AC680,AC680))-1,""))</f>
        <v/>
      </c>
      <c r="AE680" s="144" t="str">
        <f t="shared" si="343"/>
        <v/>
      </c>
      <c r="AF680" s="144" t="str">
        <f>IF(AE680="","",SUM($AE$2:AE680))</f>
        <v/>
      </c>
    </row>
    <row r="681" spans="14:32" x14ac:dyDescent="0.35">
      <c r="N681" s="134" t="str">
        <f t="shared" si="341"/>
        <v/>
      </c>
      <c r="O681" s="82" t="str">
        <f t="shared" si="344"/>
        <v/>
      </c>
      <c r="P681" s="81" t="str">
        <f t="shared" si="342"/>
        <v/>
      </c>
      <c r="Q681" s="81" t="str">
        <f t="shared" si="345"/>
        <v/>
      </c>
      <c r="R681" s="135" t="str">
        <f t="shared" ca="1" si="346"/>
        <v/>
      </c>
      <c r="S681" s="134" t="str">
        <f t="shared" ca="1" si="347"/>
        <v/>
      </c>
      <c r="T681" s="134" t="str">
        <f ca="1">IF(S681=Dashboard!$D$12,S681,"")</f>
        <v/>
      </c>
      <c r="U681" s="134" t="str">
        <f t="shared" ca="1" si="348"/>
        <v/>
      </c>
      <c r="V681" s="83" t="str">
        <f ca="1">IF(U681="","",IFERROR((RANK(U681,$U$2:$U$2028,1)+COUNTIF($U$2:U681,U681))-1,""))</f>
        <v/>
      </c>
      <c r="W681" s="134" t="str">
        <f t="shared" si="352"/>
        <v/>
      </c>
      <c r="X681" s="134" t="str">
        <f>IF(W681="","",IFERROR((RANK(W681,$W$2:$W$2028,1)+COUNTIF($W$2:W681,W681))-1,""))</f>
        <v/>
      </c>
      <c r="Y681" s="134" t="str">
        <f t="shared" si="349"/>
        <v/>
      </c>
      <c r="Z681" s="134" t="str">
        <f>IF(Y681="","",IFERROR((RANK(Y681,$Y$2:$Y$2028,1)+COUNTIF($Y$2:Y681,Y681))-1,""))</f>
        <v/>
      </c>
      <c r="AA681" s="134" t="str">
        <f t="shared" si="350"/>
        <v/>
      </c>
      <c r="AB681" s="134" t="str">
        <f>IF(AA681="","",IFERROR((RANK(AA681,$AA$2:$AA$2028,1)+COUNTIF($AA$2:AA681,AA681))-1,""))</f>
        <v/>
      </c>
      <c r="AC681" s="134" t="str">
        <f t="shared" si="351"/>
        <v/>
      </c>
      <c r="AD681" s="134" t="str">
        <f>IF(AC681="","",IFERROR((RANK(AC681,$AC$2:$AC$2028,1)+COUNTIF($AC$2:AC681,AC681))-1,""))</f>
        <v/>
      </c>
      <c r="AE681" s="144" t="str">
        <f t="shared" si="343"/>
        <v/>
      </c>
      <c r="AF681" s="144" t="str">
        <f>IF(AE681="","",SUM($AE$2:AE681))</f>
        <v/>
      </c>
    </row>
    <row r="682" spans="14:32" x14ac:dyDescent="0.35">
      <c r="N682" s="134" t="str">
        <f t="shared" si="341"/>
        <v/>
      </c>
      <c r="O682" s="82" t="str">
        <f t="shared" si="344"/>
        <v/>
      </c>
      <c r="P682" s="81" t="str">
        <f t="shared" si="342"/>
        <v/>
      </c>
      <c r="Q682" s="81" t="str">
        <f t="shared" si="345"/>
        <v/>
      </c>
      <c r="R682" s="135" t="str">
        <f t="shared" ca="1" si="346"/>
        <v/>
      </c>
      <c r="S682" s="134" t="str">
        <f t="shared" ca="1" si="347"/>
        <v/>
      </c>
      <c r="T682" s="134" t="str">
        <f ca="1">IF(S682=Dashboard!$D$12,S682,"")</f>
        <v/>
      </c>
      <c r="U682" s="134" t="str">
        <f t="shared" ca="1" si="348"/>
        <v/>
      </c>
      <c r="V682" s="83" t="str">
        <f ca="1">IF(U682="","",IFERROR((RANK(U682,$U$2:$U$2028,1)+COUNTIF($U$2:U682,U682))-1,""))</f>
        <v/>
      </c>
      <c r="W682" s="134" t="str">
        <f t="shared" si="352"/>
        <v/>
      </c>
      <c r="X682" s="134" t="str">
        <f>IF(W682="","",IFERROR((RANK(W682,$W$2:$W$2028,1)+COUNTIF($W$2:W682,W682))-1,""))</f>
        <v/>
      </c>
      <c r="Y682" s="134" t="str">
        <f t="shared" si="349"/>
        <v/>
      </c>
      <c r="Z682" s="134" t="str">
        <f>IF(Y682="","",IFERROR((RANK(Y682,$Y$2:$Y$2028,1)+COUNTIF($Y$2:Y682,Y682))-1,""))</f>
        <v/>
      </c>
      <c r="AA682" s="134" t="str">
        <f t="shared" si="350"/>
        <v/>
      </c>
      <c r="AB682" s="134" t="str">
        <f>IF(AA682="","",IFERROR((RANK(AA682,$AA$2:$AA$2028,1)+COUNTIF($AA$2:AA682,AA682))-1,""))</f>
        <v/>
      </c>
      <c r="AC682" s="134" t="str">
        <f t="shared" si="351"/>
        <v/>
      </c>
      <c r="AD682" s="134" t="str">
        <f>IF(AC682="","",IFERROR((RANK(AC682,$AC$2:$AC$2028,1)+COUNTIF($AC$2:AC682,AC682))-1,""))</f>
        <v/>
      </c>
      <c r="AE682" s="144" t="str">
        <f t="shared" si="343"/>
        <v/>
      </c>
      <c r="AF682" s="144" t="str">
        <f>IF(AE682="","",SUM($AE$2:AE682))</f>
        <v/>
      </c>
    </row>
    <row r="683" spans="14:32" x14ac:dyDescent="0.35">
      <c r="N683" s="134" t="str">
        <f t="shared" si="341"/>
        <v/>
      </c>
      <c r="O683" s="82" t="str">
        <f t="shared" si="344"/>
        <v/>
      </c>
      <c r="P683" s="81" t="str">
        <f t="shared" si="342"/>
        <v/>
      </c>
      <c r="Q683" s="81" t="str">
        <f t="shared" si="345"/>
        <v/>
      </c>
      <c r="R683" s="135" t="str">
        <f t="shared" ca="1" si="346"/>
        <v/>
      </c>
      <c r="S683" s="134" t="str">
        <f t="shared" ca="1" si="347"/>
        <v/>
      </c>
      <c r="T683" s="134" t="str">
        <f ca="1">IF(S683=Dashboard!$D$12,S683,"")</f>
        <v/>
      </c>
      <c r="U683" s="134" t="str">
        <f t="shared" ca="1" si="348"/>
        <v/>
      </c>
      <c r="V683" s="83" t="str">
        <f ca="1">IF(U683="","",IFERROR((RANK(U683,$U$2:$U$2028,1)+COUNTIF($U$2:U683,U683))-1,""))</f>
        <v/>
      </c>
      <c r="W683" s="134" t="str">
        <f t="shared" si="352"/>
        <v/>
      </c>
      <c r="X683" s="134" t="str">
        <f>IF(W683="","",IFERROR((RANK(W683,$W$2:$W$2028,1)+COUNTIF($W$2:W683,W683))-1,""))</f>
        <v/>
      </c>
      <c r="Y683" s="134" t="str">
        <f t="shared" si="349"/>
        <v/>
      </c>
      <c r="Z683" s="134" t="str">
        <f>IF(Y683="","",IFERROR((RANK(Y683,$Y$2:$Y$2028,1)+COUNTIF($Y$2:Y683,Y683))-1,""))</f>
        <v/>
      </c>
      <c r="AA683" s="134" t="str">
        <f t="shared" si="350"/>
        <v/>
      </c>
      <c r="AB683" s="134" t="str">
        <f>IF(AA683="","",IFERROR((RANK(AA683,$AA$2:$AA$2028,1)+COUNTIF($AA$2:AA683,AA683))-1,""))</f>
        <v/>
      </c>
      <c r="AC683" s="134" t="str">
        <f t="shared" si="351"/>
        <v/>
      </c>
      <c r="AD683" s="134" t="str">
        <f>IF(AC683="","",IFERROR((RANK(AC683,$AC$2:$AC$2028,1)+COUNTIF($AC$2:AC683,AC683))-1,""))</f>
        <v/>
      </c>
      <c r="AE683" s="144" t="str">
        <f t="shared" si="343"/>
        <v/>
      </c>
      <c r="AF683" s="144" t="str">
        <f>IF(AE683="","",SUM($AE$2:AE683))</f>
        <v/>
      </c>
    </row>
    <row r="684" spans="14:32" x14ac:dyDescent="0.35">
      <c r="N684" s="134" t="str">
        <f t="shared" si="341"/>
        <v/>
      </c>
      <c r="O684" s="82" t="str">
        <f t="shared" si="344"/>
        <v/>
      </c>
      <c r="P684" s="81" t="str">
        <f t="shared" si="342"/>
        <v/>
      </c>
      <c r="Q684" s="81" t="str">
        <f t="shared" si="345"/>
        <v/>
      </c>
      <c r="R684" s="135" t="str">
        <f t="shared" ca="1" si="346"/>
        <v/>
      </c>
      <c r="S684" s="134" t="str">
        <f t="shared" ca="1" si="347"/>
        <v/>
      </c>
      <c r="T684" s="134" t="str">
        <f ca="1">IF(S684=Dashboard!$D$12,S684,"")</f>
        <v/>
      </c>
      <c r="U684" s="134" t="str">
        <f t="shared" ca="1" si="348"/>
        <v/>
      </c>
      <c r="V684" s="83" t="str">
        <f ca="1">IF(U684="","",IFERROR((RANK(U684,$U$2:$U$2028,1)+COUNTIF($U$2:U684,U684))-1,""))</f>
        <v/>
      </c>
      <c r="W684" s="134" t="str">
        <f t="shared" si="352"/>
        <v/>
      </c>
      <c r="X684" s="134" t="str">
        <f>IF(W684="","",IFERROR((RANK(W684,$W$2:$W$2028,1)+COUNTIF($W$2:W684,W684))-1,""))</f>
        <v/>
      </c>
      <c r="Y684" s="134" t="str">
        <f t="shared" si="349"/>
        <v/>
      </c>
      <c r="Z684" s="134" t="str">
        <f>IF(Y684="","",IFERROR((RANK(Y684,$Y$2:$Y$2028,1)+COUNTIF($Y$2:Y684,Y684))-1,""))</f>
        <v/>
      </c>
      <c r="AA684" s="134" t="str">
        <f t="shared" si="350"/>
        <v/>
      </c>
      <c r="AB684" s="134" t="str">
        <f>IF(AA684="","",IFERROR((RANK(AA684,$AA$2:$AA$2028,1)+COUNTIF($AA$2:AA684,AA684))-1,""))</f>
        <v/>
      </c>
      <c r="AC684" s="134" t="str">
        <f t="shared" si="351"/>
        <v/>
      </c>
      <c r="AD684" s="134" t="str">
        <f>IF(AC684="","",IFERROR((RANK(AC684,$AC$2:$AC$2028,1)+COUNTIF($AC$2:AC684,AC684))-1,""))</f>
        <v/>
      </c>
      <c r="AE684" s="144" t="str">
        <f t="shared" si="343"/>
        <v/>
      </c>
      <c r="AF684" s="144" t="str">
        <f>IF(AE684="","",SUM($AE$2:AE684))</f>
        <v/>
      </c>
    </row>
    <row r="685" spans="14:32" x14ac:dyDescent="0.35">
      <c r="N685" s="134" t="str">
        <f t="shared" si="341"/>
        <v/>
      </c>
      <c r="O685" s="82" t="str">
        <f t="shared" si="344"/>
        <v/>
      </c>
      <c r="P685" s="81" t="str">
        <f t="shared" si="342"/>
        <v/>
      </c>
      <c r="Q685" s="81" t="str">
        <f t="shared" si="345"/>
        <v/>
      </c>
      <c r="R685" s="135" t="str">
        <f t="shared" ca="1" si="346"/>
        <v/>
      </c>
      <c r="S685" s="134" t="str">
        <f t="shared" ca="1" si="347"/>
        <v/>
      </c>
      <c r="T685" s="134" t="str">
        <f ca="1">IF(S685=Dashboard!$D$12,S685,"")</f>
        <v/>
      </c>
      <c r="U685" s="134" t="str">
        <f t="shared" ca="1" si="348"/>
        <v/>
      </c>
      <c r="V685" s="83" t="str">
        <f ca="1">IF(U685="","",IFERROR((RANK(U685,$U$2:$U$2028,1)+COUNTIF($U$2:U685,U685))-1,""))</f>
        <v/>
      </c>
      <c r="W685" s="134" t="str">
        <f t="shared" si="352"/>
        <v/>
      </c>
      <c r="X685" s="134" t="str">
        <f>IF(W685="","",IFERROR((RANK(W685,$W$2:$W$2028,1)+COUNTIF($W$2:W685,W685))-1,""))</f>
        <v/>
      </c>
      <c r="Y685" s="134" t="str">
        <f t="shared" si="349"/>
        <v/>
      </c>
      <c r="Z685" s="134" t="str">
        <f>IF(Y685="","",IFERROR((RANK(Y685,$Y$2:$Y$2028,1)+COUNTIF($Y$2:Y685,Y685))-1,""))</f>
        <v/>
      </c>
      <c r="AA685" s="134" t="str">
        <f t="shared" si="350"/>
        <v/>
      </c>
      <c r="AB685" s="134" t="str">
        <f>IF(AA685="","",IFERROR((RANK(AA685,$AA$2:$AA$2028,1)+COUNTIF($AA$2:AA685,AA685))-1,""))</f>
        <v/>
      </c>
      <c r="AC685" s="134" t="str">
        <f t="shared" si="351"/>
        <v/>
      </c>
      <c r="AD685" s="134" t="str">
        <f>IF(AC685="","",IFERROR((RANK(AC685,$AC$2:$AC$2028,1)+COUNTIF($AC$2:AC685,AC685))-1,""))</f>
        <v/>
      </c>
      <c r="AE685" s="144" t="str">
        <f t="shared" si="343"/>
        <v/>
      </c>
      <c r="AF685" s="144" t="str">
        <f>IF(AE685="","",SUM($AE$2:AE685))</f>
        <v/>
      </c>
    </row>
    <row r="686" spans="14:32" x14ac:dyDescent="0.35">
      <c r="N686" s="134" t="str">
        <f t="shared" si="341"/>
        <v/>
      </c>
      <c r="O686" s="82" t="str">
        <f t="shared" si="344"/>
        <v/>
      </c>
      <c r="P686" s="81" t="str">
        <f t="shared" si="342"/>
        <v/>
      </c>
      <c r="Q686" s="81" t="str">
        <f t="shared" si="345"/>
        <v/>
      </c>
      <c r="R686" s="135" t="str">
        <f t="shared" ca="1" si="346"/>
        <v/>
      </c>
      <c r="S686" s="134" t="str">
        <f t="shared" ca="1" si="347"/>
        <v/>
      </c>
      <c r="T686" s="134" t="str">
        <f ca="1">IF(S686=Dashboard!$D$12,S686,"")</f>
        <v/>
      </c>
      <c r="U686" s="134" t="str">
        <f t="shared" ca="1" si="348"/>
        <v/>
      </c>
      <c r="V686" s="83" t="str">
        <f ca="1">IF(U686="","",IFERROR((RANK(U686,$U$2:$U$2028,1)+COUNTIF($U$2:U686,U686))-1,""))</f>
        <v/>
      </c>
      <c r="W686" s="134" t="str">
        <f t="shared" si="352"/>
        <v/>
      </c>
      <c r="X686" s="134" t="str">
        <f>IF(W686="","",IFERROR((RANK(W686,$W$2:$W$2028,1)+COUNTIF($W$2:W686,W686))-1,""))</f>
        <v/>
      </c>
      <c r="Y686" s="134" t="str">
        <f t="shared" si="349"/>
        <v/>
      </c>
      <c r="Z686" s="134" t="str">
        <f>IF(Y686="","",IFERROR((RANK(Y686,$Y$2:$Y$2028,1)+COUNTIF($Y$2:Y686,Y686))-1,""))</f>
        <v/>
      </c>
      <c r="AA686" s="134" t="str">
        <f t="shared" si="350"/>
        <v/>
      </c>
      <c r="AB686" s="134" t="str">
        <f>IF(AA686="","",IFERROR((RANK(AA686,$AA$2:$AA$2028,1)+COUNTIF($AA$2:AA686,AA686))-1,""))</f>
        <v/>
      </c>
      <c r="AC686" s="134" t="str">
        <f t="shared" si="351"/>
        <v/>
      </c>
      <c r="AD686" s="134" t="str">
        <f>IF(AC686="","",IFERROR((RANK(AC686,$AC$2:$AC$2028,1)+COUNTIF($AC$2:AC686,AC686))-1,""))</f>
        <v/>
      </c>
      <c r="AE686" s="144" t="str">
        <f t="shared" si="343"/>
        <v/>
      </c>
      <c r="AF686" s="144" t="str">
        <f>IF(AE686="","",SUM($AE$2:AE686))</f>
        <v/>
      </c>
    </row>
    <row r="687" spans="14:32" x14ac:dyDescent="0.35">
      <c r="N687" s="134" t="str">
        <f t="shared" si="341"/>
        <v/>
      </c>
      <c r="O687" s="82" t="str">
        <f t="shared" si="344"/>
        <v/>
      </c>
      <c r="P687" s="81" t="str">
        <f t="shared" si="342"/>
        <v/>
      </c>
      <c r="Q687" s="81" t="str">
        <f t="shared" si="345"/>
        <v/>
      </c>
      <c r="R687" s="135" t="str">
        <f t="shared" ca="1" si="346"/>
        <v/>
      </c>
      <c r="S687" s="134" t="str">
        <f t="shared" ca="1" si="347"/>
        <v/>
      </c>
      <c r="T687" s="134" t="str">
        <f ca="1">IF(S687=Dashboard!$D$12,S687,"")</f>
        <v/>
      </c>
      <c r="U687" s="134" t="str">
        <f t="shared" ca="1" si="348"/>
        <v/>
      </c>
      <c r="V687" s="83" t="str">
        <f ca="1">IF(U687="","",IFERROR((RANK(U687,$U$2:$U$2028,1)+COUNTIF($U$2:U687,U687))-1,""))</f>
        <v/>
      </c>
      <c r="W687" s="134" t="str">
        <f t="shared" si="352"/>
        <v/>
      </c>
      <c r="X687" s="134" t="str">
        <f>IF(W687="","",IFERROR((RANK(W687,$W$2:$W$2028,1)+COUNTIF($W$2:W687,W687))-1,""))</f>
        <v/>
      </c>
      <c r="Y687" s="134" t="str">
        <f t="shared" si="349"/>
        <v/>
      </c>
      <c r="Z687" s="134" t="str">
        <f>IF(Y687="","",IFERROR((RANK(Y687,$Y$2:$Y$2028,1)+COUNTIF($Y$2:Y687,Y687))-1,""))</f>
        <v/>
      </c>
      <c r="AA687" s="134" t="str">
        <f t="shared" si="350"/>
        <v/>
      </c>
      <c r="AB687" s="134" t="str">
        <f>IF(AA687="","",IFERROR((RANK(AA687,$AA$2:$AA$2028,1)+COUNTIF($AA$2:AA687,AA687))-1,""))</f>
        <v/>
      </c>
      <c r="AC687" s="134" t="str">
        <f t="shared" si="351"/>
        <v/>
      </c>
      <c r="AD687" s="134" t="str">
        <f>IF(AC687="","",IFERROR((RANK(AC687,$AC$2:$AC$2028,1)+COUNTIF($AC$2:AC687,AC687))-1,""))</f>
        <v/>
      </c>
      <c r="AE687" s="144" t="str">
        <f t="shared" si="343"/>
        <v/>
      </c>
      <c r="AF687" s="144" t="str">
        <f>IF(AE687="","",SUM($AE$2:AE687))</f>
        <v/>
      </c>
    </row>
    <row r="688" spans="14:32" x14ac:dyDescent="0.35">
      <c r="N688" s="134" t="str">
        <f t="shared" si="341"/>
        <v/>
      </c>
      <c r="O688" s="82" t="str">
        <f t="shared" si="344"/>
        <v/>
      </c>
      <c r="P688" s="81" t="str">
        <f t="shared" si="342"/>
        <v/>
      </c>
      <c r="Q688" s="81" t="str">
        <f t="shared" si="345"/>
        <v/>
      </c>
      <c r="R688" s="135" t="str">
        <f t="shared" ca="1" si="346"/>
        <v/>
      </c>
      <c r="S688" s="134" t="str">
        <f t="shared" ca="1" si="347"/>
        <v/>
      </c>
      <c r="T688" s="134" t="str">
        <f ca="1">IF(S688=Dashboard!$D$12,S688,"")</f>
        <v/>
      </c>
      <c r="U688" s="134" t="str">
        <f t="shared" ca="1" si="348"/>
        <v/>
      </c>
      <c r="V688" s="83" t="str">
        <f ca="1">IF(U688="","",IFERROR((RANK(U688,$U$2:$U$2028,1)+COUNTIF($U$2:U688,U688))-1,""))</f>
        <v/>
      </c>
      <c r="W688" s="134" t="str">
        <f t="shared" si="352"/>
        <v/>
      </c>
      <c r="X688" s="134" t="str">
        <f>IF(W688="","",IFERROR((RANK(W688,$W$2:$W$2028,1)+COUNTIF($W$2:W688,W688))-1,""))</f>
        <v/>
      </c>
      <c r="Y688" s="134" t="str">
        <f t="shared" si="349"/>
        <v/>
      </c>
      <c r="Z688" s="134" t="str">
        <f>IF(Y688="","",IFERROR((RANK(Y688,$Y$2:$Y$2028,1)+COUNTIF($Y$2:Y688,Y688))-1,""))</f>
        <v/>
      </c>
      <c r="AA688" s="134" t="str">
        <f t="shared" si="350"/>
        <v/>
      </c>
      <c r="AB688" s="134" t="str">
        <f>IF(AA688="","",IFERROR((RANK(AA688,$AA$2:$AA$2028,1)+COUNTIF($AA$2:AA688,AA688))-1,""))</f>
        <v/>
      </c>
      <c r="AC688" s="134" t="str">
        <f t="shared" si="351"/>
        <v/>
      </c>
      <c r="AD688" s="134" t="str">
        <f>IF(AC688="","",IFERROR((RANK(AC688,$AC$2:$AC$2028,1)+COUNTIF($AC$2:AC688,AC688))-1,""))</f>
        <v/>
      </c>
      <c r="AE688" s="144" t="str">
        <f t="shared" si="343"/>
        <v/>
      </c>
      <c r="AF688" s="144" t="str">
        <f>IF(AE688="","",SUM($AE$2:AE688))</f>
        <v/>
      </c>
    </row>
    <row r="689" spans="14:32" x14ac:dyDescent="0.35">
      <c r="N689" s="134" t="str">
        <f t="shared" si="341"/>
        <v/>
      </c>
      <c r="O689" s="82" t="str">
        <f t="shared" si="344"/>
        <v/>
      </c>
      <c r="P689" s="81" t="str">
        <f t="shared" si="342"/>
        <v/>
      </c>
      <c r="Q689" s="81" t="str">
        <f t="shared" si="345"/>
        <v/>
      </c>
      <c r="R689" s="135" t="str">
        <f t="shared" ca="1" si="346"/>
        <v/>
      </c>
      <c r="S689" s="134" t="str">
        <f t="shared" ca="1" si="347"/>
        <v/>
      </c>
      <c r="T689" s="134" t="str">
        <f ca="1">IF(S689=Dashboard!$D$12,S689,"")</f>
        <v/>
      </c>
      <c r="U689" s="134" t="str">
        <f t="shared" ca="1" si="348"/>
        <v/>
      </c>
      <c r="V689" s="83" t="str">
        <f ca="1">IF(U689="","",IFERROR((RANK(U689,$U$2:$U$2028,1)+COUNTIF($U$2:U689,U689))-1,""))</f>
        <v/>
      </c>
      <c r="W689" s="134" t="str">
        <f t="shared" si="352"/>
        <v/>
      </c>
      <c r="X689" s="134" t="str">
        <f>IF(W689="","",IFERROR((RANK(W689,$W$2:$W$2028,1)+COUNTIF($W$2:W689,W689))-1,""))</f>
        <v/>
      </c>
      <c r="Y689" s="134" t="str">
        <f t="shared" si="349"/>
        <v/>
      </c>
      <c r="Z689" s="134" t="str">
        <f>IF(Y689="","",IFERROR((RANK(Y689,$Y$2:$Y$2028,1)+COUNTIF($Y$2:Y689,Y689))-1,""))</f>
        <v/>
      </c>
      <c r="AA689" s="134" t="str">
        <f t="shared" si="350"/>
        <v/>
      </c>
      <c r="AB689" s="134" t="str">
        <f>IF(AA689="","",IFERROR((RANK(AA689,$AA$2:$AA$2028,1)+COUNTIF($AA$2:AA689,AA689))-1,""))</f>
        <v/>
      </c>
      <c r="AC689" s="134" t="str">
        <f t="shared" si="351"/>
        <v/>
      </c>
      <c r="AD689" s="134" t="str">
        <f>IF(AC689="","",IFERROR((RANK(AC689,$AC$2:$AC$2028,1)+COUNTIF($AC$2:AC689,AC689))-1,""))</f>
        <v/>
      </c>
      <c r="AE689" s="144" t="str">
        <f t="shared" si="343"/>
        <v/>
      </c>
      <c r="AF689" s="144" t="str">
        <f>IF(AE689="","",SUM($AE$2:AE689))</f>
        <v/>
      </c>
    </row>
    <row r="690" spans="14:32" x14ac:dyDescent="0.35">
      <c r="N690" s="134" t="str">
        <f t="shared" si="341"/>
        <v/>
      </c>
      <c r="O690" s="82" t="str">
        <f t="shared" si="344"/>
        <v/>
      </c>
      <c r="P690" s="81" t="str">
        <f t="shared" si="342"/>
        <v/>
      </c>
      <c r="Q690" s="81" t="str">
        <f t="shared" si="345"/>
        <v/>
      </c>
      <c r="R690" s="135" t="str">
        <f t="shared" ca="1" si="346"/>
        <v/>
      </c>
      <c r="S690" s="134" t="str">
        <f t="shared" ca="1" si="347"/>
        <v/>
      </c>
      <c r="T690" s="134" t="str">
        <f ca="1">IF(S690=Dashboard!$D$12,S690,"")</f>
        <v/>
      </c>
      <c r="U690" s="134" t="str">
        <f t="shared" ca="1" si="348"/>
        <v/>
      </c>
      <c r="V690" s="83" t="str">
        <f ca="1">IF(U690="","",IFERROR((RANK(U690,$U$2:$U$2028,1)+COUNTIF($U$2:U690,U690))-1,""))</f>
        <v/>
      </c>
      <c r="W690" s="134" t="str">
        <f t="shared" si="352"/>
        <v/>
      </c>
      <c r="X690" s="134" t="str">
        <f>IF(W690="","",IFERROR((RANK(W690,$W$2:$W$2028,1)+COUNTIF($W$2:W690,W690))-1,""))</f>
        <v/>
      </c>
      <c r="Y690" s="134" t="str">
        <f t="shared" si="349"/>
        <v/>
      </c>
      <c r="Z690" s="134" t="str">
        <f>IF(Y690="","",IFERROR((RANK(Y690,$Y$2:$Y$2028,1)+COUNTIF($Y$2:Y690,Y690))-1,""))</f>
        <v/>
      </c>
      <c r="AA690" s="134" t="str">
        <f t="shared" si="350"/>
        <v/>
      </c>
      <c r="AB690" s="134" t="str">
        <f>IF(AA690="","",IFERROR((RANK(AA690,$AA$2:$AA$2028,1)+COUNTIF($AA$2:AA690,AA690))-1,""))</f>
        <v/>
      </c>
      <c r="AC690" s="134" t="str">
        <f t="shared" si="351"/>
        <v/>
      </c>
      <c r="AD690" s="134" t="str">
        <f>IF(AC690="","",IFERROR((RANK(AC690,$AC$2:$AC$2028,1)+COUNTIF($AC$2:AC690,AC690))-1,""))</f>
        <v/>
      </c>
      <c r="AE690" s="144" t="str">
        <f t="shared" si="343"/>
        <v/>
      </c>
      <c r="AF690" s="144" t="str">
        <f>IF(AE690="","",SUM($AE$2:AE690))</f>
        <v/>
      </c>
    </row>
    <row r="691" spans="14:32" x14ac:dyDescent="0.35">
      <c r="N691" s="134" t="str">
        <f t="shared" si="341"/>
        <v/>
      </c>
      <c r="O691" s="82" t="str">
        <f t="shared" si="344"/>
        <v/>
      </c>
      <c r="P691" s="81" t="str">
        <f t="shared" si="342"/>
        <v/>
      </c>
      <c r="Q691" s="81" t="str">
        <f t="shared" si="345"/>
        <v/>
      </c>
      <c r="R691" s="135" t="str">
        <f t="shared" ca="1" si="346"/>
        <v/>
      </c>
      <c r="S691" s="134" t="str">
        <f t="shared" ca="1" si="347"/>
        <v/>
      </c>
      <c r="T691" s="134" t="str">
        <f ca="1">IF(S691=Dashboard!$D$12,S691,"")</f>
        <v/>
      </c>
      <c r="U691" s="134" t="str">
        <f t="shared" ca="1" si="348"/>
        <v/>
      </c>
      <c r="V691" s="83" t="str">
        <f ca="1">IF(U691="","",IFERROR((RANK(U691,$U$2:$U$2028,1)+COUNTIF($U$2:U691,U691))-1,""))</f>
        <v/>
      </c>
      <c r="W691" s="134" t="str">
        <f t="shared" si="352"/>
        <v/>
      </c>
      <c r="X691" s="134" t="str">
        <f>IF(W691="","",IFERROR((RANK(W691,$W$2:$W$2028,1)+COUNTIF($W$2:W691,W691))-1,""))</f>
        <v/>
      </c>
      <c r="Y691" s="134" t="str">
        <f t="shared" si="349"/>
        <v/>
      </c>
      <c r="Z691" s="134" t="str">
        <f>IF(Y691="","",IFERROR((RANK(Y691,$Y$2:$Y$2028,1)+COUNTIF($Y$2:Y691,Y691))-1,""))</f>
        <v/>
      </c>
      <c r="AA691" s="134" t="str">
        <f t="shared" si="350"/>
        <v/>
      </c>
      <c r="AB691" s="134" t="str">
        <f>IF(AA691="","",IFERROR((RANK(AA691,$AA$2:$AA$2028,1)+COUNTIF($AA$2:AA691,AA691))-1,""))</f>
        <v/>
      </c>
      <c r="AC691" s="134" t="str">
        <f t="shared" si="351"/>
        <v/>
      </c>
      <c r="AD691" s="134" t="str">
        <f>IF(AC691="","",IFERROR((RANK(AC691,$AC$2:$AC$2028,1)+COUNTIF($AC$2:AC691,AC691))-1,""))</f>
        <v/>
      </c>
      <c r="AE691" s="144" t="str">
        <f t="shared" si="343"/>
        <v/>
      </c>
      <c r="AF691" s="144" t="str">
        <f>IF(AE691="","",SUM($AE$2:AE691))</f>
        <v/>
      </c>
    </row>
    <row r="692" spans="14:32" x14ac:dyDescent="0.35">
      <c r="N692" s="134" t="str">
        <f t="shared" si="341"/>
        <v/>
      </c>
      <c r="O692" s="82" t="str">
        <f t="shared" si="344"/>
        <v/>
      </c>
      <c r="P692" s="81" t="str">
        <f t="shared" si="342"/>
        <v/>
      </c>
      <c r="Q692" s="81" t="str">
        <f t="shared" si="345"/>
        <v/>
      </c>
      <c r="R692" s="135" t="str">
        <f t="shared" ca="1" si="346"/>
        <v/>
      </c>
      <c r="S692" s="134" t="str">
        <f t="shared" ca="1" si="347"/>
        <v/>
      </c>
      <c r="T692" s="134" t="str">
        <f ca="1">IF(S692=Dashboard!$D$12,S692,"")</f>
        <v/>
      </c>
      <c r="U692" s="134" t="str">
        <f t="shared" ca="1" si="348"/>
        <v/>
      </c>
      <c r="V692" s="83" t="str">
        <f ca="1">IF(U692="","",IFERROR((RANK(U692,$U$2:$U$2028,1)+COUNTIF($U$2:U692,U692))-1,""))</f>
        <v/>
      </c>
      <c r="W692" s="134" t="str">
        <f t="shared" si="352"/>
        <v/>
      </c>
      <c r="X692" s="134" t="str">
        <f>IF(W692="","",IFERROR((RANK(W692,$W$2:$W$2028,1)+COUNTIF($W$2:W692,W692))-1,""))</f>
        <v/>
      </c>
      <c r="Y692" s="134" t="str">
        <f t="shared" si="349"/>
        <v/>
      </c>
      <c r="Z692" s="134" t="str">
        <f>IF(Y692="","",IFERROR((RANK(Y692,$Y$2:$Y$2028,1)+COUNTIF($Y$2:Y692,Y692))-1,""))</f>
        <v/>
      </c>
      <c r="AA692" s="134" t="str">
        <f t="shared" si="350"/>
        <v/>
      </c>
      <c r="AB692" s="134" t="str">
        <f>IF(AA692="","",IFERROR((RANK(AA692,$AA$2:$AA$2028,1)+COUNTIF($AA$2:AA692,AA692))-1,""))</f>
        <v/>
      </c>
      <c r="AC692" s="134" t="str">
        <f t="shared" si="351"/>
        <v/>
      </c>
      <c r="AD692" s="134" t="str">
        <f>IF(AC692="","",IFERROR((RANK(AC692,$AC$2:$AC$2028,1)+COUNTIF($AC$2:AC692,AC692))-1,""))</f>
        <v/>
      </c>
      <c r="AE692" s="144" t="str">
        <f t="shared" si="343"/>
        <v/>
      </c>
      <c r="AF692" s="144" t="str">
        <f>IF(AE692="","",SUM($AE$2:AE692))</f>
        <v/>
      </c>
    </row>
    <row r="693" spans="14:32" x14ac:dyDescent="0.35">
      <c r="N693" s="134" t="str">
        <f t="shared" si="341"/>
        <v/>
      </c>
      <c r="O693" s="82" t="str">
        <f t="shared" si="344"/>
        <v/>
      </c>
      <c r="P693" s="81" t="str">
        <f t="shared" si="342"/>
        <v/>
      </c>
      <c r="Q693" s="81" t="str">
        <f t="shared" si="345"/>
        <v/>
      </c>
      <c r="R693" s="135" t="str">
        <f t="shared" ca="1" si="346"/>
        <v/>
      </c>
      <c r="S693" s="134" t="str">
        <f t="shared" ca="1" si="347"/>
        <v/>
      </c>
      <c r="T693" s="134" t="str">
        <f ca="1">IF(S693=Dashboard!$D$12,S693,"")</f>
        <v/>
      </c>
      <c r="U693" s="134" t="str">
        <f t="shared" ca="1" si="348"/>
        <v/>
      </c>
      <c r="V693" s="83" t="str">
        <f ca="1">IF(U693="","",IFERROR((RANK(U693,$U$2:$U$2028,1)+COUNTIF($U$2:U693,U693))-1,""))</f>
        <v/>
      </c>
      <c r="W693" s="134" t="str">
        <f t="shared" si="352"/>
        <v/>
      </c>
      <c r="X693" s="134" t="str">
        <f>IF(W693="","",IFERROR((RANK(W693,$W$2:$W$2028,1)+COUNTIF($W$2:W693,W693))-1,""))</f>
        <v/>
      </c>
      <c r="Y693" s="134" t="str">
        <f t="shared" si="349"/>
        <v/>
      </c>
      <c r="Z693" s="134" t="str">
        <f>IF(Y693="","",IFERROR((RANK(Y693,$Y$2:$Y$2028,1)+COUNTIF($Y$2:Y693,Y693))-1,""))</f>
        <v/>
      </c>
      <c r="AA693" s="134" t="str">
        <f t="shared" si="350"/>
        <v/>
      </c>
      <c r="AB693" s="134" t="str">
        <f>IF(AA693="","",IFERROR((RANK(AA693,$AA$2:$AA$2028,1)+COUNTIF($AA$2:AA693,AA693))-1,""))</f>
        <v/>
      </c>
      <c r="AC693" s="134" t="str">
        <f t="shared" si="351"/>
        <v/>
      </c>
      <c r="AD693" s="134" t="str">
        <f>IF(AC693="","",IFERROR((RANK(AC693,$AC$2:$AC$2028,1)+COUNTIF($AC$2:AC693,AC693))-1,""))</f>
        <v/>
      </c>
      <c r="AE693" s="144" t="str">
        <f t="shared" si="343"/>
        <v/>
      </c>
      <c r="AF693" s="144" t="str">
        <f>IF(AE693="","",SUM($AE$2:AE693))</f>
        <v/>
      </c>
    </row>
    <row r="694" spans="14:32" x14ac:dyDescent="0.35">
      <c r="N694" s="134" t="str">
        <f t="shared" si="341"/>
        <v/>
      </c>
      <c r="O694" s="82" t="str">
        <f t="shared" si="344"/>
        <v/>
      </c>
      <c r="P694" s="81" t="str">
        <f t="shared" si="342"/>
        <v/>
      </c>
      <c r="Q694" s="81" t="str">
        <f t="shared" si="345"/>
        <v/>
      </c>
      <c r="R694" s="135" t="str">
        <f t="shared" ca="1" si="346"/>
        <v/>
      </c>
      <c r="S694" s="134" t="str">
        <f t="shared" ca="1" si="347"/>
        <v/>
      </c>
      <c r="T694" s="134" t="str">
        <f ca="1">IF(S694=Dashboard!$D$12,S694,"")</f>
        <v/>
      </c>
      <c r="U694" s="134" t="str">
        <f t="shared" ca="1" si="348"/>
        <v/>
      </c>
      <c r="V694" s="83" t="str">
        <f ca="1">IF(U694="","",IFERROR((RANK(U694,$U$2:$U$2028,1)+COUNTIF($U$2:U694,U694))-1,""))</f>
        <v/>
      </c>
      <c r="W694" s="134" t="str">
        <f t="shared" si="352"/>
        <v/>
      </c>
      <c r="X694" s="134" t="str">
        <f>IF(W694="","",IFERROR((RANK(W694,$W$2:$W$2028,1)+COUNTIF($W$2:W694,W694))-1,""))</f>
        <v/>
      </c>
      <c r="Y694" s="134" t="str">
        <f t="shared" si="349"/>
        <v/>
      </c>
      <c r="Z694" s="134" t="str">
        <f>IF(Y694="","",IFERROR((RANK(Y694,$Y$2:$Y$2028,1)+COUNTIF($Y$2:Y694,Y694))-1,""))</f>
        <v/>
      </c>
      <c r="AA694" s="134" t="str">
        <f t="shared" si="350"/>
        <v/>
      </c>
      <c r="AB694" s="134" t="str">
        <f>IF(AA694="","",IFERROR((RANK(AA694,$AA$2:$AA$2028,1)+COUNTIF($AA$2:AA694,AA694))-1,""))</f>
        <v/>
      </c>
      <c r="AC694" s="134" t="str">
        <f t="shared" si="351"/>
        <v/>
      </c>
      <c r="AD694" s="134" t="str">
        <f>IF(AC694="","",IFERROR((RANK(AC694,$AC$2:$AC$2028,1)+COUNTIF($AC$2:AC694,AC694))-1,""))</f>
        <v/>
      </c>
      <c r="AE694" s="144" t="str">
        <f t="shared" si="343"/>
        <v/>
      </c>
      <c r="AF694" s="144" t="str">
        <f>IF(AE694="","",SUM($AE$2:AE694))</f>
        <v/>
      </c>
    </row>
    <row r="695" spans="14:32" x14ac:dyDescent="0.35">
      <c r="N695" s="134" t="str">
        <f t="shared" si="341"/>
        <v/>
      </c>
      <c r="O695" s="82" t="str">
        <f t="shared" si="344"/>
        <v/>
      </c>
      <c r="P695" s="81" t="str">
        <f t="shared" si="342"/>
        <v/>
      </c>
      <c r="Q695" s="81" t="str">
        <f t="shared" si="345"/>
        <v/>
      </c>
      <c r="R695" s="135" t="str">
        <f t="shared" ca="1" si="346"/>
        <v/>
      </c>
      <c r="S695" s="134" t="str">
        <f t="shared" ca="1" si="347"/>
        <v/>
      </c>
      <c r="T695" s="134" t="str">
        <f ca="1">IF(S695=Dashboard!$D$12,S695,"")</f>
        <v/>
      </c>
      <c r="U695" s="134" t="str">
        <f t="shared" ca="1" si="348"/>
        <v/>
      </c>
      <c r="V695" s="83" t="str">
        <f ca="1">IF(U695="","",IFERROR((RANK(U695,$U$2:$U$2028,1)+COUNTIF($U$2:U695,U695))-1,""))</f>
        <v/>
      </c>
      <c r="W695" s="134" t="str">
        <f t="shared" si="352"/>
        <v/>
      </c>
      <c r="X695" s="134" t="str">
        <f>IF(W695="","",IFERROR((RANK(W695,$W$2:$W$2028,1)+COUNTIF($W$2:W695,W695))-1,""))</f>
        <v/>
      </c>
      <c r="Y695" s="134" t="str">
        <f t="shared" si="349"/>
        <v/>
      </c>
      <c r="Z695" s="134" t="str">
        <f>IF(Y695="","",IFERROR((RANK(Y695,$Y$2:$Y$2028,1)+COUNTIF($Y$2:Y695,Y695))-1,""))</f>
        <v/>
      </c>
      <c r="AA695" s="134" t="str">
        <f t="shared" si="350"/>
        <v/>
      </c>
      <c r="AB695" s="134" t="str">
        <f>IF(AA695="","",IFERROR((RANK(AA695,$AA$2:$AA$2028,1)+COUNTIF($AA$2:AA695,AA695))-1,""))</f>
        <v/>
      </c>
      <c r="AC695" s="134" t="str">
        <f t="shared" si="351"/>
        <v/>
      </c>
      <c r="AD695" s="134" t="str">
        <f>IF(AC695="","",IFERROR((RANK(AC695,$AC$2:$AC$2028,1)+COUNTIF($AC$2:AC695,AC695))-1,""))</f>
        <v/>
      </c>
      <c r="AE695" s="144" t="str">
        <f t="shared" si="343"/>
        <v/>
      </c>
      <c r="AF695" s="144" t="str">
        <f>IF(AE695="","",SUM($AE$2:AE695))</f>
        <v/>
      </c>
    </row>
    <row r="696" spans="14:32" x14ac:dyDescent="0.35">
      <c r="N696" s="134" t="str">
        <f t="shared" si="341"/>
        <v/>
      </c>
      <c r="O696" s="82" t="str">
        <f t="shared" si="344"/>
        <v/>
      </c>
      <c r="P696" s="81" t="str">
        <f t="shared" si="342"/>
        <v/>
      </c>
      <c r="Q696" s="81" t="str">
        <f t="shared" si="345"/>
        <v/>
      </c>
      <c r="R696" s="135" t="str">
        <f t="shared" ca="1" si="346"/>
        <v/>
      </c>
      <c r="S696" s="134" t="str">
        <f t="shared" ca="1" si="347"/>
        <v/>
      </c>
      <c r="T696" s="134" t="str">
        <f ca="1">IF(S696=Dashboard!$D$12,S696,"")</f>
        <v/>
      </c>
      <c r="U696" s="134" t="str">
        <f t="shared" ca="1" si="348"/>
        <v/>
      </c>
      <c r="V696" s="83" t="str">
        <f ca="1">IF(U696="","",IFERROR((RANK(U696,$U$2:$U$2028,1)+COUNTIF($U$2:U696,U696))-1,""))</f>
        <v/>
      </c>
      <c r="W696" s="134" t="str">
        <f t="shared" si="352"/>
        <v/>
      </c>
      <c r="X696" s="134" t="str">
        <f>IF(W696="","",IFERROR((RANK(W696,$W$2:$W$2028,1)+COUNTIF($W$2:W696,W696))-1,""))</f>
        <v/>
      </c>
      <c r="Y696" s="134" t="str">
        <f t="shared" si="349"/>
        <v/>
      </c>
      <c r="Z696" s="134" t="str">
        <f>IF(Y696="","",IFERROR((RANK(Y696,$Y$2:$Y$2028,1)+COUNTIF($Y$2:Y696,Y696))-1,""))</f>
        <v/>
      </c>
      <c r="AA696" s="134" t="str">
        <f t="shared" si="350"/>
        <v/>
      </c>
      <c r="AB696" s="134" t="str">
        <f>IF(AA696="","",IFERROR((RANK(AA696,$AA$2:$AA$2028,1)+COUNTIF($AA$2:AA696,AA696))-1,""))</f>
        <v/>
      </c>
      <c r="AC696" s="134" t="str">
        <f t="shared" si="351"/>
        <v/>
      </c>
      <c r="AD696" s="134" t="str">
        <f>IF(AC696="","",IFERROR((RANK(AC696,$AC$2:$AC$2028,1)+COUNTIF($AC$2:AC696,AC696))-1,""))</f>
        <v/>
      </c>
      <c r="AE696" s="144" t="str">
        <f t="shared" si="343"/>
        <v/>
      </c>
      <c r="AF696" s="144" t="str">
        <f>IF(AE696="","",SUM($AE$2:AE696))</f>
        <v/>
      </c>
    </row>
    <row r="697" spans="14:32" x14ac:dyDescent="0.35">
      <c r="N697" s="134" t="str">
        <f t="shared" si="341"/>
        <v/>
      </c>
      <c r="O697" s="82" t="str">
        <f t="shared" si="344"/>
        <v/>
      </c>
      <c r="P697" s="81" t="str">
        <f t="shared" si="342"/>
        <v/>
      </c>
      <c r="Q697" s="81" t="str">
        <f t="shared" si="345"/>
        <v/>
      </c>
      <c r="R697" s="135" t="str">
        <f t="shared" ca="1" si="346"/>
        <v/>
      </c>
      <c r="S697" s="134" t="str">
        <f t="shared" ca="1" si="347"/>
        <v/>
      </c>
      <c r="T697" s="134" t="str">
        <f ca="1">IF(S697=Dashboard!$D$12,S697,"")</f>
        <v/>
      </c>
      <c r="U697" s="134" t="str">
        <f t="shared" ca="1" si="348"/>
        <v/>
      </c>
      <c r="V697" s="83" t="str">
        <f ca="1">IF(U697="","",IFERROR((RANK(U697,$U$2:$U$2028,1)+COUNTIF($U$2:U697,U697))-1,""))</f>
        <v/>
      </c>
      <c r="W697" s="134" t="str">
        <f t="shared" si="352"/>
        <v/>
      </c>
      <c r="X697" s="134" t="str">
        <f>IF(W697="","",IFERROR((RANK(W697,$W$2:$W$2028,1)+COUNTIF($W$2:W697,W697))-1,""))</f>
        <v/>
      </c>
      <c r="Y697" s="134" t="str">
        <f t="shared" si="349"/>
        <v/>
      </c>
      <c r="Z697" s="134" t="str">
        <f>IF(Y697="","",IFERROR((RANK(Y697,$Y$2:$Y$2028,1)+COUNTIF($Y$2:Y697,Y697))-1,""))</f>
        <v/>
      </c>
      <c r="AA697" s="134" t="str">
        <f t="shared" si="350"/>
        <v/>
      </c>
      <c r="AB697" s="134" t="str">
        <f>IF(AA697="","",IFERROR((RANK(AA697,$AA$2:$AA$2028,1)+COUNTIF($AA$2:AA697,AA697))-1,""))</f>
        <v/>
      </c>
      <c r="AC697" s="134" t="str">
        <f t="shared" si="351"/>
        <v/>
      </c>
      <c r="AD697" s="134" t="str">
        <f>IF(AC697="","",IFERROR((RANK(AC697,$AC$2:$AC$2028,1)+COUNTIF($AC$2:AC697,AC697))-1,""))</f>
        <v/>
      </c>
      <c r="AE697" s="144" t="str">
        <f t="shared" si="343"/>
        <v/>
      </c>
      <c r="AF697" s="144" t="str">
        <f>IF(AE697="","",SUM($AE$2:AE697))</f>
        <v/>
      </c>
    </row>
    <row r="698" spans="14:32" x14ac:dyDescent="0.35">
      <c r="N698" s="134" t="str">
        <f t="shared" si="341"/>
        <v/>
      </c>
      <c r="O698" s="82" t="str">
        <f t="shared" si="344"/>
        <v/>
      </c>
      <c r="P698" s="81" t="str">
        <f t="shared" si="342"/>
        <v/>
      </c>
      <c r="Q698" s="81" t="str">
        <f t="shared" si="345"/>
        <v/>
      </c>
      <c r="R698" s="135" t="str">
        <f t="shared" ca="1" si="346"/>
        <v/>
      </c>
      <c r="S698" s="134" t="str">
        <f t="shared" ca="1" si="347"/>
        <v/>
      </c>
      <c r="T698" s="134" t="str">
        <f ca="1">IF(S698=Dashboard!$D$12,S698,"")</f>
        <v/>
      </c>
      <c r="U698" s="134" t="str">
        <f t="shared" ca="1" si="348"/>
        <v/>
      </c>
      <c r="V698" s="83" t="str">
        <f ca="1">IF(U698="","",IFERROR((RANK(U698,$U$2:$U$2028,1)+COUNTIF($U$2:U698,U698))-1,""))</f>
        <v/>
      </c>
      <c r="W698" s="134" t="str">
        <f t="shared" si="352"/>
        <v/>
      </c>
      <c r="X698" s="134" t="str">
        <f>IF(W698="","",IFERROR((RANK(W698,$W$2:$W$2028,1)+COUNTIF($W$2:W698,W698))-1,""))</f>
        <v/>
      </c>
      <c r="Y698" s="134" t="str">
        <f t="shared" si="349"/>
        <v/>
      </c>
      <c r="Z698" s="134" t="str">
        <f>IF(Y698="","",IFERROR((RANK(Y698,$Y$2:$Y$2028,1)+COUNTIF($Y$2:Y698,Y698))-1,""))</f>
        <v/>
      </c>
      <c r="AA698" s="134" t="str">
        <f t="shared" si="350"/>
        <v/>
      </c>
      <c r="AB698" s="134" t="str">
        <f>IF(AA698="","",IFERROR((RANK(AA698,$AA$2:$AA$2028,1)+COUNTIF($AA$2:AA698,AA698))-1,""))</f>
        <v/>
      </c>
      <c r="AC698" s="134" t="str">
        <f t="shared" si="351"/>
        <v/>
      </c>
      <c r="AD698" s="134" t="str">
        <f>IF(AC698="","",IFERROR((RANK(AC698,$AC$2:$AC$2028,1)+COUNTIF($AC$2:AC698,AC698))-1,""))</f>
        <v/>
      </c>
      <c r="AE698" s="144" t="str">
        <f t="shared" si="343"/>
        <v/>
      </c>
      <c r="AF698" s="144" t="str">
        <f>IF(AE698="","",SUM($AE$2:AE698))</f>
        <v/>
      </c>
    </row>
    <row r="699" spans="14:32" x14ac:dyDescent="0.35">
      <c r="N699" s="134" t="str">
        <f t="shared" si="341"/>
        <v/>
      </c>
      <c r="O699" s="82" t="str">
        <f t="shared" si="344"/>
        <v/>
      </c>
      <c r="P699" s="81" t="str">
        <f t="shared" si="342"/>
        <v/>
      </c>
      <c r="Q699" s="81" t="str">
        <f t="shared" si="345"/>
        <v/>
      </c>
      <c r="R699" s="135" t="str">
        <f t="shared" ca="1" si="346"/>
        <v/>
      </c>
      <c r="S699" s="134" t="str">
        <f t="shared" ca="1" si="347"/>
        <v/>
      </c>
      <c r="T699" s="134" t="str">
        <f ca="1">IF(S699=Dashboard!$D$12,S699,"")</f>
        <v/>
      </c>
      <c r="U699" s="134" t="str">
        <f t="shared" ca="1" si="348"/>
        <v/>
      </c>
      <c r="V699" s="83" t="str">
        <f ca="1">IF(U699="","",IFERROR((RANK(U699,$U$2:$U$2028,1)+COUNTIF($U$2:U699,U699))-1,""))</f>
        <v/>
      </c>
      <c r="W699" s="134" t="str">
        <f t="shared" si="352"/>
        <v/>
      </c>
      <c r="X699" s="134" t="str">
        <f>IF(W699="","",IFERROR((RANK(W699,$W$2:$W$2028,1)+COUNTIF($W$2:W699,W699))-1,""))</f>
        <v/>
      </c>
      <c r="Y699" s="134" t="str">
        <f t="shared" si="349"/>
        <v/>
      </c>
      <c r="Z699" s="134" t="str">
        <f>IF(Y699="","",IFERROR((RANK(Y699,$Y$2:$Y$2028,1)+COUNTIF($Y$2:Y699,Y699))-1,""))</f>
        <v/>
      </c>
      <c r="AA699" s="134" t="str">
        <f t="shared" si="350"/>
        <v/>
      </c>
      <c r="AB699" s="134" t="str">
        <f>IF(AA699="","",IFERROR((RANK(AA699,$AA$2:$AA$2028,1)+COUNTIF($AA$2:AA699,AA699))-1,""))</f>
        <v/>
      </c>
      <c r="AC699" s="134" t="str">
        <f t="shared" si="351"/>
        <v/>
      </c>
      <c r="AD699" s="134" t="str">
        <f>IF(AC699="","",IFERROR((RANK(AC699,$AC$2:$AC$2028,1)+COUNTIF($AC$2:AC699,AC699))-1,""))</f>
        <v/>
      </c>
      <c r="AE699" s="144" t="str">
        <f t="shared" si="343"/>
        <v/>
      </c>
      <c r="AF699" s="144" t="str">
        <f>IF(AE699="","",SUM($AE$2:AE699))</f>
        <v/>
      </c>
    </row>
    <row r="700" spans="14:32" x14ac:dyDescent="0.35">
      <c r="N700" s="134" t="str">
        <f t="shared" si="341"/>
        <v/>
      </c>
      <c r="O700" s="82" t="str">
        <f t="shared" si="344"/>
        <v/>
      </c>
      <c r="P700" s="81" t="str">
        <f t="shared" si="342"/>
        <v/>
      </c>
      <c r="Q700" s="81" t="str">
        <f t="shared" si="345"/>
        <v/>
      </c>
      <c r="R700" s="135" t="str">
        <f t="shared" ca="1" si="346"/>
        <v/>
      </c>
      <c r="S700" s="134" t="str">
        <f t="shared" ca="1" si="347"/>
        <v/>
      </c>
      <c r="T700" s="134" t="str">
        <f ca="1">IF(S700=Dashboard!$D$12,S700,"")</f>
        <v/>
      </c>
      <c r="U700" s="134" t="str">
        <f t="shared" ca="1" si="348"/>
        <v/>
      </c>
      <c r="V700" s="83" t="str">
        <f ca="1">IF(U700="","",IFERROR((RANK(U700,$U$2:$U$2028,1)+COUNTIF($U$2:U700,U700))-1,""))</f>
        <v/>
      </c>
      <c r="W700" s="134" t="str">
        <f t="shared" si="352"/>
        <v/>
      </c>
      <c r="X700" s="134" t="str">
        <f>IF(W700="","",IFERROR((RANK(W700,$W$2:$W$2028,1)+COUNTIF($W$2:W700,W700))-1,""))</f>
        <v/>
      </c>
      <c r="Y700" s="134" t="str">
        <f t="shared" si="349"/>
        <v/>
      </c>
      <c r="Z700" s="134" t="str">
        <f>IF(Y700="","",IFERROR((RANK(Y700,$Y$2:$Y$2028,1)+COUNTIF($Y$2:Y700,Y700))-1,""))</f>
        <v/>
      </c>
      <c r="AA700" s="134" t="str">
        <f t="shared" si="350"/>
        <v/>
      </c>
      <c r="AB700" s="134" t="str">
        <f>IF(AA700="","",IFERROR((RANK(AA700,$AA$2:$AA$2028,1)+COUNTIF($AA$2:AA700,AA700))-1,""))</f>
        <v/>
      </c>
      <c r="AC700" s="134" t="str">
        <f t="shared" si="351"/>
        <v/>
      </c>
      <c r="AD700" s="134" t="str">
        <f>IF(AC700="","",IFERROR((RANK(AC700,$AC$2:$AC$2028,1)+COUNTIF($AC$2:AC700,AC700))-1,""))</f>
        <v/>
      </c>
      <c r="AE700" s="144" t="str">
        <f t="shared" si="343"/>
        <v/>
      </c>
      <c r="AF700" s="144" t="str">
        <f>IF(AE700="","",SUM($AE$2:AE700))</f>
        <v/>
      </c>
    </row>
    <row r="701" spans="14:32" x14ac:dyDescent="0.35">
      <c r="N701" s="134" t="str">
        <f t="shared" si="341"/>
        <v/>
      </c>
      <c r="O701" s="82" t="str">
        <f t="shared" si="344"/>
        <v/>
      </c>
      <c r="P701" s="81" t="str">
        <f t="shared" si="342"/>
        <v/>
      </c>
      <c r="Q701" s="81" t="str">
        <f t="shared" si="345"/>
        <v/>
      </c>
      <c r="R701" s="135" t="str">
        <f t="shared" ca="1" si="346"/>
        <v/>
      </c>
      <c r="S701" s="134" t="str">
        <f t="shared" ca="1" si="347"/>
        <v/>
      </c>
      <c r="T701" s="134" t="str">
        <f ca="1">IF(S701=Dashboard!$D$12,S701,"")</f>
        <v/>
      </c>
      <c r="U701" s="134" t="str">
        <f t="shared" ca="1" si="348"/>
        <v/>
      </c>
      <c r="V701" s="83" t="str">
        <f ca="1">IF(U701="","",IFERROR((RANK(U701,$U$2:$U$2028,1)+COUNTIF($U$2:U701,U701))-1,""))</f>
        <v/>
      </c>
      <c r="W701" s="134" t="str">
        <f t="shared" si="352"/>
        <v/>
      </c>
      <c r="X701" s="134" t="str">
        <f>IF(W701="","",IFERROR((RANK(W701,$W$2:$W$2028,1)+COUNTIF($W$2:W701,W701))-1,""))</f>
        <v/>
      </c>
      <c r="Y701" s="134" t="str">
        <f t="shared" si="349"/>
        <v/>
      </c>
      <c r="Z701" s="134" t="str">
        <f>IF(Y701="","",IFERROR((RANK(Y701,$Y$2:$Y$2028,1)+COUNTIF($Y$2:Y701,Y701))-1,""))</f>
        <v/>
      </c>
      <c r="AA701" s="134" t="str">
        <f t="shared" si="350"/>
        <v/>
      </c>
      <c r="AB701" s="134" t="str">
        <f>IF(AA701="","",IFERROR((RANK(AA701,$AA$2:$AA$2028,1)+COUNTIF($AA$2:AA701,AA701))-1,""))</f>
        <v/>
      </c>
      <c r="AC701" s="134" t="str">
        <f t="shared" si="351"/>
        <v/>
      </c>
      <c r="AD701" s="134" t="str">
        <f>IF(AC701="","",IFERROR((RANK(AC701,$AC$2:$AC$2028,1)+COUNTIF($AC$2:AC701,AC701))-1,""))</f>
        <v/>
      </c>
      <c r="AE701" s="144" t="str">
        <f t="shared" si="343"/>
        <v/>
      </c>
      <c r="AF701" s="144" t="str">
        <f>IF(AE701="","",SUM($AE$2:AE701))</f>
        <v/>
      </c>
    </row>
    <row r="702" spans="14:32" x14ac:dyDescent="0.35">
      <c r="N702" s="134" t="str">
        <f t="shared" si="341"/>
        <v/>
      </c>
      <c r="O702" s="82" t="str">
        <f t="shared" si="344"/>
        <v/>
      </c>
      <c r="P702" s="81" t="str">
        <f t="shared" si="342"/>
        <v/>
      </c>
      <c r="Q702" s="81" t="str">
        <f t="shared" si="345"/>
        <v/>
      </c>
      <c r="R702" s="135" t="str">
        <f t="shared" ca="1" si="346"/>
        <v/>
      </c>
      <c r="S702" s="134" t="str">
        <f t="shared" ca="1" si="347"/>
        <v/>
      </c>
      <c r="T702" s="134" t="str">
        <f ca="1">IF(S702=Dashboard!$D$12,S702,"")</f>
        <v/>
      </c>
      <c r="U702" s="134" t="str">
        <f t="shared" ca="1" si="348"/>
        <v/>
      </c>
      <c r="V702" s="83" t="str">
        <f ca="1">IF(U702="","",IFERROR((RANK(U702,$U$2:$U$2028,1)+COUNTIF($U$2:U702,U702))-1,""))</f>
        <v/>
      </c>
      <c r="W702" s="134" t="str">
        <f t="shared" si="352"/>
        <v/>
      </c>
      <c r="X702" s="134" t="str">
        <f>IF(W702="","",IFERROR((RANK(W702,$W$2:$W$2028,1)+COUNTIF($W$2:W702,W702))-1,""))</f>
        <v/>
      </c>
      <c r="Y702" s="134" t="str">
        <f t="shared" si="349"/>
        <v/>
      </c>
      <c r="Z702" s="134" t="str">
        <f>IF(Y702="","",IFERROR((RANK(Y702,$Y$2:$Y$2028,1)+COUNTIF($Y$2:Y702,Y702))-1,""))</f>
        <v/>
      </c>
      <c r="AA702" s="134" t="str">
        <f t="shared" si="350"/>
        <v/>
      </c>
      <c r="AB702" s="134" t="str">
        <f>IF(AA702="","",IFERROR((RANK(AA702,$AA$2:$AA$2028,1)+COUNTIF($AA$2:AA702,AA702))-1,""))</f>
        <v/>
      </c>
      <c r="AC702" s="134" t="str">
        <f t="shared" si="351"/>
        <v/>
      </c>
      <c r="AD702" s="134" t="str">
        <f>IF(AC702="","",IFERROR((RANK(AC702,$AC$2:$AC$2028,1)+COUNTIF($AC$2:AC702,AC702))-1,""))</f>
        <v/>
      </c>
      <c r="AE702" s="144" t="str">
        <f t="shared" si="343"/>
        <v/>
      </c>
      <c r="AF702" s="144" t="str">
        <f>IF(AE702="","",SUM($AE$2:AE702))</f>
        <v/>
      </c>
    </row>
    <row r="703" spans="14:32" x14ac:dyDescent="0.35">
      <c r="N703" s="134" t="str">
        <f t="shared" si="341"/>
        <v/>
      </c>
      <c r="O703" s="82" t="str">
        <f t="shared" si="344"/>
        <v/>
      </c>
      <c r="P703" s="81" t="str">
        <f t="shared" si="342"/>
        <v/>
      </c>
      <c r="Q703" s="81" t="str">
        <f t="shared" si="345"/>
        <v/>
      </c>
      <c r="R703" s="135" t="str">
        <f t="shared" ca="1" si="346"/>
        <v/>
      </c>
      <c r="S703" s="134" t="str">
        <f t="shared" ca="1" si="347"/>
        <v/>
      </c>
      <c r="T703" s="134" t="str">
        <f ca="1">IF(S703=Dashboard!$D$12,S703,"")</f>
        <v/>
      </c>
      <c r="U703" s="134" t="str">
        <f t="shared" ca="1" si="348"/>
        <v/>
      </c>
      <c r="V703" s="83" t="str">
        <f ca="1">IF(U703="","",IFERROR((RANK(U703,$U$2:$U$2028,1)+COUNTIF($U$2:U703,U703))-1,""))</f>
        <v/>
      </c>
      <c r="W703" s="134" t="str">
        <f t="shared" si="352"/>
        <v/>
      </c>
      <c r="X703" s="134" t="str">
        <f>IF(W703="","",IFERROR((RANK(W703,$W$2:$W$2028,1)+COUNTIF($W$2:W703,W703))-1,""))</f>
        <v/>
      </c>
      <c r="Y703" s="134" t="str">
        <f t="shared" si="349"/>
        <v/>
      </c>
      <c r="Z703" s="134" t="str">
        <f>IF(Y703="","",IFERROR((RANK(Y703,$Y$2:$Y$2028,1)+COUNTIF($Y$2:Y703,Y703))-1,""))</f>
        <v/>
      </c>
      <c r="AA703" s="134" t="str">
        <f t="shared" si="350"/>
        <v/>
      </c>
      <c r="AB703" s="134" t="str">
        <f>IF(AA703="","",IFERROR((RANK(AA703,$AA$2:$AA$2028,1)+COUNTIF($AA$2:AA703,AA703))-1,""))</f>
        <v/>
      </c>
      <c r="AC703" s="134" t="str">
        <f t="shared" si="351"/>
        <v/>
      </c>
      <c r="AD703" s="134" t="str">
        <f>IF(AC703="","",IFERROR((RANK(AC703,$AC$2:$AC$2028,1)+COUNTIF($AC$2:AC703,AC703))-1,""))</f>
        <v/>
      </c>
      <c r="AE703" s="144" t="str">
        <f t="shared" si="343"/>
        <v/>
      </c>
      <c r="AF703" s="144" t="str">
        <f>IF(AE703="","",SUM($AE$2:AE703))</f>
        <v/>
      </c>
    </row>
    <row r="704" spans="14:32" x14ac:dyDescent="0.35">
      <c r="N704" s="134" t="str">
        <f t="shared" si="341"/>
        <v/>
      </c>
      <c r="O704" s="82" t="str">
        <f t="shared" si="344"/>
        <v/>
      </c>
      <c r="P704" s="81" t="str">
        <f t="shared" si="342"/>
        <v/>
      </c>
      <c r="Q704" s="81" t="str">
        <f t="shared" si="345"/>
        <v/>
      </c>
      <c r="R704" s="135" t="str">
        <f t="shared" ca="1" si="346"/>
        <v/>
      </c>
      <c r="S704" s="134" t="str">
        <f t="shared" ca="1" si="347"/>
        <v/>
      </c>
      <c r="T704" s="134" t="str">
        <f ca="1">IF(S704=Dashboard!$D$12,S704,"")</f>
        <v/>
      </c>
      <c r="U704" s="134" t="str">
        <f t="shared" ca="1" si="348"/>
        <v/>
      </c>
      <c r="V704" s="83" t="str">
        <f ca="1">IF(U704="","",IFERROR((RANK(U704,$U$2:$U$2028,1)+COUNTIF($U$2:U704,U704))-1,""))</f>
        <v/>
      </c>
      <c r="W704" s="134" t="str">
        <f t="shared" si="352"/>
        <v/>
      </c>
      <c r="X704" s="134" t="str">
        <f>IF(W704="","",IFERROR((RANK(W704,$W$2:$W$2028,1)+COUNTIF($W$2:W704,W704))-1,""))</f>
        <v/>
      </c>
      <c r="Y704" s="134" t="str">
        <f t="shared" si="349"/>
        <v/>
      </c>
      <c r="Z704" s="134" t="str">
        <f>IF(Y704="","",IFERROR((RANK(Y704,$Y$2:$Y$2028,1)+COUNTIF($Y$2:Y704,Y704))-1,""))</f>
        <v/>
      </c>
      <c r="AA704" s="134" t="str">
        <f t="shared" si="350"/>
        <v/>
      </c>
      <c r="AB704" s="134" t="str">
        <f>IF(AA704="","",IFERROR((RANK(AA704,$AA$2:$AA$2028,1)+COUNTIF($AA$2:AA704,AA704))-1,""))</f>
        <v/>
      </c>
      <c r="AC704" s="134" t="str">
        <f t="shared" si="351"/>
        <v/>
      </c>
      <c r="AD704" s="134" t="str">
        <f>IF(AC704="","",IFERROR((RANK(AC704,$AC$2:$AC$2028,1)+COUNTIF($AC$2:AC704,AC704))-1,""))</f>
        <v/>
      </c>
      <c r="AE704" s="144" t="str">
        <f t="shared" si="343"/>
        <v/>
      </c>
      <c r="AF704" s="144" t="str">
        <f>IF(AE704="","",SUM($AE$2:AE704))</f>
        <v/>
      </c>
    </row>
    <row r="705" spans="14:32" x14ac:dyDescent="0.35">
      <c r="N705" s="134" t="str">
        <f t="shared" si="341"/>
        <v/>
      </c>
      <c r="O705" s="82" t="str">
        <f t="shared" si="344"/>
        <v/>
      </c>
      <c r="P705" s="81" t="str">
        <f t="shared" si="342"/>
        <v/>
      </c>
      <c r="Q705" s="81" t="str">
        <f t="shared" si="345"/>
        <v/>
      </c>
      <c r="R705" s="135" t="str">
        <f t="shared" ca="1" si="346"/>
        <v/>
      </c>
      <c r="S705" s="134" t="str">
        <f t="shared" ca="1" si="347"/>
        <v/>
      </c>
      <c r="T705" s="134" t="str">
        <f ca="1">IF(S705=Dashboard!$D$12,S705,"")</f>
        <v/>
      </c>
      <c r="U705" s="134" t="str">
        <f t="shared" ca="1" si="348"/>
        <v/>
      </c>
      <c r="V705" s="83" t="str">
        <f ca="1">IF(U705="","",IFERROR((RANK(U705,$U$2:$U$2028,1)+COUNTIF($U$2:U705,U705))-1,""))</f>
        <v/>
      </c>
      <c r="W705" s="134" t="str">
        <f t="shared" si="352"/>
        <v/>
      </c>
      <c r="X705" s="134" t="str">
        <f>IF(W705="","",IFERROR((RANK(W705,$W$2:$W$2028,1)+COUNTIF($W$2:W705,W705))-1,""))</f>
        <v/>
      </c>
      <c r="Y705" s="134" t="str">
        <f t="shared" si="349"/>
        <v/>
      </c>
      <c r="Z705" s="134" t="str">
        <f>IF(Y705="","",IFERROR((RANK(Y705,$Y$2:$Y$2028,1)+COUNTIF($Y$2:Y705,Y705))-1,""))</f>
        <v/>
      </c>
      <c r="AA705" s="134" t="str">
        <f t="shared" si="350"/>
        <v/>
      </c>
      <c r="AB705" s="134" t="str">
        <f>IF(AA705="","",IFERROR((RANK(AA705,$AA$2:$AA$2028,1)+COUNTIF($AA$2:AA705,AA705))-1,""))</f>
        <v/>
      </c>
      <c r="AC705" s="134" t="str">
        <f t="shared" si="351"/>
        <v/>
      </c>
      <c r="AD705" s="134" t="str">
        <f>IF(AC705="","",IFERROR((RANK(AC705,$AC$2:$AC$2028,1)+COUNTIF($AC$2:AC705,AC705))-1,""))</f>
        <v/>
      </c>
      <c r="AE705" s="144" t="str">
        <f t="shared" si="343"/>
        <v/>
      </c>
      <c r="AF705" s="144" t="str">
        <f>IF(AE705="","",SUM($AE$2:AE705))</f>
        <v/>
      </c>
    </row>
    <row r="706" spans="14:32" x14ac:dyDescent="0.35">
      <c r="N706" s="134" t="str">
        <f t="shared" ref="N706:N769" si="353">IF(A706="","",COUNTIFS(M:M,M706,H:H,"&lt;"&amp;H706)+1)</f>
        <v/>
      </c>
      <c r="O706" s="82" t="str">
        <f t="shared" si="344"/>
        <v/>
      </c>
      <c r="P706" s="81" t="str">
        <f t="shared" ref="P706:P769" si="354">IF(A706="","",COUNTIFS(M:M,M706,H:H,"&gt;"&amp;H706)+1)</f>
        <v/>
      </c>
      <c r="Q706" s="81" t="str">
        <f t="shared" si="345"/>
        <v/>
      </c>
      <c r="R706" s="135" t="str">
        <f t="shared" ca="1" si="346"/>
        <v/>
      </c>
      <c r="S706" s="134" t="str">
        <f t="shared" ca="1" si="347"/>
        <v/>
      </c>
      <c r="T706" s="134" t="str">
        <f ca="1">IF(S706=Dashboard!$D$12,S706,"")</f>
        <v/>
      </c>
      <c r="U706" s="134" t="str">
        <f t="shared" ca="1" si="348"/>
        <v/>
      </c>
      <c r="V706" s="83" t="str">
        <f ca="1">IF(U706="","",IFERROR((RANK(U706,$U$2:$U$2028,1)+COUNTIF($U$2:U706,U706))-1,""))</f>
        <v/>
      </c>
      <c r="W706" s="134" t="str">
        <f t="shared" si="352"/>
        <v/>
      </c>
      <c r="X706" s="134" t="str">
        <f>IF(W706="","",IFERROR((RANK(W706,$W$2:$W$2028,1)+COUNTIF($W$2:W706,W706))-1,""))</f>
        <v/>
      </c>
      <c r="Y706" s="134" t="str">
        <f t="shared" si="349"/>
        <v/>
      </c>
      <c r="Z706" s="134" t="str">
        <f>IF(Y706="","",IFERROR((RANK(Y706,$Y$2:$Y$2028,1)+COUNTIF($Y$2:Y706,Y706))-1,""))</f>
        <v/>
      </c>
      <c r="AA706" s="134" t="str">
        <f t="shared" si="350"/>
        <v/>
      </c>
      <c r="AB706" s="134" t="str">
        <f>IF(AA706="","",IFERROR((RANK(AA706,$AA$2:$AA$2028,1)+COUNTIF($AA$2:AA706,AA706))-1,""))</f>
        <v/>
      </c>
      <c r="AC706" s="134" t="str">
        <f t="shared" si="351"/>
        <v/>
      </c>
      <c r="AD706" s="134" t="str">
        <f>IF(AC706="","",IFERROR((RANK(AC706,$AC$2:$AC$2028,1)+COUNTIF($AC$2:AC706,AC706))-1,""))</f>
        <v/>
      </c>
      <c r="AE706" s="144" t="str">
        <f t="shared" si="343"/>
        <v/>
      </c>
      <c r="AF706" s="144" t="str">
        <f>IF(AE706="","",SUM($AE$2:AE706))</f>
        <v/>
      </c>
    </row>
    <row r="707" spans="14:32" x14ac:dyDescent="0.35">
      <c r="N707" s="134" t="str">
        <f t="shared" si="353"/>
        <v/>
      </c>
      <c r="O707" s="82" t="str">
        <f t="shared" si="344"/>
        <v/>
      </c>
      <c r="P707" s="81" t="str">
        <f t="shared" si="354"/>
        <v/>
      </c>
      <c r="Q707" s="81" t="str">
        <f t="shared" si="345"/>
        <v/>
      </c>
      <c r="R707" s="135" t="str">
        <f t="shared" ca="1" si="346"/>
        <v/>
      </c>
      <c r="S707" s="134" t="str">
        <f t="shared" ca="1" si="347"/>
        <v/>
      </c>
      <c r="T707" s="134" t="str">
        <f ca="1">IF(S707=Dashboard!$D$12,S707,"")</f>
        <v/>
      </c>
      <c r="U707" s="134" t="str">
        <f t="shared" ca="1" si="348"/>
        <v/>
      </c>
      <c r="V707" s="83" t="str">
        <f ca="1">IF(U707="","",IFERROR((RANK(U707,$U$2:$U$2028,1)+COUNTIF($U$2:U707,U707))-1,""))</f>
        <v/>
      </c>
      <c r="W707" s="134" t="str">
        <f t="shared" si="352"/>
        <v/>
      </c>
      <c r="X707" s="134" t="str">
        <f>IF(W707="","",IFERROR((RANK(W707,$W$2:$W$2028,1)+COUNTIF($W$2:W707,W707))-1,""))</f>
        <v/>
      </c>
      <c r="Y707" s="134" t="str">
        <f t="shared" si="349"/>
        <v/>
      </c>
      <c r="Z707" s="134" t="str">
        <f>IF(Y707="","",IFERROR((RANK(Y707,$Y$2:$Y$2028,1)+COUNTIF($Y$2:Y707,Y707))-1,""))</f>
        <v/>
      </c>
      <c r="AA707" s="134" t="str">
        <f t="shared" si="350"/>
        <v/>
      </c>
      <c r="AB707" s="134" t="str">
        <f>IF(AA707="","",IFERROR((RANK(AA707,$AA$2:$AA$2028,1)+COUNTIF($AA$2:AA707,AA707))-1,""))</f>
        <v/>
      </c>
      <c r="AC707" s="134" t="str">
        <f t="shared" si="351"/>
        <v/>
      </c>
      <c r="AD707" s="134" t="str">
        <f>IF(AC707="","",IFERROR((RANK(AC707,$AC$2:$AC$2028,1)+COUNTIF($AC$2:AC707,AC707))-1,""))</f>
        <v/>
      </c>
      <c r="AE707" s="144" t="str">
        <f t="shared" si="343"/>
        <v/>
      </c>
      <c r="AF707" s="144" t="str">
        <f>IF(AE707="","",SUM($AE$2:AE707))</f>
        <v/>
      </c>
    </row>
    <row r="708" spans="14:32" x14ac:dyDescent="0.35">
      <c r="N708" s="134" t="str">
        <f t="shared" si="353"/>
        <v/>
      </c>
      <c r="O708" s="82" t="str">
        <f t="shared" si="344"/>
        <v/>
      </c>
      <c r="P708" s="81" t="str">
        <f t="shared" si="354"/>
        <v/>
      </c>
      <c r="Q708" s="81" t="str">
        <f t="shared" si="345"/>
        <v/>
      </c>
      <c r="R708" s="135" t="str">
        <f t="shared" ca="1" si="346"/>
        <v/>
      </c>
      <c r="S708" s="134" t="str">
        <f t="shared" ca="1" si="347"/>
        <v/>
      </c>
      <c r="T708" s="134" t="str">
        <f ca="1">IF(S708=Dashboard!$D$12,S708,"")</f>
        <v/>
      </c>
      <c r="U708" s="134" t="str">
        <f t="shared" ca="1" si="348"/>
        <v/>
      </c>
      <c r="V708" s="83" t="str">
        <f ca="1">IF(U708="","",IFERROR((RANK(U708,$U$2:$U$2028,1)+COUNTIF($U$2:U708,U708))-1,""))</f>
        <v/>
      </c>
      <c r="W708" s="134" t="str">
        <f t="shared" si="352"/>
        <v/>
      </c>
      <c r="X708" s="134" t="str">
        <f>IF(W708="","",IFERROR((RANK(W708,$W$2:$W$2028,1)+COUNTIF($W$2:W708,W708))-1,""))</f>
        <v/>
      </c>
      <c r="Y708" s="134" t="str">
        <f t="shared" si="349"/>
        <v/>
      </c>
      <c r="Z708" s="134" t="str">
        <f>IF(Y708="","",IFERROR((RANK(Y708,$Y$2:$Y$2028,1)+COUNTIF($Y$2:Y708,Y708))-1,""))</f>
        <v/>
      </c>
      <c r="AA708" s="134" t="str">
        <f t="shared" si="350"/>
        <v/>
      </c>
      <c r="AB708" s="134" t="str">
        <f>IF(AA708="","",IFERROR((RANK(AA708,$AA$2:$AA$2028,1)+COUNTIF($AA$2:AA708,AA708))-1,""))</f>
        <v/>
      </c>
      <c r="AC708" s="134" t="str">
        <f t="shared" si="351"/>
        <v/>
      </c>
      <c r="AD708" s="134" t="str">
        <f>IF(AC708="","",IFERROR((RANK(AC708,$AC$2:$AC$2028,1)+COUNTIF($AC$2:AC708,AC708))-1,""))</f>
        <v/>
      </c>
      <c r="AE708" s="144" t="str">
        <f t="shared" si="343"/>
        <v/>
      </c>
      <c r="AF708" s="144" t="str">
        <f>IF(AE708="","",SUM($AE$2:AE708))</f>
        <v/>
      </c>
    </row>
    <row r="709" spans="14:32" x14ac:dyDescent="0.35">
      <c r="N709" s="134" t="str">
        <f t="shared" si="353"/>
        <v/>
      </c>
      <c r="O709" s="82" t="str">
        <f t="shared" si="344"/>
        <v/>
      </c>
      <c r="P709" s="81" t="str">
        <f t="shared" si="354"/>
        <v/>
      </c>
      <c r="Q709" s="81" t="str">
        <f t="shared" si="345"/>
        <v/>
      </c>
      <c r="R709" s="135" t="str">
        <f t="shared" ca="1" si="346"/>
        <v/>
      </c>
      <c r="S709" s="134" t="str">
        <f t="shared" ca="1" si="347"/>
        <v/>
      </c>
      <c r="T709" s="134" t="str">
        <f ca="1">IF(S709=Dashboard!$D$12,S709,"")</f>
        <v/>
      </c>
      <c r="U709" s="134" t="str">
        <f t="shared" ca="1" si="348"/>
        <v/>
      </c>
      <c r="V709" s="83" t="str">
        <f ca="1">IF(U709="","",IFERROR((RANK(U709,$U$2:$U$2028,1)+COUNTIF($U$2:U709,U709))-1,""))</f>
        <v/>
      </c>
      <c r="W709" s="134" t="str">
        <f t="shared" si="352"/>
        <v/>
      </c>
      <c r="X709" s="134" t="str">
        <f>IF(W709="","",IFERROR((RANK(W709,$W$2:$W$2028,1)+COUNTIF($W$2:W709,W709))-1,""))</f>
        <v/>
      </c>
      <c r="Y709" s="134" t="str">
        <f t="shared" si="349"/>
        <v/>
      </c>
      <c r="Z709" s="134" t="str">
        <f>IF(Y709="","",IFERROR((RANK(Y709,$Y$2:$Y$2028,1)+COUNTIF($Y$2:Y709,Y709))-1,""))</f>
        <v/>
      </c>
      <c r="AA709" s="134" t="str">
        <f t="shared" si="350"/>
        <v/>
      </c>
      <c r="AB709" s="134" t="str">
        <f>IF(AA709="","",IFERROR((RANK(AA709,$AA$2:$AA$2028,1)+COUNTIF($AA$2:AA709,AA709))-1,""))</f>
        <v/>
      </c>
      <c r="AC709" s="134" t="str">
        <f t="shared" si="351"/>
        <v/>
      </c>
      <c r="AD709" s="134" t="str">
        <f>IF(AC709="","",IFERROR((RANK(AC709,$AC$2:$AC$2028,1)+COUNTIF($AC$2:AC709,AC709))-1,""))</f>
        <v/>
      </c>
      <c r="AE709" s="144" t="str">
        <f t="shared" si="343"/>
        <v/>
      </c>
      <c r="AF709" s="144" t="str">
        <f>IF(AE709="","",SUM($AE$2:AE709))</f>
        <v/>
      </c>
    </row>
    <row r="710" spans="14:32" x14ac:dyDescent="0.35">
      <c r="N710" s="134" t="str">
        <f t="shared" si="353"/>
        <v/>
      </c>
      <c r="O710" s="82" t="str">
        <f t="shared" si="344"/>
        <v/>
      </c>
      <c r="P710" s="81" t="str">
        <f t="shared" si="354"/>
        <v/>
      </c>
      <c r="Q710" s="81" t="str">
        <f t="shared" si="345"/>
        <v/>
      </c>
      <c r="R710" s="135" t="str">
        <f t="shared" ca="1" si="346"/>
        <v/>
      </c>
      <c r="S710" s="134" t="str">
        <f t="shared" ca="1" si="347"/>
        <v/>
      </c>
      <c r="T710" s="134" t="str">
        <f ca="1">IF(S710=Dashboard!$D$12,S710,"")</f>
        <v/>
      </c>
      <c r="U710" s="134" t="str">
        <f t="shared" ca="1" si="348"/>
        <v/>
      </c>
      <c r="V710" s="83" t="str">
        <f ca="1">IF(U710="","",IFERROR((RANK(U710,$U$2:$U$2028,1)+COUNTIF($U$2:U710,U710))-1,""))</f>
        <v/>
      </c>
      <c r="W710" s="134" t="str">
        <f t="shared" si="352"/>
        <v/>
      </c>
      <c r="X710" s="134" t="str">
        <f>IF(W710="","",IFERROR((RANK(W710,$W$2:$W$2028,1)+COUNTIF($W$2:W710,W710))-1,""))</f>
        <v/>
      </c>
      <c r="Y710" s="134" t="str">
        <f t="shared" si="349"/>
        <v/>
      </c>
      <c r="Z710" s="134" t="str">
        <f>IF(Y710="","",IFERROR((RANK(Y710,$Y$2:$Y$2028,1)+COUNTIF($Y$2:Y710,Y710))-1,""))</f>
        <v/>
      </c>
      <c r="AA710" s="134" t="str">
        <f t="shared" si="350"/>
        <v/>
      </c>
      <c r="AB710" s="134" t="str">
        <f>IF(AA710="","",IFERROR((RANK(AA710,$AA$2:$AA$2028,1)+COUNTIF($AA$2:AA710,AA710))-1,""))</f>
        <v/>
      </c>
      <c r="AC710" s="134" t="str">
        <f t="shared" si="351"/>
        <v/>
      </c>
      <c r="AD710" s="134" t="str">
        <f>IF(AC710="","",IFERROR((RANK(AC710,$AC$2:$AC$2028,1)+COUNTIF($AC$2:AC710,AC710))-1,""))</f>
        <v/>
      </c>
      <c r="AE710" s="144" t="str">
        <f t="shared" si="343"/>
        <v/>
      </c>
      <c r="AF710" s="144" t="str">
        <f>IF(AE710="","",SUM($AE$2:AE710))</f>
        <v/>
      </c>
    </row>
    <row r="711" spans="14:32" x14ac:dyDescent="0.35">
      <c r="N711" s="134" t="str">
        <f t="shared" si="353"/>
        <v/>
      </c>
      <c r="O711" s="82" t="str">
        <f t="shared" si="344"/>
        <v/>
      </c>
      <c r="P711" s="81" t="str">
        <f t="shared" si="354"/>
        <v/>
      </c>
      <c r="Q711" s="81" t="str">
        <f t="shared" si="345"/>
        <v/>
      </c>
      <c r="R711" s="135" t="str">
        <f t="shared" ca="1" si="346"/>
        <v/>
      </c>
      <c r="S711" s="134" t="str">
        <f t="shared" ca="1" si="347"/>
        <v/>
      </c>
      <c r="T711" s="134" t="str">
        <f ca="1">IF(S711=Dashboard!$D$12,S711,"")</f>
        <v/>
      </c>
      <c r="U711" s="134" t="str">
        <f t="shared" ca="1" si="348"/>
        <v/>
      </c>
      <c r="V711" s="83" t="str">
        <f ca="1">IF(U711="","",IFERROR((RANK(U711,$U$2:$U$2028,1)+COUNTIF($U$2:U711,U711))-1,""))</f>
        <v/>
      </c>
      <c r="W711" s="134" t="str">
        <f t="shared" si="352"/>
        <v/>
      </c>
      <c r="X711" s="134" t="str">
        <f>IF(W711="","",IFERROR((RANK(W711,$W$2:$W$2028,1)+COUNTIF($W$2:W711,W711))-1,""))</f>
        <v/>
      </c>
      <c r="Y711" s="134" t="str">
        <f t="shared" si="349"/>
        <v/>
      </c>
      <c r="Z711" s="134" t="str">
        <f>IF(Y711="","",IFERROR((RANK(Y711,$Y$2:$Y$2028,1)+COUNTIF($Y$2:Y711,Y711))-1,""))</f>
        <v/>
      </c>
      <c r="AA711" s="134" t="str">
        <f t="shared" si="350"/>
        <v/>
      </c>
      <c r="AB711" s="134" t="str">
        <f>IF(AA711="","",IFERROR((RANK(AA711,$AA$2:$AA$2028,1)+COUNTIF($AA$2:AA711,AA711))-1,""))</f>
        <v/>
      </c>
      <c r="AC711" s="134" t="str">
        <f t="shared" si="351"/>
        <v/>
      </c>
      <c r="AD711" s="134" t="str">
        <f>IF(AC711="","",IFERROR((RANK(AC711,$AC$2:$AC$2028,1)+COUNTIF($AC$2:AC711,AC711))-1,""))</f>
        <v/>
      </c>
      <c r="AE711" s="144" t="str">
        <f t="shared" ref="AE711:AE774" si="355">IF(P711=1,P711,"")</f>
        <v/>
      </c>
      <c r="AF711" s="144" t="str">
        <f>IF(AE711="","",SUM($AE$2:AE711))</f>
        <v/>
      </c>
    </row>
    <row r="712" spans="14:32" x14ac:dyDescent="0.35">
      <c r="N712" s="134" t="str">
        <f t="shared" si="353"/>
        <v/>
      </c>
      <c r="O712" s="82" t="str">
        <f t="shared" si="344"/>
        <v/>
      </c>
      <c r="P712" s="81" t="str">
        <f t="shared" si="354"/>
        <v/>
      </c>
      <c r="Q712" s="81" t="str">
        <f t="shared" si="345"/>
        <v/>
      </c>
      <c r="R712" s="135" t="str">
        <f t="shared" ca="1" si="346"/>
        <v/>
      </c>
      <c r="S712" s="134" t="str">
        <f t="shared" ca="1" si="347"/>
        <v/>
      </c>
      <c r="T712" s="134" t="str">
        <f ca="1">IF(S712=Dashboard!$D$12,S712,"")</f>
        <v/>
      </c>
      <c r="U712" s="134" t="str">
        <f t="shared" ca="1" si="348"/>
        <v/>
      </c>
      <c r="V712" s="83" t="str">
        <f ca="1">IF(U712="","",IFERROR((RANK(U712,$U$2:$U$2028,1)+COUNTIF($U$2:U712,U712))-1,""))</f>
        <v/>
      </c>
      <c r="W712" s="134" t="str">
        <f t="shared" si="352"/>
        <v/>
      </c>
      <c r="X712" s="134" t="str">
        <f>IF(W712="","",IFERROR((RANK(W712,$W$2:$W$2028,1)+COUNTIF($W$2:W712,W712))-1,""))</f>
        <v/>
      </c>
      <c r="Y712" s="134" t="str">
        <f t="shared" si="349"/>
        <v/>
      </c>
      <c r="Z712" s="134" t="str">
        <f>IF(Y712="","",IFERROR((RANK(Y712,$Y$2:$Y$2028,1)+COUNTIF($Y$2:Y712,Y712))-1,""))</f>
        <v/>
      </c>
      <c r="AA712" s="134" t="str">
        <f t="shared" si="350"/>
        <v/>
      </c>
      <c r="AB712" s="134" t="str">
        <f>IF(AA712="","",IFERROR((RANK(AA712,$AA$2:$AA$2028,1)+COUNTIF($AA$2:AA712,AA712))-1,""))</f>
        <v/>
      </c>
      <c r="AC712" s="134" t="str">
        <f t="shared" si="351"/>
        <v/>
      </c>
      <c r="AD712" s="134" t="str">
        <f>IF(AC712="","",IFERROR((RANK(AC712,$AC$2:$AC$2028,1)+COUNTIF($AC$2:AC712,AC712))-1,""))</f>
        <v/>
      </c>
      <c r="AE712" s="144" t="str">
        <f t="shared" si="355"/>
        <v/>
      </c>
      <c r="AF712" s="144" t="str">
        <f>IF(AE712="","",SUM($AE$2:AE712))</f>
        <v/>
      </c>
    </row>
    <row r="713" spans="14:32" x14ac:dyDescent="0.35">
      <c r="N713" s="134" t="str">
        <f t="shared" si="353"/>
        <v/>
      </c>
      <c r="O713" s="82" t="str">
        <f t="shared" si="344"/>
        <v/>
      </c>
      <c r="P713" s="81" t="str">
        <f t="shared" si="354"/>
        <v/>
      </c>
      <c r="Q713" s="81" t="str">
        <f t="shared" si="345"/>
        <v/>
      </c>
      <c r="R713" s="135" t="str">
        <f t="shared" ca="1" si="346"/>
        <v/>
      </c>
      <c r="S713" s="134" t="str">
        <f t="shared" ca="1" si="347"/>
        <v/>
      </c>
      <c r="T713" s="134" t="str">
        <f ca="1">IF(S713=Dashboard!$D$12,S713,"")</f>
        <v/>
      </c>
      <c r="U713" s="134" t="str">
        <f t="shared" ca="1" si="348"/>
        <v/>
      </c>
      <c r="V713" s="83" t="str">
        <f ca="1">IF(U713="","",IFERROR((RANK(U713,$U$2:$U$2028,1)+COUNTIF($U$2:U713,U713))-1,""))</f>
        <v/>
      </c>
      <c r="W713" s="134" t="str">
        <f t="shared" si="352"/>
        <v/>
      </c>
      <c r="X713" s="134" t="str">
        <f>IF(W713="","",IFERROR((RANK(W713,$W$2:$W$2028,1)+COUNTIF($W$2:W713,W713))-1,""))</f>
        <v/>
      </c>
      <c r="Y713" s="134" t="str">
        <f t="shared" si="349"/>
        <v/>
      </c>
      <c r="Z713" s="134" t="str">
        <f>IF(Y713="","",IFERROR((RANK(Y713,$Y$2:$Y$2028,1)+COUNTIF($Y$2:Y713,Y713))-1,""))</f>
        <v/>
      </c>
      <c r="AA713" s="134" t="str">
        <f t="shared" si="350"/>
        <v/>
      </c>
      <c r="AB713" s="134" t="str">
        <f>IF(AA713="","",IFERROR((RANK(AA713,$AA$2:$AA$2028,1)+COUNTIF($AA$2:AA713,AA713))-1,""))</f>
        <v/>
      </c>
      <c r="AC713" s="134" t="str">
        <f t="shared" si="351"/>
        <v/>
      </c>
      <c r="AD713" s="134" t="str">
        <f>IF(AC713="","",IFERROR((RANK(AC713,$AC$2:$AC$2028,1)+COUNTIF($AC$2:AC713,AC713))-1,""))</f>
        <v/>
      </c>
      <c r="AE713" s="144" t="str">
        <f t="shared" si="355"/>
        <v/>
      </c>
      <c r="AF713" s="144" t="str">
        <f>IF(AE713="","",SUM($AE$2:AE713))</f>
        <v/>
      </c>
    </row>
    <row r="714" spans="14:32" x14ac:dyDescent="0.35">
      <c r="N714" s="134" t="str">
        <f t="shared" si="353"/>
        <v/>
      </c>
      <c r="O714" s="82" t="str">
        <f t="shared" si="344"/>
        <v/>
      </c>
      <c r="P714" s="81" t="str">
        <f t="shared" si="354"/>
        <v/>
      </c>
      <c r="Q714" s="81" t="str">
        <f t="shared" si="345"/>
        <v/>
      </c>
      <c r="R714" s="135" t="str">
        <f t="shared" ca="1" si="346"/>
        <v/>
      </c>
      <c r="S714" s="134" t="str">
        <f t="shared" ca="1" si="347"/>
        <v/>
      </c>
      <c r="T714" s="134" t="str">
        <f ca="1">IF(S714=Dashboard!$D$12,S714,"")</f>
        <v/>
      </c>
      <c r="U714" s="134" t="str">
        <f t="shared" ca="1" si="348"/>
        <v/>
      </c>
      <c r="V714" s="83" t="str">
        <f ca="1">IF(U714="","",IFERROR((RANK(U714,$U$2:$U$2028,1)+COUNTIF($U$2:U714,U714))-1,""))</f>
        <v/>
      </c>
      <c r="W714" s="134" t="str">
        <f t="shared" si="352"/>
        <v/>
      </c>
      <c r="X714" s="134" t="str">
        <f>IF(W714="","",IFERROR((RANK(W714,$W$2:$W$2028,1)+COUNTIF($W$2:W714,W714))-1,""))</f>
        <v/>
      </c>
      <c r="Y714" s="134" t="str">
        <f t="shared" si="349"/>
        <v/>
      </c>
      <c r="Z714" s="134" t="str">
        <f>IF(Y714="","",IFERROR((RANK(Y714,$Y$2:$Y$2028,1)+COUNTIF($Y$2:Y714,Y714))-1,""))</f>
        <v/>
      </c>
      <c r="AA714" s="134" t="str">
        <f t="shared" si="350"/>
        <v/>
      </c>
      <c r="AB714" s="134" t="str">
        <f>IF(AA714="","",IFERROR((RANK(AA714,$AA$2:$AA$2028,1)+COUNTIF($AA$2:AA714,AA714))-1,""))</f>
        <v/>
      </c>
      <c r="AC714" s="134" t="str">
        <f t="shared" si="351"/>
        <v/>
      </c>
      <c r="AD714" s="134" t="str">
        <f>IF(AC714="","",IFERROR((RANK(AC714,$AC$2:$AC$2028,1)+COUNTIF($AC$2:AC714,AC714))-1,""))</f>
        <v/>
      </c>
      <c r="AE714" s="144" t="str">
        <f t="shared" si="355"/>
        <v/>
      </c>
      <c r="AF714" s="144" t="str">
        <f>IF(AE714="","",SUM($AE$2:AE714))</f>
        <v/>
      </c>
    </row>
    <row r="715" spans="14:32" x14ac:dyDescent="0.35">
      <c r="N715" s="134" t="str">
        <f t="shared" si="353"/>
        <v/>
      </c>
      <c r="O715" s="82" t="str">
        <f t="shared" si="344"/>
        <v/>
      </c>
      <c r="P715" s="81" t="str">
        <f t="shared" si="354"/>
        <v/>
      </c>
      <c r="Q715" s="81" t="str">
        <f t="shared" si="345"/>
        <v/>
      </c>
      <c r="R715" s="135" t="str">
        <f t="shared" ca="1" si="346"/>
        <v/>
      </c>
      <c r="S715" s="134" t="str">
        <f t="shared" ca="1" si="347"/>
        <v/>
      </c>
      <c r="T715" s="134" t="str">
        <f ca="1">IF(S715=Dashboard!$D$12,S715,"")</f>
        <v/>
      </c>
      <c r="U715" s="134" t="str">
        <f t="shared" ca="1" si="348"/>
        <v/>
      </c>
      <c r="V715" s="83" t="str">
        <f ca="1">IF(U715="","",IFERROR((RANK(U715,$U$2:$U$2028,1)+COUNTIF($U$2:U715,U715))-1,""))</f>
        <v/>
      </c>
      <c r="W715" s="134" t="str">
        <f t="shared" si="352"/>
        <v/>
      </c>
      <c r="X715" s="134" t="str">
        <f>IF(W715="","",IFERROR((RANK(W715,$W$2:$W$2028,1)+COUNTIF($W$2:W715,W715))-1,""))</f>
        <v/>
      </c>
      <c r="Y715" s="134" t="str">
        <f t="shared" si="349"/>
        <v/>
      </c>
      <c r="Z715" s="134" t="str">
        <f>IF(Y715="","",IFERROR((RANK(Y715,$Y$2:$Y$2028,1)+COUNTIF($Y$2:Y715,Y715))-1,""))</f>
        <v/>
      </c>
      <c r="AA715" s="134" t="str">
        <f t="shared" si="350"/>
        <v/>
      </c>
      <c r="AB715" s="134" t="str">
        <f>IF(AA715="","",IFERROR((RANK(AA715,$AA$2:$AA$2028,1)+COUNTIF($AA$2:AA715,AA715))-1,""))</f>
        <v/>
      </c>
      <c r="AC715" s="134" t="str">
        <f t="shared" si="351"/>
        <v/>
      </c>
      <c r="AD715" s="134" t="str">
        <f>IF(AC715="","",IFERROR((RANK(AC715,$AC$2:$AC$2028,1)+COUNTIF($AC$2:AC715,AC715))-1,""))</f>
        <v/>
      </c>
      <c r="AE715" s="144" t="str">
        <f t="shared" si="355"/>
        <v/>
      </c>
      <c r="AF715" s="144" t="str">
        <f>IF(AE715="","",SUM($AE$2:AE715))</f>
        <v/>
      </c>
    </row>
    <row r="716" spans="14:32" x14ac:dyDescent="0.35">
      <c r="N716" s="134" t="str">
        <f t="shared" si="353"/>
        <v/>
      </c>
      <c r="O716" s="82" t="str">
        <f t="shared" si="344"/>
        <v/>
      </c>
      <c r="P716" s="81" t="str">
        <f t="shared" si="354"/>
        <v/>
      </c>
      <c r="Q716" s="81" t="str">
        <f t="shared" si="345"/>
        <v/>
      </c>
      <c r="R716" s="135" t="str">
        <f t="shared" ca="1" si="346"/>
        <v/>
      </c>
      <c r="S716" s="134" t="str">
        <f t="shared" ca="1" si="347"/>
        <v/>
      </c>
      <c r="T716" s="134" t="str">
        <f ca="1">IF(S716=Dashboard!$D$12,S716,"")</f>
        <v/>
      </c>
      <c r="U716" s="134" t="str">
        <f t="shared" ca="1" si="348"/>
        <v/>
      </c>
      <c r="V716" s="83" t="str">
        <f ca="1">IF(U716="","",IFERROR((RANK(U716,$U$2:$U$2028,1)+COUNTIF($U$2:U716,U716))-1,""))</f>
        <v/>
      </c>
      <c r="W716" s="134" t="str">
        <f t="shared" si="352"/>
        <v/>
      </c>
      <c r="X716" s="134" t="str">
        <f>IF(W716="","",IFERROR((RANK(W716,$W$2:$W$2028,1)+COUNTIF($W$2:W716,W716))-1,""))</f>
        <v/>
      </c>
      <c r="Y716" s="134" t="str">
        <f t="shared" si="349"/>
        <v/>
      </c>
      <c r="Z716" s="134" t="str">
        <f>IF(Y716="","",IFERROR((RANK(Y716,$Y$2:$Y$2028,1)+COUNTIF($Y$2:Y716,Y716))-1,""))</f>
        <v/>
      </c>
      <c r="AA716" s="134" t="str">
        <f t="shared" si="350"/>
        <v/>
      </c>
      <c r="AB716" s="134" t="str">
        <f>IF(AA716="","",IFERROR((RANK(AA716,$AA$2:$AA$2028,1)+COUNTIF($AA$2:AA716,AA716))-1,""))</f>
        <v/>
      </c>
      <c r="AC716" s="134" t="str">
        <f t="shared" si="351"/>
        <v/>
      </c>
      <c r="AD716" s="134" t="str">
        <f>IF(AC716="","",IFERROR((RANK(AC716,$AC$2:$AC$2028,1)+COUNTIF($AC$2:AC716,AC716))-1,""))</f>
        <v/>
      </c>
      <c r="AE716" s="144" t="str">
        <f t="shared" si="355"/>
        <v/>
      </c>
      <c r="AF716" s="144" t="str">
        <f>IF(AE716="","",SUM($AE$2:AE716))</f>
        <v/>
      </c>
    </row>
    <row r="717" spans="14:32" x14ac:dyDescent="0.35">
      <c r="N717" s="134" t="str">
        <f t="shared" si="353"/>
        <v/>
      </c>
      <c r="O717" s="82" t="str">
        <f t="shared" si="344"/>
        <v/>
      </c>
      <c r="P717" s="81" t="str">
        <f t="shared" si="354"/>
        <v/>
      </c>
      <c r="Q717" s="81" t="str">
        <f t="shared" si="345"/>
        <v/>
      </c>
      <c r="R717" s="135" t="str">
        <f t="shared" ca="1" si="346"/>
        <v/>
      </c>
      <c r="S717" s="134" t="str">
        <f t="shared" ca="1" si="347"/>
        <v/>
      </c>
      <c r="T717" s="134" t="str">
        <f ca="1">IF(S717=Dashboard!$D$12,S717,"")</f>
        <v/>
      </c>
      <c r="U717" s="134" t="str">
        <f t="shared" ca="1" si="348"/>
        <v/>
      </c>
      <c r="V717" s="83" t="str">
        <f ca="1">IF(U717="","",IFERROR((RANK(U717,$U$2:$U$2028,1)+COUNTIF($U$2:U717,U717))-1,""))</f>
        <v/>
      </c>
      <c r="W717" s="134" t="str">
        <f t="shared" si="352"/>
        <v/>
      </c>
      <c r="X717" s="134" t="str">
        <f>IF(W717="","",IFERROR((RANK(W717,$W$2:$W$2028,1)+COUNTIF($W$2:W717,W717))-1,""))</f>
        <v/>
      </c>
      <c r="Y717" s="134" t="str">
        <f t="shared" si="349"/>
        <v/>
      </c>
      <c r="Z717" s="134" t="str">
        <f>IF(Y717="","",IFERROR((RANK(Y717,$Y$2:$Y$2028,1)+COUNTIF($Y$2:Y717,Y717))-1,""))</f>
        <v/>
      </c>
      <c r="AA717" s="134" t="str">
        <f t="shared" si="350"/>
        <v/>
      </c>
      <c r="AB717" s="134" t="str">
        <f>IF(AA717="","",IFERROR((RANK(AA717,$AA$2:$AA$2028,1)+COUNTIF($AA$2:AA717,AA717))-1,""))</f>
        <v/>
      </c>
      <c r="AC717" s="134" t="str">
        <f t="shared" si="351"/>
        <v/>
      </c>
      <c r="AD717" s="134" t="str">
        <f>IF(AC717="","",IFERROR((RANK(AC717,$AC$2:$AC$2028,1)+COUNTIF($AC$2:AC717,AC717))-1,""))</f>
        <v/>
      </c>
      <c r="AE717" s="144" t="str">
        <f t="shared" si="355"/>
        <v/>
      </c>
      <c r="AF717" s="144" t="str">
        <f>IF(AE717="","",SUM($AE$2:AE717))</f>
        <v/>
      </c>
    </row>
    <row r="718" spans="14:32" x14ac:dyDescent="0.35">
      <c r="N718" s="134" t="str">
        <f t="shared" si="353"/>
        <v/>
      </c>
      <c r="O718" s="82" t="str">
        <f t="shared" si="344"/>
        <v/>
      </c>
      <c r="P718" s="81" t="str">
        <f t="shared" si="354"/>
        <v/>
      </c>
      <c r="Q718" s="81" t="str">
        <f t="shared" si="345"/>
        <v/>
      </c>
      <c r="R718" s="135" t="str">
        <f t="shared" ca="1" si="346"/>
        <v/>
      </c>
      <c r="S718" s="134" t="str">
        <f t="shared" ca="1" si="347"/>
        <v/>
      </c>
      <c r="T718" s="134" t="str">
        <f ca="1">IF(S718=Dashboard!$D$12,S718,"")</f>
        <v/>
      </c>
      <c r="U718" s="134" t="str">
        <f t="shared" ca="1" si="348"/>
        <v/>
      </c>
      <c r="V718" s="83" t="str">
        <f ca="1">IF(U718="","",IFERROR((RANK(U718,$U$2:$U$2028,1)+COUNTIF($U$2:U718,U718))-1,""))</f>
        <v/>
      </c>
      <c r="W718" s="134" t="str">
        <f t="shared" si="352"/>
        <v/>
      </c>
      <c r="X718" s="134" t="str">
        <f>IF(W718="","",IFERROR((RANK(W718,$W$2:$W$2028,1)+COUNTIF($W$2:W718,W718))-1,""))</f>
        <v/>
      </c>
      <c r="Y718" s="134" t="str">
        <f t="shared" si="349"/>
        <v/>
      </c>
      <c r="Z718" s="134" t="str">
        <f>IF(Y718="","",IFERROR((RANK(Y718,$Y$2:$Y$2028,1)+COUNTIF($Y$2:Y718,Y718))-1,""))</f>
        <v/>
      </c>
      <c r="AA718" s="134" t="str">
        <f t="shared" si="350"/>
        <v/>
      </c>
      <c r="AB718" s="134" t="str">
        <f>IF(AA718="","",IFERROR((RANK(AA718,$AA$2:$AA$2028,1)+COUNTIF($AA$2:AA718,AA718))-1,""))</f>
        <v/>
      </c>
      <c r="AC718" s="134" t="str">
        <f t="shared" si="351"/>
        <v/>
      </c>
      <c r="AD718" s="134" t="str">
        <f>IF(AC718="","",IFERROR((RANK(AC718,$AC$2:$AC$2028,1)+COUNTIF($AC$2:AC718,AC718))-1,""))</f>
        <v/>
      </c>
      <c r="AE718" s="144" t="str">
        <f t="shared" si="355"/>
        <v/>
      </c>
      <c r="AF718" s="144" t="str">
        <f>IF(AE718="","",SUM($AE$2:AE718))</f>
        <v/>
      </c>
    </row>
    <row r="719" spans="14:32" x14ac:dyDescent="0.35">
      <c r="N719" s="134" t="str">
        <f t="shared" si="353"/>
        <v/>
      </c>
      <c r="O719" s="82" t="str">
        <f t="shared" si="344"/>
        <v/>
      </c>
      <c r="P719" s="81" t="str">
        <f t="shared" si="354"/>
        <v/>
      </c>
      <c r="Q719" s="81" t="str">
        <f t="shared" si="345"/>
        <v/>
      </c>
      <c r="R719" s="135" t="str">
        <f t="shared" ca="1" si="346"/>
        <v/>
      </c>
      <c r="S719" s="134" t="str">
        <f t="shared" ca="1" si="347"/>
        <v/>
      </c>
      <c r="T719" s="134" t="str">
        <f ca="1">IF(S719=Dashboard!$D$12,S719,"")</f>
        <v/>
      </c>
      <c r="U719" s="134" t="str">
        <f t="shared" ca="1" si="348"/>
        <v/>
      </c>
      <c r="V719" s="83" t="str">
        <f ca="1">IF(U719="","",IFERROR((RANK(U719,$U$2:$U$2028,1)+COUNTIF($U$2:U719,U719))-1,""))</f>
        <v/>
      </c>
      <c r="W719" s="134" t="str">
        <f t="shared" si="352"/>
        <v/>
      </c>
      <c r="X719" s="134" t="str">
        <f>IF(W719="","",IFERROR((RANK(W719,$W$2:$W$2028,1)+COUNTIF($W$2:W719,W719))-1,""))</f>
        <v/>
      </c>
      <c r="Y719" s="134" t="str">
        <f t="shared" si="349"/>
        <v/>
      </c>
      <c r="Z719" s="134" t="str">
        <f>IF(Y719="","",IFERROR((RANK(Y719,$Y$2:$Y$2028,1)+COUNTIF($Y$2:Y719,Y719))-1,""))</f>
        <v/>
      </c>
      <c r="AA719" s="134" t="str">
        <f t="shared" si="350"/>
        <v/>
      </c>
      <c r="AB719" s="134" t="str">
        <f>IF(AA719="","",IFERROR((RANK(AA719,$AA$2:$AA$2028,1)+COUNTIF($AA$2:AA719,AA719))-1,""))</f>
        <v/>
      </c>
      <c r="AC719" s="134" t="str">
        <f t="shared" si="351"/>
        <v/>
      </c>
      <c r="AD719" s="134" t="str">
        <f>IF(AC719="","",IFERROR((RANK(AC719,$AC$2:$AC$2028,1)+COUNTIF($AC$2:AC719,AC719))-1,""))</f>
        <v/>
      </c>
      <c r="AE719" s="144" t="str">
        <f t="shared" si="355"/>
        <v/>
      </c>
      <c r="AF719" s="144" t="str">
        <f>IF(AE719="","",SUM($AE$2:AE719))</f>
        <v/>
      </c>
    </row>
    <row r="720" spans="14:32" x14ac:dyDescent="0.35">
      <c r="N720" s="134" t="str">
        <f t="shared" si="353"/>
        <v/>
      </c>
      <c r="O720" s="82" t="str">
        <f t="shared" si="344"/>
        <v/>
      </c>
      <c r="P720" s="81" t="str">
        <f t="shared" si="354"/>
        <v/>
      </c>
      <c r="Q720" s="81" t="str">
        <f t="shared" si="345"/>
        <v/>
      </c>
      <c r="R720" s="135" t="str">
        <f t="shared" ca="1" si="346"/>
        <v/>
      </c>
      <c r="S720" s="134" t="str">
        <f t="shared" ca="1" si="347"/>
        <v/>
      </c>
      <c r="T720" s="134" t="str">
        <f ca="1">IF(S720=Dashboard!$D$12,S720,"")</f>
        <v/>
      </c>
      <c r="U720" s="134" t="str">
        <f t="shared" ca="1" si="348"/>
        <v/>
      </c>
      <c r="V720" s="83" t="str">
        <f ca="1">IF(U720="","",IFERROR((RANK(U720,$U$2:$U$2028,1)+COUNTIF($U$2:U720,U720))-1,""))</f>
        <v/>
      </c>
      <c r="W720" s="134" t="str">
        <f t="shared" si="352"/>
        <v/>
      </c>
      <c r="X720" s="134" t="str">
        <f>IF(W720="","",IFERROR((RANK(W720,$W$2:$W$2028,1)+COUNTIF($W$2:W720,W720))-1,""))</f>
        <v/>
      </c>
      <c r="Y720" s="134" t="str">
        <f t="shared" si="349"/>
        <v/>
      </c>
      <c r="Z720" s="134" t="str">
        <f>IF(Y720="","",IFERROR((RANK(Y720,$Y$2:$Y$2028,1)+COUNTIF($Y$2:Y720,Y720))-1,""))</f>
        <v/>
      </c>
      <c r="AA720" s="134" t="str">
        <f t="shared" si="350"/>
        <v/>
      </c>
      <c r="AB720" s="134" t="str">
        <f>IF(AA720="","",IFERROR((RANK(AA720,$AA$2:$AA$2028,1)+COUNTIF($AA$2:AA720,AA720))-1,""))</f>
        <v/>
      </c>
      <c r="AC720" s="134" t="str">
        <f t="shared" si="351"/>
        <v/>
      </c>
      <c r="AD720" s="134" t="str">
        <f>IF(AC720="","",IFERROR((RANK(AC720,$AC$2:$AC$2028,1)+COUNTIF($AC$2:AC720,AC720))-1,""))</f>
        <v/>
      </c>
      <c r="AE720" s="144" t="str">
        <f t="shared" si="355"/>
        <v/>
      </c>
      <c r="AF720" s="144" t="str">
        <f>IF(AE720="","",SUM($AE$2:AE720))</f>
        <v/>
      </c>
    </row>
    <row r="721" spans="14:32" x14ac:dyDescent="0.35">
      <c r="N721" s="134" t="str">
        <f t="shared" si="353"/>
        <v/>
      </c>
      <c r="O721" s="82" t="str">
        <f t="shared" si="344"/>
        <v/>
      </c>
      <c r="P721" s="81" t="str">
        <f t="shared" si="354"/>
        <v/>
      </c>
      <c r="Q721" s="81" t="str">
        <f t="shared" si="345"/>
        <v/>
      </c>
      <c r="R721" s="135" t="str">
        <f t="shared" ca="1" si="346"/>
        <v/>
      </c>
      <c r="S721" s="134" t="str">
        <f t="shared" ca="1" si="347"/>
        <v/>
      </c>
      <c r="T721" s="134" t="str">
        <f ca="1">IF(S721=Dashboard!$D$12,S721,"")</f>
        <v/>
      </c>
      <c r="U721" s="134" t="str">
        <f t="shared" ca="1" si="348"/>
        <v/>
      </c>
      <c r="V721" s="83" t="str">
        <f ca="1">IF(U721="","",IFERROR((RANK(U721,$U$2:$U$2028,1)+COUNTIF($U$2:U721,U721))-1,""))</f>
        <v/>
      </c>
      <c r="W721" s="134" t="str">
        <f t="shared" si="352"/>
        <v/>
      </c>
      <c r="X721" s="134" t="str">
        <f>IF(W721="","",IFERROR((RANK(W721,$W$2:$W$2028,1)+COUNTIF($W$2:W721,W721))-1,""))</f>
        <v/>
      </c>
      <c r="Y721" s="134" t="str">
        <f t="shared" si="349"/>
        <v/>
      </c>
      <c r="Z721" s="134" t="str">
        <f>IF(Y721="","",IFERROR((RANK(Y721,$Y$2:$Y$2028,1)+COUNTIF($Y$2:Y721,Y721))-1,""))</f>
        <v/>
      </c>
      <c r="AA721" s="134" t="str">
        <f t="shared" si="350"/>
        <v/>
      </c>
      <c r="AB721" s="134" t="str">
        <f>IF(AA721="","",IFERROR((RANK(AA721,$AA$2:$AA$2028,1)+COUNTIF($AA$2:AA721,AA721))-1,""))</f>
        <v/>
      </c>
      <c r="AC721" s="134" t="str">
        <f t="shared" si="351"/>
        <v/>
      </c>
      <c r="AD721" s="134" t="str">
        <f>IF(AC721="","",IFERROR((RANK(AC721,$AC$2:$AC$2028,1)+COUNTIF($AC$2:AC721,AC721))-1,""))</f>
        <v/>
      </c>
      <c r="AE721" s="144" t="str">
        <f t="shared" si="355"/>
        <v/>
      </c>
      <c r="AF721" s="144" t="str">
        <f>IF(AE721="","",SUM($AE$2:AE721))</f>
        <v/>
      </c>
    </row>
    <row r="722" spans="14:32" x14ac:dyDescent="0.35">
      <c r="N722" s="134" t="str">
        <f t="shared" si="353"/>
        <v/>
      </c>
      <c r="O722" s="82" t="str">
        <f t="shared" si="344"/>
        <v/>
      </c>
      <c r="P722" s="81" t="str">
        <f t="shared" si="354"/>
        <v/>
      </c>
      <c r="Q722" s="81" t="str">
        <f t="shared" si="345"/>
        <v/>
      </c>
      <c r="R722" s="135" t="str">
        <f t="shared" ca="1" si="346"/>
        <v/>
      </c>
      <c r="S722" s="134" t="str">
        <f t="shared" ca="1" si="347"/>
        <v/>
      </c>
      <c r="T722" s="134" t="str">
        <f ca="1">IF(S722=Dashboard!$D$12,S722,"")</f>
        <v/>
      </c>
      <c r="U722" s="134" t="str">
        <f t="shared" ca="1" si="348"/>
        <v/>
      </c>
      <c r="V722" s="83" t="str">
        <f ca="1">IF(U722="","",IFERROR((RANK(U722,$U$2:$U$2028,1)+COUNTIF($U$2:U722,U722))-1,""))</f>
        <v/>
      </c>
      <c r="W722" s="134" t="str">
        <f t="shared" si="352"/>
        <v/>
      </c>
      <c r="X722" s="134" t="str">
        <f>IF(W722="","",IFERROR((RANK(W722,$W$2:$W$2028,1)+COUNTIF($W$2:W722,W722))-1,""))</f>
        <v/>
      </c>
      <c r="Y722" s="134" t="str">
        <f t="shared" si="349"/>
        <v/>
      </c>
      <c r="Z722" s="134" t="str">
        <f>IF(Y722="","",IFERROR((RANK(Y722,$Y$2:$Y$2028,1)+COUNTIF($Y$2:Y722,Y722))-1,""))</f>
        <v/>
      </c>
      <c r="AA722" s="134" t="str">
        <f t="shared" si="350"/>
        <v/>
      </c>
      <c r="AB722" s="134" t="str">
        <f>IF(AA722="","",IFERROR((RANK(AA722,$AA$2:$AA$2028,1)+COUNTIF($AA$2:AA722,AA722))-1,""))</f>
        <v/>
      </c>
      <c r="AC722" s="134" t="str">
        <f t="shared" si="351"/>
        <v/>
      </c>
      <c r="AD722" s="134" t="str">
        <f>IF(AC722="","",IFERROR((RANK(AC722,$AC$2:$AC$2028,1)+COUNTIF($AC$2:AC722,AC722))-1,""))</f>
        <v/>
      </c>
      <c r="AE722" s="144" t="str">
        <f t="shared" si="355"/>
        <v/>
      </c>
      <c r="AF722" s="144" t="str">
        <f>IF(AE722="","",SUM($AE$2:AE722))</f>
        <v/>
      </c>
    </row>
    <row r="723" spans="14:32" x14ac:dyDescent="0.35">
      <c r="N723" s="134" t="str">
        <f t="shared" si="353"/>
        <v/>
      </c>
      <c r="O723" s="82" t="str">
        <f t="shared" si="344"/>
        <v/>
      </c>
      <c r="P723" s="81" t="str">
        <f t="shared" si="354"/>
        <v/>
      </c>
      <c r="Q723" s="81" t="str">
        <f t="shared" si="345"/>
        <v/>
      </c>
      <c r="R723" s="135" t="str">
        <f t="shared" ca="1" si="346"/>
        <v/>
      </c>
      <c r="S723" s="134" t="str">
        <f t="shared" ca="1" si="347"/>
        <v/>
      </c>
      <c r="T723" s="134" t="str">
        <f ca="1">IF(S723=Dashboard!$D$12,S723,"")</f>
        <v/>
      </c>
      <c r="U723" s="134" t="str">
        <f t="shared" ca="1" si="348"/>
        <v/>
      </c>
      <c r="V723" s="83" t="str">
        <f ca="1">IF(U723="","",IFERROR((RANK(U723,$U$2:$U$2028,1)+COUNTIF($U$2:U723,U723))-1,""))</f>
        <v/>
      </c>
      <c r="W723" s="134" t="str">
        <f t="shared" si="352"/>
        <v/>
      </c>
      <c r="X723" s="134" t="str">
        <f>IF(W723="","",IFERROR((RANK(W723,$W$2:$W$2028,1)+COUNTIF($W$2:W723,W723))-1,""))</f>
        <v/>
      </c>
      <c r="Y723" s="134" t="str">
        <f t="shared" si="349"/>
        <v/>
      </c>
      <c r="Z723" s="134" t="str">
        <f>IF(Y723="","",IFERROR((RANK(Y723,$Y$2:$Y$2028,1)+COUNTIF($Y$2:Y723,Y723))-1,""))</f>
        <v/>
      </c>
      <c r="AA723" s="134" t="str">
        <f t="shared" si="350"/>
        <v/>
      </c>
      <c r="AB723" s="134" t="str">
        <f>IF(AA723="","",IFERROR((RANK(AA723,$AA$2:$AA$2028,1)+COUNTIF($AA$2:AA723,AA723))-1,""))</f>
        <v/>
      </c>
      <c r="AC723" s="134" t="str">
        <f t="shared" si="351"/>
        <v/>
      </c>
      <c r="AD723" s="134" t="str">
        <f>IF(AC723="","",IFERROR((RANK(AC723,$AC$2:$AC$2028,1)+COUNTIF($AC$2:AC723,AC723))-1,""))</f>
        <v/>
      </c>
      <c r="AE723" s="144" t="str">
        <f t="shared" si="355"/>
        <v/>
      </c>
      <c r="AF723" s="144" t="str">
        <f>IF(AE723="","",SUM($AE$2:AE723))</f>
        <v/>
      </c>
    </row>
    <row r="724" spans="14:32" x14ac:dyDescent="0.35">
      <c r="N724" s="134" t="str">
        <f t="shared" si="353"/>
        <v/>
      </c>
      <c r="O724" s="82" t="str">
        <f t="shared" si="344"/>
        <v/>
      </c>
      <c r="P724" s="81" t="str">
        <f t="shared" si="354"/>
        <v/>
      </c>
      <c r="Q724" s="81" t="str">
        <f t="shared" si="345"/>
        <v/>
      </c>
      <c r="R724" s="135" t="str">
        <f t="shared" ca="1" si="346"/>
        <v/>
      </c>
      <c r="S724" s="134" t="str">
        <f t="shared" ca="1" si="347"/>
        <v/>
      </c>
      <c r="T724" s="134" t="str">
        <f ca="1">IF(S724=Dashboard!$D$12,S724,"")</f>
        <v/>
      </c>
      <c r="U724" s="134" t="str">
        <f t="shared" ca="1" si="348"/>
        <v/>
      </c>
      <c r="V724" s="83" t="str">
        <f ca="1">IF(U724="","",IFERROR((RANK(U724,$U$2:$U$2028,1)+COUNTIF($U$2:U724,U724))-1,""))</f>
        <v/>
      </c>
      <c r="W724" s="134" t="str">
        <f t="shared" si="352"/>
        <v/>
      </c>
      <c r="X724" s="134" t="str">
        <f>IF(W724="","",IFERROR((RANK(W724,$W$2:$W$2028,1)+COUNTIF($W$2:W724,W724))-1,""))</f>
        <v/>
      </c>
      <c r="Y724" s="134" t="str">
        <f t="shared" si="349"/>
        <v/>
      </c>
      <c r="Z724" s="134" t="str">
        <f>IF(Y724="","",IFERROR((RANK(Y724,$Y$2:$Y$2028,1)+COUNTIF($Y$2:Y724,Y724))-1,""))</f>
        <v/>
      </c>
      <c r="AA724" s="134" t="str">
        <f t="shared" si="350"/>
        <v/>
      </c>
      <c r="AB724" s="134" t="str">
        <f>IF(AA724="","",IFERROR((RANK(AA724,$AA$2:$AA$2028,1)+COUNTIF($AA$2:AA724,AA724))-1,""))</f>
        <v/>
      </c>
      <c r="AC724" s="134" t="str">
        <f t="shared" si="351"/>
        <v/>
      </c>
      <c r="AD724" s="134" t="str">
        <f>IF(AC724="","",IFERROR((RANK(AC724,$AC$2:$AC$2028,1)+COUNTIF($AC$2:AC724,AC724))-1,""))</f>
        <v/>
      </c>
      <c r="AE724" s="144" t="str">
        <f t="shared" si="355"/>
        <v/>
      </c>
      <c r="AF724" s="144" t="str">
        <f>IF(AE724="","",SUM($AE$2:AE724))</f>
        <v/>
      </c>
    </row>
    <row r="725" spans="14:32" x14ac:dyDescent="0.35">
      <c r="N725" s="134" t="str">
        <f t="shared" si="353"/>
        <v/>
      </c>
      <c r="O725" s="82" t="str">
        <f t="shared" si="344"/>
        <v/>
      </c>
      <c r="P725" s="81" t="str">
        <f t="shared" si="354"/>
        <v/>
      </c>
      <c r="Q725" s="81" t="str">
        <f t="shared" si="345"/>
        <v/>
      </c>
      <c r="R725" s="135" t="str">
        <f t="shared" ca="1" si="346"/>
        <v/>
      </c>
      <c r="S725" s="134" t="str">
        <f t="shared" ca="1" si="347"/>
        <v/>
      </c>
      <c r="T725" s="134" t="str">
        <f ca="1">IF(S725=Dashboard!$D$12,S725,"")</f>
        <v/>
      </c>
      <c r="U725" s="134" t="str">
        <f t="shared" ca="1" si="348"/>
        <v/>
      </c>
      <c r="V725" s="83" t="str">
        <f ca="1">IF(U725="","",IFERROR((RANK(U725,$U$2:$U$2028,1)+COUNTIF($U$2:U725,U725))-1,""))</f>
        <v/>
      </c>
      <c r="W725" s="134" t="str">
        <f t="shared" si="352"/>
        <v/>
      </c>
      <c r="X725" s="134" t="str">
        <f>IF(W725="","",IFERROR((RANK(W725,$W$2:$W$2028,1)+COUNTIF($W$2:W725,W725))-1,""))</f>
        <v/>
      </c>
      <c r="Y725" s="134" t="str">
        <f t="shared" si="349"/>
        <v/>
      </c>
      <c r="Z725" s="134" t="str">
        <f>IF(Y725="","",IFERROR((RANK(Y725,$Y$2:$Y$2028,1)+COUNTIF($Y$2:Y725,Y725))-1,""))</f>
        <v/>
      </c>
      <c r="AA725" s="134" t="str">
        <f t="shared" si="350"/>
        <v/>
      </c>
      <c r="AB725" s="134" t="str">
        <f>IF(AA725="","",IFERROR((RANK(AA725,$AA$2:$AA$2028,1)+COUNTIF($AA$2:AA725,AA725))-1,""))</f>
        <v/>
      </c>
      <c r="AC725" s="134" t="str">
        <f t="shared" si="351"/>
        <v/>
      </c>
      <c r="AD725" s="134" t="str">
        <f>IF(AC725="","",IFERROR((RANK(AC725,$AC$2:$AC$2028,1)+COUNTIF($AC$2:AC725,AC725))-1,""))</f>
        <v/>
      </c>
      <c r="AE725" s="144" t="str">
        <f t="shared" si="355"/>
        <v/>
      </c>
      <c r="AF725" s="144" t="str">
        <f>IF(AE725="","",SUM($AE$2:AE725))</f>
        <v/>
      </c>
    </row>
    <row r="726" spans="14:32" x14ac:dyDescent="0.35">
      <c r="N726" s="134" t="str">
        <f t="shared" si="353"/>
        <v/>
      </c>
      <c r="O726" s="82" t="str">
        <f t="shared" si="344"/>
        <v/>
      </c>
      <c r="P726" s="81" t="str">
        <f t="shared" si="354"/>
        <v/>
      </c>
      <c r="Q726" s="81" t="str">
        <f t="shared" si="345"/>
        <v/>
      </c>
      <c r="R726" s="135" t="str">
        <f t="shared" ca="1" si="346"/>
        <v/>
      </c>
      <c r="S726" s="134" t="str">
        <f t="shared" ca="1" si="347"/>
        <v/>
      </c>
      <c r="T726" s="134" t="str">
        <f ca="1">IF(S726=Dashboard!$D$12,S726,"")</f>
        <v/>
      </c>
      <c r="U726" s="134" t="str">
        <f t="shared" ca="1" si="348"/>
        <v/>
      </c>
      <c r="V726" s="83" t="str">
        <f ca="1">IF(U726="","",IFERROR((RANK(U726,$U$2:$U$2028,1)+COUNTIF($U$2:U726,U726))-1,""))</f>
        <v/>
      </c>
      <c r="W726" s="134" t="str">
        <f t="shared" si="352"/>
        <v/>
      </c>
      <c r="X726" s="134" t="str">
        <f>IF(W726="","",IFERROR((RANK(W726,$W$2:$W$2028,1)+COUNTIF($W$2:W726,W726))-1,""))</f>
        <v/>
      </c>
      <c r="Y726" s="134" t="str">
        <f t="shared" si="349"/>
        <v/>
      </c>
      <c r="Z726" s="134" t="str">
        <f>IF(Y726="","",IFERROR((RANK(Y726,$Y$2:$Y$2028,1)+COUNTIF($Y$2:Y726,Y726))-1,""))</f>
        <v/>
      </c>
      <c r="AA726" s="134" t="str">
        <f t="shared" si="350"/>
        <v/>
      </c>
      <c r="AB726" s="134" t="str">
        <f>IF(AA726="","",IFERROR((RANK(AA726,$AA$2:$AA$2028,1)+COUNTIF($AA$2:AA726,AA726))-1,""))</f>
        <v/>
      </c>
      <c r="AC726" s="134" t="str">
        <f t="shared" si="351"/>
        <v/>
      </c>
      <c r="AD726" s="134" t="str">
        <f>IF(AC726="","",IFERROR((RANK(AC726,$AC$2:$AC$2028,1)+COUNTIF($AC$2:AC726,AC726))-1,""))</f>
        <v/>
      </c>
      <c r="AE726" s="144" t="str">
        <f t="shared" si="355"/>
        <v/>
      </c>
      <c r="AF726" s="144" t="str">
        <f>IF(AE726="","",SUM($AE$2:AE726))</f>
        <v/>
      </c>
    </row>
    <row r="727" spans="14:32" x14ac:dyDescent="0.35">
      <c r="N727" s="134" t="str">
        <f t="shared" si="353"/>
        <v/>
      </c>
      <c r="O727" s="82" t="str">
        <f t="shared" si="344"/>
        <v/>
      </c>
      <c r="P727" s="81" t="str">
        <f t="shared" si="354"/>
        <v/>
      </c>
      <c r="Q727" s="81" t="str">
        <f t="shared" si="345"/>
        <v/>
      </c>
      <c r="R727" s="135" t="str">
        <f t="shared" ca="1" si="346"/>
        <v/>
      </c>
      <c r="S727" s="134" t="str">
        <f t="shared" ca="1" si="347"/>
        <v/>
      </c>
      <c r="T727" s="134" t="str">
        <f ca="1">IF(S727=Dashboard!$D$12,S727,"")</f>
        <v/>
      </c>
      <c r="U727" s="134" t="str">
        <f t="shared" ca="1" si="348"/>
        <v/>
      </c>
      <c r="V727" s="83" t="str">
        <f ca="1">IF(U727="","",IFERROR((RANK(U727,$U$2:$U$2028,1)+COUNTIF($U$2:U727,U727))-1,""))</f>
        <v/>
      </c>
      <c r="W727" s="134" t="str">
        <f t="shared" si="352"/>
        <v/>
      </c>
      <c r="X727" s="134" t="str">
        <f>IF(W727="","",IFERROR((RANK(W727,$W$2:$W$2028,1)+COUNTIF($W$2:W727,W727))-1,""))</f>
        <v/>
      </c>
      <c r="Y727" s="134" t="str">
        <f t="shared" si="349"/>
        <v/>
      </c>
      <c r="Z727" s="134" t="str">
        <f>IF(Y727="","",IFERROR((RANK(Y727,$Y$2:$Y$2028,1)+COUNTIF($Y$2:Y727,Y727))-1,""))</f>
        <v/>
      </c>
      <c r="AA727" s="134" t="str">
        <f t="shared" si="350"/>
        <v/>
      </c>
      <c r="AB727" s="134" t="str">
        <f>IF(AA727="","",IFERROR((RANK(AA727,$AA$2:$AA$2028,1)+COUNTIF($AA$2:AA727,AA727))-1,""))</f>
        <v/>
      </c>
      <c r="AC727" s="134" t="str">
        <f t="shared" si="351"/>
        <v/>
      </c>
      <c r="AD727" s="134" t="str">
        <f>IF(AC727="","",IFERROR((RANK(AC727,$AC$2:$AC$2028,1)+COUNTIF($AC$2:AC727,AC727))-1,""))</f>
        <v/>
      </c>
      <c r="AE727" s="144" t="str">
        <f t="shared" si="355"/>
        <v/>
      </c>
      <c r="AF727" s="144" t="str">
        <f>IF(AE727="","",SUM($AE$2:AE727))</f>
        <v/>
      </c>
    </row>
    <row r="728" spans="14:32" x14ac:dyDescent="0.35">
      <c r="N728" s="134" t="str">
        <f t="shared" si="353"/>
        <v/>
      </c>
      <c r="O728" s="82" t="str">
        <f t="shared" si="344"/>
        <v/>
      </c>
      <c r="P728" s="81" t="str">
        <f t="shared" si="354"/>
        <v/>
      </c>
      <c r="Q728" s="81" t="str">
        <f t="shared" si="345"/>
        <v/>
      </c>
      <c r="R728" s="135" t="str">
        <f t="shared" ca="1" si="346"/>
        <v/>
      </c>
      <c r="S728" s="134" t="str">
        <f t="shared" ca="1" si="347"/>
        <v/>
      </c>
      <c r="T728" s="134" t="str">
        <f ca="1">IF(S728=Dashboard!$D$12,S728,"")</f>
        <v/>
      </c>
      <c r="U728" s="134" t="str">
        <f t="shared" ca="1" si="348"/>
        <v/>
      </c>
      <c r="V728" s="83" t="str">
        <f ca="1">IF(U728="","",IFERROR((RANK(U728,$U$2:$U$2028,1)+COUNTIF($U$2:U728,U728))-1,""))</f>
        <v/>
      </c>
      <c r="W728" s="134" t="str">
        <f t="shared" si="352"/>
        <v/>
      </c>
      <c r="X728" s="134" t="str">
        <f>IF(W728="","",IFERROR((RANK(W728,$W$2:$W$2028,1)+COUNTIF($W$2:W728,W728))-1,""))</f>
        <v/>
      </c>
      <c r="Y728" s="134" t="str">
        <f t="shared" si="349"/>
        <v/>
      </c>
      <c r="Z728" s="134" t="str">
        <f>IF(Y728="","",IFERROR((RANK(Y728,$Y$2:$Y$2028,1)+COUNTIF($Y$2:Y728,Y728))-1,""))</f>
        <v/>
      </c>
      <c r="AA728" s="134" t="str">
        <f t="shared" si="350"/>
        <v/>
      </c>
      <c r="AB728" s="134" t="str">
        <f>IF(AA728="","",IFERROR((RANK(AA728,$AA$2:$AA$2028,1)+COUNTIF($AA$2:AA728,AA728))-1,""))</f>
        <v/>
      </c>
      <c r="AC728" s="134" t="str">
        <f t="shared" si="351"/>
        <v/>
      </c>
      <c r="AD728" s="134" t="str">
        <f>IF(AC728="","",IFERROR((RANK(AC728,$AC$2:$AC$2028,1)+COUNTIF($AC$2:AC728,AC728))-1,""))</f>
        <v/>
      </c>
      <c r="AE728" s="144" t="str">
        <f t="shared" si="355"/>
        <v/>
      </c>
      <c r="AF728" s="144" t="str">
        <f>IF(AE728="","",SUM($AE$2:AE728))</f>
        <v/>
      </c>
    </row>
    <row r="729" spans="14:32" x14ac:dyDescent="0.35">
      <c r="N729" s="134" t="str">
        <f t="shared" si="353"/>
        <v/>
      </c>
      <c r="O729" s="82" t="str">
        <f t="shared" si="344"/>
        <v/>
      </c>
      <c r="P729" s="81" t="str">
        <f t="shared" si="354"/>
        <v/>
      </c>
      <c r="Q729" s="81" t="str">
        <f t="shared" si="345"/>
        <v/>
      </c>
      <c r="R729" s="135" t="str">
        <f t="shared" ca="1" si="346"/>
        <v/>
      </c>
      <c r="S729" s="134" t="str">
        <f t="shared" ca="1" si="347"/>
        <v/>
      </c>
      <c r="T729" s="134" t="str">
        <f ca="1">IF(S729=Dashboard!$D$12,S729,"")</f>
        <v/>
      </c>
      <c r="U729" s="134" t="str">
        <f t="shared" ca="1" si="348"/>
        <v/>
      </c>
      <c r="V729" s="83" t="str">
        <f ca="1">IF(U729="","",IFERROR((RANK(U729,$U$2:$U$2028,1)+COUNTIF($U$2:U729,U729))-1,""))</f>
        <v/>
      </c>
      <c r="W729" s="134" t="str">
        <f t="shared" si="352"/>
        <v/>
      </c>
      <c r="X729" s="134" t="str">
        <f>IF(W729="","",IFERROR((RANK(W729,$W$2:$W$2028,1)+COUNTIF($W$2:W729,W729))-1,""))</f>
        <v/>
      </c>
      <c r="Y729" s="134" t="str">
        <f t="shared" si="349"/>
        <v/>
      </c>
      <c r="Z729" s="134" t="str">
        <f>IF(Y729="","",IFERROR((RANK(Y729,$Y$2:$Y$2028,1)+COUNTIF($Y$2:Y729,Y729))-1,""))</f>
        <v/>
      </c>
      <c r="AA729" s="134" t="str">
        <f t="shared" si="350"/>
        <v/>
      </c>
      <c r="AB729" s="134" t="str">
        <f>IF(AA729="","",IFERROR((RANK(AA729,$AA$2:$AA$2028,1)+COUNTIF($AA$2:AA729,AA729))-1,""))</f>
        <v/>
      </c>
      <c r="AC729" s="134" t="str">
        <f t="shared" si="351"/>
        <v/>
      </c>
      <c r="AD729" s="134" t="str">
        <f>IF(AC729="","",IFERROR((RANK(AC729,$AC$2:$AC$2028,1)+COUNTIF($AC$2:AC729,AC729))-1,""))</f>
        <v/>
      </c>
      <c r="AE729" s="144" t="str">
        <f t="shared" si="355"/>
        <v/>
      </c>
      <c r="AF729" s="144" t="str">
        <f>IF(AE729="","",SUM($AE$2:AE729))</f>
        <v/>
      </c>
    </row>
    <row r="730" spans="14:32" x14ac:dyDescent="0.35">
      <c r="N730" s="134" t="str">
        <f t="shared" si="353"/>
        <v/>
      </c>
      <c r="O730" s="82" t="str">
        <f t="shared" si="344"/>
        <v/>
      </c>
      <c r="P730" s="81" t="str">
        <f t="shared" si="354"/>
        <v/>
      </c>
      <c r="Q730" s="81" t="str">
        <f t="shared" si="345"/>
        <v/>
      </c>
      <c r="R730" s="135" t="str">
        <f t="shared" ca="1" si="346"/>
        <v/>
      </c>
      <c r="S730" s="134" t="str">
        <f t="shared" ca="1" si="347"/>
        <v/>
      </c>
      <c r="T730" s="134" t="str">
        <f ca="1">IF(S730=Dashboard!$D$12,S730,"")</f>
        <v/>
      </c>
      <c r="U730" s="134" t="str">
        <f t="shared" ca="1" si="348"/>
        <v/>
      </c>
      <c r="V730" s="83" t="str">
        <f ca="1">IF(U730="","",IFERROR((RANK(U730,$U$2:$U$2028,1)+COUNTIF($U$2:U730,U730))-1,""))</f>
        <v/>
      </c>
      <c r="W730" s="134" t="str">
        <f t="shared" si="352"/>
        <v/>
      </c>
      <c r="X730" s="134" t="str">
        <f>IF(W730="","",IFERROR((RANK(W730,$W$2:$W$2028,1)+COUNTIF($W$2:W730,W730))-1,""))</f>
        <v/>
      </c>
      <c r="Y730" s="134" t="str">
        <f t="shared" si="349"/>
        <v/>
      </c>
      <c r="Z730" s="134" t="str">
        <f>IF(Y730="","",IFERROR((RANK(Y730,$Y$2:$Y$2028,1)+COUNTIF($Y$2:Y730,Y730))-1,""))</f>
        <v/>
      </c>
      <c r="AA730" s="134" t="str">
        <f t="shared" si="350"/>
        <v/>
      </c>
      <c r="AB730" s="134" t="str">
        <f>IF(AA730="","",IFERROR((RANK(AA730,$AA$2:$AA$2028,1)+COUNTIF($AA$2:AA730,AA730))-1,""))</f>
        <v/>
      </c>
      <c r="AC730" s="134" t="str">
        <f t="shared" si="351"/>
        <v/>
      </c>
      <c r="AD730" s="134" t="str">
        <f>IF(AC730="","",IFERROR((RANK(AC730,$AC$2:$AC$2028,1)+COUNTIF($AC$2:AC730,AC730))-1,""))</f>
        <v/>
      </c>
      <c r="AE730" s="144" t="str">
        <f t="shared" si="355"/>
        <v/>
      </c>
      <c r="AF730" s="144" t="str">
        <f>IF(AE730="","",SUM($AE$2:AE730))</f>
        <v/>
      </c>
    </row>
    <row r="731" spans="14:32" x14ac:dyDescent="0.35">
      <c r="N731" s="134" t="str">
        <f t="shared" si="353"/>
        <v/>
      </c>
      <c r="O731" s="82" t="str">
        <f t="shared" si="344"/>
        <v/>
      </c>
      <c r="P731" s="81" t="str">
        <f t="shared" si="354"/>
        <v/>
      </c>
      <c r="Q731" s="81" t="str">
        <f t="shared" si="345"/>
        <v/>
      </c>
      <c r="R731" s="135" t="str">
        <f t="shared" ca="1" si="346"/>
        <v/>
      </c>
      <c r="S731" s="134" t="str">
        <f t="shared" ca="1" si="347"/>
        <v/>
      </c>
      <c r="T731" s="134" t="str">
        <f ca="1">IF(S731=Dashboard!$D$12,S731,"")</f>
        <v/>
      </c>
      <c r="U731" s="134" t="str">
        <f t="shared" ca="1" si="348"/>
        <v/>
      </c>
      <c r="V731" s="83" t="str">
        <f ca="1">IF(U731="","",IFERROR((RANK(U731,$U$2:$U$2028,1)+COUNTIF($U$2:U731,U731))-1,""))</f>
        <v/>
      </c>
      <c r="W731" s="134" t="str">
        <f t="shared" si="352"/>
        <v/>
      </c>
      <c r="X731" s="134" t="str">
        <f>IF(W731="","",IFERROR((RANK(W731,$W$2:$W$2028,1)+COUNTIF($W$2:W731,W731))-1,""))</f>
        <v/>
      </c>
      <c r="Y731" s="134" t="str">
        <f t="shared" si="349"/>
        <v/>
      </c>
      <c r="Z731" s="134" t="str">
        <f>IF(Y731="","",IFERROR((RANK(Y731,$Y$2:$Y$2028,1)+COUNTIF($Y$2:Y731,Y731))-1,""))</f>
        <v/>
      </c>
      <c r="AA731" s="134" t="str">
        <f t="shared" si="350"/>
        <v/>
      </c>
      <c r="AB731" s="134" t="str">
        <f>IF(AA731="","",IFERROR((RANK(AA731,$AA$2:$AA$2028,1)+COUNTIF($AA$2:AA731,AA731))-1,""))</f>
        <v/>
      </c>
      <c r="AC731" s="134" t="str">
        <f t="shared" si="351"/>
        <v/>
      </c>
      <c r="AD731" s="134" t="str">
        <f>IF(AC731="","",IFERROR((RANK(AC731,$AC$2:$AC$2028,1)+COUNTIF($AC$2:AC731,AC731))-1,""))</f>
        <v/>
      </c>
      <c r="AE731" s="144" t="str">
        <f t="shared" si="355"/>
        <v/>
      </c>
      <c r="AF731" s="144" t="str">
        <f>IF(AE731="","",SUM($AE$2:AE731))</f>
        <v/>
      </c>
    </row>
    <row r="732" spans="14:32" x14ac:dyDescent="0.35">
      <c r="N732" s="134" t="str">
        <f t="shared" si="353"/>
        <v/>
      </c>
      <c r="O732" s="82" t="str">
        <f t="shared" si="344"/>
        <v/>
      </c>
      <c r="P732" s="81" t="str">
        <f t="shared" si="354"/>
        <v/>
      </c>
      <c r="Q732" s="81" t="str">
        <f t="shared" si="345"/>
        <v/>
      </c>
      <c r="R732" s="135" t="str">
        <f t="shared" ca="1" si="346"/>
        <v/>
      </c>
      <c r="S732" s="134" t="str">
        <f t="shared" ca="1" si="347"/>
        <v/>
      </c>
      <c r="T732" s="134" t="str">
        <f ca="1">IF(S732=Dashboard!$D$12,S732,"")</f>
        <v/>
      </c>
      <c r="U732" s="134" t="str">
        <f t="shared" ca="1" si="348"/>
        <v/>
      </c>
      <c r="V732" s="83" t="str">
        <f ca="1">IF(U732="","",IFERROR((RANK(U732,$U$2:$U$2028,1)+COUNTIF($U$2:U732,U732))-1,""))</f>
        <v/>
      </c>
      <c r="W732" s="134" t="str">
        <f t="shared" si="352"/>
        <v/>
      </c>
      <c r="X732" s="134" t="str">
        <f>IF(W732="","",IFERROR((RANK(W732,$W$2:$W$2028,1)+COUNTIF($W$2:W732,W732))-1,""))</f>
        <v/>
      </c>
      <c r="Y732" s="134" t="str">
        <f t="shared" si="349"/>
        <v/>
      </c>
      <c r="Z732" s="134" t="str">
        <f>IF(Y732="","",IFERROR((RANK(Y732,$Y$2:$Y$2028,1)+COUNTIF($Y$2:Y732,Y732))-1,""))</f>
        <v/>
      </c>
      <c r="AA732" s="134" t="str">
        <f t="shared" si="350"/>
        <v/>
      </c>
      <c r="AB732" s="134" t="str">
        <f>IF(AA732="","",IFERROR((RANK(AA732,$AA$2:$AA$2028,1)+COUNTIF($AA$2:AA732,AA732))-1,""))</f>
        <v/>
      </c>
      <c r="AC732" s="134" t="str">
        <f t="shared" si="351"/>
        <v/>
      </c>
      <c r="AD732" s="134" t="str">
        <f>IF(AC732="","",IFERROR((RANK(AC732,$AC$2:$AC$2028,1)+COUNTIF($AC$2:AC732,AC732))-1,""))</f>
        <v/>
      </c>
      <c r="AE732" s="144" t="str">
        <f t="shared" si="355"/>
        <v/>
      </c>
      <c r="AF732" s="144" t="str">
        <f>IF(AE732="","",SUM($AE$2:AE732))</f>
        <v/>
      </c>
    </row>
    <row r="733" spans="14:32" x14ac:dyDescent="0.35">
      <c r="N733" s="134" t="str">
        <f t="shared" si="353"/>
        <v/>
      </c>
      <c r="O733" s="82" t="str">
        <f t="shared" si="344"/>
        <v/>
      </c>
      <c r="P733" s="81" t="str">
        <f t="shared" si="354"/>
        <v/>
      </c>
      <c r="Q733" s="81" t="str">
        <f t="shared" si="345"/>
        <v/>
      </c>
      <c r="R733" s="135" t="str">
        <f t="shared" ca="1" si="346"/>
        <v/>
      </c>
      <c r="S733" s="134" t="str">
        <f t="shared" ca="1" si="347"/>
        <v/>
      </c>
      <c r="T733" s="134" t="str">
        <f ca="1">IF(S733=Dashboard!$D$12,S733,"")</f>
        <v/>
      </c>
      <c r="U733" s="134" t="str">
        <f t="shared" ca="1" si="348"/>
        <v/>
      </c>
      <c r="V733" s="83" t="str">
        <f ca="1">IF(U733="","",IFERROR((RANK(U733,$U$2:$U$2028,1)+COUNTIF($U$2:U733,U733))-1,""))</f>
        <v/>
      </c>
      <c r="W733" s="134" t="str">
        <f t="shared" si="352"/>
        <v/>
      </c>
      <c r="X733" s="134" t="str">
        <f>IF(W733="","",IFERROR((RANK(W733,$W$2:$W$2028,1)+COUNTIF($W$2:W733,W733))-1,""))</f>
        <v/>
      </c>
      <c r="Y733" s="134" t="str">
        <f t="shared" si="349"/>
        <v/>
      </c>
      <c r="Z733" s="134" t="str">
        <f>IF(Y733="","",IFERROR((RANK(Y733,$Y$2:$Y$2028,1)+COUNTIF($Y$2:Y733,Y733))-1,""))</f>
        <v/>
      </c>
      <c r="AA733" s="134" t="str">
        <f t="shared" si="350"/>
        <v/>
      </c>
      <c r="AB733" s="134" t="str">
        <f>IF(AA733="","",IFERROR((RANK(AA733,$AA$2:$AA$2028,1)+COUNTIF($AA$2:AA733,AA733))-1,""))</f>
        <v/>
      </c>
      <c r="AC733" s="134" t="str">
        <f t="shared" si="351"/>
        <v/>
      </c>
      <c r="AD733" s="134" t="str">
        <f>IF(AC733="","",IFERROR((RANK(AC733,$AC$2:$AC$2028,1)+COUNTIF($AC$2:AC733,AC733))-1,""))</f>
        <v/>
      </c>
      <c r="AE733" s="144" t="str">
        <f t="shared" si="355"/>
        <v/>
      </c>
      <c r="AF733" s="144" t="str">
        <f>IF(AE733="","",SUM($AE$2:AE733))</f>
        <v/>
      </c>
    </row>
    <row r="734" spans="14:32" x14ac:dyDescent="0.35">
      <c r="N734" s="134" t="str">
        <f t="shared" si="353"/>
        <v/>
      </c>
      <c r="O734" s="82" t="str">
        <f t="shared" ref="O734:O797" si="356">IF(A734="","",N734&amp;"-"&amp;M734)</f>
        <v/>
      </c>
      <c r="P734" s="81" t="str">
        <f t="shared" si="354"/>
        <v/>
      </c>
      <c r="Q734" s="81" t="str">
        <f t="shared" ref="Q734:Q797" si="357">IF(A734="","",IF(P734=1,M734,""))</f>
        <v/>
      </c>
      <c r="R734" s="135" t="str">
        <f t="shared" ref="R734:R797" ca="1" si="358">IF(Q734="","",I734-TODAY())</f>
        <v/>
      </c>
      <c r="S734" s="134" t="str">
        <f t="shared" ref="S734:S797" ca="1" si="359">IF(R734="","",
IF(R734&lt;-90,"Pass&gt;90",IF(R734&lt;-60,"Pass 61-90",IF(R734&lt;-30,"Pass 31-60",IF(R734&lt;0,"Pass 0-30",IF(R734&lt;31,"Run 0-30",IF(R734&lt;61,"Run 31-60",IF(R734&lt;91,"Run 60-90","Run &gt;90"))))))))</f>
        <v/>
      </c>
      <c r="T734" s="134" t="str">
        <f ca="1">IF(S734=Dashboard!$D$12,S734,"")</f>
        <v/>
      </c>
      <c r="U734" s="134" t="str">
        <f t="shared" ref="U734:U797" ca="1" si="360">IF(T734="","",R734)</f>
        <v/>
      </c>
      <c r="V734" s="83" t="str">
        <f ca="1">IF(U734="","",IFERROR((RANK(U734,$U$2:$U$2028,1)+COUNTIF($U$2:U734,U734))-1,""))</f>
        <v/>
      </c>
      <c r="W734" s="134" t="str">
        <f t="shared" si="352"/>
        <v/>
      </c>
      <c r="X734" s="134" t="str">
        <f>IF(W734="","",IFERROR((RANK(W734,$W$2:$W$2028,1)+COUNTIF($W$2:W734,W734))-1,""))</f>
        <v/>
      </c>
      <c r="Y734" s="134" t="str">
        <f t="shared" ref="Y734:Y797" si="361">IF($J734=Y$1,$U734,"")</f>
        <v/>
      </c>
      <c r="Z734" s="134" t="str">
        <f>IF(Y734="","",IFERROR((RANK(Y734,$Y$2:$Y$2028,1)+COUNTIF($Y$2:Y734,Y734))-1,""))</f>
        <v/>
      </c>
      <c r="AA734" s="134" t="str">
        <f t="shared" ref="AA734:AA797" si="362">IF($J734=AA$1,$U734,"")</f>
        <v/>
      </c>
      <c r="AB734" s="134" t="str">
        <f>IF(AA734="","",IFERROR((RANK(AA734,$AA$2:$AA$2028,1)+COUNTIF($AA$2:AA734,AA734))-1,""))</f>
        <v/>
      </c>
      <c r="AC734" s="134" t="str">
        <f t="shared" ref="AC734:AC797" si="363">IF($J734=AC$1,$U734,"")</f>
        <v/>
      </c>
      <c r="AD734" s="134" t="str">
        <f>IF(AC734="","",IFERROR((RANK(AC734,$AC$2:$AC$2028,1)+COUNTIF($AC$2:AC734,AC734))-1,""))</f>
        <v/>
      </c>
      <c r="AE734" s="144" t="str">
        <f t="shared" si="355"/>
        <v/>
      </c>
      <c r="AF734" s="144" t="str">
        <f>IF(AE734="","",SUM($AE$2:AE734))</f>
        <v/>
      </c>
    </row>
    <row r="735" spans="14:32" x14ac:dyDescent="0.35">
      <c r="N735" s="134" t="str">
        <f t="shared" si="353"/>
        <v/>
      </c>
      <c r="O735" s="82" t="str">
        <f t="shared" si="356"/>
        <v/>
      </c>
      <c r="P735" s="81" t="str">
        <f t="shared" si="354"/>
        <v/>
      </c>
      <c r="Q735" s="81" t="str">
        <f t="shared" si="357"/>
        <v/>
      </c>
      <c r="R735" s="135" t="str">
        <f t="shared" ca="1" si="358"/>
        <v/>
      </c>
      <c r="S735" s="134" t="str">
        <f t="shared" ca="1" si="359"/>
        <v/>
      </c>
      <c r="T735" s="134" t="str">
        <f ca="1">IF(S735=Dashboard!$D$12,S735,"")</f>
        <v/>
      </c>
      <c r="U735" s="134" t="str">
        <f t="shared" ca="1" si="360"/>
        <v/>
      </c>
      <c r="V735" s="83" t="str">
        <f ca="1">IF(U735="","",IFERROR((RANK(U735,$U$2:$U$2028,1)+COUNTIF($U$2:U735,U735))-1,""))</f>
        <v/>
      </c>
      <c r="W735" s="134" t="str">
        <f t="shared" ref="W735:W798" si="364">IF($J735=$W$1,U735,"")</f>
        <v/>
      </c>
      <c r="X735" s="134" t="str">
        <f>IF(W735="","",IFERROR((RANK(W735,$W$2:$W$2028,1)+COUNTIF($W$2:W735,W735))-1,""))</f>
        <v/>
      </c>
      <c r="Y735" s="134" t="str">
        <f t="shared" si="361"/>
        <v/>
      </c>
      <c r="Z735" s="134" t="str">
        <f>IF(Y735="","",IFERROR((RANK(Y735,$Y$2:$Y$2028,1)+COUNTIF($Y$2:Y735,Y735))-1,""))</f>
        <v/>
      </c>
      <c r="AA735" s="134" t="str">
        <f t="shared" si="362"/>
        <v/>
      </c>
      <c r="AB735" s="134" t="str">
        <f>IF(AA735="","",IFERROR((RANK(AA735,$AA$2:$AA$2028,1)+COUNTIF($AA$2:AA735,AA735))-1,""))</f>
        <v/>
      </c>
      <c r="AC735" s="134" t="str">
        <f t="shared" si="363"/>
        <v/>
      </c>
      <c r="AD735" s="134" t="str">
        <f>IF(AC735="","",IFERROR((RANK(AC735,$AC$2:$AC$2028,1)+COUNTIF($AC$2:AC735,AC735))-1,""))</f>
        <v/>
      </c>
      <c r="AE735" s="144" t="str">
        <f t="shared" si="355"/>
        <v/>
      </c>
      <c r="AF735" s="144" t="str">
        <f>IF(AE735="","",SUM($AE$2:AE735))</f>
        <v/>
      </c>
    </row>
    <row r="736" spans="14:32" x14ac:dyDescent="0.35">
      <c r="N736" s="134" t="str">
        <f t="shared" si="353"/>
        <v/>
      </c>
      <c r="O736" s="82" t="str">
        <f t="shared" si="356"/>
        <v/>
      </c>
      <c r="P736" s="81" t="str">
        <f t="shared" si="354"/>
        <v/>
      </c>
      <c r="Q736" s="81" t="str">
        <f t="shared" si="357"/>
        <v/>
      </c>
      <c r="R736" s="135" t="str">
        <f t="shared" ca="1" si="358"/>
        <v/>
      </c>
      <c r="S736" s="134" t="str">
        <f t="shared" ca="1" si="359"/>
        <v/>
      </c>
      <c r="T736" s="134" t="str">
        <f ca="1">IF(S736=Dashboard!$D$12,S736,"")</f>
        <v/>
      </c>
      <c r="U736" s="134" t="str">
        <f t="shared" ca="1" si="360"/>
        <v/>
      </c>
      <c r="V736" s="83" t="str">
        <f ca="1">IF(U736="","",IFERROR((RANK(U736,$U$2:$U$2028,1)+COUNTIF($U$2:U736,U736))-1,""))</f>
        <v/>
      </c>
      <c r="W736" s="134" t="str">
        <f t="shared" si="364"/>
        <v/>
      </c>
      <c r="X736" s="134" t="str">
        <f>IF(W736="","",IFERROR((RANK(W736,$W$2:$W$2028,1)+COUNTIF($W$2:W736,W736))-1,""))</f>
        <v/>
      </c>
      <c r="Y736" s="134" t="str">
        <f t="shared" si="361"/>
        <v/>
      </c>
      <c r="Z736" s="134" t="str">
        <f>IF(Y736="","",IFERROR((RANK(Y736,$Y$2:$Y$2028,1)+COUNTIF($Y$2:Y736,Y736))-1,""))</f>
        <v/>
      </c>
      <c r="AA736" s="134" t="str">
        <f t="shared" si="362"/>
        <v/>
      </c>
      <c r="AB736" s="134" t="str">
        <f>IF(AA736="","",IFERROR((RANK(AA736,$AA$2:$AA$2028,1)+COUNTIF($AA$2:AA736,AA736))-1,""))</f>
        <v/>
      </c>
      <c r="AC736" s="134" t="str">
        <f t="shared" si="363"/>
        <v/>
      </c>
      <c r="AD736" s="134" t="str">
        <f>IF(AC736="","",IFERROR((RANK(AC736,$AC$2:$AC$2028,1)+COUNTIF($AC$2:AC736,AC736))-1,""))</f>
        <v/>
      </c>
      <c r="AE736" s="144" t="str">
        <f t="shared" si="355"/>
        <v/>
      </c>
      <c r="AF736" s="144" t="str">
        <f>IF(AE736="","",SUM($AE$2:AE736))</f>
        <v/>
      </c>
    </row>
    <row r="737" spans="14:32" x14ac:dyDescent="0.35">
      <c r="N737" s="134" t="str">
        <f t="shared" si="353"/>
        <v/>
      </c>
      <c r="O737" s="82" t="str">
        <f t="shared" si="356"/>
        <v/>
      </c>
      <c r="P737" s="81" t="str">
        <f t="shared" si="354"/>
        <v/>
      </c>
      <c r="Q737" s="81" t="str">
        <f t="shared" si="357"/>
        <v/>
      </c>
      <c r="R737" s="135" t="str">
        <f t="shared" ca="1" si="358"/>
        <v/>
      </c>
      <c r="S737" s="134" t="str">
        <f t="shared" ca="1" si="359"/>
        <v/>
      </c>
      <c r="T737" s="134" t="str">
        <f ca="1">IF(S737=Dashboard!$D$12,S737,"")</f>
        <v/>
      </c>
      <c r="U737" s="134" t="str">
        <f t="shared" ca="1" si="360"/>
        <v/>
      </c>
      <c r="V737" s="83" t="str">
        <f ca="1">IF(U737="","",IFERROR((RANK(U737,$U$2:$U$2028,1)+COUNTIF($U$2:U737,U737))-1,""))</f>
        <v/>
      </c>
      <c r="W737" s="134" t="str">
        <f t="shared" si="364"/>
        <v/>
      </c>
      <c r="X737" s="134" t="str">
        <f>IF(W737="","",IFERROR((RANK(W737,$W$2:$W$2028,1)+COUNTIF($W$2:W737,W737))-1,""))</f>
        <v/>
      </c>
      <c r="Y737" s="134" t="str">
        <f t="shared" si="361"/>
        <v/>
      </c>
      <c r="Z737" s="134" t="str">
        <f>IF(Y737="","",IFERROR((RANK(Y737,$Y$2:$Y$2028,1)+COUNTIF($Y$2:Y737,Y737))-1,""))</f>
        <v/>
      </c>
      <c r="AA737" s="134" t="str">
        <f t="shared" si="362"/>
        <v/>
      </c>
      <c r="AB737" s="134" t="str">
        <f>IF(AA737="","",IFERROR((RANK(AA737,$AA$2:$AA$2028,1)+COUNTIF($AA$2:AA737,AA737))-1,""))</f>
        <v/>
      </c>
      <c r="AC737" s="134" t="str">
        <f t="shared" si="363"/>
        <v/>
      </c>
      <c r="AD737" s="134" t="str">
        <f>IF(AC737="","",IFERROR((RANK(AC737,$AC$2:$AC$2028,1)+COUNTIF($AC$2:AC737,AC737))-1,""))</f>
        <v/>
      </c>
      <c r="AE737" s="144" t="str">
        <f t="shared" si="355"/>
        <v/>
      </c>
      <c r="AF737" s="144" t="str">
        <f>IF(AE737="","",SUM($AE$2:AE737))</f>
        <v/>
      </c>
    </row>
    <row r="738" spans="14:32" x14ac:dyDescent="0.35">
      <c r="N738" s="134" t="str">
        <f t="shared" si="353"/>
        <v/>
      </c>
      <c r="O738" s="82" t="str">
        <f t="shared" si="356"/>
        <v/>
      </c>
      <c r="P738" s="81" t="str">
        <f t="shared" si="354"/>
        <v/>
      </c>
      <c r="Q738" s="81" t="str">
        <f t="shared" si="357"/>
        <v/>
      </c>
      <c r="R738" s="135" t="str">
        <f t="shared" ca="1" si="358"/>
        <v/>
      </c>
      <c r="S738" s="134" t="str">
        <f t="shared" ca="1" si="359"/>
        <v/>
      </c>
      <c r="T738" s="134" t="str">
        <f ca="1">IF(S738=Dashboard!$D$12,S738,"")</f>
        <v/>
      </c>
      <c r="U738" s="134" t="str">
        <f t="shared" ca="1" si="360"/>
        <v/>
      </c>
      <c r="V738" s="83" t="str">
        <f ca="1">IF(U738="","",IFERROR((RANK(U738,$U$2:$U$2028,1)+COUNTIF($U$2:U738,U738))-1,""))</f>
        <v/>
      </c>
      <c r="W738" s="134" t="str">
        <f t="shared" si="364"/>
        <v/>
      </c>
      <c r="X738" s="134" t="str">
        <f>IF(W738="","",IFERROR((RANK(W738,$W$2:$W$2028,1)+COUNTIF($W$2:W738,W738))-1,""))</f>
        <v/>
      </c>
      <c r="Y738" s="134" t="str">
        <f t="shared" si="361"/>
        <v/>
      </c>
      <c r="Z738" s="134" t="str">
        <f>IF(Y738="","",IFERROR((RANK(Y738,$Y$2:$Y$2028,1)+COUNTIF($Y$2:Y738,Y738))-1,""))</f>
        <v/>
      </c>
      <c r="AA738" s="134" t="str">
        <f t="shared" si="362"/>
        <v/>
      </c>
      <c r="AB738" s="134" t="str">
        <f>IF(AA738="","",IFERROR((RANK(AA738,$AA$2:$AA$2028,1)+COUNTIF($AA$2:AA738,AA738))-1,""))</f>
        <v/>
      </c>
      <c r="AC738" s="134" t="str">
        <f t="shared" si="363"/>
        <v/>
      </c>
      <c r="AD738" s="134" t="str">
        <f>IF(AC738="","",IFERROR((RANK(AC738,$AC$2:$AC$2028,1)+COUNTIF($AC$2:AC738,AC738))-1,""))</f>
        <v/>
      </c>
      <c r="AE738" s="144" t="str">
        <f t="shared" si="355"/>
        <v/>
      </c>
      <c r="AF738" s="144" t="str">
        <f>IF(AE738="","",SUM($AE$2:AE738))</f>
        <v/>
      </c>
    </row>
    <row r="739" spans="14:32" x14ac:dyDescent="0.35">
      <c r="N739" s="134" t="str">
        <f t="shared" si="353"/>
        <v/>
      </c>
      <c r="O739" s="82" t="str">
        <f t="shared" si="356"/>
        <v/>
      </c>
      <c r="P739" s="81" t="str">
        <f t="shared" si="354"/>
        <v/>
      </c>
      <c r="Q739" s="81" t="str">
        <f t="shared" si="357"/>
        <v/>
      </c>
      <c r="R739" s="135" t="str">
        <f t="shared" ca="1" si="358"/>
        <v/>
      </c>
      <c r="S739" s="134" t="str">
        <f t="shared" ca="1" si="359"/>
        <v/>
      </c>
      <c r="T739" s="134" t="str">
        <f ca="1">IF(S739=Dashboard!$D$12,S739,"")</f>
        <v/>
      </c>
      <c r="U739" s="134" t="str">
        <f t="shared" ca="1" si="360"/>
        <v/>
      </c>
      <c r="V739" s="83" t="str">
        <f ca="1">IF(U739="","",IFERROR((RANK(U739,$U$2:$U$2028,1)+COUNTIF($U$2:U739,U739))-1,""))</f>
        <v/>
      </c>
      <c r="W739" s="134" t="str">
        <f t="shared" si="364"/>
        <v/>
      </c>
      <c r="X739" s="134" t="str">
        <f>IF(W739="","",IFERROR((RANK(W739,$W$2:$W$2028,1)+COUNTIF($W$2:W739,W739))-1,""))</f>
        <v/>
      </c>
      <c r="Y739" s="134" t="str">
        <f t="shared" si="361"/>
        <v/>
      </c>
      <c r="Z739" s="134" t="str">
        <f>IF(Y739="","",IFERROR((RANK(Y739,$Y$2:$Y$2028,1)+COUNTIF($Y$2:Y739,Y739))-1,""))</f>
        <v/>
      </c>
      <c r="AA739" s="134" t="str">
        <f t="shared" si="362"/>
        <v/>
      </c>
      <c r="AB739" s="134" t="str">
        <f>IF(AA739="","",IFERROR((RANK(AA739,$AA$2:$AA$2028,1)+COUNTIF($AA$2:AA739,AA739))-1,""))</f>
        <v/>
      </c>
      <c r="AC739" s="134" t="str">
        <f t="shared" si="363"/>
        <v/>
      </c>
      <c r="AD739" s="134" t="str">
        <f>IF(AC739="","",IFERROR((RANK(AC739,$AC$2:$AC$2028,1)+COUNTIF($AC$2:AC739,AC739))-1,""))</f>
        <v/>
      </c>
      <c r="AE739" s="144" t="str">
        <f t="shared" si="355"/>
        <v/>
      </c>
      <c r="AF739" s="144" t="str">
        <f>IF(AE739="","",SUM($AE$2:AE739))</f>
        <v/>
      </c>
    </row>
    <row r="740" spans="14:32" x14ac:dyDescent="0.35">
      <c r="N740" s="134" t="str">
        <f t="shared" si="353"/>
        <v/>
      </c>
      <c r="O740" s="82" t="str">
        <f t="shared" si="356"/>
        <v/>
      </c>
      <c r="P740" s="81" t="str">
        <f t="shared" si="354"/>
        <v/>
      </c>
      <c r="Q740" s="81" t="str">
        <f t="shared" si="357"/>
        <v/>
      </c>
      <c r="R740" s="135" t="str">
        <f t="shared" ca="1" si="358"/>
        <v/>
      </c>
      <c r="S740" s="134" t="str">
        <f t="shared" ca="1" si="359"/>
        <v/>
      </c>
      <c r="T740" s="134" t="str">
        <f ca="1">IF(S740=Dashboard!$D$12,S740,"")</f>
        <v/>
      </c>
      <c r="U740" s="134" t="str">
        <f t="shared" ca="1" si="360"/>
        <v/>
      </c>
      <c r="V740" s="83" t="str">
        <f ca="1">IF(U740="","",IFERROR((RANK(U740,$U$2:$U$2028,1)+COUNTIF($U$2:U740,U740))-1,""))</f>
        <v/>
      </c>
      <c r="W740" s="134" t="str">
        <f t="shared" si="364"/>
        <v/>
      </c>
      <c r="X740" s="134" t="str">
        <f>IF(W740="","",IFERROR((RANK(W740,$W$2:$W$2028,1)+COUNTIF($W$2:W740,W740))-1,""))</f>
        <v/>
      </c>
      <c r="Y740" s="134" t="str">
        <f t="shared" si="361"/>
        <v/>
      </c>
      <c r="Z740" s="134" t="str">
        <f>IF(Y740="","",IFERROR((RANK(Y740,$Y$2:$Y$2028,1)+COUNTIF($Y$2:Y740,Y740))-1,""))</f>
        <v/>
      </c>
      <c r="AA740" s="134" t="str">
        <f t="shared" si="362"/>
        <v/>
      </c>
      <c r="AB740" s="134" t="str">
        <f>IF(AA740="","",IFERROR((RANK(AA740,$AA$2:$AA$2028,1)+COUNTIF($AA$2:AA740,AA740))-1,""))</f>
        <v/>
      </c>
      <c r="AC740" s="134" t="str">
        <f t="shared" si="363"/>
        <v/>
      </c>
      <c r="AD740" s="134" t="str">
        <f>IF(AC740="","",IFERROR((RANK(AC740,$AC$2:$AC$2028,1)+COUNTIF($AC$2:AC740,AC740))-1,""))</f>
        <v/>
      </c>
      <c r="AE740" s="144" t="str">
        <f t="shared" si="355"/>
        <v/>
      </c>
      <c r="AF740" s="144" t="str">
        <f>IF(AE740="","",SUM($AE$2:AE740))</f>
        <v/>
      </c>
    </row>
    <row r="741" spans="14:32" x14ac:dyDescent="0.35">
      <c r="N741" s="134" t="str">
        <f t="shared" si="353"/>
        <v/>
      </c>
      <c r="O741" s="82" t="str">
        <f t="shared" si="356"/>
        <v/>
      </c>
      <c r="P741" s="81" t="str">
        <f t="shared" si="354"/>
        <v/>
      </c>
      <c r="Q741" s="81" t="str">
        <f t="shared" si="357"/>
        <v/>
      </c>
      <c r="R741" s="135" t="str">
        <f t="shared" ca="1" si="358"/>
        <v/>
      </c>
      <c r="S741" s="134" t="str">
        <f t="shared" ca="1" si="359"/>
        <v/>
      </c>
      <c r="T741" s="134" t="str">
        <f ca="1">IF(S741=Dashboard!$D$12,S741,"")</f>
        <v/>
      </c>
      <c r="U741" s="134" t="str">
        <f t="shared" ca="1" si="360"/>
        <v/>
      </c>
      <c r="V741" s="83" t="str">
        <f ca="1">IF(U741="","",IFERROR((RANK(U741,$U$2:$U$2028,1)+COUNTIF($U$2:U741,U741))-1,""))</f>
        <v/>
      </c>
      <c r="W741" s="134" t="str">
        <f t="shared" si="364"/>
        <v/>
      </c>
      <c r="X741" s="134" t="str">
        <f>IF(W741="","",IFERROR((RANK(W741,$W$2:$W$2028,1)+COUNTIF($W$2:W741,W741))-1,""))</f>
        <v/>
      </c>
      <c r="Y741" s="134" t="str">
        <f t="shared" si="361"/>
        <v/>
      </c>
      <c r="Z741" s="134" t="str">
        <f>IF(Y741="","",IFERROR((RANK(Y741,$Y$2:$Y$2028,1)+COUNTIF($Y$2:Y741,Y741))-1,""))</f>
        <v/>
      </c>
      <c r="AA741" s="134" t="str">
        <f t="shared" si="362"/>
        <v/>
      </c>
      <c r="AB741" s="134" t="str">
        <f>IF(AA741="","",IFERROR((RANK(AA741,$AA$2:$AA$2028,1)+COUNTIF($AA$2:AA741,AA741))-1,""))</f>
        <v/>
      </c>
      <c r="AC741" s="134" t="str">
        <f t="shared" si="363"/>
        <v/>
      </c>
      <c r="AD741" s="134" t="str">
        <f>IF(AC741="","",IFERROR((RANK(AC741,$AC$2:$AC$2028,1)+COUNTIF($AC$2:AC741,AC741))-1,""))</f>
        <v/>
      </c>
      <c r="AE741" s="144" t="str">
        <f t="shared" si="355"/>
        <v/>
      </c>
      <c r="AF741" s="144" t="str">
        <f>IF(AE741="","",SUM($AE$2:AE741))</f>
        <v/>
      </c>
    </row>
    <row r="742" spans="14:32" x14ac:dyDescent="0.35">
      <c r="N742" s="134" t="str">
        <f t="shared" si="353"/>
        <v/>
      </c>
      <c r="O742" s="82" t="str">
        <f t="shared" si="356"/>
        <v/>
      </c>
      <c r="P742" s="81" t="str">
        <f t="shared" si="354"/>
        <v/>
      </c>
      <c r="Q742" s="81" t="str">
        <f t="shared" si="357"/>
        <v/>
      </c>
      <c r="R742" s="135" t="str">
        <f t="shared" ca="1" si="358"/>
        <v/>
      </c>
      <c r="S742" s="134" t="str">
        <f t="shared" ca="1" si="359"/>
        <v/>
      </c>
      <c r="T742" s="134" t="str">
        <f ca="1">IF(S742=Dashboard!$D$12,S742,"")</f>
        <v/>
      </c>
      <c r="U742" s="134" t="str">
        <f t="shared" ca="1" si="360"/>
        <v/>
      </c>
      <c r="V742" s="83" t="str">
        <f ca="1">IF(U742="","",IFERROR((RANK(U742,$U$2:$U$2028,1)+COUNTIF($U$2:U742,U742))-1,""))</f>
        <v/>
      </c>
      <c r="W742" s="134" t="str">
        <f t="shared" si="364"/>
        <v/>
      </c>
      <c r="X742" s="134" t="str">
        <f>IF(W742="","",IFERROR((RANK(W742,$W$2:$W$2028,1)+COUNTIF($W$2:W742,W742))-1,""))</f>
        <v/>
      </c>
      <c r="Y742" s="134" t="str">
        <f t="shared" si="361"/>
        <v/>
      </c>
      <c r="Z742" s="134" t="str">
        <f>IF(Y742="","",IFERROR((RANK(Y742,$Y$2:$Y$2028,1)+COUNTIF($Y$2:Y742,Y742))-1,""))</f>
        <v/>
      </c>
      <c r="AA742" s="134" t="str">
        <f t="shared" si="362"/>
        <v/>
      </c>
      <c r="AB742" s="134" t="str">
        <f>IF(AA742="","",IFERROR((RANK(AA742,$AA$2:$AA$2028,1)+COUNTIF($AA$2:AA742,AA742))-1,""))</f>
        <v/>
      </c>
      <c r="AC742" s="134" t="str">
        <f t="shared" si="363"/>
        <v/>
      </c>
      <c r="AD742" s="134" t="str">
        <f>IF(AC742="","",IFERROR((RANK(AC742,$AC$2:$AC$2028,1)+COUNTIF($AC$2:AC742,AC742))-1,""))</f>
        <v/>
      </c>
      <c r="AE742" s="144" t="str">
        <f t="shared" si="355"/>
        <v/>
      </c>
      <c r="AF742" s="144" t="str">
        <f>IF(AE742="","",SUM($AE$2:AE742))</f>
        <v/>
      </c>
    </row>
    <row r="743" spans="14:32" x14ac:dyDescent="0.35">
      <c r="N743" s="134" t="str">
        <f t="shared" si="353"/>
        <v/>
      </c>
      <c r="O743" s="82" t="str">
        <f t="shared" si="356"/>
        <v/>
      </c>
      <c r="P743" s="81" t="str">
        <f t="shared" si="354"/>
        <v/>
      </c>
      <c r="Q743" s="81" t="str">
        <f t="shared" si="357"/>
        <v/>
      </c>
      <c r="R743" s="135" t="str">
        <f t="shared" ca="1" si="358"/>
        <v/>
      </c>
      <c r="S743" s="134" t="str">
        <f t="shared" ca="1" si="359"/>
        <v/>
      </c>
      <c r="T743" s="134" t="str">
        <f ca="1">IF(S743=Dashboard!$D$12,S743,"")</f>
        <v/>
      </c>
      <c r="U743" s="134" t="str">
        <f t="shared" ca="1" si="360"/>
        <v/>
      </c>
      <c r="V743" s="83" t="str">
        <f ca="1">IF(U743="","",IFERROR((RANK(U743,$U$2:$U$2028,1)+COUNTIF($U$2:U743,U743))-1,""))</f>
        <v/>
      </c>
      <c r="W743" s="134" t="str">
        <f t="shared" si="364"/>
        <v/>
      </c>
      <c r="X743" s="134" t="str">
        <f>IF(W743="","",IFERROR((RANK(W743,$W$2:$W$2028,1)+COUNTIF($W$2:W743,W743))-1,""))</f>
        <v/>
      </c>
      <c r="Y743" s="134" t="str">
        <f t="shared" si="361"/>
        <v/>
      </c>
      <c r="Z743" s="134" t="str">
        <f>IF(Y743="","",IFERROR((RANK(Y743,$Y$2:$Y$2028,1)+COUNTIF($Y$2:Y743,Y743))-1,""))</f>
        <v/>
      </c>
      <c r="AA743" s="134" t="str">
        <f t="shared" si="362"/>
        <v/>
      </c>
      <c r="AB743" s="134" t="str">
        <f>IF(AA743="","",IFERROR((RANK(AA743,$AA$2:$AA$2028,1)+COUNTIF($AA$2:AA743,AA743))-1,""))</f>
        <v/>
      </c>
      <c r="AC743" s="134" t="str">
        <f t="shared" si="363"/>
        <v/>
      </c>
      <c r="AD743" s="134" t="str">
        <f>IF(AC743="","",IFERROR((RANK(AC743,$AC$2:$AC$2028,1)+COUNTIF($AC$2:AC743,AC743))-1,""))</f>
        <v/>
      </c>
      <c r="AE743" s="144" t="str">
        <f t="shared" si="355"/>
        <v/>
      </c>
      <c r="AF743" s="144" t="str">
        <f>IF(AE743="","",SUM($AE$2:AE743))</f>
        <v/>
      </c>
    </row>
    <row r="744" spans="14:32" x14ac:dyDescent="0.35">
      <c r="N744" s="134" t="str">
        <f t="shared" si="353"/>
        <v/>
      </c>
      <c r="O744" s="82" t="str">
        <f t="shared" si="356"/>
        <v/>
      </c>
      <c r="P744" s="81" t="str">
        <f t="shared" si="354"/>
        <v/>
      </c>
      <c r="Q744" s="81" t="str">
        <f t="shared" si="357"/>
        <v/>
      </c>
      <c r="R744" s="135" t="str">
        <f t="shared" ca="1" si="358"/>
        <v/>
      </c>
      <c r="S744" s="134" t="str">
        <f t="shared" ca="1" si="359"/>
        <v/>
      </c>
      <c r="T744" s="134" t="str">
        <f ca="1">IF(S744=Dashboard!$D$12,S744,"")</f>
        <v/>
      </c>
      <c r="U744" s="134" t="str">
        <f t="shared" ca="1" si="360"/>
        <v/>
      </c>
      <c r="V744" s="83" t="str">
        <f ca="1">IF(U744="","",IFERROR((RANK(U744,$U$2:$U$2028,1)+COUNTIF($U$2:U744,U744))-1,""))</f>
        <v/>
      </c>
      <c r="W744" s="134" t="str">
        <f t="shared" si="364"/>
        <v/>
      </c>
      <c r="X744" s="134" t="str">
        <f>IF(W744="","",IFERROR((RANK(W744,$W$2:$W$2028,1)+COUNTIF($W$2:W744,W744))-1,""))</f>
        <v/>
      </c>
      <c r="Y744" s="134" t="str">
        <f t="shared" si="361"/>
        <v/>
      </c>
      <c r="Z744" s="134" t="str">
        <f>IF(Y744="","",IFERROR((RANK(Y744,$Y$2:$Y$2028,1)+COUNTIF($Y$2:Y744,Y744))-1,""))</f>
        <v/>
      </c>
      <c r="AA744" s="134" t="str">
        <f t="shared" si="362"/>
        <v/>
      </c>
      <c r="AB744" s="134" t="str">
        <f>IF(AA744="","",IFERROR((RANK(AA744,$AA$2:$AA$2028,1)+COUNTIF($AA$2:AA744,AA744))-1,""))</f>
        <v/>
      </c>
      <c r="AC744" s="134" t="str">
        <f t="shared" si="363"/>
        <v/>
      </c>
      <c r="AD744" s="134" t="str">
        <f>IF(AC744="","",IFERROR((RANK(AC744,$AC$2:$AC$2028,1)+COUNTIF($AC$2:AC744,AC744))-1,""))</f>
        <v/>
      </c>
      <c r="AE744" s="144" t="str">
        <f t="shared" si="355"/>
        <v/>
      </c>
      <c r="AF744" s="144" t="str">
        <f>IF(AE744="","",SUM($AE$2:AE744))</f>
        <v/>
      </c>
    </row>
    <row r="745" spans="14:32" x14ac:dyDescent="0.35">
      <c r="N745" s="134" t="str">
        <f t="shared" si="353"/>
        <v/>
      </c>
      <c r="O745" s="82" t="str">
        <f t="shared" si="356"/>
        <v/>
      </c>
      <c r="P745" s="81" t="str">
        <f t="shared" si="354"/>
        <v/>
      </c>
      <c r="Q745" s="81" t="str">
        <f t="shared" si="357"/>
        <v/>
      </c>
      <c r="R745" s="135" t="str">
        <f t="shared" ca="1" si="358"/>
        <v/>
      </c>
      <c r="S745" s="134" t="str">
        <f t="shared" ca="1" si="359"/>
        <v/>
      </c>
      <c r="T745" s="134" t="str">
        <f ca="1">IF(S745=Dashboard!$D$12,S745,"")</f>
        <v/>
      </c>
      <c r="U745" s="134" t="str">
        <f t="shared" ca="1" si="360"/>
        <v/>
      </c>
      <c r="V745" s="83" t="str">
        <f ca="1">IF(U745="","",IFERROR((RANK(U745,$U$2:$U$2028,1)+COUNTIF($U$2:U745,U745))-1,""))</f>
        <v/>
      </c>
      <c r="W745" s="134" t="str">
        <f t="shared" si="364"/>
        <v/>
      </c>
      <c r="X745" s="134" t="str">
        <f>IF(W745="","",IFERROR((RANK(W745,$W$2:$W$2028,1)+COUNTIF($W$2:W745,W745))-1,""))</f>
        <v/>
      </c>
      <c r="Y745" s="134" t="str">
        <f t="shared" si="361"/>
        <v/>
      </c>
      <c r="Z745" s="134" t="str">
        <f>IF(Y745="","",IFERROR((RANK(Y745,$Y$2:$Y$2028,1)+COUNTIF($Y$2:Y745,Y745))-1,""))</f>
        <v/>
      </c>
      <c r="AA745" s="134" t="str">
        <f t="shared" si="362"/>
        <v/>
      </c>
      <c r="AB745" s="134" t="str">
        <f>IF(AA745="","",IFERROR((RANK(AA745,$AA$2:$AA$2028,1)+COUNTIF($AA$2:AA745,AA745))-1,""))</f>
        <v/>
      </c>
      <c r="AC745" s="134" t="str">
        <f t="shared" si="363"/>
        <v/>
      </c>
      <c r="AD745" s="134" t="str">
        <f>IF(AC745="","",IFERROR((RANK(AC745,$AC$2:$AC$2028,1)+COUNTIF($AC$2:AC745,AC745))-1,""))</f>
        <v/>
      </c>
      <c r="AE745" s="144" t="str">
        <f t="shared" si="355"/>
        <v/>
      </c>
      <c r="AF745" s="144" t="str">
        <f>IF(AE745="","",SUM($AE$2:AE745))</f>
        <v/>
      </c>
    </row>
    <row r="746" spans="14:32" x14ac:dyDescent="0.35">
      <c r="N746" s="134" t="str">
        <f t="shared" si="353"/>
        <v/>
      </c>
      <c r="O746" s="82" t="str">
        <f t="shared" si="356"/>
        <v/>
      </c>
      <c r="P746" s="81" t="str">
        <f t="shared" si="354"/>
        <v/>
      </c>
      <c r="Q746" s="81" t="str">
        <f t="shared" si="357"/>
        <v/>
      </c>
      <c r="R746" s="135" t="str">
        <f t="shared" ca="1" si="358"/>
        <v/>
      </c>
      <c r="S746" s="134" t="str">
        <f t="shared" ca="1" si="359"/>
        <v/>
      </c>
      <c r="T746" s="134" t="str">
        <f ca="1">IF(S746=Dashboard!$D$12,S746,"")</f>
        <v/>
      </c>
      <c r="U746" s="134" t="str">
        <f t="shared" ca="1" si="360"/>
        <v/>
      </c>
      <c r="V746" s="83" t="str">
        <f ca="1">IF(U746="","",IFERROR((RANK(U746,$U$2:$U$2028,1)+COUNTIF($U$2:U746,U746))-1,""))</f>
        <v/>
      </c>
      <c r="W746" s="134" t="str">
        <f t="shared" si="364"/>
        <v/>
      </c>
      <c r="X746" s="134" t="str">
        <f>IF(W746="","",IFERROR((RANK(W746,$W$2:$W$2028,1)+COUNTIF($W$2:W746,W746))-1,""))</f>
        <v/>
      </c>
      <c r="Y746" s="134" t="str">
        <f t="shared" si="361"/>
        <v/>
      </c>
      <c r="Z746" s="134" t="str">
        <f>IF(Y746="","",IFERROR((RANK(Y746,$Y$2:$Y$2028,1)+COUNTIF($Y$2:Y746,Y746))-1,""))</f>
        <v/>
      </c>
      <c r="AA746" s="134" t="str">
        <f t="shared" si="362"/>
        <v/>
      </c>
      <c r="AB746" s="134" t="str">
        <f>IF(AA746="","",IFERROR((RANK(AA746,$AA$2:$AA$2028,1)+COUNTIF($AA$2:AA746,AA746))-1,""))</f>
        <v/>
      </c>
      <c r="AC746" s="134" t="str">
        <f t="shared" si="363"/>
        <v/>
      </c>
      <c r="AD746" s="134" t="str">
        <f>IF(AC746="","",IFERROR((RANK(AC746,$AC$2:$AC$2028,1)+COUNTIF($AC$2:AC746,AC746))-1,""))</f>
        <v/>
      </c>
      <c r="AE746" s="144" t="str">
        <f t="shared" si="355"/>
        <v/>
      </c>
      <c r="AF746" s="144" t="str">
        <f>IF(AE746="","",SUM($AE$2:AE746))</f>
        <v/>
      </c>
    </row>
    <row r="747" spans="14:32" x14ac:dyDescent="0.35">
      <c r="N747" s="134" t="str">
        <f t="shared" si="353"/>
        <v/>
      </c>
      <c r="O747" s="82" t="str">
        <f t="shared" si="356"/>
        <v/>
      </c>
      <c r="P747" s="81" t="str">
        <f t="shared" si="354"/>
        <v/>
      </c>
      <c r="Q747" s="81" t="str">
        <f t="shared" si="357"/>
        <v/>
      </c>
      <c r="R747" s="135" t="str">
        <f t="shared" ca="1" si="358"/>
        <v/>
      </c>
      <c r="S747" s="134" t="str">
        <f t="shared" ca="1" si="359"/>
        <v/>
      </c>
      <c r="T747" s="134" t="str">
        <f ca="1">IF(S747=Dashboard!$D$12,S747,"")</f>
        <v/>
      </c>
      <c r="U747" s="134" t="str">
        <f t="shared" ca="1" si="360"/>
        <v/>
      </c>
      <c r="V747" s="83" t="str">
        <f ca="1">IF(U747="","",IFERROR((RANK(U747,$U$2:$U$2028,1)+COUNTIF($U$2:U747,U747))-1,""))</f>
        <v/>
      </c>
      <c r="W747" s="134" t="str">
        <f t="shared" si="364"/>
        <v/>
      </c>
      <c r="X747" s="134" t="str">
        <f>IF(W747="","",IFERROR((RANK(W747,$W$2:$W$2028,1)+COUNTIF($W$2:W747,W747))-1,""))</f>
        <v/>
      </c>
      <c r="Y747" s="134" t="str">
        <f t="shared" si="361"/>
        <v/>
      </c>
      <c r="Z747" s="134" t="str">
        <f>IF(Y747="","",IFERROR((RANK(Y747,$Y$2:$Y$2028,1)+COUNTIF($Y$2:Y747,Y747))-1,""))</f>
        <v/>
      </c>
      <c r="AA747" s="134" t="str">
        <f t="shared" si="362"/>
        <v/>
      </c>
      <c r="AB747" s="134" t="str">
        <f>IF(AA747="","",IFERROR((RANK(AA747,$AA$2:$AA$2028,1)+COUNTIF($AA$2:AA747,AA747))-1,""))</f>
        <v/>
      </c>
      <c r="AC747" s="134" t="str">
        <f t="shared" si="363"/>
        <v/>
      </c>
      <c r="AD747" s="134" t="str">
        <f>IF(AC747="","",IFERROR((RANK(AC747,$AC$2:$AC$2028,1)+COUNTIF($AC$2:AC747,AC747))-1,""))</f>
        <v/>
      </c>
      <c r="AE747" s="144" t="str">
        <f t="shared" si="355"/>
        <v/>
      </c>
      <c r="AF747" s="144" t="str">
        <f>IF(AE747="","",SUM($AE$2:AE747))</f>
        <v/>
      </c>
    </row>
    <row r="748" spans="14:32" x14ac:dyDescent="0.35">
      <c r="N748" s="134" t="str">
        <f t="shared" si="353"/>
        <v/>
      </c>
      <c r="O748" s="82" t="str">
        <f t="shared" si="356"/>
        <v/>
      </c>
      <c r="P748" s="81" t="str">
        <f t="shared" si="354"/>
        <v/>
      </c>
      <c r="Q748" s="81" t="str">
        <f t="shared" si="357"/>
        <v/>
      </c>
      <c r="R748" s="135" t="str">
        <f t="shared" ca="1" si="358"/>
        <v/>
      </c>
      <c r="S748" s="134" t="str">
        <f t="shared" ca="1" si="359"/>
        <v/>
      </c>
      <c r="T748" s="134" t="str">
        <f ca="1">IF(S748=Dashboard!$D$12,S748,"")</f>
        <v/>
      </c>
      <c r="U748" s="134" t="str">
        <f t="shared" ca="1" si="360"/>
        <v/>
      </c>
      <c r="V748" s="83" t="str">
        <f ca="1">IF(U748="","",IFERROR((RANK(U748,$U$2:$U$2028,1)+COUNTIF($U$2:U748,U748))-1,""))</f>
        <v/>
      </c>
      <c r="W748" s="134" t="str">
        <f t="shared" si="364"/>
        <v/>
      </c>
      <c r="X748" s="134" t="str">
        <f>IF(W748="","",IFERROR((RANK(W748,$W$2:$W$2028,1)+COUNTIF($W$2:W748,W748))-1,""))</f>
        <v/>
      </c>
      <c r="Y748" s="134" t="str">
        <f t="shared" si="361"/>
        <v/>
      </c>
      <c r="Z748" s="134" t="str">
        <f>IF(Y748="","",IFERROR((RANK(Y748,$Y$2:$Y$2028,1)+COUNTIF($Y$2:Y748,Y748))-1,""))</f>
        <v/>
      </c>
      <c r="AA748" s="134" t="str">
        <f t="shared" si="362"/>
        <v/>
      </c>
      <c r="AB748" s="134" t="str">
        <f>IF(AA748="","",IFERROR((RANK(AA748,$AA$2:$AA$2028,1)+COUNTIF($AA$2:AA748,AA748))-1,""))</f>
        <v/>
      </c>
      <c r="AC748" s="134" t="str">
        <f t="shared" si="363"/>
        <v/>
      </c>
      <c r="AD748" s="134" t="str">
        <f>IF(AC748="","",IFERROR((RANK(AC748,$AC$2:$AC$2028,1)+COUNTIF($AC$2:AC748,AC748))-1,""))</f>
        <v/>
      </c>
      <c r="AE748" s="144" t="str">
        <f t="shared" si="355"/>
        <v/>
      </c>
      <c r="AF748" s="144" t="str">
        <f>IF(AE748="","",SUM($AE$2:AE748))</f>
        <v/>
      </c>
    </row>
    <row r="749" spans="14:32" x14ac:dyDescent="0.35">
      <c r="N749" s="134" t="str">
        <f t="shared" si="353"/>
        <v/>
      </c>
      <c r="O749" s="82" t="str">
        <f t="shared" si="356"/>
        <v/>
      </c>
      <c r="P749" s="81" t="str">
        <f t="shared" si="354"/>
        <v/>
      </c>
      <c r="Q749" s="81" t="str">
        <f t="shared" si="357"/>
        <v/>
      </c>
      <c r="R749" s="135" t="str">
        <f t="shared" ca="1" si="358"/>
        <v/>
      </c>
      <c r="S749" s="134" t="str">
        <f t="shared" ca="1" si="359"/>
        <v/>
      </c>
      <c r="T749" s="134" t="str">
        <f ca="1">IF(S749=Dashboard!$D$12,S749,"")</f>
        <v/>
      </c>
      <c r="U749" s="134" t="str">
        <f t="shared" ca="1" si="360"/>
        <v/>
      </c>
      <c r="V749" s="83" t="str">
        <f ca="1">IF(U749="","",IFERROR((RANK(U749,$U$2:$U$2028,1)+COUNTIF($U$2:U749,U749))-1,""))</f>
        <v/>
      </c>
      <c r="W749" s="134" t="str">
        <f t="shared" si="364"/>
        <v/>
      </c>
      <c r="X749" s="134" t="str">
        <f>IF(W749="","",IFERROR((RANK(W749,$W$2:$W$2028,1)+COUNTIF($W$2:W749,W749))-1,""))</f>
        <v/>
      </c>
      <c r="Y749" s="134" t="str">
        <f t="shared" si="361"/>
        <v/>
      </c>
      <c r="Z749" s="134" t="str">
        <f>IF(Y749="","",IFERROR((RANK(Y749,$Y$2:$Y$2028,1)+COUNTIF($Y$2:Y749,Y749))-1,""))</f>
        <v/>
      </c>
      <c r="AA749" s="134" t="str">
        <f t="shared" si="362"/>
        <v/>
      </c>
      <c r="AB749" s="134" t="str">
        <f>IF(AA749="","",IFERROR((RANK(AA749,$AA$2:$AA$2028,1)+COUNTIF($AA$2:AA749,AA749))-1,""))</f>
        <v/>
      </c>
      <c r="AC749" s="134" t="str">
        <f t="shared" si="363"/>
        <v/>
      </c>
      <c r="AD749" s="134" t="str">
        <f>IF(AC749="","",IFERROR((RANK(AC749,$AC$2:$AC$2028,1)+COUNTIF($AC$2:AC749,AC749))-1,""))</f>
        <v/>
      </c>
      <c r="AE749" s="144" t="str">
        <f t="shared" si="355"/>
        <v/>
      </c>
      <c r="AF749" s="144" t="str">
        <f>IF(AE749="","",SUM($AE$2:AE749))</f>
        <v/>
      </c>
    </row>
    <row r="750" spans="14:32" x14ac:dyDescent="0.35">
      <c r="N750" s="134" t="str">
        <f t="shared" si="353"/>
        <v/>
      </c>
      <c r="O750" s="82" t="str">
        <f t="shared" si="356"/>
        <v/>
      </c>
      <c r="P750" s="81" t="str">
        <f t="shared" si="354"/>
        <v/>
      </c>
      <c r="Q750" s="81" t="str">
        <f t="shared" si="357"/>
        <v/>
      </c>
      <c r="R750" s="135" t="str">
        <f t="shared" ca="1" si="358"/>
        <v/>
      </c>
      <c r="S750" s="134" t="str">
        <f t="shared" ca="1" si="359"/>
        <v/>
      </c>
      <c r="T750" s="134" t="str">
        <f ca="1">IF(S750=Dashboard!$D$12,S750,"")</f>
        <v/>
      </c>
      <c r="U750" s="134" t="str">
        <f t="shared" ca="1" si="360"/>
        <v/>
      </c>
      <c r="V750" s="83" t="str">
        <f ca="1">IF(U750="","",IFERROR((RANK(U750,$U$2:$U$2028,1)+COUNTIF($U$2:U750,U750))-1,""))</f>
        <v/>
      </c>
      <c r="W750" s="134" t="str">
        <f t="shared" si="364"/>
        <v/>
      </c>
      <c r="X750" s="134" t="str">
        <f>IF(W750="","",IFERROR((RANK(W750,$W$2:$W$2028,1)+COUNTIF($W$2:W750,W750))-1,""))</f>
        <v/>
      </c>
      <c r="Y750" s="134" t="str">
        <f t="shared" si="361"/>
        <v/>
      </c>
      <c r="Z750" s="134" t="str">
        <f>IF(Y750="","",IFERROR((RANK(Y750,$Y$2:$Y$2028,1)+COUNTIF($Y$2:Y750,Y750))-1,""))</f>
        <v/>
      </c>
      <c r="AA750" s="134" t="str">
        <f t="shared" si="362"/>
        <v/>
      </c>
      <c r="AB750" s="134" t="str">
        <f>IF(AA750="","",IFERROR((RANK(AA750,$AA$2:$AA$2028,1)+COUNTIF($AA$2:AA750,AA750))-1,""))</f>
        <v/>
      </c>
      <c r="AC750" s="134" t="str">
        <f t="shared" si="363"/>
        <v/>
      </c>
      <c r="AD750" s="134" t="str">
        <f>IF(AC750="","",IFERROR((RANK(AC750,$AC$2:$AC$2028,1)+COUNTIF($AC$2:AC750,AC750))-1,""))</f>
        <v/>
      </c>
      <c r="AE750" s="144" t="str">
        <f t="shared" si="355"/>
        <v/>
      </c>
      <c r="AF750" s="144" t="str">
        <f>IF(AE750="","",SUM($AE$2:AE750))</f>
        <v/>
      </c>
    </row>
    <row r="751" spans="14:32" x14ac:dyDescent="0.35">
      <c r="N751" s="134" t="str">
        <f t="shared" si="353"/>
        <v/>
      </c>
      <c r="O751" s="82" t="str">
        <f t="shared" si="356"/>
        <v/>
      </c>
      <c r="P751" s="81" t="str">
        <f t="shared" si="354"/>
        <v/>
      </c>
      <c r="Q751" s="81" t="str">
        <f t="shared" si="357"/>
        <v/>
      </c>
      <c r="R751" s="135" t="str">
        <f t="shared" ca="1" si="358"/>
        <v/>
      </c>
      <c r="S751" s="134" t="str">
        <f t="shared" ca="1" si="359"/>
        <v/>
      </c>
      <c r="T751" s="134" t="str">
        <f ca="1">IF(S751=Dashboard!$D$12,S751,"")</f>
        <v/>
      </c>
      <c r="U751" s="134" t="str">
        <f t="shared" ca="1" si="360"/>
        <v/>
      </c>
      <c r="V751" s="83" t="str">
        <f ca="1">IF(U751="","",IFERROR((RANK(U751,$U$2:$U$2028,1)+COUNTIF($U$2:U751,U751))-1,""))</f>
        <v/>
      </c>
      <c r="W751" s="134" t="str">
        <f t="shared" si="364"/>
        <v/>
      </c>
      <c r="X751" s="134" t="str">
        <f>IF(W751="","",IFERROR((RANK(W751,$W$2:$W$2028,1)+COUNTIF($W$2:W751,W751))-1,""))</f>
        <v/>
      </c>
      <c r="Y751" s="134" t="str">
        <f t="shared" si="361"/>
        <v/>
      </c>
      <c r="Z751" s="134" t="str">
        <f>IF(Y751="","",IFERROR((RANK(Y751,$Y$2:$Y$2028,1)+COUNTIF($Y$2:Y751,Y751))-1,""))</f>
        <v/>
      </c>
      <c r="AA751" s="134" t="str">
        <f t="shared" si="362"/>
        <v/>
      </c>
      <c r="AB751" s="134" t="str">
        <f>IF(AA751="","",IFERROR((RANK(AA751,$AA$2:$AA$2028,1)+COUNTIF($AA$2:AA751,AA751))-1,""))</f>
        <v/>
      </c>
      <c r="AC751" s="134" t="str">
        <f t="shared" si="363"/>
        <v/>
      </c>
      <c r="AD751" s="134" t="str">
        <f>IF(AC751="","",IFERROR((RANK(AC751,$AC$2:$AC$2028,1)+COUNTIF($AC$2:AC751,AC751))-1,""))</f>
        <v/>
      </c>
      <c r="AE751" s="144" t="str">
        <f t="shared" si="355"/>
        <v/>
      </c>
      <c r="AF751" s="144" t="str">
        <f>IF(AE751="","",SUM($AE$2:AE751))</f>
        <v/>
      </c>
    </row>
    <row r="752" spans="14:32" x14ac:dyDescent="0.35">
      <c r="N752" s="134" t="str">
        <f t="shared" si="353"/>
        <v/>
      </c>
      <c r="O752" s="82" t="str">
        <f t="shared" si="356"/>
        <v/>
      </c>
      <c r="P752" s="81" t="str">
        <f t="shared" si="354"/>
        <v/>
      </c>
      <c r="Q752" s="81" t="str">
        <f t="shared" si="357"/>
        <v/>
      </c>
      <c r="R752" s="135" t="str">
        <f t="shared" ca="1" si="358"/>
        <v/>
      </c>
      <c r="S752" s="134" t="str">
        <f t="shared" ca="1" si="359"/>
        <v/>
      </c>
      <c r="T752" s="134" t="str">
        <f ca="1">IF(S752=Dashboard!$D$12,S752,"")</f>
        <v/>
      </c>
      <c r="U752" s="134" t="str">
        <f t="shared" ca="1" si="360"/>
        <v/>
      </c>
      <c r="V752" s="83" t="str">
        <f ca="1">IF(U752="","",IFERROR((RANK(U752,$U$2:$U$2028,1)+COUNTIF($U$2:U752,U752))-1,""))</f>
        <v/>
      </c>
      <c r="W752" s="134" t="str">
        <f t="shared" si="364"/>
        <v/>
      </c>
      <c r="X752" s="134" t="str">
        <f>IF(W752="","",IFERROR((RANK(W752,$W$2:$W$2028,1)+COUNTIF($W$2:W752,W752))-1,""))</f>
        <v/>
      </c>
      <c r="Y752" s="134" t="str">
        <f t="shared" si="361"/>
        <v/>
      </c>
      <c r="Z752" s="134" t="str">
        <f>IF(Y752="","",IFERROR((RANK(Y752,$Y$2:$Y$2028,1)+COUNTIF($Y$2:Y752,Y752))-1,""))</f>
        <v/>
      </c>
      <c r="AA752" s="134" t="str">
        <f t="shared" si="362"/>
        <v/>
      </c>
      <c r="AB752" s="134" t="str">
        <f>IF(AA752="","",IFERROR((RANK(AA752,$AA$2:$AA$2028,1)+COUNTIF($AA$2:AA752,AA752))-1,""))</f>
        <v/>
      </c>
      <c r="AC752" s="134" t="str">
        <f t="shared" si="363"/>
        <v/>
      </c>
      <c r="AD752" s="134" t="str">
        <f>IF(AC752="","",IFERROR((RANK(AC752,$AC$2:$AC$2028,1)+COUNTIF($AC$2:AC752,AC752))-1,""))</f>
        <v/>
      </c>
      <c r="AE752" s="144" t="str">
        <f t="shared" si="355"/>
        <v/>
      </c>
      <c r="AF752" s="144" t="str">
        <f>IF(AE752="","",SUM($AE$2:AE752))</f>
        <v/>
      </c>
    </row>
    <row r="753" spans="14:32" x14ac:dyDescent="0.35">
      <c r="N753" s="134" t="str">
        <f t="shared" si="353"/>
        <v/>
      </c>
      <c r="O753" s="82" t="str">
        <f t="shared" si="356"/>
        <v/>
      </c>
      <c r="P753" s="81" t="str">
        <f t="shared" si="354"/>
        <v/>
      </c>
      <c r="Q753" s="81" t="str">
        <f t="shared" si="357"/>
        <v/>
      </c>
      <c r="R753" s="135" t="str">
        <f t="shared" ca="1" si="358"/>
        <v/>
      </c>
      <c r="S753" s="134" t="str">
        <f t="shared" ca="1" si="359"/>
        <v/>
      </c>
      <c r="T753" s="134" t="str">
        <f ca="1">IF(S753=Dashboard!$D$12,S753,"")</f>
        <v/>
      </c>
      <c r="U753" s="134" t="str">
        <f t="shared" ca="1" si="360"/>
        <v/>
      </c>
      <c r="V753" s="83" t="str">
        <f ca="1">IF(U753="","",IFERROR((RANK(U753,$U$2:$U$2028,1)+COUNTIF($U$2:U753,U753))-1,""))</f>
        <v/>
      </c>
      <c r="W753" s="134" t="str">
        <f t="shared" si="364"/>
        <v/>
      </c>
      <c r="X753" s="134" t="str">
        <f>IF(W753="","",IFERROR((RANK(W753,$W$2:$W$2028,1)+COUNTIF($W$2:W753,W753))-1,""))</f>
        <v/>
      </c>
      <c r="Y753" s="134" t="str">
        <f t="shared" si="361"/>
        <v/>
      </c>
      <c r="Z753" s="134" t="str">
        <f>IF(Y753="","",IFERROR((RANK(Y753,$Y$2:$Y$2028,1)+COUNTIF($Y$2:Y753,Y753))-1,""))</f>
        <v/>
      </c>
      <c r="AA753" s="134" t="str">
        <f t="shared" si="362"/>
        <v/>
      </c>
      <c r="AB753" s="134" t="str">
        <f>IF(AA753="","",IFERROR((RANK(AA753,$AA$2:$AA$2028,1)+COUNTIF($AA$2:AA753,AA753))-1,""))</f>
        <v/>
      </c>
      <c r="AC753" s="134" t="str">
        <f t="shared" si="363"/>
        <v/>
      </c>
      <c r="AD753" s="134" t="str">
        <f>IF(AC753="","",IFERROR((RANK(AC753,$AC$2:$AC$2028,1)+COUNTIF($AC$2:AC753,AC753))-1,""))</f>
        <v/>
      </c>
      <c r="AE753" s="144" t="str">
        <f t="shared" si="355"/>
        <v/>
      </c>
      <c r="AF753" s="144" t="str">
        <f>IF(AE753="","",SUM($AE$2:AE753))</f>
        <v/>
      </c>
    </row>
    <row r="754" spans="14:32" x14ac:dyDescent="0.35">
      <c r="N754" s="134" t="str">
        <f t="shared" si="353"/>
        <v/>
      </c>
      <c r="O754" s="82" t="str">
        <f t="shared" si="356"/>
        <v/>
      </c>
      <c r="P754" s="81" t="str">
        <f t="shared" si="354"/>
        <v/>
      </c>
      <c r="Q754" s="81" t="str">
        <f t="shared" si="357"/>
        <v/>
      </c>
      <c r="R754" s="135" t="str">
        <f t="shared" ca="1" si="358"/>
        <v/>
      </c>
      <c r="S754" s="134" t="str">
        <f t="shared" ca="1" si="359"/>
        <v/>
      </c>
      <c r="T754" s="134" t="str">
        <f ca="1">IF(S754=Dashboard!$D$12,S754,"")</f>
        <v/>
      </c>
      <c r="U754" s="134" t="str">
        <f t="shared" ca="1" si="360"/>
        <v/>
      </c>
      <c r="V754" s="83" t="str">
        <f ca="1">IF(U754="","",IFERROR((RANK(U754,$U$2:$U$2028,1)+COUNTIF($U$2:U754,U754))-1,""))</f>
        <v/>
      </c>
      <c r="W754" s="134" t="str">
        <f t="shared" si="364"/>
        <v/>
      </c>
      <c r="X754" s="134" t="str">
        <f>IF(W754="","",IFERROR((RANK(W754,$W$2:$W$2028,1)+COUNTIF($W$2:W754,W754))-1,""))</f>
        <v/>
      </c>
      <c r="Y754" s="134" t="str">
        <f t="shared" si="361"/>
        <v/>
      </c>
      <c r="Z754" s="134" t="str">
        <f>IF(Y754="","",IFERROR((RANK(Y754,$Y$2:$Y$2028,1)+COUNTIF($Y$2:Y754,Y754))-1,""))</f>
        <v/>
      </c>
      <c r="AA754" s="134" t="str">
        <f t="shared" si="362"/>
        <v/>
      </c>
      <c r="AB754" s="134" t="str">
        <f>IF(AA754="","",IFERROR((RANK(AA754,$AA$2:$AA$2028,1)+COUNTIF($AA$2:AA754,AA754))-1,""))</f>
        <v/>
      </c>
      <c r="AC754" s="134" t="str">
        <f t="shared" si="363"/>
        <v/>
      </c>
      <c r="AD754" s="134" t="str">
        <f>IF(AC754="","",IFERROR((RANK(AC754,$AC$2:$AC$2028,1)+COUNTIF($AC$2:AC754,AC754))-1,""))</f>
        <v/>
      </c>
      <c r="AE754" s="144" t="str">
        <f t="shared" si="355"/>
        <v/>
      </c>
      <c r="AF754" s="144" t="str">
        <f>IF(AE754="","",SUM($AE$2:AE754))</f>
        <v/>
      </c>
    </row>
    <row r="755" spans="14:32" x14ac:dyDescent="0.35">
      <c r="N755" s="134" t="str">
        <f t="shared" si="353"/>
        <v/>
      </c>
      <c r="O755" s="82" t="str">
        <f t="shared" si="356"/>
        <v/>
      </c>
      <c r="P755" s="81" t="str">
        <f t="shared" si="354"/>
        <v/>
      </c>
      <c r="Q755" s="81" t="str">
        <f t="shared" si="357"/>
        <v/>
      </c>
      <c r="R755" s="135" t="str">
        <f t="shared" ca="1" si="358"/>
        <v/>
      </c>
      <c r="S755" s="134" t="str">
        <f t="shared" ca="1" si="359"/>
        <v/>
      </c>
      <c r="T755" s="134" t="str">
        <f ca="1">IF(S755=Dashboard!$D$12,S755,"")</f>
        <v/>
      </c>
      <c r="U755" s="134" t="str">
        <f t="shared" ca="1" si="360"/>
        <v/>
      </c>
      <c r="V755" s="83" t="str">
        <f ca="1">IF(U755="","",IFERROR((RANK(U755,$U$2:$U$2028,1)+COUNTIF($U$2:U755,U755))-1,""))</f>
        <v/>
      </c>
      <c r="W755" s="134" t="str">
        <f t="shared" si="364"/>
        <v/>
      </c>
      <c r="X755" s="134" t="str">
        <f>IF(W755="","",IFERROR((RANK(W755,$W$2:$W$2028,1)+COUNTIF($W$2:W755,W755))-1,""))</f>
        <v/>
      </c>
      <c r="Y755" s="134" t="str">
        <f t="shared" si="361"/>
        <v/>
      </c>
      <c r="Z755" s="134" t="str">
        <f>IF(Y755="","",IFERROR((RANK(Y755,$Y$2:$Y$2028,1)+COUNTIF($Y$2:Y755,Y755))-1,""))</f>
        <v/>
      </c>
      <c r="AA755" s="134" t="str">
        <f t="shared" si="362"/>
        <v/>
      </c>
      <c r="AB755" s="134" t="str">
        <f>IF(AA755="","",IFERROR((RANK(AA755,$AA$2:$AA$2028,1)+COUNTIF($AA$2:AA755,AA755))-1,""))</f>
        <v/>
      </c>
      <c r="AC755" s="134" t="str">
        <f t="shared" si="363"/>
        <v/>
      </c>
      <c r="AD755" s="134" t="str">
        <f>IF(AC755="","",IFERROR((RANK(AC755,$AC$2:$AC$2028,1)+COUNTIF($AC$2:AC755,AC755))-1,""))</f>
        <v/>
      </c>
      <c r="AE755" s="144" t="str">
        <f t="shared" si="355"/>
        <v/>
      </c>
      <c r="AF755" s="144" t="str">
        <f>IF(AE755="","",SUM($AE$2:AE755))</f>
        <v/>
      </c>
    </row>
    <row r="756" spans="14:32" x14ac:dyDescent="0.35">
      <c r="N756" s="134" t="str">
        <f t="shared" si="353"/>
        <v/>
      </c>
      <c r="O756" s="82" t="str">
        <f t="shared" si="356"/>
        <v/>
      </c>
      <c r="P756" s="81" t="str">
        <f t="shared" si="354"/>
        <v/>
      </c>
      <c r="Q756" s="81" t="str">
        <f t="shared" si="357"/>
        <v/>
      </c>
      <c r="R756" s="135" t="str">
        <f t="shared" ca="1" si="358"/>
        <v/>
      </c>
      <c r="S756" s="134" t="str">
        <f t="shared" ca="1" si="359"/>
        <v/>
      </c>
      <c r="T756" s="134" t="str">
        <f ca="1">IF(S756=Dashboard!$D$12,S756,"")</f>
        <v/>
      </c>
      <c r="U756" s="134" t="str">
        <f t="shared" ca="1" si="360"/>
        <v/>
      </c>
      <c r="V756" s="83" t="str">
        <f ca="1">IF(U756="","",IFERROR((RANK(U756,$U$2:$U$2028,1)+COUNTIF($U$2:U756,U756))-1,""))</f>
        <v/>
      </c>
      <c r="W756" s="134" t="str">
        <f t="shared" si="364"/>
        <v/>
      </c>
      <c r="X756" s="134" t="str">
        <f>IF(W756="","",IFERROR((RANK(W756,$W$2:$W$2028,1)+COUNTIF($W$2:W756,W756))-1,""))</f>
        <v/>
      </c>
      <c r="Y756" s="134" t="str">
        <f t="shared" si="361"/>
        <v/>
      </c>
      <c r="Z756" s="134" t="str">
        <f>IF(Y756="","",IFERROR((RANK(Y756,$Y$2:$Y$2028,1)+COUNTIF($Y$2:Y756,Y756))-1,""))</f>
        <v/>
      </c>
      <c r="AA756" s="134" t="str">
        <f t="shared" si="362"/>
        <v/>
      </c>
      <c r="AB756" s="134" t="str">
        <f>IF(AA756="","",IFERROR((RANK(AA756,$AA$2:$AA$2028,1)+COUNTIF($AA$2:AA756,AA756))-1,""))</f>
        <v/>
      </c>
      <c r="AC756" s="134" t="str">
        <f t="shared" si="363"/>
        <v/>
      </c>
      <c r="AD756" s="134" t="str">
        <f>IF(AC756="","",IFERROR((RANK(AC756,$AC$2:$AC$2028,1)+COUNTIF($AC$2:AC756,AC756))-1,""))</f>
        <v/>
      </c>
      <c r="AE756" s="144" t="str">
        <f t="shared" si="355"/>
        <v/>
      </c>
      <c r="AF756" s="144" t="str">
        <f>IF(AE756="","",SUM($AE$2:AE756))</f>
        <v/>
      </c>
    </row>
    <row r="757" spans="14:32" x14ac:dyDescent="0.35">
      <c r="N757" s="134" t="str">
        <f t="shared" si="353"/>
        <v/>
      </c>
      <c r="O757" s="82" t="str">
        <f t="shared" si="356"/>
        <v/>
      </c>
      <c r="P757" s="81" t="str">
        <f t="shared" si="354"/>
        <v/>
      </c>
      <c r="Q757" s="81" t="str">
        <f t="shared" si="357"/>
        <v/>
      </c>
      <c r="R757" s="135" t="str">
        <f t="shared" ca="1" si="358"/>
        <v/>
      </c>
      <c r="S757" s="134" t="str">
        <f t="shared" ca="1" si="359"/>
        <v/>
      </c>
      <c r="T757" s="134" t="str">
        <f ca="1">IF(S757=Dashboard!$D$12,S757,"")</f>
        <v/>
      </c>
      <c r="U757" s="134" t="str">
        <f t="shared" ca="1" si="360"/>
        <v/>
      </c>
      <c r="V757" s="83" t="str">
        <f ca="1">IF(U757="","",IFERROR((RANK(U757,$U$2:$U$2028,1)+COUNTIF($U$2:U757,U757))-1,""))</f>
        <v/>
      </c>
      <c r="W757" s="134" t="str">
        <f t="shared" si="364"/>
        <v/>
      </c>
      <c r="X757" s="134" t="str">
        <f>IF(W757="","",IFERROR((RANK(W757,$W$2:$W$2028,1)+COUNTIF($W$2:W757,W757))-1,""))</f>
        <v/>
      </c>
      <c r="Y757" s="134" t="str">
        <f t="shared" si="361"/>
        <v/>
      </c>
      <c r="Z757" s="134" t="str">
        <f>IF(Y757="","",IFERROR((RANK(Y757,$Y$2:$Y$2028,1)+COUNTIF($Y$2:Y757,Y757))-1,""))</f>
        <v/>
      </c>
      <c r="AA757" s="134" t="str">
        <f t="shared" si="362"/>
        <v/>
      </c>
      <c r="AB757" s="134" t="str">
        <f>IF(AA757="","",IFERROR((RANK(AA757,$AA$2:$AA$2028,1)+COUNTIF($AA$2:AA757,AA757))-1,""))</f>
        <v/>
      </c>
      <c r="AC757" s="134" t="str">
        <f t="shared" si="363"/>
        <v/>
      </c>
      <c r="AD757" s="134" t="str">
        <f>IF(AC757="","",IFERROR((RANK(AC757,$AC$2:$AC$2028,1)+COUNTIF($AC$2:AC757,AC757))-1,""))</f>
        <v/>
      </c>
      <c r="AE757" s="144" t="str">
        <f t="shared" si="355"/>
        <v/>
      </c>
      <c r="AF757" s="144" t="str">
        <f>IF(AE757="","",SUM($AE$2:AE757))</f>
        <v/>
      </c>
    </row>
    <row r="758" spans="14:32" x14ac:dyDescent="0.35">
      <c r="N758" s="134" t="str">
        <f t="shared" si="353"/>
        <v/>
      </c>
      <c r="O758" s="82" t="str">
        <f t="shared" si="356"/>
        <v/>
      </c>
      <c r="P758" s="81" t="str">
        <f t="shared" si="354"/>
        <v/>
      </c>
      <c r="Q758" s="81" t="str">
        <f t="shared" si="357"/>
        <v/>
      </c>
      <c r="R758" s="135" t="str">
        <f t="shared" ca="1" si="358"/>
        <v/>
      </c>
      <c r="S758" s="134" t="str">
        <f t="shared" ca="1" si="359"/>
        <v/>
      </c>
      <c r="T758" s="134" t="str">
        <f ca="1">IF(S758=Dashboard!$D$12,S758,"")</f>
        <v/>
      </c>
      <c r="U758" s="134" t="str">
        <f t="shared" ca="1" si="360"/>
        <v/>
      </c>
      <c r="V758" s="83" t="str">
        <f ca="1">IF(U758="","",IFERROR((RANK(U758,$U$2:$U$2028,1)+COUNTIF($U$2:U758,U758))-1,""))</f>
        <v/>
      </c>
      <c r="W758" s="134" t="str">
        <f t="shared" si="364"/>
        <v/>
      </c>
      <c r="X758" s="134" t="str">
        <f>IF(W758="","",IFERROR((RANK(W758,$W$2:$W$2028,1)+COUNTIF($W$2:W758,W758))-1,""))</f>
        <v/>
      </c>
      <c r="Y758" s="134" t="str">
        <f t="shared" si="361"/>
        <v/>
      </c>
      <c r="Z758" s="134" t="str">
        <f>IF(Y758="","",IFERROR((RANK(Y758,$Y$2:$Y$2028,1)+COUNTIF($Y$2:Y758,Y758))-1,""))</f>
        <v/>
      </c>
      <c r="AA758" s="134" t="str">
        <f t="shared" si="362"/>
        <v/>
      </c>
      <c r="AB758" s="134" t="str">
        <f>IF(AA758="","",IFERROR((RANK(AA758,$AA$2:$AA$2028,1)+COUNTIF($AA$2:AA758,AA758))-1,""))</f>
        <v/>
      </c>
      <c r="AC758" s="134" t="str">
        <f t="shared" si="363"/>
        <v/>
      </c>
      <c r="AD758" s="134" t="str">
        <f>IF(AC758="","",IFERROR((RANK(AC758,$AC$2:$AC$2028,1)+COUNTIF($AC$2:AC758,AC758))-1,""))</f>
        <v/>
      </c>
      <c r="AE758" s="144" t="str">
        <f t="shared" si="355"/>
        <v/>
      </c>
      <c r="AF758" s="144" t="str">
        <f>IF(AE758="","",SUM($AE$2:AE758))</f>
        <v/>
      </c>
    </row>
    <row r="759" spans="14:32" x14ac:dyDescent="0.35">
      <c r="N759" s="134" t="str">
        <f t="shared" si="353"/>
        <v/>
      </c>
      <c r="O759" s="82" t="str">
        <f t="shared" si="356"/>
        <v/>
      </c>
      <c r="P759" s="81" t="str">
        <f t="shared" si="354"/>
        <v/>
      </c>
      <c r="Q759" s="81" t="str">
        <f t="shared" si="357"/>
        <v/>
      </c>
      <c r="R759" s="135" t="str">
        <f t="shared" ca="1" si="358"/>
        <v/>
      </c>
      <c r="S759" s="134" t="str">
        <f t="shared" ca="1" si="359"/>
        <v/>
      </c>
      <c r="T759" s="134" t="str">
        <f ca="1">IF(S759=Dashboard!$D$12,S759,"")</f>
        <v/>
      </c>
      <c r="U759" s="134" t="str">
        <f t="shared" ca="1" si="360"/>
        <v/>
      </c>
      <c r="V759" s="83" t="str">
        <f ca="1">IF(U759="","",IFERROR((RANK(U759,$U$2:$U$2028,1)+COUNTIF($U$2:U759,U759))-1,""))</f>
        <v/>
      </c>
      <c r="W759" s="134" t="str">
        <f t="shared" si="364"/>
        <v/>
      </c>
      <c r="X759" s="134" t="str">
        <f>IF(W759="","",IFERROR((RANK(W759,$W$2:$W$2028,1)+COUNTIF($W$2:W759,W759))-1,""))</f>
        <v/>
      </c>
      <c r="Y759" s="134" t="str">
        <f t="shared" si="361"/>
        <v/>
      </c>
      <c r="Z759" s="134" t="str">
        <f>IF(Y759="","",IFERROR((RANK(Y759,$Y$2:$Y$2028,1)+COUNTIF($Y$2:Y759,Y759))-1,""))</f>
        <v/>
      </c>
      <c r="AA759" s="134" t="str">
        <f t="shared" si="362"/>
        <v/>
      </c>
      <c r="AB759" s="134" t="str">
        <f>IF(AA759="","",IFERROR((RANK(AA759,$AA$2:$AA$2028,1)+COUNTIF($AA$2:AA759,AA759))-1,""))</f>
        <v/>
      </c>
      <c r="AC759" s="134" t="str">
        <f t="shared" si="363"/>
        <v/>
      </c>
      <c r="AD759" s="134" t="str">
        <f>IF(AC759="","",IFERROR((RANK(AC759,$AC$2:$AC$2028,1)+COUNTIF($AC$2:AC759,AC759))-1,""))</f>
        <v/>
      </c>
      <c r="AE759" s="144" t="str">
        <f t="shared" si="355"/>
        <v/>
      </c>
      <c r="AF759" s="144" t="str">
        <f>IF(AE759="","",SUM($AE$2:AE759))</f>
        <v/>
      </c>
    </row>
    <row r="760" spans="14:32" x14ac:dyDescent="0.35">
      <c r="N760" s="134" t="str">
        <f t="shared" si="353"/>
        <v/>
      </c>
      <c r="O760" s="82" t="str">
        <f t="shared" si="356"/>
        <v/>
      </c>
      <c r="P760" s="81" t="str">
        <f t="shared" si="354"/>
        <v/>
      </c>
      <c r="Q760" s="81" t="str">
        <f t="shared" si="357"/>
        <v/>
      </c>
      <c r="R760" s="135" t="str">
        <f t="shared" ca="1" si="358"/>
        <v/>
      </c>
      <c r="S760" s="134" t="str">
        <f t="shared" ca="1" si="359"/>
        <v/>
      </c>
      <c r="T760" s="134" t="str">
        <f ca="1">IF(S760=Dashboard!$D$12,S760,"")</f>
        <v/>
      </c>
      <c r="U760" s="134" t="str">
        <f t="shared" ca="1" si="360"/>
        <v/>
      </c>
      <c r="V760" s="83" t="str">
        <f ca="1">IF(U760="","",IFERROR((RANK(U760,$U$2:$U$2028,1)+COUNTIF($U$2:U760,U760))-1,""))</f>
        <v/>
      </c>
      <c r="W760" s="134" t="str">
        <f t="shared" si="364"/>
        <v/>
      </c>
      <c r="X760" s="134" t="str">
        <f>IF(W760="","",IFERROR((RANK(W760,$W$2:$W$2028,1)+COUNTIF($W$2:W760,W760))-1,""))</f>
        <v/>
      </c>
      <c r="Y760" s="134" t="str">
        <f t="shared" si="361"/>
        <v/>
      </c>
      <c r="Z760" s="134" t="str">
        <f>IF(Y760="","",IFERROR((RANK(Y760,$Y$2:$Y$2028,1)+COUNTIF($Y$2:Y760,Y760))-1,""))</f>
        <v/>
      </c>
      <c r="AA760" s="134" t="str">
        <f t="shared" si="362"/>
        <v/>
      </c>
      <c r="AB760" s="134" t="str">
        <f>IF(AA760="","",IFERROR((RANK(AA760,$AA$2:$AA$2028,1)+COUNTIF($AA$2:AA760,AA760))-1,""))</f>
        <v/>
      </c>
      <c r="AC760" s="134" t="str">
        <f t="shared" si="363"/>
        <v/>
      </c>
      <c r="AD760" s="134" t="str">
        <f>IF(AC760="","",IFERROR((RANK(AC760,$AC$2:$AC$2028,1)+COUNTIF($AC$2:AC760,AC760))-1,""))</f>
        <v/>
      </c>
      <c r="AE760" s="144" t="str">
        <f t="shared" si="355"/>
        <v/>
      </c>
      <c r="AF760" s="144" t="str">
        <f>IF(AE760="","",SUM($AE$2:AE760))</f>
        <v/>
      </c>
    </row>
    <row r="761" spans="14:32" x14ac:dyDescent="0.35">
      <c r="N761" s="134" t="str">
        <f t="shared" si="353"/>
        <v/>
      </c>
      <c r="O761" s="82" t="str">
        <f t="shared" si="356"/>
        <v/>
      </c>
      <c r="P761" s="81" t="str">
        <f t="shared" si="354"/>
        <v/>
      </c>
      <c r="Q761" s="81" t="str">
        <f t="shared" si="357"/>
        <v/>
      </c>
      <c r="R761" s="135" t="str">
        <f t="shared" ca="1" si="358"/>
        <v/>
      </c>
      <c r="S761" s="134" t="str">
        <f t="shared" ca="1" si="359"/>
        <v/>
      </c>
      <c r="T761" s="134" t="str">
        <f ca="1">IF(S761=Dashboard!$D$12,S761,"")</f>
        <v/>
      </c>
      <c r="U761" s="134" t="str">
        <f t="shared" ca="1" si="360"/>
        <v/>
      </c>
      <c r="V761" s="83" t="str">
        <f ca="1">IF(U761="","",IFERROR((RANK(U761,$U$2:$U$2028,1)+COUNTIF($U$2:U761,U761))-1,""))</f>
        <v/>
      </c>
      <c r="W761" s="134" t="str">
        <f t="shared" si="364"/>
        <v/>
      </c>
      <c r="X761" s="134" t="str">
        <f>IF(W761="","",IFERROR((RANK(W761,$W$2:$W$2028,1)+COUNTIF($W$2:W761,W761))-1,""))</f>
        <v/>
      </c>
      <c r="Y761" s="134" t="str">
        <f t="shared" si="361"/>
        <v/>
      </c>
      <c r="Z761" s="134" t="str">
        <f>IF(Y761="","",IFERROR((RANK(Y761,$Y$2:$Y$2028,1)+COUNTIF($Y$2:Y761,Y761))-1,""))</f>
        <v/>
      </c>
      <c r="AA761" s="134" t="str">
        <f t="shared" si="362"/>
        <v/>
      </c>
      <c r="AB761" s="134" t="str">
        <f>IF(AA761="","",IFERROR((RANK(AA761,$AA$2:$AA$2028,1)+COUNTIF($AA$2:AA761,AA761))-1,""))</f>
        <v/>
      </c>
      <c r="AC761" s="134" t="str">
        <f t="shared" si="363"/>
        <v/>
      </c>
      <c r="AD761" s="134" t="str">
        <f>IF(AC761="","",IFERROR((RANK(AC761,$AC$2:$AC$2028,1)+COUNTIF($AC$2:AC761,AC761))-1,""))</f>
        <v/>
      </c>
      <c r="AE761" s="144" t="str">
        <f t="shared" si="355"/>
        <v/>
      </c>
      <c r="AF761" s="144" t="str">
        <f>IF(AE761="","",SUM($AE$2:AE761))</f>
        <v/>
      </c>
    </row>
    <row r="762" spans="14:32" x14ac:dyDescent="0.35">
      <c r="N762" s="134" t="str">
        <f t="shared" si="353"/>
        <v/>
      </c>
      <c r="O762" s="82" t="str">
        <f t="shared" si="356"/>
        <v/>
      </c>
      <c r="P762" s="81" t="str">
        <f t="shared" si="354"/>
        <v/>
      </c>
      <c r="Q762" s="81" t="str">
        <f t="shared" si="357"/>
        <v/>
      </c>
      <c r="R762" s="135" t="str">
        <f t="shared" ca="1" si="358"/>
        <v/>
      </c>
      <c r="S762" s="134" t="str">
        <f t="shared" ca="1" si="359"/>
        <v/>
      </c>
      <c r="T762" s="134" t="str">
        <f ca="1">IF(S762=Dashboard!$D$12,S762,"")</f>
        <v/>
      </c>
      <c r="U762" s="134" t="str">
        <f t="shared" ca="1" si="360"/>
        <v/>
      </c>
      <c r="V762" s="83" t="str">
        <f ca="1">IF(U762="","",IFERROR((RANK(U762,$U$2:$U$2028,1)+COUNTIF($U$2:U762,U762))-1,""))</f>
        <v/>
      </c>
      <c r="W762" s="134" t="str">
        <f t="shared" si="364"/>
        <v/>
      </c>
      <c r="X762" s="134" t="str">
        <f>IF(W762="","",IFERROR((RANK(W762,$W$2:$W$2028,1)+COUNTIF($W$2:W762,W762))-1,""))</f>
        <v/>
      </c>
      <c r="Y762" s="134" t="str">
        <f t="shared" si="361"/>
        <v/>
      </c>
      <c r="Z762" s="134" t="str">
        <f>IF(Y762="","",IFERROR((RANK(Y762,$Y$2:$Y$2028,1)+COUNTIF($Y$2:Y762,Y762))-1,""))</f>
        <v/>
      </c>
      <c r="AA762" s="134" t="str">
        <f t="shared" si="362"/>
        <v/>
      </c>
      <c r="AB762" s="134" t="str">
        <f>IF(AA762="","",IFERROR((RANK(AA762,$AA$2:$AA$2028,1)+COUNTIF($AA$2:AA762,AA762))-1,""))</f>
        <v/>
      </c>
      <c r="AC762" s="134" t="str">
        <f t="shared" si="363"/>
        <v/>
      </c>
      <c r="AD762" s="134" t="str">
        <f>IF(AC762="","",IFERROR((RANK(AC762,$AC$2:$AC$2028,1)+COUNTIF($AC$2:AC762,AC762))-1,""))</f>
        <v/>
      </c>
      <c r="AE762" s="144" t="str">
        <f t="shared" si="355"/>
        <v/>
      </c>
      <c r="AF762" s="144" t="str">
        <f>IF(AE762="","",SUM($AE$2:AE762))</f>
        <v/>
      </c>
    </row>
    <row r="763" spans="14:32" x14ac:dyDescent="0.35">
      <c r="N763" s="134" t="str">
        <f t="shared" si="353"/>
        <v/>
      </c>
      <c r="O763" s="82" t="str">
        <f t="shared" si="356"/>
        <v/>
      </c>
      <c r="P763" s="81" t="str">
        <f t="shared" si="354"/>
        <v/>
      </c>
      <c r="Q763" s="81" t="str">
        <f t="shared" si="357"/>
        <v/>
      </c>
      <c r="R763" s="135" t="str">
        <f t="shared" ca="1" si="358"/>
        <v/>
      </c>
      <c r="S763" s="134" t="str">
        <f t="shared" ca="1" si="359"/>
        <v/>
      </c>
      <c r="T763" s="134" t="str">
        <f ca="1">IF(S763=Dashboard!$D$12,S763,"")</f>
        <v/>
      </c>
      <c r="U763" s="134" t="str">
        <f t="shared" ca="1" si="360"/>
        <v/>
      </c>
      <c r="V763" s="83" t="str">
        <f ca="1">IF(U763="","",IFERROR((RANK(U763,$U$2:$U$2028,1)+COUNTIF($U$2:U763,U763))-1,""))</f>
        <v/>
      </c>
      <c r="W763" s="134" t="str">
        <f t="shared" si="364"/>
        <v/>
      </c>
      <c r="X763" s="134" t="str">
        <f>IF(W763="","",IFERROR((RANK(W763,$W$2:$W$2028,1)+COUNTIF($W$2:W763,W763))-1,""))</f>
        <v/>
      </c>
      <c r="Y763" s="134" t="str">
        <f t="shared" si="361"/>
        <v/>
      </c>
      <c r="Z763" s="134" t="str">
        <f>IF(Y763="","",IFERROR((RANK(Y763,$Y$2:$Y$2028,1)+COUNTIF($Y$2:Y763,Y763))-1,""))</f>
        <v/>
      </c>
      <c r="AA763" s="134" t="str">
        <f t="shared" si="362"/>
        <v/>
      </c>
      <c r="AB763" s="134" t="str">
        <f>IF(AA763="","",IFERROR((RANK(AA763,$AA$2:$AA$2028,1)+COUNTIF($AA$2:AA763,AA763))-1,""))</f>
        <v/>
      </c>
      <c r="AC763" s="134" t="str">
        <f t="shared" si="363"/>
        <v/>
      </c>
      <c r="AD763" s="134" t="str">
        <f>IF(AC763="","",IFERROR((RANK(AC763,$AC$2:$AC$2028,1)+COUNTIF($AC$2:AC763,AC763))-1,""))</f>
        <v/>
      </c>
      <c r="AE763" s="144" t="str">
        <f t="shared" si="355"/>
        <v/>
      </c>
      <c r="AF763" s="144" t="str">
        <f>IF(AE763="","",SUM($AE$2:AE763))</f>
        <v/>
      </c>
    </row>
    <row r="764" spans="14:32" x14ac:dyDescent="0.35">
      <c r="N764" s="134" t="str">
        <f t="shared" si="353"/>
        <v/>
      </c>
      <c r="O764" s="82" t="str">
        <f t="shared" si="356"/>
        <v/>
      </c>
      <c r="P764" s="81" t="str">
        <f t="shared" si="354"/>
        <v/>
      </c>
      <c r="Q764" s="81" t="str">
        <f t="shared" si="357"/>
        <v/>
      </c>
      <c r="R764" s="135" t="str">
        <f t="shared" ca="1" si="358"/>
        <v/>
      </c>
      <c r="S764" s="134" t="str">
        <f t="shared" ca="1" si="359"/>
        <v/>
      </c>
      <c r="T764" s="134" t="str">
        <f ca="1">IF(S764=Dashboard!$D$12,S764,"")</f>
        <v/>
      </c>
      <c r="U764" s="134" t="str">
        <f t="shared" ca="1" si="360"/>
        <v/>
      </c>
      <c r="V764" s="83" t="str">
        <f ca="1">IF(U764="","",IFERROR((RANK(U764,$U$2:$U$2028,1)+COUNTIF($U$2:U764,U764))-1,""))</f>
        <v/>
      </c>
      <c r="W764" s="134" t="str">
        <f t="shared" si="364"/>
        <v/>
      </c>
      <c r="X764" s="134" t="str">
        <f>IF(W764="","",IFERROR((RANK(W764,$W$2:$W$2028,1)+COUNTIF($W$2:W764,W764))-1,""))</f>
        <v/>
      </c>
      <c r="Y764" s="134" t="str">
        <f t="shared" si="361"/>
        <v/>
      </c>
      <c r="Z764" s="134" t="str">
        <f>IF(Y764="","",IFERROR((RANK(Y764,$Y$2:$Y$2028,1)+COUNTIF($Y$2:Y764,Y764))-1,""))</f>
        <v/>
      </c>
      <c r="AA764" s="134" t="str">
        <f t="shared" si="362"/>
        <v/>
      </c>
      <c r="AB764" s="134" t="str">
        <f>IF(AA764="","",IFERROR((RANK(AA764,$AA$2:$AA$2028,1)+COUNTIF($AA$2:AA764,AA764))-1,""))</f>
        <v/>
      </c>
      <c r="AC764" s="134" t="str">
        <f t="shared" si="363"/>
        <v/>
      </c>
      <c r="AD764" s="134" t="str">
        <f>IF(AC764="","",IFERROR((RANK(AC764,$AC$2:$AC$2028,1)+COUNTIF($AC$2:AC764,AC764))-1,""))</f>
        <v/>
      </c>
      <c r="AE764" s="144" t="str">
        <f t="shared" si="355"/>
        <v/>
      </c>
      <c r="AF764" s="144" t="str">
        <f>IF(AE764="","",SUM($AE$2:AE764))</f>
        <v/>
      </c>
    </row>
    <row r="765" spans="14:32" x14ac:dyDescent="0.35">
      <c r="N765" s="134" t="str">
        <f t="shared" si="353"/>
        <v/>
      </c>
      <c r="O765" s="82" t="str">
        <f t="shared" si="356"/>
        <v/>
      </c>
      <c r="P765" s="81" t="str">
        <f t="shared" si="354"/>
        <v/>
      </c>
      <c r="Q765" s="81" t="str">
        <f t="shared" si="357"/>
        <v/>
      </c>
      <c r="R765" s="135" t="str">
        <f t="shared" ca="1" si="358"/>
        <v/>
      </c>
      <c r="S765" s="134" t="str">
        <f t="shared" ca="1" si="359"/>
        <v/>
      </c>
      <c r="T765" s="134" t="str">
        <f ca="1">IF(S765=Dashboard!$D$12,S765,"")</f>
        <v/>
      </c>
      <c r="U765" s="134" t="str">
        <f t="shared" ca="1" si="360"/>
        <v/>
      </c>
      <c r="V765" s="83" t="str">
        <f ca="1">IF(U765="","",IFERROR((RANK(U765,$U$2:$U$2028,1)+COUNTIF($U$2:U765,U765))-1,""))</f>
        <v/>
      </c>
      <c r="W765" s="134" t="str">
        <f t="shared" si="364"/>
        <v/>
      </c>
      <c r="X765" s="134" t="str">
        <f>IF(W765="","",IFERROR((RANK(W765,$W$2:$W$2028,1)+COUNTIF($W$2:W765,W765))-1,""))</f>
        <v/>
      </c>
      <c r="Y765" s="134" t="str">
        <f t="shared" si="361"/>
        <v/>
      </c>
      <c r="Z765" s="134" t="str">
        <f>IF(Y765="","",IFERROR((RANK(Y765,$Y$2:$Y$2028,1)+COUNTIF($Y$2:Y765,Y765))-1,""))</f>
        <v/>
      </c>
      <c r="AA765" s="134" t="str">
        <f t="shared" si="362"/>
        <v/>
      </c>
      <c r="AB765" s="134" t="str">
        <f>IF(AA765="","",IFERROR((RANK(AA765,$AA$2:$AA$2028,1)+COUNTIF($AA$2:AA765,AA765))-1,""))</f>
        <v/>
      </c>
      <c r="AC765" s="134" t="str">
        <f t="shared" si="363"/>
        <v/>
      </c>
      <c r="AD765" s="134" t="str">
        <f>IF(AC765="","",IFERROR((RANK(AC765,$AC$2:$AC$2028,1)+COUNTIF($AC$2:AC765,AC765))-1,""))</f>
        <v/>
      </c>
      <c r="AE765" s="144" t="str">
        <f t="shared" si="355"/>
        <v/>
      </c>
      <c r="AF765" s="144" t="str">
        <f>IF(AE765="","",SUM($AE$2:AE765))</f>
        <v/>
      </c>
    </row>
    <row r="766" spans="14:32" x14ac:dyDescent="0.35">
      <c r="N766" s="134" t="str">
        <f t="shared" si="353"/>
        <v/>
      </c>
      <c r="O766" s="82" t="str">
        <f t="shared" si="356"/>
        <v/>
      </c>
      <c r="P766" s="81" t="str">
        <f t="shared" si="354"/>
        <v/>
      </c>
      <c r="Q766" s="81" t="str">
        <f t="shared" si="357"/>
        <v/>
      </c>
      <c r="R766" s="135" t="str">
        <f t="shared" ca="1" si="358"/>
        <v/>
      </c>
      <c r="S766" s="134" t="str">
        <f t="shared" ca="1" si="359"/>
        <v/>
      </c>
      <c r="T766" s="134" t="str">
        <f ca="1">IF(S766=Dashboard!$D$12,S766,"")</f>
        <v/>
      </c>
      <c r="U766" s="134" t="str">
        <f t="shared" ca="1" si="360"/>
        <v/>
      </c>
      <c r="V766" s="83" t="str">
        <f ca="1">IF(U766="","",IFERROR((RANK(U766,$U$2:$U$2028,1)+COUNTIF($U$2:U766,U766))-1,""))</f>
        <v/>
      </c>
      <c r="W766" s="134" t="str">
        <f t="shared" si="364"/>
        <v/>
      </c>
      <c r="X766" s="134" t="str">
        <f>IF(W766="","",IFERROR((RANK(W766,$W$2:$W$2028,1)+COUNTIF($W$2:W766,W766))-1,""))</f>
        <v/>
      </c>
      <c r="Y766" s="134" t="str">
        <f t="shared" si="361"/>
        <v/>
      </c>
      <c r="Z766" s="134" t="str">
        <f>IF(Y766="","",IFERROR((RANK(Y766,$Y$2:$Y$2028,1)+COUNTIF($Y$2:Y766,Y766))-1,""))</f>
        <v/>
      </c>
      <c r="AA766" s="134" t="str">
        <f t="shared" si="362"/>
        <v/>
      </c>
      <c r="AB766" s="134" t="str">
        <f>IF(AA766="","",IFERROR((RANK(AA766,$AA$2:$AA$2028,1)+COUNTIF($AA$2:AA766,AA766))-1,""))</f>
        <v/>
      </c>
      <c r="AC766" s="134" t="str">
        <f t="shared" si="363"/>
        <v/>
      </c>
      <c r="AD766" s="134" t="str">
        <f>IF(AC766="","",IFERROR((RANK(AC766,$AC$2:$AC$2028,1)+COUNTIF($AC$2:AC766,AC766))-1,""))</f>
        <v/>
      </c>
      <c r="AE766" s="144" t="str">
        <f t="shared" si="355"/>
        <v/>
      </c>
      <c r="AF766" s="144" t="str">
        <f>IF(AE766="","",SUM($AE$2:AE766))</f>
        <v/>
      </c>
    </row>
    <row r="767" spans="14:32" x14ac:dyDescent="0.35">
      <c r="N767" s="134" t="str">
        <f t="shared" si="353"/>
        <v/>
      </c>
      <c r="O767" s="82" t="str">
        <f t="shared" si="356"/>
        <v/>
      </c>
      <c r="P767" s="81" t="str">
        <f t="shared" si="354"/>
        <v/>
      </c>
      <c r="Q767" s="81" t="str">
        <f t="shared" si="357"/>
        <v/>
      </c>
      <c r="R767" s="135" t="str">
        <f t="shared" ca="1" si="358"/>
        <v/>
      </c>
      <c r="S767" s="134" t="str">
        <f t="shared" ca="1" si="359"/>
        <v/>
      </c>
      <c r="T767" s="134" t="str">
        <f ca="1">IF(S767=Dashboard!$D$12,S767,"")</f>
        <v/>
      </c>
      <c r="U767" s="134" t="str">
        <f t="shared" ca="1" si="360"/>
        <v/>
      </c>
      <c r="V767" s="83" t="str">
        <f ca="1">IF(U767="","",IFERROR((RANK(U767,$U$2:$U$2028,1)+COUNTIF($U$2:U767,U767))-1,""))</f>
        <v/>
      </c>
      <c r="W767" s="134" t="str">
        <f t="shared" si="364"/>
        <v/>
      </c>
      <c r="X767" s="134" t="str">
        <f>IF(W767="","",IFERROR((RANK(W767,$W$2:$W$2028,1)+COUNTIF($W$2:W767,W767))-1,""))</f>
        <v/>
      </c>
      <c r="Y767" s="134" t="str">
        <f t="shared" si="361"/>
        <v/>
      </c>
      <c r="Z767" s="134" t="str">
        <f>IF(Y767="","",IFERROR((RANK(Y767,$Y$2:$Y$2028,1)+COUNTIF($Y$2:Y767,Y767))-1,""))</f>
        <v/>
      </c>
      <c r="AA767" s="134" t="str">
        <f t="shared" si="362"/>
        <v/>
      </c>
      <c r="AB767" s="134" t="str">
        <f>IF(AA767="","",IFERROR((RANK(AA767,$AA$2:$AA$2028,1)+COUNTIF($AA$2:AA767,AA767))-1,""))</f>
        <v/>
      </c>
      <c r="AC767" s="134" t="str">
        <f t="shared" si="363"/>
        <v/>
      </c>
      <c r="AD767" s="134" t="str">
        <f>IF(AC767="","",IFERROR((RANK(AC767,$AC$2:$AC$2028,1)+COUNTIF($AC$2:AC767,AC767))-1,""))</f>
        <v/>
      </c>
      <c r="AE767" s="144" t="str">
        <f t="shared" si="355"/>
        <v/>
      </c>
      <c r="AF767" s="144" t="str">
        <f>IF(AE767="","",SUM($AE$2:AE767))</f>
        <v/>
      </c>
    </row>
    <row r="768" spans="14:32" x14ac:dyDescent="0.35">
      <c r="N768" s="134" t="str">
        <f t="shared" si="353"/>
        <v/>
      </c>
      <c r="O768" s="82" t="str">
        <f t="shared" si="356"/>
        <v/>
      </c>
      <c r="P768" s="81" t="str">
        <f t="shared" si="354"/>
        <v/>
      </c>
      <c r="Q768" s="81" t="str">
        <f t="shared" si="357"/>
        <v/>
      </c>
      <c r="R768" s="135" t="str">
        <f t="shared" ca="1" si="358"/>
        <v/>
      </c>
      <c r="S768" s="134" t="str">
        <f t="shared" ca="1" si="359"/>
        <v/>
      </c>
      <c r="T768" s="134" t="str">
        <f ca="1">IF(S768=Dashboard!$D$12,S768,"")</f>
        <v/>
      </c>
      <c r="U768" s="134" t="str">
        <f t="shared" ca="1" si="360"/>
        <v/>
      </c>
      <c r="V768" s="83" t="str">
        <f ca="1">IF(U768="","",IFERROR((RANK(U768,$U$2:$U$2028,1)+COUNTIF($U$2:U768,U768))-1,""))</f>
        <v/>
      </c>
      <c r="W768" s="134" t="str">
        <f t="shared" si="364"/>
        <v/>
      </c>
      <c r="X768" s="134" t="str">
        <f>IF(W768="","",IFERROR((RANK(W768,$W$2:$W$2028,1)+COUNTIF($W$2:W768,W768))-1,""))</f>
        <v/>
      </c>
      <c r="Y768" s="134" t="str">
        <f t="shared" si="361"/>
        <v/>
      </c>
      <c r="Z768" s="134" t="str">
        <f>IF(Y768="","",IFERROR((RANK(Y768,$Y$2:$Y$2028,1)+COUNTIF($Y$2:Y768,Y768))-1,""))</f>
        <v/>
      </c>
      <c r="AA768" s="134" t="str">
        <f t="shared" si="362"/>
        <v/>
      </c>
      <c r="AB768" s="134" t="str">
        <f>IF(AA768="","",IFERROR((RANK(AA768,$AA$2:$AA$2028,1)+COUNTIF($AA$2:AA768,AA768))-1,""))</f>
        <v/>
      </c>
      <c r="AC768" s="134" t="str">
        <f t="shared" si="363"/>
        <v/>
      </c>
      <c r="AD768" s="134" t="str">
        <f>IF(AC768="","",IFERROR((RANK(AC768,$AC$2:$AC$2028,1)+COUNTIF($AC$2:AC768,AC768))-1,""))</f>
        <v/>
      </c>
      <c r="AE768" s="144" t="str">
        <f t="shared" si="355"/>
        <v/>
      </c>
      <c r="AF768" s="144" t="str">
        <f>IF(AE768="","",SUM($AE$2:AE768))</f>
        <v/>
      </c>
    </row>
    <row r="769" spans="14:32" x14ac:dyDescent="0.35">
      <c r="N769" s="134" t="str">
        <f t="shared" si="353"/>
        <v/>
      </c>
      <c r="O769" s="82" t="str">
        <f t="shared" si="356"/>
        <v/>
      </c>
      <c r="P769" s="81" t="str">
        <f t="shared" si="354"/>
        <v/>
      </c>
      <c r="Q769" s="81" t="str">
        <f t="shared" si="357"/>
        <v/>
      </c>
      <c r="R769" s="135" t="str">
        <f t="shared" ca="1" si="358"/>
        <v/>
      </c>
      <c r="S769" s="134" t="str">
        <f t="shared" ca="1" si="359"/>
        <v/>
      </c>
      <c r="T769" s="134" t="str">
        <f ca="1">IF(S769=Dashboard!$D$12,S769,"")</f>
        <v/>
      </c>
      <c r="U769" s="134" t="str">
        <f t="shared" ca="1" si="360"/>
        <v/>
      </c>
      <c r="V769" s="83" t="str">
        <f ca="1">IF(U769="","",IFERROR((RANK(U769,$U$2:$U$2028,1)+COUNTIF($U$2:U769,U769))-1,""))</f>
        <v/>
      </c>
      <c r="W769" s="134" t="str">
        <f t="shared" si="364"/>
        <v/>
      </c>
      <c r="X769" s="134" t="str">
        <f>IF(W769="","",IFERROR((RANK(W769,$W$2:$W$2028,1)+COUNTIF($W$2:W769,W769))-1,""))</f>
        <v/>
      </c>
      <c r="Y769" s="134" t="str">
        <f t="shared" si="361"/>
        <v/>
      </c>
      <c r="Z769" s="134" t="str">
        <f>IF(Y769="","",IFERROR((RANK(Y769,$Y$2:$Y$2028,1)+COUNTIF($Y$2:Y769,Y769))-1,""))</f>
        <v/>
      </c>
      <c r="AA769" s="134" t="str">
        <f t="shared" si="362"/>
        <v/>
      </c>
      <c r="AB769" s="134" t="str">
        <f>IF(AA769="","",IFERROR((RANK(AA769,$AA$2:$AA$2028,1)+COUNTIF($AA$2:AA769,AA769))-1,""))</f>
        <v/>
      </c>
      <c r="AC769" s="134" t="str">
        <f t="shared" si="363"/>
        <v/>
      </c>
      <c r="AD769" s="134" t="str">
        <f>IF(AC769="","",IFERROR((RANK(AC769,$AC$2:$AC$2028,1)+COUNTIF($AC$2:AC769,AC769))-1,""))</f>
        <v/>
      </c>
      <c r="AE769" s="144" t="str">
        <f t="shared" si="355"/>
        <v/>
      </c>
      <c r="AF769" s="144" t="str">
        <f>IF(AE769="","",SUM($AE$2:AE769))</f>
        <v/>
      </c>
    </row>
    <row r="770" spans="14:32" x14ac:dyDescent="0.35">
      <c r="N770" s="134" t="str">
        <f t="shared" ref="N770:N833" si="365">IF(A770="","",COUNTIFS(M:M,M770,H:H,"&lt;"&amp;H770)+1)</f>
        <v/>
      </c>
      <c r="O770" s="82" t="str">
        <f t="shared" si="356"/>
        <v/>
      </c>
      <c r="P770" s="81" t="str">
        <f t="shared" ref="P770:P833" si="366">IF(A770="","",COUNTIFS(M:M,M770,H:H,"&gt;"&amp;H770)+1)</f>
        <v/>
      </c>
      <c r="Q770" s="81" t="str">
        <f t="shared" si="357"/>
        <v/>
      </c>
      <c r="R770" s="135" t="str">
        <f t="shared" ca="1" si="358"/>
        <v/>
      </c>
      <c r="S770" s="134" t="str">
        <f t="shared" ca="1" si="359"/>
        <v/>
      </c>
      <c r="T770" s="134" t="str">
        <f ca="1">IF(S770=Dashboard!$D$12,S770,"")</f>
        <v/>
      </c>
      <c r="U770" s="134" t="str">
        <f t="shared" ca="1" si="360"/>
        <v/>
      </c>
      <c r="V770" s="83" t="str">
        <f ca="1">IF(U770="","",IFERROR((RANK(U770,$U$2:$U$2028,1)+COUNTIF($U$2:U770,U770))-1,""))</f>
        <v/>
      </c>
      <c r="W770" s="134" t="str">
        <f t="shared" si="364"/>
        <v/>
      </c>
      <c r="X770" s="134" t="str">
        <f>IF(W770="","",IFERROR((RANK(W770,$W$2:$W$2028,1)+COUNTIF($W$2:W770,W770))-1,""))</f>
        <v/>
      </c>
      <c r="Y770" s="134" t="str">
        <f t="shared" si="361"/>
        <v/>
      </c>
      <c r="Z770" s="134" t="str">
        <f>IF(Y770="","",IFERROR((RANK(Y770,$Y$2:$Y$2028,1)+COUNTIF($Y$2:Y770,Y770))-1,""))</f>
        <v/>
      </c>
      <c r="AA770" s="134" t="str">
        <f t="shared" si="362"/>
        <v/>
      </c>
      <c r="AB770" s="134" t="str">
        <f>IF(AA770="","",IFERROR((RANK(AA770,$AA$2:$AA$2028,1)+COUNTIF($AA$2:AA770,AA770))-1,""))</f>
        <v/>
      </c>
      <c r="AC770" s="134" t="str">
        <f t="shared" si="363"/>
        <v/>
      </c>
      <c r="AD770" s="134" t="str">
        <f>IF(AC770="","",IFERROR((RANK(AC770,$AC$2:$AC$2028,1)+COUNTIF($AC$2:AC770,AC770))-1,""))</f>
        <v/>
      </c>
      <c r="AE770" s="144" t="str">
        <f t="shared" si="355"/>
        <v/>
      </c>
      <c r="AF770" s="144" t="str">
        <f>IF(AE770="","",SUM($AE$2:AE770))</f>
        <v/>
      </c>
    </row>
    <row r="771" spans="14:32" x14ac:dyDescent="0.35">
      <c r="N771" s="134" t="str">
        <f t="shared" si="365"/>
        <v/>
      </c>
      <c r="O771" s="82" t="str">
        <f t="shared" si="356"/>
        <v/>
      </c>
      <c r="P771" s="81" t="str">
        <f t="shared" si="366"/>
        <v/>
      </c>
      <c r="Q771" s="81" t="str">
        <f t="shared" si="357"/>
        <v/>
      </c>
      <c r="R771" s="135" t="str">
        <f t="shared" ca="1" si="358"/>
        <v/>
      </c>
      <c r="S771" s="134" t="str">
        <f t="shared" ca="1" si="359"/>
        <v/>
      </c>
      <c r="T771" s="134" t="str">
        <f ca="1">IF(S771=Dashboard!$D$12,S771,"")</f>
        <v/>
      </c>
      <c r="U771" s="134" t="str">
        <f t="shared" ca="1" si="360"/>
        <v/>
      </c>
      <c r="V771" s="83" t="str">
        <f ca="1">IF(U771="","",IFERROR((RANK(U771,$U$2:$U$2028,1)+COUNTIF($U$2:U771,U771))-1,""))</f>
        <v/>
      </c>
      <c r="W771" s="134" t="str">
        <f t="shared" si="364"/>
        <v/>
      </c>
      <c r="X771" s="134" t="str">
        <f>IF(W771="","",IFERROR((RANK(W771,$W$2:$W$2028,1)+COUNTIF($W$2:W771,W771))-1,""))</f>
        <v/>
      </c>
      <c r="Y771" s="134" t="str">
        <f t="shared" si="361"/>
        <v/>
      </c>
      <c r="Z771" s="134" t="str">
        <f>IF(Y771="","",IFERROR((RANK(Y771,$Y$2:$Y$2028,1)+COUNTIF($Y$2:Y771,Y771))-1,""))</f>
        <v/>
      </c>
      <c r="AA771" s="134" t="str">
        <f t="shared" si="362"/>
        <v/>
      </c>
      <c r="AB771" s="134" t="str">
        <f>IF(AA771="","",IFERROR((RANK(AA771,$AA$2:$AA$2028,1)+COUNTIF($AA$2:AA771,AA771))-1,""))</f>
        <v/>
      </c>
      <c r="AC771" s="134" t="str">
        <f t="shared" si="363"/>
        <v/>
      </c>
      <c r="AD771" s="134" t="str">
        <f>IF(AC771="","",IFERROR((RANK(AC771,$AC$2:$AC$2028,1)+COUNTIF($AC$2:AC771,AC771))-1,""))</f>
        <v/>
      </c>
      <c r="AE771" s="144" t="str">
        <f t="shared" si="355"/>
        <v/>
      </c>
      <c r="AF771" s="144" t="str">
        <f>IF(AE771="","",SUM($AE$2:AE771))</f>
        <v/>
      </c>
    </row>
    <row r="772" spans="14:32" x14ac:dyDescent="0.35">
      <c r="N772" s="134" t="str">
        <f t="shared" si="365"/>
        <v/>
      </c>
      <c r="O772" s="82" t="str">
        <f t="shared" si="356"/>
        <v/>
      </c>
      <c r="P772" s="81" t="str">
        <f t="shared" si="366"/>
        <v/>
      </c>
      <c r="Q772" s="81" t="str">
        <f t="shared" si="357"/>
        <v/>
      </c>
      <c r="R772" s="135" t="str">
        <f t="shared" ca="1" si="358"/>
        <v/>
      </c>
      <c r="S772" s="134" t="str">
        <f t="shared" ca="1" si="359"/>
        <v/>
      </c>
      <c r="T772" s="134" t="str">
        <f ca="1">IF(S772=Dashboard!$D$12,S772,"")</f>
        <v/>
      </c>
      <c r="U772" s="134" t="str">
        <f t="shared" ca="1" si="360"/>
        <v/>
      </c>
      <c r="V772" s="83" t="str">
        <f ca="1">IF(U772="","",IFERROR((RANK(U772,$U$2:$U$2028,1)+COUNTIF($U$2:U772,U772))-1,""))</f>
        <v/>
      </c>
      <c r="W772" s="134" t="str">
        <f t="shared" si="364"/>
        <v/>
      </c>
      <c r="X772" s="134" t="str">
        <f>IF(W772="","",IFERROR((RANK(W772,$W$2:$W$2028,1)+COUNTIF($W$2:W772,W772))-1,""))</f>
        <v/>
      </c>
      <c r="Y772" s="134" t="str">
        <f t="shared" si="361"/>
        <v/>
      </c>
      <c r="Z772" s="134" t="str">
        <f>IF(Y772="","",IFERROR((RANK(Y772,$Y$2:$Y$2028,1)+COUNTIF($Y$2:Y772,Y772))-1,""))</f>
        <v/>
      </c>
      <c r="AA772" s="134" t="str">
        <f t="shared" si="362"/>
        <v/>
      </c>
      <c r="AB772" s="134" t="str">
        <f>IF(AA772="","",IFERROR((RANK(AA772,$AA$2:$AA$2028,1)+COUNTIF($AA$2:AA772,AA772))-1,""))</f>
        <v/>
      </c>
      <c r="AC772" s="134" t="str">
        <f t="shared" si="363"/>
        <v/>
      </c>
      <c r="AD772" s="134" t="str">
        <f>IF(AC772="","",IFERROR((RANK(AC772,$AC$2:$AC$2028,1)+COUNTIF($AC$2:AC772,AC772))-1,""))</f>
        <v/>
      </c>
      <c r="AE772" s="144" t="str">
        <f t="shared" si="355"/>
        <v/>
      </c>
      <c r="AF772" s="144" t="str">
        <f>IF(AE772="","",SUM($AE$2:AE772))</f>
        <v/>
      </c>
    </row>
    <row r="773" spans="14:32" x14ac:dyDescent="0.35">
      <c r="N773" s="134" t="str">
        <f t="shared" si="365"/>
        <v/>
      </c>
      <c r="O773" s="82" t="str">
        <f t="shared" si="356"/>
        <v/>
      </c>
      <c r="P773" s="81" t="str">
        <f t="shared" si="366"/>
        <v/>
      </c>
      <c r="Q773" s="81" t="str">
        <f t="shared" si="357"/>
        <v/>
      </c>
      <c r="R773" s="135" t="str">
        <f t="shared" ca="1" si="358"/>
        <v/>
      </c>
      <c r="S773" s="134" t="str">
        <f t="shared" ca="1" si="359"/>
        <v/>
      </c>
      <c r="T773" s="134" t="str">
        <f ca="1">IF(S773=Dashboard!$D$12,S773,"")</f>
        <v/>
      </c>
      <c r="U773" s="134" t="str">
        <f t="shared" ca="1" si="360"/>
        <v/>
      </c>
      <c r="V773" s="83" t="str">
        <f ca="1">IF(U773="","",IFERROR((RANK(U773,$U$2:$U$2028,1)+COUNTIF($U$2:U773,U773))-1,""))</f>
        <v/>
      </c>
      <c r="W773" s="134" t="str">
        <f t="shared" si="364"/>
        <v/>
      </c>
      <c r="X773" s="134" t="str">
        <f>IF(W773="","",IFERROR((RANK(W773,$W$2:$W$2028,1)+COUNTIF($W$2:W773,W773))-1,""))</f>
        <v/>
      </c>
      <c r="Y773" s="134" t="str">
        <f t="shared" si="361"/>
        <v/>
      </c>
      <c r="Z773" s="134" t="str">
        <f>IF(Y773="","",IFERROR((RANK(Y773,$Y$2:$Y$2028,1)+COUNTIF($Y$2:Y773,Y773))-1,""))</f>
        <v/>
      </c>
      <c r="AA773" s="134" t="str">
        <f t="shared" si="362"/>
        <v/>
      </c>
      <c r="AB773" s="134" t="str">
        <f>IF(AA773="","",IFERROR((RANK(AA773,$AA$2:$AA$2028,1)+COUNTIF($AA$2:AA773,AA773))-1,""))</f>
        <v/>
      </c>
      <c r="AC773" s="134" t="str">
        <f t="shared" si="363"/>
        <v/>
      </c>
      <c r="AD773" s="134" t="str">
        <f>IF(AC773="","",IFERROR((RANK(AC773,$AC$2:$AC$2028,1)+COUNTIF($AC$2:AC773,AC773))-1,""))</f>
        <v/>
      </c>
      <c r="AE773" s="144" t="str">
        <f t="shared" si="355"/>
        <v/>
      </c>
      <c r="AF773" s="144" t="str">
        <f>IF(AE773="","",SUM($AE$2:AE773))</f>
        <v/>
      </c>
    </row>
    <row r="774" spans="14:32" x14ac:dyDescent="0.35">
      <c r="N774" s="134" t="str">
        <f t="shared" si="365"/>
        <v/>
      </c>
      <c r="O774" s="82" t="str">
        <f t="shared" si="356"/>
        <v/>
      </c>
      <c r="P774" s="81" t="str">
        <f t="shared" si="366"/>
        <v/>
      </c>
      <c r="Q774" s="81" t="str">
        <f t="shared" si="357"/>
        <v/>
      </c>
      <c r="R774" s="135" t="str">
        <f t="shared" ca="1" si="358"/>
        <v/>
      </c>
      <c r="S774" s="134" t="str">
        <f t="shared" ca="1" si="359"/>
        <v/>
      </c>
      <c r="T774" s="134" t="str">
        <f ca="1">IF(S774=Dashboard!$D$12,S774,"")</f>
        <v/>
      </c>
      <c r="U774" s="134" t="str">
        <f t="shared" ca="1" si="360"/>
        <v/>
      </c>
      <c r="V774" s="83" t="str">
        <f ca="1">IF(U774="","",IFERROR((RANK(U774,$U$2:$U$2028,1)+COUNTIF($U$2:U774,U774))-1,""))</f>
        <v/>
      </c>
      <c r="W774" s="134" t="str">
        <f t="shared" si="364"/>
        <v/>
      </c>
      <c r="X774" s="134" t="str">
        <f>IF(W774="","",IFERROR((RANK(W774,$W$2:$W$2028,1)+COUNTIF($W$2:W774,W774))-1,""))</f>
        <v/>
      </c>
      <c r="Y774" s="134" t="str">
        <f t="shared" si="361"/>
        <v/>
      </c>
      <c r="Z774" s="134" t="str">
        <f>IF(Y774="","",IFERROR((RANK(Y774,$Y$2:$Y$2028,1)+COUNTIF($Y$2:Y774,Y774))-1,""))</f>
        <v/>
      </c>
      <c r="AA774" s="134" t="str">
        <f t="shared" si="362"/>
        <v/>
      </c>
      <c r="AB774" s="134" t="str">
        <f>IF(AA774="","",IFERROR((RANK(AA774,$AA$2:$AA$2028,1)+COUNTIF($AA$2:AA774,AA774))-1,""))</f>
        <v/>
      </c>
      <c r="AC774" s="134" t="str">
        <f t="shared" si="363"/>
        <v/>
      </c>
      <c r="AD774" s="134" t="str">
        <f>IF(AC774="","",IFERROR((RANK(AC774,$AC$2:$AC$2028,1)+COUNTIF($AC$2:AC774,AC774))-1,""))</f>
        <v/>
      </c>
      <c r="AE774" s="144" t="str">
        <f t="shared" si="355"/>
        <v/>
      </c>
      <c r="AF774" s="144" t="str">
        <f>IF(AE774="","",SUM($AE$2:AE774))</f>
        <v/>
      </c>
    </row>
    <row r="775" spans="14:32" x14ac:dyDescent="0.35">
      <c r="N775" s="134" t="str">
        <f t="shared" si="365"/>
        <v/>
      </c>
      <c r="O775" s="82" t="str">
        <f t="shared" si="356"/>
        <v/>
      </c>
      <c r="P775" s="81" t="str">
        <f t="shared" si="366"/>
        <v/>
      </c>
      <c r="Q775" s="81" t="str">
        <f t="shared" si="357"/>
        <v/>
      </c>
      <c r="R775" s="135" t="str">
        <f t="shared" ca="1" si="358"/>
        <v/>
      </c>
      <c r="S775" s="134" t="str">
        <f t="shared" ca="1" si="359"/>
        <v/>
      </c>
      <c r="T775" s="134" t="str">
        <f ca="1">IF(S775=Dashboard!$D$12,S775,"")</f>
        <v/>
      </c>
      <c r="U775" s="134" t="str">
        <f t="shared" ca="1" si="360"/>
        <v/>
      </c>
      <c r="V775" s="83" t="str">
        <f ca="1">IF(U775="","",IFERROR((RANK(U775,$U$2:$U$2028,1)+COUNTIF($U$2:U775,U775))-1,""))</f>
        <v/>
      </c>
      <c r="W775" s="134" t="str">
        <f t="shared" si="364"/>
        <v/>
      </c>
      <c r="X775" s="134" t="str">
        <f>IF(W775="","",IFERROR((RANK(W775,$W$2:$W$2028,1)+COUNTIF($W$2:W775,W775))-1,""))</f>
        <v/>
      </c>
      <c r="Y775" s="134" t="str">
        <f t="shared" si="361"/>
        <v/>
      </c>
      <c r="Z775" s="134" t="str">
        <f>IF(Y775="","",IFERROR((RANK(Y775,$Y$2:$Y$2028,1)+COUNTIF($Y$2:Y775,Y775))-1,""))</f>
        <v/>
      </c>
      <c r="AA775" s="134" t="str">
        <f t="shared" si="362"/>
        <v/>
      </c>
      <c r="AB775" s="134" t="str">
        <f>IF(AA775="","",IFERROR((RANK(AA775,$AA$2:$AA$2028,1)+COUNTIF($AA$2:AA775,AA775))-1,""))</f>
        <v/>
      </c>
      <c r="AC775" s="134" t="str">
        <f t="shared" si="363"/>
        <v/>
      </c>
      <c r="AD775" s="134" t="str">
        <f>IF(AC775="","",IFERROR((RANK(AC775,$AC$2:$AC$2028,1)+COUNTIF($AC$2:AC775,AC775))-1,""))</f>
        <v/>
      </c>
      <c r="AE775" s="144" t="str">
        <f t="shared" ref="AE775:AE838" si="367">IF(P775=1,P775,"")</f>
        <v/>
      </c>
      <c r="AF775" s="144" t="str">
        <f>IF(AE775="","",SUM($AE$2:AE775))</f>
        <v/>
      </c>
    </row>
    <row r="776" spans="14:32" x14ac:dyDescent="0.35">
      <c r="N776" s="134" t="str">
        <f t="shared" si="365"/>
        <v/>
      </c>
      <c r="O776" s="82" t="str">
        <f t="shared" si="356"/>
        <v/>
      </c>
      <c r="P776" s="81" t="str">
        <f t="shared" si="366"/>
        <v/>
      </c>
      <c r="Q776" s="81" t="str">
        <f t="shared" si="357"/>
        <v/>
      </c>
      <c r="R776" s="135" t="str">
        <f t="shared" ca="1" si="358"/>
        <v/>
      </c>
      <c r="S776" s="134" t="str">
        <f t="shared" ca="1" si="359"/>
        <v/>
      </c>
      <c r="T776" s="134" t="str">
        <f ca="1">IF(S776=Dashboard!$D$12,S776,"")</f>
        <v/>
      </c>
      <c r="U776" s="134" t="str">
        <f t="shared" ca="1" si="360"/>
        <v/>
      </c>
      <c r="V776" s="83" t="str">
        <f ca="1">IF(U776="","",IFERROR((RANK(U776,$U$2:$U$2028,1)+COUNTIF($U$2:U776,U776))-1,""))</f>
        <v/>
      </c>
      <c r="W776" s="134" t="str">
        <f t="shared" si="364"/>
        <v/>
      </c>
      <c r="X776" s="134" t="str">
        <f>IF(W776="","",IFERROR((RANK(W776,$W$2:$W$2028,1)+COUNTIF($W$2:W776,W776))-1,""))</f>
        <v/>
      </c>
      <c r="Y776" s="134" t="str">
        <f t="shared" si="361"/>
        <v/>
      </c>
      <c r="Z776" s="134" t="str">
        <f>IF(Y776="","",IFERROR((RANK(Y776,$Y$2:$Y$2028,1)+COUNTIF($Y$2:Y776,Y776))-1,""))</f>
        <v/>
      </c>
      <c r="AA776" s="134" t="str">
        <f t="shared" si="362"/>
        <v/>
      </c>
      <c r="AB776" s="134" t="str">
        <f>IF(AA776="","",IFERROR((RANK(AA776,$AA$2:$AA$2028,1)+COUNTIF($AA$2:AA776,AA776))-1,""))</f>
        <v/>
      </c>
      <c r="AC776" s="134" t="str">
        <f t="shared" si="363"/>
        <v/>
      </c>
      <c r="AD776" s="134" t="str">
        <f>IF(AC776="","",IFERROR((RANK(AC776,$AC$2:$AC$2028,1)+COUNTIF($AC$2:AC776,AC776))-1,""))</f>
        <v/>
      </c>
      <c r="AE776" s="144" t="str">
        <f t="shared" si="367"/>
        <v/>
      </c>
      <c r="AF776" s="144" t="str">
        <f>IF(AE776="","",SUM($AE$2:AE776))</f>
        <v/>
      </c>
    </row>
    <row r="777" spans="14:32" x14ac:dyDescent="0.35">
      <c r="N777" s="134" t="str">
        <f t="shared" si="365"/>
        <v/>
      </c>
      <c r="O777" s="82" t="str">
        <f t="shared" si="356"/>
        <v/>
      </c>
      <c r="P777" s="81" t="str">
        <f t="shared" si="366"/>
        <v/>
      </c>
      <c r="Q777" s="81" t="str">
        <f t="shared" si="357"/>
        <v/>
      </c>
      <c r="R777" s="135" t="str">
        <f t="shared" ca="1" si="358"/>
        <v/>
      </c>
      <c r="S777" s="134" t="str">
        <f t="shared" ca="1" si="359"/>
        <v/>
      </c>
      <c r="T777" s="134" t="str">
        <f ca="1">IF(S777=Dashboard!$D$12,S777,"")</f>
        <v/>
      </c>
      <c r="U777" s="134" t="str">
        <f t="shared" ca="1" si="360"/>
        <v/>
      </c>
      <c r="V777" s="83" t="str">
        <f ca="1">IF(U777="","",IFERROR((RANK(U777,$U$2:$U$2028,1)+COUNTIF($U$2:U777,U777))-1,""))</f>
        <v/>
      </c>
      <c r="W777" s="134" t="str">
        <f t="shared" si="364"/>
        <v/>
      </c>
      <c r="X777" s="134" t="str">
        <f>IF(W777="","",IFERROR((RANK(W777,$W$2:$W$2028,1)+COUNTIF($W$2:W777,W777))-1,""))</f>
        <v/>
      </c>
      <c r="Y777" s="134" t="str">
        <f t="shared" si="361"/>
        <v/>
      </c>
      <c r="Z777" s="134" t="str">
        <f>IF(Y777="","",IFERROR((RANK(Y777,$Y$2:$Y$2028,1)+COUNTIF($Y$2:Y777,Y777))-1,""))</f>
        <v/>
      </c>
      <c r="AA777" s="134" t="str">
        <f t="shared" si="362"/>
        <v/>
      </c>
      <c r="AB777" s="134" t="str">
        <f>IF(AA777="","",IFERROR((RANK(AA777,$AA$2:$AA$2028,1)+COUNTIF($AA$2:AA777,AA777))-1,""))</f>
        <v/>
      </c>
      <c r="AC777" s="134" t="str">
        <f t="shared" si="363"/>
        <v/>
      </c>
      <c r="AD777" s="134" t="str">
        <f>IF(AC777="","",IFERROR((RANK(AC777,$AC$2:$AC$2028,1)+COUNTIF($AC$2:AC777,AC777))-1,""))</f>
        <v/>
      </c>
      <c r="AE777" s="144" t="str">
        <f t="shared" si="367"/>
        <v/>
      </c>
      <c r="AF777" s="144" t="str">
        <f>IF(AE777="","",SUM($AE$2:AE777))</f>
        <v/>
      </c>
    </row>
    <row r="778" spans="14:32" x14ac:dyDescent="0.35">
      <c r="N778" s="134" t="str">
        <f t="shared" si="365"/>
        <v/>
      </c>
      <c r="O778" s="82" t="str">
        <f t="shared" si="356"/>
        <v/>
      </c>
      <c r="P778" s="81" t="str">
        <f t="shared" si="366"/>
        <v/>
      </c>
      <c r="Q778" s="81" t="str">
        <f t="shared" si="357"/>
        <v/>
      </c>
      <c r="R778" s="135" t="str">
        <f t="shared" ca="1" si="358"/>
        <v/>
      </c>
      <c r="S778" s="134" t="str">
        <f t="shared" ca="1" si="359"/>
        <v/>
      </c>
      <c r="T778" s="134" t="str">
        <f ca="1">IF(S778=Dashboard!$D$12,S778,"")</f>
        <v/>
      </c>
      <c r="U778" s="134" t="str">
        <f t="shared" ca="1" si="360"/>
        <v/>
      </c>
      <c r="V778" s="83" t="str">
        <f ca="1">IF(U778="","",IFERROR((RANK(U778,$U$2:$U$2028,1)+COUNTIF($U$2:U778,U778))-1,""))</f>
        <v/>
      </c>
      <c r="W778" s="134" t="str">
        <f t="shared" si="364"/>
        <v/>
      </c>
      <c r="X778" s="134" t="str">
        <f>IF(W778="","",IFERROR((RANK(W778,$W$2:$W$2028,1)+COUNTIF($W$2:W778,W778))-1,""))</f>
        <v/>
      </c>
      <c r="Y778" s="134" t="str">
        <f t="shared" si="361"/>
        <v/>
      </c>
      <c r="Z778" s="134" t="str">
        <f>IF(Y778="","",IFERROR((RANK(Y778,$Y$2:$Y$2028,1)+COUNTIF($Y$2:Y778,Y778))-1,""))</f>
        <v/>
      </c>
      <c r="AA778" s="134" t="str">
        <f t="shared" si="362"/>
        <v/>
      </c>
      <c r="AB778" s="134" t="str">
        <f>IF(AA778="","",IFERROR((RANK(AA778,$AA$2:$AA$2028,1)+COUNTIF($AA$2:AA778,AA778))-1,""))</f>
        <v/>
      </c>
      <c r="AC778" s="134" t="str">
        <f t="shared" si="363"/>
        <v/>
      </c>
      <c r="AD778" s="134" t="str">
        <f>IF(AC778="","",IFERROR((RANK(AC778,$AC$2:$AC$2028,1)+COUNTIF($AC$2:AC778,AC778))-1,""))</f>
        <v/>
      </c>
      <c r="AE778" s="144" t="str">
        <f t="shared" si="367"/>
        <v/>
      </c>
      <c r="AF778" s="144" t="str">
        <f>IF(AE778="","",SUM($AE$2:AE778))</f>
        <v/>
      </c>
    </row>
    <row r="779" spans="14:32" x14ac:dyDescent="0.35">
      <c r="N779" s="134" t="str">
        <f t="shared" si="365"/>
        <v/>
      </c>
      <c r="O779" s="82" t="str">
        <f t="shared" si="356"/>
        <v/>
      </c>
      <c r="P779" s="81" t="str">
        <f t="shared" si="366"/>
        <v/>
      </c>
      <c r="Q779" s="81" t="str">
        <f t="shared" si="357"/>
        <v/>
      </c>
      <c r="R779" s="135" t="str">
        <f t="shared" ca="1" si="358"/>
        <v/>
      </c>
      <c r="S779" s="134" t="str">
        <f t="shared" ca="1" si="359"/>
        <v/>
      </c>
      <c r="T779" s="134" t="str">
        <f ca="1">IF(S779=Dashboard!$D$12,S779,"")</f>
        <v/>
      </c>
      <c r="U779" s="134" t="str">
        <f t="shared" ca="1" si="360"/>
        <v/>
      </c>
      <c r="V779" s="83" t="str">
        <f ca="1">IF(U779="","",IFERROR((RANK(U779,$U$2:$U$2028,1)+COUNTIF($U$2:U779,U779))-1,""))</f>
        <v/>
      </c>
      <c r="W779" s="134" t="str">
        <f t="shared" si="364"/>
        <v/>
      </c>
      <c r="X779" s="134" t="str">
        <f>IF(W779="","",IFERROR((RANK(W779,$W$2:$W$2028,1)+COUNTIF($W$2:W779,W779))-1,""))</f>
        <v/>
      </c>
      <c r="Y779" s="134" t="str">
        <f t="shared" si="361"/>
        <v/>
      </c>
      <c r="Z779" s="134" t="str">
        <f>IF(Y779="","",IFERROR((RANK(Y779,$Y$2:$Y$2028,1)+COUNTIF($Y$2:Y779,Y779))-1,""))</f>
        <v/>
      </c>
      <c r="AA779" s="134" t="str">
        <f t="shared" si="362"/>
        <v/>
      </c>
      <c r="AB779" s="134" t="str">
        <f>IF(AA779="","",IFERROR((RANK(AA779,$AA$2:$AA$2028,1)+COUNTIF($AA$2:AA779,AA779))-1,""))</f>
        <v/>
      </c>
      <c r="AC779" s="134" t="str">
        <f t="shared" si="363"/>
        <v/>
      </c>
      <c r="AD779" s="134" t="str">
        <f>IF(AC779="","",IFERROR((RANK(AC779,$AC$2:$AC$2028,1)+COUNTIF($AC$2:AC779,AC779))-1,""))</f>
        <v/>
      </c>
      <c r="AE779" s="144" t="str">
        <f t="shared" si="367"/>
        <v/>
      </c>
      <c r="AF779" s="144" t="str">
        <f>IF(AE779="","",SUM($AE$2:AE779))</f>
        <v/>
      </c>
    </row>
    <row r="780" spans="14:32" x14ac:dyDescent="0.35">
      <c r="N780" s="134" t="str">
        <f t="shared" si="365"/>
        <v/>
      </c>
      <c r="O780" s="82" t="str">
        <f t="shared" si="356"/>
        <v/>
      </c>
      <c r="P780" s="81" t="str">
        <f t="shared" si="366"/>
        <v/>
      </c>
      <c r="Q780" s="81" t="str">
        <f t="shared" si="357"/>
        <v/>
      </c>
      <c r="R780" s="135" t="str">
        <f t="shared" ca="1" si="358"/>
        <v/>
      </c>
      <c r="S780" s="134" t="str">
        <f t="shared" ca="1" si="359"/>
        <v/>
      </c>
      <c r="T780" s="134" t="str">
        <f ca="1">IF(S780=Dashboard!$D$12,S780,"")</f>
        <v/>
      </c>
      <c r="U780" s="134" t="str">
        <f t="shared" ca="1" si="360"/>
        <v/>
      </c>
      <c r="V780" s="83" t="str">
        <f ca="1">IF(U780="","",IFERROR((RANK(U780,$U$2:$U$2028,1)+COUNTIF($U$2:U780,U780))-1,""))</f>
        <v/>
      </c>
      <c r="W780" s="134" t="str">
        <f t="shared" si="364"/>
        <v/>
      </c>
      <c r="X780" s="134" t="str">
        <f>IF(W780="","",IFERROR((RANK(W780,$W$2:$W$2028,1)+COUNTIF($W$2:W780,W780))-1,""))</f>
        <v/>
      </c>
      <c r="Y780" s="134" t="str">
        <f t="shared" si="361"/>
        <v/>
      </c>
      <c r="Z780" s="134" t="str">
        <f>IF(Y780="","",IFERROR((RANK(Y780,$Y$2:$Y$2028,1)+COUNTIF($Y$2:Y780,Y780))-1,""))</f>
        <v/>
      </c>
      <c r="AA780" s="134" t="str">
        <f t="shared" si="362"/>
        <v/>
      </c>
      <c r="AB780" s="134" t="str">
        <f>IF(AA780="","",IFERROR((RANK(AA780,$AA$2:$AA$2028,1)+COUNTIF($AA$2:AA780,AA780))-1,""))</f>
        <v/>
      </c>
      <c r="AC780" s="134" t="str">
        <f t="shared" si="363"/>
        <v/>
      </c>
      <c r="AD780" s="134" t="str">
        <f>IF(AC780="","",IFERROR((RANK(AC780,$AC$2:$AC$2028,1)+COUNTIF($AC$2:AC780,AC780))-1,""))</f>
        <v/>
      </c>
      <c r="AE780" s="144" t="str">
        <f t="shared" si="367"/>
        <v/>
      </c>
      <c r="AF780" s="144" t="str">
        <f>IF(AE780="","",SUM($AE$2:AE780))</f>
        <v/>
      </c>
    </row>
    <row r="781" spans="14:32" x14ac:dyDescent="0.35">
      <c r="N781" s="134" t="str">
        <f t="shared" si="365"/>
        <v/>
      </c>
      <c r="O781" s="82" t="str">
        <f t="shared" si="356"/>
        <v/>
      </c>
      <c r="P781" s="81" t="str">
        <f t="shared" si="366"/>
        <v/>
      </c>
      <c r="Q781" s="81" t="str">
        <f t="shared" si="357"/>
        <v/>
      </c>
      <c r="R781" s="135" t="str">
        <f t="shared" ca="1" si="358"/>
        <v/>
      </c>
      <c r="S781" s="134" t="str">
        <f t="shared" ca="1" si="359"/>
        <v/>
      </c>
      <c r="T781" s="134" t="str">
        <f ca="1">IF(S781=Dashboard!$D$12,S781,"")</f>
        <v/>
      </c>
      <c r="U781" s="134" t="str">
        <f t="shared" ca="1" si="360"/>
        <v/>
      </c>
      <c r="V781" s="83" t="str">
        <f ca="1">IF(U781="","",IFERROR((RANK(U781,$U$2:$U$2028,1)+COUNTIF($U$2:U781,U781))-1,""))</f>
        <v/>
      </c>
      <c r="W781" s="134" t="str">
        <f t="shared" si="364"/>
        <v/>
      </c>
      <c r="X781" s="134" t="str">
        <f>IF(W781="","",IFERROR((RANK(W781,$W$2:$W$2028,1)+COUNTIF($W$2:W781,W781))-1,""))</f>
        <v/>
      </c>
      <c r="Y781" s="134" t="str">
        <f t="shared" si="361"/>
        <v/>
      </c>
      <c r="Z781" s="134" t="str">
        <f>IF(Y781="","",IFERROR((RANK(Y781,$Y$2:$Y$2028,1)+COUNTIF($Y$2:Y781,Y781))-1,""))</f>
        <v/>
      </c>
      <c r="AA781" s="134" t="str">
        <f t="shared" si="362"/>
        <v/>
      </c>
      <c r="AB781" s="134" t="str">
        <f>IF(AA781="","",IFERROR((RANK(AA781,$AA$2:$AA$2028,1)+COUNTIF($AA$2:AA781,AA781))-1,""))</f>
        <v/>
      </c>
      <c r="AC781" s="134" t="str">
        <f t="shared" si="363"/>
        <v/>
      </c>
      <c r="AD781" s="134" t="str">
        <f>IF(AC781="","",IFERROR((RANK(AC781,$AC$2:$AC$2028,1)+COUNTIF($AC$2:AC781,AC781))-1,""))</f>
        <v/>
      </c>
      <c r="AE781" s="144" t="str">
        <f t="shared" si="367"/>
        <v/>
      </c>
      <c r="AF781" s="144" t="str">
        <f>IF(AE781="","",SUM($AE$2:AE781))</f>
        <v/>
      </c>
    </row>
    <row r="782" spans="14:32" x14ac:dyDescent="0.35">
      <c r="N782" s="134" t="str">
        <f t="shared" si="365"/>
        <v/>
      </c>
      <c r="O782" s="82" t="str">
        <f t="shared" si="356"/>
        <v/>
      </c>
      <c r="P782" s="81" t="str">
        <f t="shared" si="366"/>
        <v/>
      </c>
      <c r="Q782" s="81" t="str">
        <f t="shared" si="357"/>
        <v/>
      </c>
      <c r="R782" s="135" t="str">
        <f t="shared" ca="1" si="358"/>
        <v/>
      </c>
      <c r="S782" s="134" t="str">
        <f t="shared" ca="1" si="359"/>
        <v/>
      </c>
      <c r="T782" s="134" t="str">
        <f ca="1">IF(S782=Dashboard!$D$12,S782,"")</f>
        <v/>
      </c>
      <c r="U782" s="134" t="str">
        <f t="shared" ca="1" si="360"/>
        <v/>
      </c>
      <c r="V782" s="83" t="str">
        <f ca="1">IF(U782="","",IFERROR((RANK(U782,$U$2:$U$2028,1)+COUNTIF($U$2:U782,U782))-1,""))</f>
        <v/>
      </c>
      <c r="W782" s="134" t="str">
        <f t="shared" si="364"/>
        <v/>
      </c>
      <c r="X782" s="134" t="str">
        <f>IF(W782="","",IFERROR((RANK(W782,$W$2:$W$2028,1)+COUNTIF($W$2:W782,W782))-1,""))</f>
        <v/>
      </c>
      <c r="Y782" s="134" t="str">
        <f t="shared" si="361"/>
        <v/>
      </c>
      <c r="Z782" s="134" t="str">
        <f>IF(Y782="","",IFERROR((RANK(Y782,$Y$2:$Y$2028,1)+COUNTIF($Y$2:Y782,Y782))-1,""))</f>
        <v/>
      </c>
      <c r="AA782" s="134" t="str">
        <f t="shared" si="362"/>
        <v/>
      </c>
      <c r="AB782" s="134" t="str">
        <f>IF(AA782="","",IFERROR((RANK(AA782,$AA$2:$AA$2028,1)+COUNTIF($AA$2:AA782,AA782))-1,""))</f>
        <v/>
      </c>
      <c r="AC782" s="134" t="str">
        <f t="shared" si="363"/>
        <v/>
      </c>
      <c r="AD782" s="134" t="str">
        <f>IF(AC782="","",IFERROR((RANK(AC782,$AC$2:$AC$2028,1)+COUNTIF($AC$2:AC782,AC782))-1,""))</f>
        <v/>
      </c>
      <c r="AE782" s="144" t="str">
        <f t="shared" si="367"/>
        <v/>
      </c>
      <c r="AF782" s="144" t="str">
        <f>IF(AE782="","",SUM($AE$2:AE782))</f>
        <v/>
      </c>
    </row>
    <row r="783" spans="14:32" x14ac:dyDescent="0.35">
      <c r="N783" s="134" t="str">
        <f t="shared" si="365"/>
        <v/>
      </c>
      <c r="O783" s="82" t="str">
        <f t="shared" si="356"/>
        <v/>
      </c>
      <c r="P783" s="81" t="str">
        <f t="shared" si="366"/>
        <v/>
      </c>
      <c r="Q783" s="81" t="str">
        <f t="shared" si="357"/>
        <v/>
      </c>
      <c r="R783" s="135" t="str">
        <f t="shared" ca="1" si="358"/>
        <v/>
      </c>
      <c r="S783" s="134" t="str">
        <f t="shared" ca="1" si="359"/>
        <v/>
      </c>
      <c r="T783" s="134" t="str">
        <f ca="1">IF(S783=Dashboard!$D$12,S783,"")</f>
        <v/>
      </c>
      <c r="U783" s="134" t="str">
        <f t="shared" ca="1" si="360"/>
        <v/>
      </c>
      <c r="V783" s="83" t="str">
        <f ca="1">IF(U783="","",IFERROR((RANK(U783,$U$2:$U$2028,1)+COUNTIF($U$2:U783,U783))-1,""))</f>
        <v/>
      </c>
      <c r="W783" s="134" t="str">
        <f t="shared" si="364"/>
        <v/>
      </c>
      <c r="X783" s="134" t="str">
        <f>IF(W783="","",IFERROR((RANK(W783,$W$2:$W$2028,1)+COUNTIF($W$2:W783,W783))-1,""))</f>
        <v/>
      </c>
      <c r="Y783" s="134" t="str">
        <f t="shared" si="361"/>
        <v/>
      </c>
      <c r="Z783" s="134" t="str">
        <f>IF(Y783="","",IFERROR((RANK(Y783,$Y$2:$Y$2028,1)+COUNTIF($Y$2:Y783,Y783))-1,""))</f>
        <v/>
      </c>
      <c r="AA783" s="134" t="str">
        <f t="shared" si="362"/>
        <v/>
      </c>
      <c r="AB783" s="134" t="str">
        <f>IF(AA783="","",IFERROR((RANK(AA783,$AA$2:$AA$2028,1)+COUNTIF($AA$2:AA783,AA783))-1,""))</f>
        <v/>
      </c>
      <c r="AC783" s="134" t="str">
        <f t="shared" si="363"/>
        <v/>
      </c>
      <c r="AD783" s="134" t="str">
        <f>IF(AC783="","",IFERROR((RANK(AC783,$AC$2:$AC$2028,1)+COUNTIF($AC$2:AC783,AC783))-1,""))</f>
        <v/>
      </c>
      <c r="AE783" s="144" t="str">
        <f t="shared" si="367"/>
        <v/>
      </c>
      <c r="AF783" s="144" t="str">
        <f>IF(AE783="","",SUM($AE$2:AE783))</f>
        <v/>
      </c>
    </row>
    <row r="784" spans="14:32" x14ac:dyDescent="0.35">
      <c r="N784" s="134" t="str">
        <f t="shared" si="365"/>
        <v/>
      </c>
      <c r="O784" s="82" t="str">
        <f t="shared" si="356"/>
        <v/>
      </c>
      <c r="P784" s="81" t="str">
        <f t="shared" si="366"/>
        <v/>
      </c>
      <c r="Q784" s="81" t="str">
        <f t="shared" si="357"/>
        <v/>
      </c>
      <c r="R784" s="135" t="str">
        <f t="shared" ca="1" si="358"/>
        <v/>
      </c>
      <c r="S784" s="134" t="str">
        <f t="shared" ca="1" si="359"/>
        <v/>
      </c>
      <c r="T784" s="134" t="str">
        <f ca="1">IF(S784=Dashboard!$D$12,S784,"")</f>
        <v/>
      </c>
      <c r="U784" s="134" t="str">
        <f t="shared" ca="1" si="360"/>
        <v/>
      </c>
      <c r="V784" s="83" t="str">
        <f ca="1">IF(U784="","",IFERROR((RANK(U784,$U$2:$U$2028,1)+COUNTIF($U$2:U784,U784))-1,""))</f>
        <v/>
      </c>
      <c r="W784" s="134" t="str">
        <f t="shared" si="364"/>
        <v/>
      </c>
      <c r="X784" s="134" t="str">
        <f>IF(W784="","",IFERROR((RANK(W784,$W$2:$W$2028,1)+COUNTIF($W$2:W784,W784))-1,""))</f>
        <v/>
      </c>
      <c r="Y784" s="134" t="str">
        <f t="shared" si="361"/>
        <v/>
      </c>
      <c r="Z784" s="134" t="str">
        <f>IF(Y784="","",IFERROR((RANK(Y784,$Y$2:$Y$2028,1)+COUNTIF($Y$2:Y784,Y784))-1,""))</f>
        <v/>
      </c>
      <c r="AA784" s="134" t="str">
        <f t="shared" si="362"/>
        <v/>
      </c>
      <c r="AB784" s="134" t="str">
        <f>IF(AA784="","",IFERROR((RANK(AA784,$AA$2:$AA$2028,1)+COUNTIF($AA$2:AA784,AA784))-1,""))</f>
        <v/>
      </c>
      <c r="AC784" s="134" t="str">
        <f t="shared" si="363"/>
        <v/>
      </c>
      <c r="AD784" s="134" t="str">
        <f>IF(AC784="","",IFERROR((RANK(AC784,$AC$2:$AC$2028,1)+COUNTIF($AC$2:AC784,AC784))-1,""))</f>
        <v/>
      </c>
      <c r="AE784" s="144" t="str">
        <f t="shared" si="367"/>
        <v/>
      </c>
      <c r="AF784" s="144" t="str">
        <f>IF(AE784="","",SUM($AE$2:AE784))</f>
        <v/>
      </c>
    </row>
    <row r="785" spans="14:32" x14ac:dyDescent="0.35">
      <c r="N785" s="134" t="str">
        <f t="shared" si="365"/>
        <v/>
      </c>
      <c r="O785" s="82" t="str">
        <f t="shared" si="356"/>
        <v/>
      </c>
      <c r="P785" s="81" t="str">
        <f t="shared" si="366"/>
        <v/>
      </c>
      <c r="Q785" s="81" t="str">
        <f t="shared" si="357"/>
        <v/>
      </c>
      <c r="R785" s="135" t="str">
        <f t="shared" ca="1" si="358"/>
        <v/>
      </c>
      <c r="S785" s="134" t="str">
        <f t="shared" ca="1" si="359"/>
        <v/>
      </c>
      <c r="T785" s="134" t="str">
        <f ca="1">IF(S785=Dashboard!$D$12,S785,"")</f>
        <v/>
      </c>
      <c r="U785" s="134" t="str">
        <f t="shared" ca="1" si="360"/>
        <v/>
      </c>
      <c r="V785" s="83" t="str">
        <f ca="1">IF(U785="","",IFERROR((RANK(U785,$U$2:$U$2028,1)+COUNTIF($U$2:U785,U785))-1,""))</f>
        <v/>
      </c>
      <c r="W785" s="134" t="str">
        <f t="shared" si="364"/>
        <v/>
      </c>
      <c r="X785" s="134" t="str">
        <f>IF(W785="","",IFERROR((RANK(W785,$W$2:$W$2028,1)+COUNTIF($W$2:W785,W785))-1,""))</f>
        <v/>
      </c>
      <c r="Y785" s="134" t="str">
        <f t="shared" si="361"/>
        <v/>
      </c>
      <c r="Z785" s="134" t="str">
        <f>IF(Y785="","",IFERROR((RANK(Y785,$Y$2:$Y$2028,1)+COUNTIF($Y$2:Y785,Y785))-1,""))</f>
        <v/>
      </c>
      <c r="AA785" s="134" t="str">
        <f t="shared" si="362"/>
        <v/>
      </c>
      <c r="AB785" s="134" t="str">
        <f>IF(AA785="","",IFERROR((RANK(AA785,$AA$2:$AA$2028,1)+COUNTIF($AA$2:AA785,AA785))-1,""))</f>
        <v/>
      </c>
      <c r="AC785" s="134" t="str">
        <f t="shared" si="363"/>
        <v/>
      </c>
      <c r="AD785" s="134" t="str">
        <f>IF(AC785="","",IFERROR((RANK(AC785,$AC$2:$AC$2028,1)+COUNTIF($AC$2:AC785,AC785))-1,""))</f>
        <v/>
      </c>
      <c r="AE785" s="144" t="str">
        <f t="shared" si="367"/>
        <v/>
      </c>
      <c r="AF785" s="144" t="str">
        <f>IF(AE785="","",SUM($AE$2:AE785))</f>
        <v/>
      </c>
    </row>
    <row r="786" spans="14:32" x14ac:dyDescent="0.35">
      <c r="N786" s="134" t="str">
        <f t="shared" si="365"/>
        <v/>
      </c>
      <c r="O786" s="82" t="str">
        <f t="shared" si="356"/>
        <v/>
      </c>
      <c r="P786" s="81" t="str">
        <f t="shared" si="366"/>
        <v/>
      </c>
      <c r="Q786" s="81" t="str">
        <f t="shared" si="357"/>
        <v/>
      </c>
      <c r="R786" s="135" t="str">
        <f t="shared" ca="1" si="358"/>
        <v/>
      </c>
      <c r="S786" s="134" t="str">
        <f t="shared" ca="1" si="359"/>
        <v/>
      </c>
      <c r="T786" s="134" t="str">
        <f ca="1">IF(S786=Dashboard!$D$12,S786,"")</f>
        <v/>
      </c>
      <c r="U786" s="134" t="str">
        <f t="shared" ca="1" si="360"/>
        <v/>
      </c>
      <c r="V786" s="83" t="str">
        <f ca="1">IF(U786="","",IFERROR((RANK(U786,$U$2:$U$2028,1)+COUNTIF($U$2:U786,U786))-1,""))</f>
        <v/>
      </c>
      <c r="W786" s="134" t="str">
        <f t="shared" si="364"/>
        <v/>
      </c>
      <c r="X786" s="134" t="str">
        <f>IF(W786="","",IFERROR((RANK(W786,$W$2:$W$2028,1)+COUNTIF($W$2:W786,W786))-1,""))</f>
        <v/>
      </c>
      <c r="Y786" s="134" t="str">
        <f t="shared" si="361"/>
        <v/>
      </c>
      <c r="Z786" s="134" t="str">
        <f>IF(Y786="","",IFERROR((RANK(Y786,$Y$2:$Y$2028,1)+COUNTIF($Y$2:Y786,Y786))-1,""))</f>
        <v/>
      </c>
      <c r="AA786" s="134" t="str">
        <f t="shared" si="362"/>
        <v/>
      </c>
      <c r="AB786" s="134" t="str">
        <f>IF(AA786="","",IFERROR((RANK(AA786,$AA$2:$AA$2028,1)+COUNTIF($AA$2:AA786,AA786))-1,""))</f>
        <v/>
      </c>
      <c r="AC786" s="134" t="str">
        <f t="shared" si="363"/>
        <v/>
      </c>
      <c r="AD786" s="134" t="str">
        <f>IF(AC786="","",IFERROR((RANK(AC786,$AC$2:$AC$2028,1)+COUNTIF($AC$2:AC786,AC786))-1,""))</f>
        <v/>
      </c>
      <c r="AE786" s="144" t="str">
        <f t="shared" si="367"/>
        <v/>
      </c>
      <c r="AF786" s="144" t="str">
        <f>IF(AE786="","",SUM($AE$2:AE786))</f>
        <v/>
      </c>
    </row>
    <row r="787" spans="14:32" x14ac:dyDescent="0.35">
      <c r="N787" s="134" t="str">
        <f t="shared" si="365"/>
        <v/>
      </c>
      <c r="O787" s="82" t="str">
        <f t="shared" si="356"/>
        <v/>
      </c>
      <c r="P787" s="81" t="str">
        <f t="shared" si="366"/>
        <v/>
      </c>
      <c r="Q787" s="81" t="str">
        <f t="shared" si="357"/>
        <v/>
      </c>
      <c r="R787" s="135" t="str">
        <f t="shared" ca="1" si="358"/>
        <v/>
      </c>
      <c r="S787" s="134" t="str">
        <f t="shared" ca="1" si="359"/>
        <v/>
      </c>
      <c r="T787" s="134" t="str">
        <f ca="1">IF(S787=Dashboard!$D$12,S787,"")</f>
        <v/>
      </c>
      <c r="U787" s="134" t="str">
        <f t="shared" ca="1" si="360"/>
        <v/>
      </c>
      <c r="V787" s="83" t="str">
        <f ca="1">IF(U787="","",IFERROR((RANK(U787,$U$2:$U$2028,1)+COUNTIF($U$2:U787,U787))-1,""))</f>
        <v/>
      </c>
      <c r="W787" s="134" t="str">
        <f t="shared" si="364"/>
        <v/>
      </c>
      <c r="X787" s="134" t="str">
        <f>IF(W787="","",IFERROR((RANK(W787,$W$2:$W$2028,1)+COUNTIF($W$2:W787,W787))-1,""))</f>
        <v/>
      </c>
      <c r="Y787" s="134" t="str">
        <f t="shared" si="361"/>
        <v/>
      </c>
      <c r="Z787" s="134" t="str">
        <f>IF(Y787="","",IFERROR((RANK(Y787,$Y$2:$Y$2028,1)+COUNTIF($Y$2:Y787,Y787))-1,""))</f>
        <v/>
      </c>
      <c r="AA787" s="134" t="str">
        <f t="shared" si="362"/>
        <v/>
      </c>
      <c r="AB787" s="134" t="str">
        <f>IF(AA787="","",IFERROR((RANK(AA787,$AA$2:$AA$2028,1)+COUNTIF($AA$2:AA787,AA787))-1,""))</f>
        <v/>
      </c>
      <c r="AC787" s="134" t="str">
        <f t="shared" si="363"/>
        <v/>
      </c>
      <c r="AD787" s="134" t="str">
        <f>IF(AC787="","",IFERROR((RANK(AC787,$AC$2:$AC$2028,1)+COUNTIF($AC$2:AC787,AC787))-1,""))</f>
        <v/>
      </c>
      <c r="AE787" s="144" t="str">
        <f t="shared" si="367"/>
        <v/>
      </c>
      <c r="AF787" s="144" t="str">
        <f>IF(AE787="","",SUM($AE$2:AE787))</f>
        <v/>
      </c>
    </row>
    <row r="788" spans="14:32" x14ac:dyDescent="0.35">
      <c r="N788" s="134" t="str">
        <f t="shared" si="365"/>
        <v/>
      </c>
      <c r="O788" s="82" t="str">
        <f t="shared" si="356"/>
        <v/>
      </c>
      <c r="P788" s="81" t="str">
        <f t="shared" si="366"/>
        <v/>
      </c>
      <c r="Q788" s="81" t="str">
        <f t="shared" si="357"/>
        <v/>
      </c>
      <c r="R788" s="135" t="str">
        <f t="shared" ca="1" si="358"/>
        <v/>
      </c>
      <c r="S788" s="134" t="str">
        <f t="shared" ca="1" si="359"/>
        <v/>
      </c>
      <c r="T788" s="134" t="str">
        <f ca="1">IF(S788=Dashboard!$D$12,S788,"")</f>
        <v/>
      </c>
      <c r="U788" s="134" t="str">
        <f t="shared" ca="1" si="360"/>
        <v/>
      </c>
      <c r="V788" s="83" t="str">
        <f ca="1">IF(U788="","",IFERROR((RANK(U788,$U$2:$U$2028,1)+COUNTIF($U$2:U788,U788))-1,""))</f>
        <v/>
      </c>
      <c r="W788" s="134" t="str">
        <f t="shared" si="364"/>
        <v/>
      </c>
      <c r="X788" s="134" t="str">
        <f>IF(W788="","",IFERROR((RANK(W788,$W$2:$W$2028,1)+COUNTIF($W$2:W788,W788))-1,""))</f>
        <v/>
      </c>
      <c r="Y788" s="134" t="str">
        <f t="shared" si="361"/>
        <v/>
      </c>
      <c r="Z788" s="134" t="str">
        <f>IF(Y788="","",IFERROR((RANK(Y788,$Y$2:$Y$2028,1)+COUNTIF($Y$2:Y788,Y788))-1,""))</f>
        <v/>
      </c>
      <c r="AA788" s="134" t="str">
        <f t="shared" si="362"/>
        <v/>
      </c>
      <c r="AB788" s="134" t="str">
        <f>IF(AA788="","",IFERROR((RANK(AA788,$AA$2:$AA$2028,1)+COUNTIF($AA$2:AA788,AA788))-1,""))</f>
        <v/>
      </c>
      <c r="AC788" s="134" t="str">
        <f t="shared" si="363"/>
        <v/>
      </c>
      <c r="AD788" s="134" t="str">
        <f>IF(AC788="","",IFERROR((RANK(AC788,$AC$2:$AC$2028,1)+COUNTIF($AC$2:AC788,AC788))-1,""))</f>
        <v/>
      </c>
      <c r="AE788" s="144" t="str">
        <f t="shared" si="367"/>
        <v/>
      </c>
      <c r="AF788" s="144" t="str">
        <f>IF(AE788="","",SUM($AE$2:AE788))</f>
        <v/>
      </c>
    </row>
    <row r="789" spans="14:32" x14ac:dyDescent="0.35">
      <c r="N789" s="134" t="str">
        <f t="shared" si="365"/>
        <v/>
      </c>
      <c r="O789" s="82" t="str">
        <f t="shared" si="356"/>
        <v/>
      </c>
      <c r="P789" s="81" t="str">
        <f t="shared" si="366"/>
        <v/>
      </c>
      <c r="Q789" s="81" t="str">
        <f t="shared" si="357"/>
        <v/>
      </c>
      <c r="R789" s="135" t="str">
        <f t="shared" ca="1" si="358"/>
        <v/>
      </c>
      <c r="S789" s="134" t="str">
        <f t="shared" ca="1" si="359"/>
        <v/>
      </c>
      <c r="T789" s="134" t="str">
        <f ca="1">IF(S789=Dashboard!$D$12,S789,"")</f>
        <v/>
      </c>
      <c r="U789" s="134" t="str">
        <f t="shared" ca="1" si="360"/>
        <v/>
      </c>
      <c r="V789" s="83" t="str">
        <f ca="1">IF(U789="","",IFERROR((RANK(U789,$U$2:$U$2028,1)+COUNTIF($U$2:U789,U789))-1,""))</f>
        <v/>
      </c>
      <c r="W789" s="134" t="str">
        <f t="shared" si="364"/>
        <v/>
      </c>
      <c r="X789" s="134" t="str">
        <f>IF(W789="","",IFERROR((RANK(W789,$W$2:$W$2028,1)+COUNTIF($W$2:W789,W789))-1,""))</f>
        <v/>
      </c>
      <c r="Y789" s="134" t="str">
        <f t="shared" si="361"/>
        <v/>
      </c>
      <c r="Z789" s="134" t="str">
        <f>IF(Y789="","",IFERROR((RANK(Y789,$Y$2:$Y$2028,1)+COUNTIF($Y$2:Y789,Y789))-1,""))</f>
        <v/>
      </c>
      <c r="AA789" s="134" t="str">
        <f t="shared" si="362"/>
        <v/>
      </c>
      <c r="AB789" s="134" t="str">
        <f>IF(AA789="","",IFERROR((RANK(AA789,$AA$2:$AA$2028,1)+COUNTIF($AA$2:AA789,AA789))-1,""))</f>
        <v/>
      </c>
      <c r="AC789" s="134" t="str">
        <f t="shared" si="363"/>
        <v/>
      </c>
      <c r="AD789" s="134" t="str">
        <f>IF(AC789="","",IFERROR((RANK(AC789,$AC$2:$AC$2028,1)+COUNTIF($AC$2:AC789,AC789))-1,""))</f>
        <v/>
      </c>
      <c r="AE789" s="144" t="str">
        <f t="shared" si="367"/>
        <v/>
      </c>
      <c r="AF789" s="144" t="str">
        <f>IF(AE789="","",SUM($AE$2:AE789))</f>
        <v/>
      </c>
    </row>
    <row r="790" spans="14:32" x14ac:dyDescent="0.35">
      <c r="N790" s="134" t="str">
        <f t="shared" si="365"/>
        <v/>
      </c>
      <c r="O790" s="82" t="str">
        <f t="shared" si="356"/>
        <v/>
      </c>
      <c r="P790" s="81" t="str">
        <f t="shared" si="366"/>
        <v/>
      </c>
      <c r="Q790" s="81" t="str">
        <f t="shared" si="357"/>
        <v/>
      </c>
      <c r="R790" s="135" t="str">
        <f t="shared" ca="1" si="358"/>
        <v/>
      </c>
      <c r="S790" s="134" t="str">
        <f t="shared" ca="1" si="359"/>
        <v/>
      </c>
      <c r="T790" s="134" t="str">
        <f ca="1">IF(S790=Dashboard!$D$12,S790,"")</f>
        <v/>
      </c>
      <c r="U790" s="134" t="str">
        <f t="shared" ca="1" si="360"/>
        <v/>
      </c>
      <c r="V790" s="83" t="str">
        <f ca="1">IF(U790="","",IFERROR((RANK(U790,$U$2:$U$2028,1)+COUNTIF($U$2:U790,U790))-1,""))</f>
        <v/>
      </c>
      <c r="W790" s="134" t="str">
        <f t="shared" si="364"/>
        <v/>
      </c>
      <c r="X790" s="134" t="str">
        <f>IF(W790="","",IFERROR((RANK(W790,$W$2:$W$2028,1)+COUNTIF($W$2:W790,W790))-1,""))</f>
        <v/>
      </c>
      <c r="Y790" s="134" t="str">
        <f t="shared" si="361"/>
        <v/>
      </c>
      <c r="Z790" s="134" t="str">
        <f>IF(Y790="","",IFERROR((RANK(Y790,$Y$2:$Y$2028,1)+COUNTIF($Y$2:Y790,Y790))-1,""))</f>
        <v/>
      </c>
      <c r="AA790" s="134" t="str">
        <f t="shared" si="362"/>
        <v/>
      </c>
      <c r="AB790" s="134" t="str">
        <f>IF(AA790="","",IFERROR((RANK(AA790,$AA$2:$AA$2028,1)+COUNTIF($AA$2:AA790,AA790))-1,""))</f>
        <v/>
      </c>
      <c r="AC790" s="134" t="str">
        <f t="shared" si="363"/>
        <v/>
      </c>
      <c r="AD790" s="134" t="str">
        <f>IF(AC790="","",IFERROR((RANK(AC790,$AC$2:$AC$2028,1)+COUNTIF($AC$2:AC790,AC790))-1,""))</f>
        <v/>
      </c>
      <c r="AE790" s="144" t="str">
        <f t="shared" si="367"/>
        <v/>
      </c>
      <c r="AF790" s="144" t="str">
        <f>IF(AE790="","",SUM($AE$2:AE790))</f>
        <v/>
      </c>
    </row>
    <row r="791" spans="14:32" x14ac:dyDescent="0.35">
      <c r="N791" s="134" t="str">
        <f t="shared" si="365"/>
        <v/>
      </c>
      <c r="O791" s="82" t="str">
        <f t="shared" si="356"/>
        <v/>
      </c>
      <c r="P791" s="81" t="str">
        <f t="shared" si="366"/>
        <v/>
      </c>
      <c r="Q791" s="81" t="str">
        <f t="shared" si="357"/>
        <v/>
      </c>
      <c r="R791" s="135" t="str">
        <f t="shared" ca="1" si="358"/>
        <v/>
      </c>
      <c r="S791" s="134" t="str">
        <f t="shared" ca="1" si="359"/>
        <v/>
      </c>
      <c r="T791" s="134" t="str">
        <f ca="1">IF(S791=Dashboard!$D$12,S791,"")</f>
        <v/>
      </c>
      <c r="U791" s="134" t="str">
        <f t="shared" ca="1" si="360"/>
        <v/>
      </c>
      <c r="V791" s="83" t="str">
        <f ca="1">IF(U791="","",IFERROR((RANK(U791,$U$2:$U$2028,1)+COUNTIF($U$2:U791,U791))-1,""))</f>
        <v/>
      </c>
      <c r="W791" s="134" t="str">
        <f t="shared" si="364"/>
        <v/>
      </c>
      <c r="X791" s="134" t="str">
        <f>IF(W791="","",IFERROR((RANK(W791,$W$2:$W$2028,1)+COUNTIF($W$2:W791,W791))-1,""))</f>
        <v/>
      </c>
      <c r="Y791" s="134" t="str">
        <f t="shared" si="361"/>
        <v/>
      </c>
      <c r="Z791" s="134" t="str">
        <f>IF(Y791="","",IFERROR((RANK(Y791,$Y$2:$Y$2028,1)+COUNTIF($Y$2:Y791,Y791))-1,""))</f>
        <v/>
      </c>
      <c r="AA791" s="134" t="str">
        <f t="shared" si="362"/>
        <v/>
      </c>
      <c r="AB791" s="134" t="str">
        <f>IF(AA791="","",IFERROR((RANK(AA791,$AA$2:$AA$2028,1)+COUNTIF($AA$2:AA791,AA791))-1,""))</f>
        <v/>
      </c>
      <c r="AC791" s="134" t="str">
        <f t="shared" si="363"/>
        <v/>
      </c>
      <c r="AD791" s="134" t="str">
        <f>IF(AC791="","",IFERROR((RANK(AC791,$AC$2:$AC$2028,1)+COUNTIF($AC$2:AC791,AC791))-1,""))</f>
        <v/>
      </c>
      <c r="AE791" s="144" t="str">
        <f t="shared" si="367"/>
        <v/>
      </c>
      <c r="AF791" s="144" t="str">
        <f>IF(AE791="","",SUM($AE$2:AE791))</f>
        <v/>
      </c>
    </row>
    <row r="792" spans="14:32" x14ac:dyDescent="0.35">
      <c r="N792" s="134" t="str">
        <f t="shared" si="365"/>
        <v/>
      </c>
      <c r="O792" s="82" t="str">
        <f t="shared" si="356"/>
        <v/>
      </c>
      <c r="P792" s="81" t="str">
        <f t="shared" si="366"/>
        <v/>
      </c>
      <c r="Q792" s="81" t="str">
        <f t="shared" si="357"/>
        <v/>
      </c>
      <c r="R792" s="135" t="str">
        <f t="shared" ca="1" si="358"/>
        <v/>
      </c>
      <c r="S792" s="134" t="str">
        <f t="shared" ca="1" si="359"/>
        <v/>
      </c>
      <c r="T792" s="134" t="str">
        <f ca="1">IF(S792=Dashboard!$D$12,S792,"")</f>
        <v/>
      </c>
      <c r="U792" s="134" t="str">
        <f t="shared" ca="1" si="360"/>
        <v/>
      </c>
      <c r="V792" s="83" t="str">
        <f ca="1">IF(U792="","",IFERROR((RANK(U792,$U$2:$U$2028,1)+COUNTIF($U$2:U792,U792))-1,""))</f>
        <v/>
      </c>
      <c r="W792" s="134" t="str">
        <f t="shared" si="364"/>
        <v/>
      </c>
      <c r="X792" s="134" t="str">
        <f>IF(W792="","",IFERROR((RANK(W792,$W$2:$W$2028,1)+COUNTIF($W$2:W792,W792))-1,""))</f>
        <v/>
      </c>
      <c r="Y792" s="134" t="str">
        <f t="shared" si="361"/>
        <v/>
      </c>
      <c r="Z792" s="134" t="str">
        <f>IF(Y792="","",IFERROR((RANK(Y792,$Y$2:$Y$2028,1)+COUNTIF($Y$2:Y792,Y792))-1,""))</f>
        <v/>
      </c>
      <c r="AA792" s="134" t="str">
        <f t="shared" si="362"/>
        <v/>
      </c>
      <c r="AB792" s="134" t="str">
        <f>IF(AA792="","",IFERROR((RANK(AA792,$AA$2:$AA$2028,1)+COUNTIF($AA$2:AA792,AA792))-1,""))</f>
        <v/>
      </c>
      <c r="AC792" s="134" t="str">
        <f t="shared" si="363"/>
        <v/>
      </c>
      <c r="AD792" s="134" t="str">
        <f>IF(AC792="","",IFERROR((RANK(AC792,$AC$2:$AC$2028,1)+COUNTIF($AC$2:AC792,AC792))-1,""))</f>
        <v/>
      </c>
      <c r="AE792" s="144" t="str">
        <f t="shared" si="367"/>
        <v/>
      </c>
      <c r="AF792" s="144" t="str">
        <f>IF(AE792="","",SUM($AE$2:AE792))</f>
        <v/>
      </c>
    </row>
    <row r="793" spans="14:32" x14ac:dyDescent="0.35">
      <c r="N793" s="134" t="str">
        <f t="shared" si="365"/>
        <v/>
      </c>
      <c r="O793" s="82" t="str">
        <f t="shared" si="356"/>
        <v/>
      </c>
      <c r="P793" s="81" t="str">
        <f t="shared" si="366"/>
        <v/>
      </c>
      <c r="Q793" s="81" t="str">
        <f t="shared" si="357"/>
        <v/>
      </c>
      <c r="R793" s="135" t="str">
        <f t="shared" ca="1" si="358"/>
        <v/>
      </c>
      <c r="S793" s="134" t="str">
        <f t="shared" ca="1" si="359"/>
        <v/>
      </c>
      <c r="T793" s="134" t="str">
        <f ca="1">IF(S793=Dashboard!$D$12,S793,"")</f>
        <v/>
      </c>
      <c r="U793" s="134" t="str">
        <f t="shared" ca="1" si="360"/>
        <v/>
      </c>
      <c r="V793" s="83" t="str">
        <f ca="1">IF(U793="","",IFERROR((RANK(U793,$U$2:$U$2028,1)+COUNTIF($U$2:U793,U793))-1,""))</f>
        <v/>
      </c>
      <c r="W793" s="134" t="str">
        <f t="shared" si="364"/>
        <v/>
      </c>
      <c r="X793" s="134" t="str">
        <f>IF(W793="","",IFERROR((RANK(W793,$W$2:$W$2028,1)+COUNTIF($W$2:W793,W793))-1,""))</f>
        <v/>
      </c>
      <c r="Y793" s="134" t="str">
        <f t="shared" si="361"/>
        <v/>
      </c>
      <c r="Z793" s="134" t="str">
        <f>IF(Y793="","",IFERROR((RANK(Y793,$Y$2:$Y$2028,1)+COUNTIF($Y$2:Y793,Y793))-1,""))</f>
        <v/>
      </c>
      <c r="AA793" s="134" t="str">
        <f t="shared" si="362"/>
        <v/>
      </c>
      <c r="AB793" s="134" t="str">
        <f>IF(AA793="","",IFERROR((RANK(AA793,$AA$2:$AA$2028,1)+COUNTIF($AA$2:AA793,AA793))-1,""))</f>
        <v/>
      </c>
      <c r="AC793" s="134" t="str">
        <f t="shared" si="363"/>
        <v/>
      </c>
      <c r="AD793" s="134" t="str">
        <f>IF(AC793="","",IFERROR((RANK(AC793,$AC$2:$AC$2028,1)+COUNTIF($AC$2:AC793,AC793))-1,""))</f>
        <v/>
      </c>
      <c r="AE793" s="144" t="str">
        <f t="shared" si="367"/>
        <v/>
      </c>
      <c r="AF793" s="144" t="str">
        <f>IF(AE793="","",SUM($AE$2:AE793))</f>
        <v/>
      </c>
    </row>
    <row r="794" spans="14:32" x14ac:dyDescent="0.35">
      <c r="N794" s="134" t="str">
        <f t="shared" si="365"/>
        <v/>
      </c>
      <c r="O794" s="82" t="str">
        <f t="shared" si="356"/>
        <v/>
      </c>
      <c r="P794" s="81" t="str">
        <f t="shared" si="366"/>
        <v/>
      </c>
      <c r="Q794" s="81" t="str">
        <f t="shared" si="357"/>
        <v/>
      </c>
      <c r="R794" s="135" t="str">
        <f t="shared" ca="1" si="358"/>
        <v/>
      </c>
      <c r="S794" s="134" t="str">
        <f t="shared" ca="1" si="359"/>
        <v/>
      </c>
      <c r="T794" s="134" t="str">
        <f ca="1">IF(S794=Dashboard!$D$12,S794,"")</f>
        <v/>
      </c>
      <c r="U794" s="134" t="str">
        <f t="shared" ca="1" si="360"/>
        <v/>
      </c>
      <c r="V794" s="83" t="str">
        <f ca="1">IF(U794="","",IFERROR((RANK(U794,$U$2:$U$2028,1)+COUNTIF($U$2:U794,U794))-1,""))</f>
        <v/>
      </c>
      <c r="W794" s="134" t="str">
        <f t="shared" si="364"/>
        <v/>
      </c>
      <c r="X794" s="134" t="str">
        <f>IF(W794="","",IFERROR((RANK(W794,$W$2:$W$2028,1)+COUNTIF($W$2:W794,W794))-1,""))</f>
        <v/>
      </c>
      <c r="Y794" s="134" t="str">
        <f t="shared" si="361"/>
        <v/>
      </c>
      <c r="Z794" s="134" t="str">
        <f>IF(Y794="","",IFERROR((RANK(Y794,$Y$2:$Y$2028,1)+COUNTIF($Y$2:Y794,Y794))-1,""))</f>
        <v/>
      </c>
      <c r="AA794" s="134" t="str">
        <f t="shared" si="362"/>
        <v/>
      </c>
      <c r="AB794" s="134" t="str">
        <f>IF(AA794="","",IFERROR((RANK(AA794,$AA$2:$AA$2028,1)+COUNTIF($AA$2:AA794,AA794))-1,""))</f>
        <v/>
      </c>
      <c r="AC794" s="134" t="str">
        <f t="shared" si="363"/>
        <v/>
      </c>
      <c r="AD794" s="134" t="str">
        <f>IF(AC794="","",IFERROR((RANK(AC794,$AC$2:$AC$2028,1)+COUNTIF($AC$2:AC794,AC794))-1,""))</f>
        <v/>
      </c>
      <c r="AE794" s="144" t="str">
        <f t="shared" si="367"/>
        <v/>
      </c>
      <c r="AF794" s="144" t="str">
        <f>IF(AE794="","",SUM($AE$2:AE794))</f>
        <v/>
      </c>
    </row>
    <row r="795" spans="14:32" x14ac:dyDescent="0.35">
      <c r="N795" s="134" t="str">
        <f t="shared" si="365"/>
        <v/>
      </c>
      <c r="O795" s="82" t="str">
        <f t="shared" si="356"/>
        <v/>
      </c>
      <c r="P795" s="81" t="str">
        <f t="shared" si="366"/>
        <v/>
      </c>
      <c r="Q795" s="81" t="str">
        <f t="shared" si="357"/>
        <v/>
      </c>
      <c r="R795" s="135" t="str">
        <f t="shared" ca="1" si="358"/>
        <v/>
      </c>
      <c r="S795" s="134" t="str">
        <f t="shared" ca="1" si="359"/>
        <v/>
      </c>
      <c r="T795" s="134" t="str">
        <f ca="1">IF(S795=Dashboard!$D$12,S795,"")</f>
        <v/>
      </c>
      <c r="U795" s="134" t="str">
        <f t="shared" ca="1" si="360"/>
        <v/>
      </c>
      <c r="V795" s="83" t="str">
        <f ca="1">IF(U795="","",IFERROR((RANK(U795,$U$2:$U$2028,1)+COUNTIF($U$2:U795,U795))-1,""))</f>
        <v/>
      </c>
      <c r="W795" s="134" t="str">
        <f t="shared" si="364"/>
        <v/>
      </c>
      <c r="X795" s="134" t="str">
        <f>IF(W795="","",IFERROR((RANK(W795,$W$2:$W$2028,1)+COUNTIF($W$2:W795,W795))-1,""))</f>
        <v/>
      </c>
      <c r="Y795" s="134" t="str">
        <f t="shared" si="361"/>
        <v/>
      </c>
      <c r="Z795" s="134" t="str">
        <f>IF(Y795="","",IFERROR((RANK(Y795,$Y$2:$Y$2028,1)+COUNTIF($Y$2:Y795,Y795))-1,""))</f>
        <v/>
      </c>
      <c r="AA795" s="134" t="str">
        <f t="shared" si="362"/>
        <v/>
      </c>
      <c r="AB795" s="134" t="str">
        <f>IF(AA795="","",IFERROR((RANK(AA795,$AA$2:$AA$2028,1)+COUNTIF($AA$2:AA795,AA795))-1,""))</f>
        <v/>
      </c>
      <c r="AC795" s="134" t="str">
        <f t="shared" si="363"/>
        <v/>
      </c>
      <c r="AD795" s="134" t="str">
        <f>IF(AC795="","",IFERROR((RANK(AC795,$AC$2:$AC$2028,1)+COUNTIF($AC$2:AC795,AC795))-1,""))</f>
        <v/>
      </c>
      <c r="AE795" s="144" t="str">
        <f t="shared" si="367"/>
        <v/>
      </c>
      <c r="AF795" s="144" t="str">
        <f>IF(AE795="","",SUM($AE$2:AE795))</f>
        <v/>
      </c>
    </row>
    <row r="796" spans="14:32" x14ac:dyDescent="0.35">
      <c r="N796" s="134" t="str">
        <f t="shared" si="365"/>
        <v/>
      </c>
      <c r="O796" s="82" t="str">
        <f t="shared" si="356"/>
        <v/>
      </c>
      <c r="P796" s="81" t="str">
        <f t="shared" si="366"/>
        <v/>
      </c>
      <c r="Q796" s="81" t="str">
        <f t="shared" si="357"/>
        <v/>
      </c>
      <c r="R796" s="135" t="str">
        <f t="shared" ca="1" si="358"/>
        <v/>
      </c>
      <c r="S796" s="134" t="str">
        <f t="shared" ca="1" si="359"/>
        <v/>
      </c>
      <c r="T796" s="134" t="str">
        <f ca="1">IF(S796=Dashboard!$D$12,S796,"")</f>
        <v/>
      </c>
      <c r="U796" s="134" t="str">
        <f t="shared" ca="1" si="360"/>
        <v/>
      </c>
      <c r="V796" s="83" t="str">
        <f ca="1">IF(U796="","",IFERROR((RANK(U796,$U$2:$U$2028,1)+COUNTIF($U$2:U796,U796))-1,""))</f>
        <v/>
      </c>
      <c r="W796" s="134" t="str">
        <f t="shared" si="364"/>
        <v/>
      </c>
      <c r="X796" s="134" t="str">
        <f>IF(W796="","",IFERROR((RANK(W796,$W$2:$W$2028,1)+COUNTIF($W$2:W796,W796))-1,""))</f>
        <v/>
      </c>
      <c r="Y796" s="134" t="str">
        <f t="shared" si="361"/>
        <v/>
      </c>
      <c r="Z796" s="134" t="str">
        <f>IF(Y796="","",IFERROR((RANK(Y796,$Y$2:$Y$2028,1)+COUNTIF($Y$2:Y796,Y796))-1,""))</f>
        <v/>
      </c>
      <c r="AA796" s="134" t="str">
        <f t="shared" si="362"/>
        <v/>
      </c>
      <c r="AB796" s="134" t="str">
        <f>IF(AA796="","",IFERROR((RANK(AA796,$AA$2:$AA$2028,1)+COUNTIF($AA$2:AA796,AA796))-1,""))</f>
        <v/>
      </c>
      <c r="AC796" s="134" t="str">
        <f t="shared" si="363"/>
        <v/>
      </c>
      <c r="AD796" s="134" t="str">
        <f>IF(AC796="","",IFERROR((RANK(AC796,$AC$2:$AC$2028,1)+COUNTIF($AC$2:AC796,AC796))-1,""))</f>
        <v/>
      </c>
      <c r="AE796" s="144" t="str">
        <f t="shared" si="367"/>
        <v/>
      </c>
      <c r="AF796" s="144" t="str">
        <f>IF(AE796="","",SUM($AE$2:AE796))</f>
        <v/>
      </c>
    </row>
    <row r="797" spans="14:32" x14ac:dyDescent="0.35">
      <c r="N797" s="134" t="str">
        <f t="shared" si="365"/>
        <v/>
      </c>
      <c r="O797" s="82" t="str">
        <f t="shared" si="356"/>
        <v/>
      </c>
      <c r="P797" s="81" t="str">
        <f t="shared" si="366"/>
        <v/>
      </c>
      <c r="Q797" s="81" t="str">
        <f t="shared" si="357"/>
        <v/>
      </c>
      <c r="R797" s="135" t="str">
        <f t="shared" ca="1" si="358"/>
        <v/>
      </c>
      <c r="S797" s="134" t="str">
        <f t="shared" ca="1" si="359"/>
        <v/>
      </c>
      <c r="T797" s="134" t="str">
        <f ca="1">IF(S797=Dashboard!$D$12,S797,"")</f>
        <v/>
      </c>
      <c r="U797" s="134" t="str">
        <f t="shared" ca="1" si="360"/>
        <v/>
      </c>
      <c r="V797" s="83" t="str">
        <f ca="1">IF(U797="","",IFERROR((RANK(U797,$U$2:$U$2028,1)+COUNTIF($U$2:U797,U797))-1,""))</f>
        <v/>
      </c>
      <c r="W797" s="134" t="str">
        <f t="shared" si="364"/>
        <v/>
      </c>
      <c r="X797" s="134" t="str">
        <f>IF(W797="","",IFERROR((RANK(W797,$W$2:$W$2028,1)+COUNTIF($W$2:W797,W797))-1,""))</f>
        <v/>
      </c>
      <c r="Y797" s="134" t="str">
        <f t="shared" si="361"/>
        <v/>
      </c>
      <c r="Z797" s="134" t="str">
        <f>IF(Y797="","",IFERROR((RANK(Y797,$Y$2:$Y$2028,1)+COUNTIF($Y$2:Y797,Y797))-1,""))</f>
        <v/>
      </c>
      <c r="AA797" s="134" t="str">
        <f t="shared" si="362"/>
        <v/>
      </c>
      <c r="AB797" s="134" t="str">
        <f>IF(AA797="","",IFERROR((RANK(AA797,$AA$2:$AA$2028,1)+COUNTIF($AA$2:AA797,AA797))-1,""))</f>
        <v/>
      </c>
      <c r="AC797" s="134" t="str">
        <f t="shared" si="363"/>
        <v/>
      </c>
      <c r="AD797" s="134" t="str">
        <f>IF(AC797="","",IFERROR((RANK(AC797,$AC$2:$AC$2028,1)+COUNTIF($AC$2:AC797,AC797))-1,""))</f>
        <v/>
      </c>
      <c r="AE797" s="144" t="str">
        <f t="shared" si="367"/>
        <v/>
      </c>
      <c r="AF797" s="144" t="str">
        <f>IF(AE797="","",SUM($AE$2:AE797))</f>
        <v/>
      </c>
    </row>
    <row r="798" spans="14:32" x14ac:dyDescent="0.35">
      <c r="N798" s="134" t="str">
        <f t="shared" si="365"/>
        <v/>
      </c>
      <c r="O798" s="82" t="str">
        <f t="shared" ref="O798:O861" si="368">IF(A798="","",N798&amp;"-"&amp;M798)</f>
        <v/>
      </c>
      <c r="P798" s="81" t="str">
        <f t="shared" si="366"/>
        <v/>
      </c>
      <c r="Q798" s="81" t="str">
        <f t="shared" ref="Q798:Q861" si="369">IF(A798="","",IF(P798=1,M798,""))</f>
        <v/>
      </c>
      <c r="R798" s="135" t="str">
        <f t="shared" ref="R798:R861" ca="1" si="370">IF(Q798="","",I798-TODAY())</f>
        <v/>
      </c>
      <c r="S798" s="134" t="str">
        <f t="shared" ref="S798:S861" ca="1" si="371">IF(R798="","",
IF(R798&lt;-90,"Pass&gt;90",IF(R798&lt;-60,"Pass 61-90",IF(R798&lt;-30,"Pass 31-60",IF(R798&lt;0,"Pass 0-30",IF(R798&lt;31,"Run 0-30",IF(R798&lt;61,"Run 31-60",IF(R798&lt;91,"Run 60-90","Run &gt;90"))))))))</f>
        <v/>
      </c>
      <c r="T798" s="134" t="str">
        <f ca="1">IF(S798=Dashboard!$D$12,S798,"")</f>
        <v/>
      </c>
      <c r="U798" s="134" t="str">
        <f t="shared" ref="U798:U861" ca="1" si="372">IF(T798="","",R798)</f>
        <v/>
      </c>
      <c r="V798" s="83" t="str">
        <f ca="1">IF(U798="","",IFERROR((RANK(U798,$U$2:$U$2028,1)+COUNTIF($U$2:U798,U798))-1,""))</f>
        <v/>
      </c>
      <c r="W798" s="134" t="str">
        <f t="shared" si="364"/>
        <v/>
      </c>
      <c r="X798" s="134" t="str">
        <f>IF(W798="","",IFERROR((RANK(W798,$W$2:$W$2028,1)+COUNTIF($W$2:W798,W798))-1,""))</f>
        <v/>
      </c>
      <c r="Y798" s="134" t="str">
        <f t="shared" ref="Y798:Y861" si="373">IF($J798=Y$1,$U798,"")</f>
        <v/>
      </c>
      <c r="Z798" s="134" t="str">
        <f>IF(Y798="","",IFERROR((RANK(Y798,$Y$2:$Y$2028,1)+COUNTIF($Y$2:Y798,Y798))-1,""))</f>
        <v/>
      </c>
      <c r="AA798" s="134" t="str">
        <f t="shared" ref="AA798:AA861" si="374">IF($J798=AA$1,$U798,"")</f>
        <v/>
      </c>
      <c r="AB798" s="134" t="str">
        <f>IF(AA798="","",IFERROR((RANK(AA798,$AA$2:$AA$2028,1)+COUNTIF($AA$2:AA798,AA798))-1,""))</f>
        <v/>
      </c>
      <c r="AC798" s="134" t="str">
        <f t="shared" ref="AC798:AC861" si="375">IF($J798=AC$1,$U798,"")</f>
        <v/>
      </c>
      <c r="AD798" s="134" t="str">
        <f>IF(AC798="","",IFERROR((RANK(AC798,$AC$2:$AC$2028,1)+COUNTIF($AC$2:AC798,AC798))-1,""))</f>
        <v/>
      </c>
      <c r="AE798" s="144" t="str">
        <f t="shared" si="367"/>
        <v/>
      </c>
      <c r="AF798" s="144" t="str">
        <f>IF(AE798="","",SUM($AE$2:AE798))</f>
        <v/>
      </c>
    </row>
    <row r="799" spans="14:32" x14ac:dyDescent="0.35">
      <c r="N799" s="134" t="str">
        <f t="shared" si="365"/>
        <v/>
      </c>
      <c r="O799" s="82" t="str">
        <f t="shared" si="368"/>
        <v/>
      </c>
      <c r="P799" s="81" t="str">
        <f t="shared" si="366"/>
        <v/>
      </c>
      <c r="Q799" s="81" t="str">
        <f t="shared" si="369"/>
        <v/>
      </c>
      <c r="R799" s="135" t="str">
        <f t="shared" ca="1" si="370"/>
        <v/>
      </c>
      <c r="S799" s="134" t="str">
        <f t="shared" ca="1" si="371"/>
        <v/>
      </c>
      <c r="T799" s="134" t="str">
        <f ca="1">IF(S799=Dashboard!$D$12,S799,"")</f>
        <v/>
      </c>
      <c r="U799" s="134" t="str">
        <f t="shared" ca="1" si="372"/>
        <v/>
      </c>
      <c r="V799" s="83" t="str">
        <f ca="1">IF(U799="","",IFERROR((RANK(U799,$U$2:$U$2028,1)+COUNTIF($U$2:U799,U799))-1,""))</f>
        <v/>
      </c>
      <c r="W799" s="134" t="str">
        <f t="shared" ref="W799:W862" si="376">IF($J799=$W$1,U799,"")</f>
        <v/>
      </c>
      <c r="X799" s="134" t="str">
        <f>IF(W799="","",IFERROR((RANK(W799,$W$2:$W$2028,1)+COUNTIF($W$2:W799,W799))-1,""))</f>
        <v/>
      </c>
      <c r="Y799" s="134" t="str">
        <f t="shared" si="373"/>
        <v/>
      </c>
      <c r="Z799" s="134" t="str">
        <f>IF(Y799="","",IFERROR((RANK(Y799,$Y$2:$Y$2028,1)+COUNTIF($Y$2:Y799,Y799))-1,""))</f>
        <v/>
      </c>
      <c r="AA799" s="134" t="str">
        <f t="shared" si="374"/>
        <v/>
      </c>
      <c r="AB799" s="134" t="str">
        <f>IF(AA799="","",IFERROR((RANK(AA799,$AA$2:$AA$2028,1)+COUNTIF($AA$2:AA799,AA799))-1,""))</f>
        <v/>
      </c>
      <c r="AC799" s="134" t="str">
        <f t="shared" si="375"/>
        <v/>
      </c>
      <c r="AD799" s="134" t="str">
        <f>IF(AC799="","",IFERROR((RANK(AC799,$AC$2:$AC$2028,1)+COUNTIF($AC$2:AC799,AC799))-1,""))</f>
        <v/>
      </c>
      <c r="AE799" s="144" t="str">
        <f t="shared" si="367"/>
        <v/>
      </c>
      <c r="AF799" s="144" t="str">
        <f>IF(AE799="","",SUM($AE$2:AE799))</f>
        <v/>
      </c>
    </row>
    <row r="800" spans="14:32" x14ac:dyDescent="0.35">
      <c r="N800" s="134" t="str">
        <f t="shared" si="365"/>
        <v/>
      </c>
      <c r="O800" s="82" t="str">
        <f t="shared" si="368"/>
        <v/>
      </c>
      <c r="P800" s="81" t="str">
        <f t="shared" si="366"/>
        <v/>
      </c>
      <c r="Q800" s="81" t="str">
        <f t="shared" si="369"/>
        <v/>
      </c>
      <c r="R800" s="135" t="str">
        <f t="shared" ca="1" si="370"/>
        <v/>
      </c>
      <c r="S800" s="134" t="str">
        <f t="shared" ca="1" si="371"/>
        <v/>
      </c>
      <c r="T800" s="134" t="str">
        <f ca="1">IF(S800=Dashboard!$D$12,S800,"")</f>
        <v/>
      </c>
      <c r="U800" s="134" t="str">
        <f t="shared" ca="1" si="372"/>
        <v/>
      </c>
      <c r="V800" s="83" t="str">
        <f ca="1">IF(U800="","",IFERROR((RANK(U800,$U$2:$U$2028,1)+COUNTIF($U$2:U800,U800))-1,""))</f>
        <v/>
      </c>
      <c r="W800" s="134" t="str">
        <f t="shared" si="376"/>
        <v/>
      </c>
      <c r="X800" s="134" t="str">
        <f>IF(W800="","",IFERROR((RANK(W800,$W$2:$W$2028,1)+COUNTIF($W$2:W800,W800))-1,""))</f>
        <v/>
      </c>
      <c r="Y800" s="134" t="str">
        <f t="shared" si="373"/>
        <v/>
      </c>
      <c r="Z800" s="134" t="str">
        <f>IF(Y800="","",IFERROR((RANK(Y800,$Y$2:$Y$2028,1)+COUNTIF($Y$2:Y800,Y800))-1,""))</f>
        <v/>
      </c>
      <c r="AA800" s="134" t="str">
        <f t="shared" si="374"/>
        <v/>
      </c>
      <c r="AB800" s="134" t="str">
        <f>IF(AA800="","",IFERROR((RANK(AA800,$AA$2:$AA$2028,1)+COUNTIF($AA$2:AA800,AA800))-1,""))</f>
        <v/>
      </c>
      <c r="AC800" s="134" t="str">
        <f t="shared" si="375"/>
        <v/>
      </c>
      <c r="AD800" s="134" t="str">
        <f>IF(AC800="","",IFERROR((RANK(AC800,$AC$2:$AC$2028,1)+COUNTIF($AC$2:AC800,AC800))-1,""))</f>
        <v/>
      </c>
      <c r="AE800" s="144" t="str">
        <f t="shared" si="367"/>
        <v/>
      </c>
      <c r="AF800" s="144" t="str">
        <f>IF(AE800="","",SUM($AE$2:AE800))</f>
        <v/>
      </c>
    </row>
    <row r="801" spans="14:32" x14ac:dyDescent="0.35">
      <c r="N801" s="134" t="str">
        <f t="shared" si="365"/>
        <v/>
      </c>
      <c r="O801" s="82" t="str">
        <f t="shared" si="368"/>
        <v/>
      </c>
      <c r="P801" s="81" t="str">
        <f t="shared" si="366"/>
        <v/>
      </c>
      <c r="Q801" s="81" t="str">
        <f t="shared" si="369"/>
        <v/>
      </c>
      <c r="R801" s="135" t="str">
        <f t="shared" ca="1" si="370"/>
        <v/>
      </c>
      <c r="S801" s="134" t="str">
        <f t="shared" ca="1" si="371"/>
        <v/>
      </c>
      <c r="T801" s="134" t="str">
        <f ca="1">IF(S801=Dashboard!$D$12,S801,"")</f>
        <v/>
      </c>
      <c r="U801" s="134" t="str">
        <f t="shared" ca="1" si="372"/>
        <v/>
      </c>
      <c r="V801" s="83" t="str">
        <f ca="1">IF(U801="","",IFERROR((RANK(U801,$U$2:$U$2028,1)+COUNTIF($U$2:U801,U801))-1,""))</f>
        <v/>
      </c>
      <c r="W801" s="134" t="str">
        <f t="shared" si="376"/>
        <v/>
      </c>
      <c r="X801" s="134" t="str">
        <f>IF(W801="","",IFERROR((RANK(W801,$W$2:$W$2028,1)+COUNTIF($W$2:W801,W801))-1,""))</f>
        <v/>
      </c>
      <c r="Y801" s="134" t="str">
        <f t="shared" si="373"/>
        <v/>
      </c>
      <c r="Z801" s="134" t="str">
        <f>IF(Y801="","",IFERROR((RANK(Y801,$Y$2:$Y$2028,1)+COUNTIF($Y$2:Y801,Y801))-1,""))</f>
        <v/>
      </c>
      <c r="AA801" s="134" t="str">
        <f t="shared" si="374"/>
        <v/>
      </c>
      <c r="AB801" s="134" t="str">
        <f>IF(AA801="","",IFERROR((RANK(AA801,$AA$2:$AA$2028,1)+COUNTIF($AA$2:AA801,AA801))-1,""))</f>
        <v/>
      </c>
      <c r="AC801" s="134" t="str">
        <f t="shared" si="375"/>
        <v/>
      </c>
      <c r="AD801" s="134" t="str">
        <f>IF(AC801="","",IFERROR((RANK(AC801,$AC$2:$AC$2028,1)+COUNTIF($AC$2:AC801,AC801))-1,""))</f>
        <v/>
      </c>
      <c r="AE801" s="144" t="str">
        <f t="shared" si="367"/>
        <v/>
      </c>
      <c r="AF801" s="144" t="str">
        <f>IF(AE801="","",SUM($AE$2:AE801))</f>
        <v/>
      </c>
    </row>
    <row r="802" spans="14:32" x14ac:dyDescent="0.35">
      <c r="N802" s="134" t="str">
        <f t="shared" si="365"/>
        <v/>
      </c>
      <c r="O802" s="82" t="str">
        <f t="shared" si="368"/>
        <v/>
      </c>
      <c r="P802" s="81" t="str">
        <f t="shared" si="366"/>
        <v/>
      </c>
      <c r="Q802" s="81" t="str">
        <f t="shared" si="369"/>
        <v/>
      </c>
      <c r="R802" s="135" t="str">
        <f t="shared" ca="1" si="370"/>
        <v/>
      </c>
      <c r="S802" s="134" t="str">
        <f t="shared" ca="1" si="371"/>
        <v/>
      </c>
      <c r="T802" s="134" t="str">
        <f ca="1">IF(S802=Dashboard!$D$12,S802,"")</f>
        <v/>
      </c>
      <c r="U802" s="134" t="str">
        <f t="shared" ca="1" si="372"/>
        <v/>
      </c>
      <c r="V802" s="83" t="str">
        <f ca="1">IF(U802="","",IFERROR((RANK(U802,$U$2:$U$2028,1)+COUNTIF($U$2:U802,U802))-1,""))</f>
        <v/>
      </c>
      <c r="W802" s="134" t="str">
        <f t="shared" si="376"/>
        <v/>
      </c>
      <c r="X802" s="134" t="str">
        <f>IF(W802="","",IFERROR((RANK(W802,$W$2:$W$2028,1)+COUNTIF($W$2:W802,W802))-1,""))</f>
        <v/>
      </c>
      <c r="Y802" s="134" t="str">
        <f t="shared" si="373"/>
        <v/>
      </c>
      <c r="Z802" s="134" t="str">
        <f>IF(Y802="","",IFERROR((RANK(Y802,$Y$2:$Y$2028,1)+COUNTIF($Y$2:Y802,Y802))-1,""))</f>
        <v/>
      </c>
      <c r="AA802" s="134" t="str">
        <f t="shared" si="374"/>
        <v/>
      </c>
      <c r="AB802" s="134" t="str">
        <f>IF(AA802="","",IFERROR((RANK(AA802,$AA$2:$AA$2028,1)+COUNTIF($AA$2:AA802,AA802))-1,""))</f>
        <v/>
      </c>
      <c r="AC802" s="134" t="str">
        <f t="shared" si="375"/>
        <v/>
      </c>
      <c r="AD802" s="134" t="str">
        <f>IF(AC802="","",IFERROR((RANK(AC802,$AC$2:$AC$2028,1)+COUNTIF($AC$2:AC802,AC802))-1,""))</f>
        <v/>
      </c>
      <c r="AE802" s="144" t="str">
        <f t="shared" si="367"/>
        <v/>
      </c>
      <c r="AF802" s="144" t="str">
        <f>IF(AE802="","",SUM($AE$2:AE802))</f>
        <v/>
      </c>
    </row>
    <row r="803" spans="14:32" x14ac:dyDescent="0.35">
      <c r="N803" s="134" t="str">
        <f t="shared" si="365"/>
        <v/>
      </c>
      <c r="O803" s="82" t="str">
        <f t="shared" si="368"/>
        <v/>
      </c>
      <c r="P803" s="81" t="str">
        <f t="shared" si="366"/>
        <v/>
      </c>
      <c r="Q803" s="81" t="str">
        <f t="shared" si="369"/>
        <v/>
      </c>
      <c r="R803" s="135" t="str">
        <f t="shared" ca="1" si="370"/>
        <v/>
      </c>
      <c r="S803" s="134" t="str">
        <f t="shared" ca="1" si="371"/>
        <v/>
      </c>
      <c r="T803" s="134" t="str">
        <f ca="1">IF(S803=Dashboard!$D$12,S803,"")</f>
        <v/>
      </c>
      <c r="U803" s="134" t="str">
        <f t="shared" ca="1" si="372"/>
        <v/>
      </c>
      <c r="V803" s="83" t="str">
        <f ca="1">IF(U803="","",IFERROR((RANK(U803,$U$2:$U$2028,1)+COUNTIF($U$2:U803,U803))-1,""))</f>
        <v/>
      </c>
      <c r="W803" s="134" t="str">
        <f t="shared" si="376"/>
        <v/>
      </c>
      <c r="X803" s="134" t="str">
        <f>IF(W803="","",IFERROR((RANK(W803,$W$2:$W$2028,1)+COUNTIF($W$2:W803,W803))-1,""))</f>
        <v/>
      </c>
      <c r="Y803" s="134" t="str">
        <f t="shared" si="373"/>
        <v/>
      </c>
      <c r="Z803" s="134" t="str">
        <f>IF(Y803="","",IFERROR((RANK(Y803,$Y$2:$Y$2028,1)+COUNTIF($Y$2:Y803,Y803))-1,""))</f>
        <v/>
      </c>
      <c r="AA803" s="134" t="str">
        <f t="shared" si="374"/>
        <v/>
      </c>
      <c r="AB803" s="134" t="str">
        <f>IF(AA803="","",IFERROR((RANK(AA803,$AA$2:$AA$2028,1)+COUNTIF($AA$2:AA803,AA803))-1,""))</f>
        <v/>
      </c>
      <c r="AC803" s="134" t="str">
        <f t="shared" si="375"/>
        <v/>
      </c>
      <c r="AD803" s="134" t="str">
        <f>IF(AC803="","",IFERROR((RANK(AC803,$AC$2:$AC$2028,1)+COUNTIF($AC$2:AC803,AC803))-1,""))</f>
        <v/>
      </c>
      <c r="AE803" s="144" t="str">
        <f t="shared" si="367"/>
        <v/>
      </c>
      <c r="AF803" s="144" t="str">
        <f>IF(AE803="","",SUM($AE$2:AE803))</f>
        <v/>
      </c>
    </row>
    <row r="804" spans="14:32" x14ac:dyDescent="0.35">
      <c r="N804" s="134" t="str">
        <f t="shared" si="365"/>
        <v/>
      </c>
      <c r="O804" s="82" t="str">
        <f t="shared" si="368"/>
        <v/>
      </c>
      <c r="P804" s="81" t="str">
        <f t="shared" si="366"/>
        <v/>
      </c>
      <c r="Q804" s="81" t="str">
        <f t="shared" si="369"/>
        <v/>
      </c>
      <c r="R804" s="135" t="str">
        <f t="shared" ca="1" si="370"/>
        <v/>
      </c>
      <c r="S804" s="134" t="str">
        <f t="shared" ca="1" si="371"/>
        <v/>
      </c>
      <c r="T804" s="134" t="str">
        <f ca="1">IF(S804=Dashboard!$D$12,S804,"")</f>
        <v/>
      </c>
      <c r="U804" s="134" t="str">
        <f t="shared" ca="1" si="372"/>
        <v/>
      </c>
      <c r="V804" s="83" t="str">
        <f ca="1">IF(U804="","",IFERROR((RANK(U804,$U$2:$U$2028,1)+COUNTIF($U$2:U804,U804))-1,""))</f>
        <v/>
      </c>
      <c r="W804" s="134" t="str">
        <f t="shared" si="376"/>
        <v/>
      </c>
      <c r="X804" s="134" t="str">
        <f>IF(W804="","",IFERROR((RANK(W804,$W$2:$W$2028,1)+COUNTIF($W$2:W804,W804))-1,""))</f>
        <v/>
      </c>
      <c r="Y804" s="134" t="str">
        <f t="shared" si="373"/>
        <v/>
      </c>
      <c r="Z804" s="134" t="str">
        <f>IF(Y804="","",IFERROR((RANK(Y804,$Y$2:$Y$2028,1)+COUNTIF($Y$2:Y804,Y804))-1,""))</f>
        <v/>
      </c>
      <c r="AA804" s="134" t="str">
        <f t="shared" si="374"/>
        <v/>
      </c>
      <c r="AB804" s="134" t="str">
        <f>IF(AA804="","",IFERROR((RANK(AA804,$AA$2:$AA$2028,1)+COUNTIF($AA$2:AA804,AA804))-1,""))</f>
        <v/>
      </c>
      <c r="AC804" s="134" t="str">
        <f t="shared" si="375"/>
        <v/>
      </c>
      <c r="AD804" s="134" t="str">
        <f>IF(AC804="","",IFERROR((RANK(AC804,$AC$2:$AC$2028,1)+COUNTIF($AC$2:AC804,AC804))-1,""))</f>
        <v/>
      </c>
      <c r="AE804" s="144" t="str">
        <f t="shared" si="367"/>
        <v/>
      </c>
      <c r="AF804" s="144" t="str">
        <f>IF(AE804="","",SUM($AE$2:AE804))</f>
        <v/>
      </c>
    </row>
    <row r="805" spans="14:32" x14ac:dyDescent="0.35">
      <c r="N805" s="134" t="str">
        <f t="shared" si="365"/>
        <v/>
      </c>
      <c r="O805" s="82" t="str">
        <f t="shared" si="368"/>
        <v/>
      </c>
      <c r="P805" s="81" t="str">
        <f t="shared" si="366"/>
        <v/>
      </c>
      <c r="Q805" s="81" t="str">
        <f t="shared" si="369"/>
        <v/>
      </c>
      <c r="R805" s="135" t="str">
        <f t="shared" ca="1" si="370"/>
        <v/>
      </c>
      <c r="S805" s="134" t="str">
        <f t="shared" ca="1" si="371"/>
        <v/>
      </c>
      <c r="T805" s="134" t="str">
        <f ca="1">IF(S805=Dashboard!$D$12,S805,"")</f>
        <v/>
      </c>
      <c r="U805" s="134" t="str">
        <f t="shared" ca="1" si="372"/>
        <v/>
      </c>
      <c r="V805" s="83" t="str">
        <f ca="1">IF(U805="","",IFERROR((RANK(U805,$U$2:$U$2028,1)+COUNTIF($U$2:U805,U805))-1,""))</f>
        <v/>
      </c>
      <c r="W805" s="134" t="str">
        <f t="shared" si="376"/>
        <v/>
      </c>
      <c r="X805" s="134" t="str">
        <f>IF(W805="","",IFERROR((RANK(W805,$W$2:$W$2028,1)+COUNTIF($W$2:W805,W805))-1,""))</f>
        <v/>
      </c>
      <c r="Y805" s="134" t="str">
        <f t="shared" si="373"/>
        <v/>
      </c>
      <c r="Z805" s="134" t="str">
        <f>IF(Y805="","",IFERROR((RANK(Y805,$Y$2:$Y$2028,1)+COUNTIF($Y$2:Y805,Y805))-1,""))</f>
        <v/>
      </c>
      <c r="AA805" s="134" t="str">
        <f t="shared" si="374"/>
        <v/>
      </c>
      <c r="AB805" s="134" t="str">
        <f>IF(AA805="","",IFERROR((RANK(AA805,$AA$2:$AA$2028,1)+COUNTIF($AA$2:AA805,AA805))-1,""))</f>
        <v/>
      </c>
      <c r="AC805" s="134" t="str">
        <f t="shared" si="375"/>
        <v/>
      </c>
      <c r="AD805" s="134" t="str">
        <f>IF(AC805="","",IFERROR((RANK(AC805,$AC$2:$AC$2028,1)+COUNTIF($AC$2:AC805,AC805))-1,""))</f>
        <v/>
      </c>
      <c r="AE805" s="144" t="str">
        <f t="shared" si="367"/>
        <v/>
      </c>
      <c r="AF805" s="144" t="str">
        <f>IF(AE805="","",SUM($AE$2:AE805))</f>
        <v/>
      </c>
    </row>
    <row r="806" spans="14:32" x14ac:dyDescent="0.35">
      <c r="N806" s="134" t="str">
        <f t="shared" si="365"/>
        <v/>
      </c>
      <c r="O806" s="82" t="str">
        <f t="shared" si="368"/>
        <v/>
      </c>
      <c r="P806" s="81" t="str">
        <f t="shared" si="366"/>
        <v/>
      </c>
      <c r="Q806" s="81" t="str">
        <f t="shared" si="369"/>
        <v/>
      </c>
      <c r="R806" s="135" t="str">
        <f t="shared" ca="1" si="370"/>
        <v/>
      </c>
      <c r="S806" s="134" t="str">
        <f t="shared" ca="1" si="371"/>
        <v/>
      </c>
      <c r="T806" s="134" t="str">
        <f ca="1">IF(S806=Dashboard!$D$12,S806,"")</f>
        <v/>
      </c>
      <c r="U806" s="134" t="str">
        <f t="shared" ca="1" si="372"/>
        <v/>
      </c>
      <c r="V806" s="83" t="str">
        <f ca="1">IF(U806="","",IFERROR((RANK(U806,$U$2:$U$2028,1)+COUNTIF($U$2:U806,U806))-1,""))</f>
        <v/>
      </c>
      <c r="W806" s="134" t="str">
        <f t="shared" si="376"/>
        <v/>
      </c>
      <c r="X806" s="134" t="str">
        <f>IF(W806="","",IFERROR((RANK(W806,$W$2:$W$2028,1)+COUNTIF($W$2:W806,W806))-1,""))</f>
        <v/>
      </c>
      <c r="Y806" s="134" t="str">
        <f t="shared" si="373"/>
        <v/>
      </c>
      <c r="Z806" s="134" t="str">
        <f>IF(Y806="","",IFERROR((RANK(Y806,$Y$2:$Y$2028,1)+COUNTIF($Y$2:Y806,Y806))-1,""))</f>
        <v/>
      </c>
      <c r="AA806" s="134" t="str">
        <f t="shared" si="374"/>
        <v/>
      </c>
      <c r="AB806" s="134" t="str">
        <f>IF(AA806="","",IFERROR((RANK(AA806,$AA$2:$AA$2028,1)+COUNTIF($AA$2:AA806,AA806))-1,""))</f>
        <v/>
      </c>
      <c r="AC806" s="134" t="str">
        <f t="shared" si="375"/>
        <v/>
      </c>
      <c r="AD806" s="134" t="str">
        <f>IF(AC806="","",IFERROR((RANK(AC806,$AC$2:$AC$2028,1)+COUNTIF($AC$2:AC806,AC806))-1,""))</f>
        <v/>
      </c>
      <c r="AE806" s="144" t="str">
        <f t="shared" si="367"/>
        <v/>
      </c>
      <c r="AF806" s="144" t="str">
        <f>IF(AE806="","",SUM($AE$2:AE806))</f>
        <v/>
      </c>
    </row>
    <row r="807" spans="14:32" x14ac:dyDescent="0.35">
      <c r="N807" s="134" t="str">
        <f t="shared" si="365"/>
        <v/>
      </c>
      <c r="O807" s="82" t="str">
        <f t="shared" si="368"/>
        <v/>
      </c>
      <c r="P807" s="81" t="str">
        <f t="shared" si="366"/>
        <v/>
      </c>
      <c r="Q807" s="81" t="str">
        <f t="shared" si="369"/>
        <v/>
      </c>
      <c r="R807" s="135" t="str">
        <f t="shared" ca="1" si="370"/>
        <v/>
      </c>
      <c r="S807" s="134" t="str">
        <f t="shared" ca="1" si="371"/>
        <v/>
      </c>
      <c r="T807" s="134" t="str">
        <f ca="1">IF(S807=Dashboard!$D$12,S807,"")</f>
        <v/>
      </c>
      <c r="U807" s="134" t="str">
        <f t="shared" ca="1" si="372"/>
        <v/>
      </c>
      <c r="V807" s="83" t="str">
        <f ca="1">IF(U807="","",IFERROR((RANK(U807,$U$2:$U$2028,1)+COUNTIF($U$2:U807,U807))-1,""))</f>
        <v/>
      </c>
      <c r="W807" s="134" t="str">
        <f t="shared" si="376"/>
        <v/>
      </c>
      <c r="X807" s="134" t="str">
        <f>IF(W807="","",IFERROR((RANK(W807,$W$2:$W$2028,1)+COUNTIF($W$2:W807,W807))-1,""))</f>
        <v/>
      </c>
      <c r="Y807" s="134" t="str">
        <f t="shared" si="373"/>
        <v/>
      </c>
      <c r="Z807" s="134" t="str">
        <f>IF(Y807="","",IFERROR((RANK(Y807,$Y$2:$Y$2028,1)+COUNTIF($Y$2:Y807,Y807))-1,""))</f>
        <v/>
      </c>
      <c r="AA807" s="134" t="str">
        <f t="shared" si="374"/>
        <v/>
      </c>
      <c r="AB807" s="134" t="str">
        <f>IF(AA807="","",IFERROR((RANK(AA807,$AA$2:$AA$2028,1)+COUNTIF($AA$2:AA807,AA807))-1,""))</f>
        <v/>
      </c>
      <c r="AC807" s="134" t="str">
        <f t="shared" si="375"/>
        <v/>
      </c>
      <c r="AD807" s="134" t="str">
        <f>IF(AC807="","",IFERROR((RANK(AC807,$AC$2:$AC$2028,1)+COUNTIF($AC$2:AC807,AC807))-1,""))</f>
        <v/>
      </c>
      <c r="AE807" s="144" t="str">
        <f t="shared" si="367"/>
        <v/>
      </c>
      <c r="AF807" s="144" t="str">
        <f>IF(AE807="","",SUM($AE$2:AE807))</f>
        <v/>
      </c>
    </row>
    <row r="808" spans="14:32" x14ac:dyDescent="0.35">
      <c r="N808" s="134" t="str">
        <f t="shared" si="365"/>
        <v/>
      </c>
      <c r="O808" s="82" t="str">
        <f t="shared" si="368"/>
        <v/>
      </c>
      <c r="P808" s="81" t="str">
        <f t="shared" si="366"/>
        <v/>
      </c>
      <c r="Q808" s="81" t="str">
        <f t="shared" si="369"/>
        <v/>
      </c>
      <c r="R808" s="135" t="str">
        <f t="shared" ca="1" si="370"/>
        <v/>
      </c>
      <c r="S808" s="134" t="str">
        <f t="shared" ca="1" si="371"/>
        <v/>
      </c>
      <c r="T808" s="134" t="str">
        <f ca="1">IF(S808=Dashboard!$D$12,S808,"")</f>
        <v/>
      </c>
      <c r="U808" s="134" t="str">
        <f t="shared" ca="1" si="372"/>
        <v/>
      </c>
      <c r="V808" s="83" t="str">
        <f ca="1">IF(U808="","",IFERROR((RANK(U808,$U$2:$U$2028,1)+COUNTIF($U$2:U808,U808))-1,""))</f>
        <v/>
      </c>
      <c r="W808" s="134" t="str">
        <f t="shared" si="376"/>
        <v/>
      </c>
      <c r="X808" s="134" t="str">
        <f>IF(W808="","",IFERROR((RANK(W808,$W$2:$W$2028,1)+COUNTIF($W$2:W808,W808))-1,""))</f>
        <v/>
      </c>
      <c r="Y808" s="134" t="str">
        <f t="shared" si="373"/>
        <v/>
      </c>
      <c r="Z808" s="134" t="str">
        <f>IF(Y808="","",IFERROR((RANK(Y808,$Y$2:$Y$2028,1)+COUNTIF($Y$2:Y808,Y808))-1,""))</f>
        <v/>
      </c>
      <c r="AA808" s="134" t="str">
        <f t="shared" si="374"/>
        <v/>
      </c>
      <c r="AB808" s="134" t="str">
        <f>IF(AA808="","",IFERROR((RANK(AA808,$AA$2:$AA$2028,1)+COUNTIF($AA$2:AA808,AA808))-1,""))</f>
        <v/>
      </c>
      <c r="AC808" s="134" t="str">
        <f t="shared" si="375"/>
        <v/>
      </c>
      <c r="AD808" s="134" t="str">
        <f>IF(AC808="","",IFERROR((RANK(AC808,$AC$2:$AC$2028,1)+COUNTIF($AC$2:AC808,AC808))-1,""))</f>
        <v/>
      </c>
      <c r="AE808" s="144" t="str">
        <f t="shared" si="367"/>
        <v/>
      </c>
      <c r="AF808" s="144" t="str">
        <f>IF(AE808="","",SUM($AE$2:AE808))</f>
        <v/>
      </c>
    </row>
    <row r="809" spans="14:32" x14ac:dyDescent="0.35">
      <c r="N809" s="134" t="str">
        <f t="shared" si="365"/>
        <v/>
      </c>
      <c r="O809" s="82" t="str">
        <f t="shared" si="368"/>
        <v/>
      </c>
      <c r="P809" s="81" t="str">
        <f t="shared" si="366"/>
        <v/>
      </c>
      <c r="Q809" s="81" t="str">
        <f t="shared" si="369"/>
        <v/>
      </c>
      <c r="R809" s="135" t="str">
        <f t="shared" ca="1" si="370"/>
        <v/>
      </c>
      <c r="S809" s="134" t="str">
        <f t="shared" ca="1" si="371"/>
        <v/>
      </c>
      <c r="T809" s="134" t="str">
        <f ca="1">IF(S809=Dashboard!$D$12,S809,"")</f>
        <v/>
      </c>
      <c r="U809" s="134" t="str">
        <f t="shared" ca="1" si="372"/>
        <v/>
      </c>
      <c r="V809" s="83" t="str">
        <f ca="1">IF(U809="","",IFERROR((RANK(U809,$U$2:$U$2028,1)+COUNTIF($U$2:U809,U809))-1,""))</f>
        <v/>
      </c>
      <c r="W809" s="134" t="str">
        <f t="shared" si="376"/>
        <v/>
      </c>
      <c r="X809" s="134" t="str">
        <f>IF(W809="","",IFERROR((RANK(W809,$W$2:$W$2028,1)+COUNTIF($W$2:W809,W809))-1,""))</f>
        <v/>
      </c>
      <c r="Y809" s="134" t="str">
        <f t="shared" si="373"/>
        <v/>
      </c>
      <c r="Z809" s="134" t="str">
        <f>IF(Y809="","",IFERROR((RANK(Y809,$Y$2:$Y$2028,1)+COUNTIF($Y$2:Y809,Y809))-1,""))</f>
        <v/>
      </c>
      <c r="AA809" s="134" t="str">
        <f t="shared" si="374"/>
        <v/>
      </c>
      <c r="AB809" s="134" t="str">
        <f>IF(AA809="","",IFERROR((RANK(AA809,$AA$2:$AA$2028,1)+COUNTIF($AA$2:AA809,AA809))-1,""))</f>
        <v/>
      </c>
      <c r="AC809" s="134" t="str">
        <f t="shared" si="375"/>
        <v/>
      </c>
      <c r="AD809" s="134" t="str">
        <f>IF(AC809="","",IFERROR((RANK(AC809,$AC$2:$AC$2028,1)+COUNTIF($AC$2:AC809,AC809))-1,""))</f>
        <v/>
      </c>
      <c r="AE809" s="144" t="str">
        <f t="shared" si="367"/>
        <v/>
      </c>
      <c r="AF809" s="144" t="str">
        <f>IF(AE809="","",SUM($AE$2:AE809))</f>
        <v/>
      </c>
    </row>
    <row r="810" spans="14:32" x14ac:dyDescent="0.35">
      <c r="N810" s="134" t="str">
        <f t="shared" si="365"/>
        <v/>
      </c>
      <c r="O810" s="82" t="str">
        <f t="shared" si="368"/>
        <v/>
      </c>
      <c r="P810" s="81" t="str">
        <f t="shared" si="366"/>
        <v/>
      </c>
      <c r="Q810" s="81" t="str">
        <f t="shared" si="369"/>
        <v/>
      </c>
      <c r="R810" s="135" t="str">
        <f t="shared" ca="1" si="370"/>
        <v/>
      </c>
      <c r="S810" s="134" t="str">
        <f t="shared" ca="1" si="371"/>
        <v/>
      </c>
      <c r="T810" s="134" t="str">
        <f ca="1">IF(S810=Dashboard!$D$12,S810,"")</f>
        <v/>
      </c>
      <c r="U810" s="134" t="str">
        <f t="shared" ca="1" si="372"/>
        <v/>
      </c>
      <c r="V810" s="83" t="str">
        <f ca="1">IF(U810="","",IFERROR((RANK(U810,$U$2:$U$2028,1)+COUNTIF($U$2:U810,U810))-1,""))</f>
        <v/>
      </c>
      <c r="W810" s="134" t="str">
        <f t="shared" si="376"/>
        <v/>
      </c>
      <c r="X810" s="134" t="str">
        <f>IF(W810="","",IFERROR((RANK(W810,$W$2:$W$2028,1)+COUNTIF($W$2:W810,W810))-1,""))</f>
        <v/>
      </c>
      <c r="Y810" s="134" t="str">
        <f t="shared" si="373"/>
        <v/>
      </c>
      <c r="Z810" s="134" t="str">
        <f>IF(Y810="","",IFERROR((RANK(Y810,$Y$2:$Y$2028,1)+COUNTIF($Y$2:Y810,Y810))-1,""))</f>
        <v/>
      </c>
      <c r="AA810" s="134" t="str">
        <f t="shared" si="374"/>
        <v/>
      </c>
      <c r="AB810" s="134" t="str">
        <f>IF(AA810="","",IFERROR((RANK(AA810,$AA$2:$AA$2028,1)+COUNTIF($AA$2:AA810,AA810))-1,""))</f>
        <v/>
      </c>
      <c r="AC810" s="134" t="str">
        <f t="shared" si="375"/>
        <v/>
      </c>
      <c r="AD810" s="134" t="str">
        <f>IF(AC810="","",IFERROR((RANK(AC810,$AC$2:$AC$2028,1)+COUNTIF($AC$2:AC810,AC810))-1,""))</f>
        <v/>
      </c>
      <c r="AE810" s="144" t="str">
        <f t="shared" si="367"/>
        <v/>
      </c>
      <c r="AF810" s="144" t="str">
        <f>IF(AE810="","",SUM($AE$2:AE810))</f>
        <v/>
      </c>
    </row>
    <row r="811" spans="14:32" x14ac:dyDescent="0.35">
      <c r="N811" s="134" t="str">
        <f t="shared" si="365"/>
        <v/>
      </c>
      <c r="O811" s="82" t="str">
        <f t="shared" si="368"/>
        <v/>
      </c>
      <c r="P811" s="81" t="str">
        <f t="shared" si="366"/>
        <v/>
      </c>
      <c r="Q811" s="81" t="str">
        <f t="shared" si="369"/>
        <v/>
      </c>
      <c r="R811" s="135" t="str">
        <f t="shared" ca="1" si="370"/>
        <v/>
      </c>
      <c r="S811" s="134" t="str">
        <f t="shared" ca="1" si="371"/>
        <v/>
      </c>
      <c r="T811" s="134" t="str">
        <f ca="1">IF(S811=Dashboard!$D$12,S811,"")</f>
        <v/>
      </c>
      <c r="U811" s="134" t="str">
        <f t="shared" ca="1" si="372"/>
        <v/>
      </c>
      <c r="V811" s="83" t="str">
        <f ca="1">IF(U811="","",IFERROR((RANK(U811,$U$2:$U$2028,1)+COUNTIF($U$2:U811,U811))-1,""))</f>
        <v/>
      </c>
      <c r="W811" s="134" t="str">
        <f t="shared" si="376"/>
        <v/>
      </c>
      <c r="X811" s="134" t="str">
        <f>IF(W811="","",IFERROR((RANK(W811,$W$2:$W$2028,1)+COUNTIF($W$2:W811,W811))-1,""))</f>
        <v/>
      </c>
      <c r="Y811" s="134" t="str">
        <f t="shared" si="373"/>
        <v/>
      </c>
      <c r="Z811" s="134" t="str">
        <f>IF(Y811="","",IFERROR((RANK(Y811,$Y$2:$Y$2028,1)+COUNTIF($Y$2:Y811,Y811))-1,""))</f>
        <v/>
      </c>
      <c r="AA811" s="134" t="str">
        <f t="shared" si="374"/>
        <v/>
      </c>
      <c r="AB811" s="134" t="str">
        <f>IF(AA811="","",IFERROR((RANK(AA811,$AA$2:$AA$2028,1)+COUNTIF($AA$2:AA811,AA811))-1,""))</f>
        <v/>
      </c>
      <c r="AC811" s="134" t="str">
        <f t="shared" si="375"/>
        <v/>
      </c>
      <c r="AD811" s="134" t="str">
        <f>IF(AC811="","",IFERROR((RANK(AC811,$AC$2:$AC$2028,1)+COUNTIF($AC$2:AC811,AC811))-1,""))</f>
        <v/>
      </c>
      <c r="AE811" s="144" t="str">
        <f t="shared" si="367"/>
        <v/>
      </c>
      <c r="AF811" s="144" t="str">
        <f>IF(AE811="","",SUM($AE$2:AE811))</f>
        <v/>
      </c>
    </row>
    <row r="812" spans="14:32" x14ac:dyDescent="0.35">
      <c r="N812" s="134" t="str">
        <f t="shared" si="365"/>
        <v/>
      </c>
      <c r="O812" s="82" t="str">
        <f t="shared" si="368"/>
        <v/>
      </c>
      <c r="P812" s="81" t="str">
        <f t="shared" si="366"/>
        <v/>
      </c>
      <c r="Q812" s="81" t="str">
        <f t="shared" si="369"/>
        <v/>
      </c>
      <c r="R812" s="135" t="str">
        <f t="shared" ca="1" si="370"/>
        <v/>
      </c>
      <c r="S812" s="134" t="str">
        <f t="shared" ca="1" si="371"/>
        <v/>
      </c>
      <c r="T812" s="134" t="str">
        <f ca="1">IF(S812=Dashboard!$D$12,S812,"")</f>
        <v/>
      </c>
      <c r="U812" s="134" t="str">
        <f t="shared" ca="1" si="372"/>
        <v/>
      </c>
      <c r="V812" s="83" t="str">
        <f ca="1">IF(U812="","",IFERROR((RANK(U812,$U$2:$U$2028,1)+COUNTIF($U$2:U812,U812))-1,""))</f>
        <v/>
      </c>
      <c r="W812" s="134" t="str">
        <f t="shared" si="376"/>
        <v/>
      </c>
      <c r="X812" s="134" t="str">
        <f>IF(W812="","",IFERROR((RANK(W812,$W$2:$W$2028,1)+COUNTIF($W$2:W812,W812))-1,""))</f>
        <v/>
      </c>
      <c r="Y812" s="134" t="str">
        <f t="shared" si="373"/>
        <v/>
      </c>
      <c r="Z812" s="134" t="str">
        <f>IF(Y812="","",IFERROR((RANK(Y812,$Y$2:$Y$2028,1)+COUNTIF($Y$2:Y812,Y812))-1,""))</f>
        <v/>
      </c>
      <c r="AA812" s="134" t="str">
        <f t="shared" si="374"/>
        <v/>
      </c>
      <c r="AB812" s="134" t="str">
        <f>IF(AA812="","",IFERROR((RANK(AA812,$AA$2:$AA$2028,1)+COUNTIF($AA$2:AA812,AA812))-1,""))</f>
        <v/>
      </c>
      <c r="AC812" s="134" t="str">
        <f t="shared" si="375"/>
        <v/>
      </c>
      <c r="AD812" s="134" t="str">
        <f>IF(AC812="","",IFERROR((RANK(AC812,$AC$2:$AC$2028,1)+COUNTIF($AC$2:AC812,AC812))-1,""))</f>
        <v/>
      </c>
      <c r="AE812" s="144" t="str">
        <f t="shared" si="367"/>
        <v/>
      </c>
      <c r="AF812" s="144" t="str">
        <f>IF(AE812="","",SUM($AE$2:AE812))</f>
        <v/>
      </c>
    </row>
    <row r="813" spans="14:32" x14ac:dyDescent="0.35">
      <c r="N813" s="134" t="str">
        <f t="shared" si="365"/>
        <v/>
      </c>
      <c r="O813" s="82" t="str">
        <f t="shared" si="368"/>
        <v/>
      </c>
      <c r="P813" s="81" t="str">
        <f t="shared" si="366"/>
        <v/>
      </c>
      <c r="Q813" s="81" t="str">
        <f t="shared" si="369"/>
        <v/>
      </c>
      <c r="R813" s="135" t="str">
        <f t="shared" ca="1" si="370"/>
        <v/>
      </c>
      <c r="S813" s="134" t="str">
        <f t="shared" ca="1" si="371"/>
        <v/>
      </c>
      <c r="T813" s="134" t="str">
        <f ca="1">IF(S813=Dashboard!$D$12,S813,"")</f>
        <v/>
      </c>
      <c r="U813" s="134" t="str">
        <f t="shared" ca="1" si="372"/>
        <v/>
      </c>
      <c r="V813" s="83" t="str">
        <f ca="1">IF(U813="","",IFERROR((RANK(U813,$U$2:$U$2028,1)+COUNTIF($U$2:U813,U813))-1,""))</f>
        <v/>
      </c>
      <c r="W813" s="134" t="str">
        <f t="shared" si="376"/>
        <v/>
      </c>
      <c r="X813" s="134" t="str">
        <f>IF(W813="","",IFERROR((RANK(W813,$W$2:$W$2028,1)+COUNTIF($W$2:W813,W813))-1,""))</f>
        <v/>
      </c>
      <c r="Y813" s="134" t="str">
        <f t="shared" si="373"/>
        <v/>
      </c>
      <c r="Z813" s="134" t="str">
        <f>IF(Y813="","",IFERROR((RANK(Y813,$Y$2:$Y$2028,1)+COUNTIF($Y$2:Y813,Y813))-1,""))</f>
        <v/>
      </c>
      <c r="AA813" s="134" t="str">
        <f t="shared" si="374"/>
        <v/>
      </c>
      <c r="AB813" s="134" t="str">
        <f>IF(AA813="","",IFERROR((RANK(AA813,$AA$2:$AA$2028,1)+COUNTIF($AA$2:AA813,AA813))-1,""))</f>
        <v/>
      </c>
      <c r="AC813" s="134" t="str">
        <f t="shared" si="375"/>
        <v/>
      </c>
      <c r="AD813" s="134" t="str">
        <f>IF(AC813="","",IFERROR((RANK(AC813,$AC$2:$AC$2028,1)+COUNTIF($AC$2:AC813,AC813))-1,""))</f>
        <v/>
      </c>
      <c r="AE813" s="144" t="str">
        <f t="shared" si="367"/>
        <v/>
      </c>
      <c r="AF813" s="144" t="str">
        <f>IF(AE813="","",SUM($AE$2:AE813))</f>
        <v/>
      </c>
    </row>
    <row r="814" spans="14:32" x14ac:dyDescent="0.35">
      <c r="N814" s="134" t="str">
        <f t="shared" si="365"/>
        <v/>
      </c>
      <c r="O814" s="82" t="str">
        <f t="shared" si="368"/>
        <v/>
      </c>
      <c r="P814" s="81" t="str">
        <f t="shared" si="366"/>
        <v/>
      </c>
      <c r="Q814" s="81" t="str">
        <f t="shared" si="369"/>
        <v/>
      </c>
      <c r="R814" s="135" t="str">
        <f t="shared" ca="1" si="370"/>
        <v/>
      </c>
      <c r="S814" s="134" t="str">
        <f t="shared" ca="1" si="371"/>
        <v/>
      </c>
      <c r="T814" s="134" t="str">
        <f ca="1">IF(S814=Dashboard!$D$12,S814,"")</f>
        <v/>
      </c>
      <c r="U814" s="134" t="str">
        <f t="shared" ca="1" si="372"/>
        <v/>
      </c>
      <c r="V814" s="83" t="str">
        <f ca="1">IF(U814="","",IFERROR((RANK(U814,$U$2:$U$2028,1)+COUNTIF($U$2:U814,U814))-1,""))</f>
        <v/>
      </c>
      <c r="W814" s="134" t="str">
        <f t="shared" si="376"/>
        <v/>
      </c>
      <c r="X814" s="134" t="str">
        <f>IF(W814="","",IFERROR((RANK(W814,$W$2:$W$2028,1)+COUNTIF($W$2:W814,W814))-1,""))</f>
        <v/>
      </c>
      <c r="Y814" s="134" t="str">
        <f t="shared" si="373"/>
        <v/>
      </c>
      <c r="Z814" s="134" t="str">
        <f>IF(Y814="","",IFERROR((RANK(Y814,$Y$2:$Y$2028,1)+COUNTIF($Y$2:Y814,Y814))-1,""))</f>
        <v/>
      </c>
      <c r="AA814" s="134" t="str">
        <f t="shared" si="374"/>
        <v/>
      </c>
      <c r="AB814" s="134" t="str">
        <f>IF(AA814="","",IFERROR((RANK(AA814,$AA$2:$AA$2028,1)+COUNTIF($AA$2:AA814,AA814))-1,""))</f>
        <v/>
      </c>
      <c r="AC814" s="134" t="str">
        <f t="shared" si="375"/>
        <v/>
      </c>
      <c r="AD814" s="134" t="str">
        <f>IF(AC814="","",IFERROR((RANK(AC814,$AC$2:$AC$2028,1)+COUNTIF($AC$2:AC814,AC814))-1,""))</f>
        <v/>
      </c>
      <c r="AE814" s="144" t="str">
        <f t="shared" si="367"/>
        <v/>
      </c>
      <c r="AF814" s="144" t="str">
        <f>IF(AE814="","",SUM($AE$2:AE814))</f>
        <v/>
      </c>
    </row>
    <row r="815" spans="14:32" x14ac:dyDescent="0.35">
      <c r="N815" s="134" t="str">
        <f t="shared" si="365"/>
        <v/>
      </c>
      <c r="O815" s="82" t="str">
        <f t="shared" si="368"/>
        <v/>
      </c>
      <c r="P815" s="81" t="str">
        <f t="shared" si="366"/>
        <v/>
      </c>
      <c r="Q815" s="81" t="str">
        <f t="shared" si="369"/>
        <v/>
      </c>
      <c r="R815" s="135" t="str">
        <f t="shared" ca="1" si="370"/>
        <v/>
      </c>
      <c r="S815" s="134" t="str">
        <f t="shared" ca="1" si="371"/>
        <v/>
      </c>
      <c r="T815" s="134" t="str">
        <f ca="1">IF(S815=Dashboard!$D$12,S815,"")</f>
        <v/>
      </c>
      <c r="U815" s="134" t="str">
        <f t="shared" ca="1" si="372"/>
        <v/>
      </c>
      <c r="V815" s="83" t="str">
        <f ca="1">IF(U815="","",IFERROR((RANK(U815,$U$2:$U$2028,1)+COUNTIF($U$2:U815,U815))-1,""))</f>
        <v/>
      </c>
      <c r="W815" s="134" t="str">
        <f t="shared" si="376"/>
        <v/>
      </c>
      <c r="X815" s="134" t="str">
        <f>IF(W815="","",IFERROR((RANK(W815,$W$2:$W$2028,1)+COUNTIF($W$2:W815,W815))-1,""))</f>
        <v/>
      </c>
      <c r="Y815" s="134" t="str">
        <f t="shared" si="373"/>
        <v/>
      </c>
      <c r="Z815" s="134" t="str">
        <f>IF(Y815="","",IFERROR((RANK(Y815,$Y$2:$Y$2028,1)+COUNTIF($Y$2:Y815,Y815))-1,""))</f>
        <v/>
      </c>
      <c r="AA815" s="134" t="str">
        <f t="shared" si="374"/>
        <v/>
      </c>
      <c r="AB815" s="134" t="str">
        <f>IF(AA815="","",IFERROR((RANK(AA815,$AA$2:$AA$2028,1)+COUNTIF($AA$2:AA815,AA815))-1,""))</f>
        <v/>
      </c>
      <c r="AC815" s="134" t="str">
        <f t="shared" si="375"/>
        <v/>
      </c>
      <c r="AD815" s="134" t="str">
        <f>IF(AC815="","",IFERROR((RANK(AC815,$AC$2:$AC$2028,1)+COUNTIF($AC$2:AC815,AC815))-1,""))</f>
        <v/>
      </c>
      <c r="AE815" s="144" t="str">
        <f t="shared" si="367"/>
        <v/>
      </c>
      <c r="AF815" s="144" t="str">
        <f>IF(AE815="","",SUM($AE$2:AE815))</f>
        <v/>
      </c>
    </row>
    <row r="816" spans="14:32" x14ac:dyDescent="0.35">
      <c r="N816" s="134" t="str">
        <f t="shared" si="365"/>
        <v/>
      </c>
      <c r="O816" s="82" t="str">
        <f t="shared" si="368"/>
        <v/>
      </c>
      <c r="P816" s="81" t="str">
        <f t="shared" si="366"/>
        <v/>
      </c>
      <c r="Q816" s="81" t="str">
        <f t="shared" si="369"/>
        <v/>
      </c>
      <c r="R816" s="135" t="str">
        <f t="shared" ca="1" si="370"/>
        <v/>
      </c>
      <c r="S816" s="134" t="str">
        <f t="shared" ca="1" si="371"/>
        <v/>
      </c>
      <c r="T816" s="134" t="str">
        <f ca="1">IF(S816=Dashboard!$D$12,S816,"")</f>
        <v/>
      </c>
      <c r="U816" s="134" t="str">
        <f t="shared" ca="1" si="372"/>
        <v/>
      </c>
      <c r="V816" s="83" t="str">
        <f ca="1">IF(U816="","",IFERROR((RANK(U816,$U$2:$U$2028,1)+COUNTIF($U$2:U816,U816))-1,""))</f>
        <v/>
      </c>
      <c r="W816" s="134" t="str">
        <f t="shared" si="376"/>
        <v/>
      </c>
      <c r="X816" s="134" t="str">
        <f>IF(W816="","",IFERROR((RANK(W816,$W$2:$W$2028,1)+COUNTIF($W$2:W816,W816))-1,""))</f>
        <v/>
      </c>
      <c r="Y816" s="134" t="str">
        <f t="shared" si="373"/>
        <v/>
      </c>
      <c r="Z816" s="134" t="str">
        <f>IF(Y816="","",IFERROR((RANK(Y816,$Y$2:$Y$2028,1)+COUNTIF($Y$2:Y816,Y816))-1,""))</f>
        <v/>
      </c>
      <c r="AA816" s="134" t="str">
        <f t="shared" si="374"/>
        <v/>
      </c>
      <c r="AB816" s="134" t="str">
        <f>IF(AA816="","",IFERROR((RANK(AA816,$AA$2:$AA$2028,1)+COUNTIF($AA$2:AA816,AA816))-1,""))</f>
        <v/>
      </c>
      <c r="AC816" s="134" t="str">
        <f t="shared" si="375"/>
        <v/>
      </c>
      <c r="AD816" s="134" t="str">
        <f>IF(AC816="","",IFERROR((RANK(AC816,$AC$2:$AC$2028,1)+COUNTIF($AC$2:AC816,AC816))-1,""))</f>
        <v/>
      </c>
      <c r="AE816" s="144" t="str">
        <f t="shared" si="367"/>
        <v/>
      </c>
      <c r="AF816" s="144" t="str">
        <f>IF(AE816="","",SUM($AE$2:AE816))</f>
        <v/>
      </c>
    </row>
    <row r="817" spans="14:32" x14ac:dyDescent="0.35">
      <c r="N817" s="134" t="str">
        <f t="shared" si="365"/>
        <v/>
      </c>
      <c r="O817" s="82" t="str">
        <f t="shared" si="368"/>
        <v/>
      </c>
      <c r="P817" s="81" t="str">
        <f t="shared" si="366"/>
        <v/>
      </c>
      <c r="Q817" s="81" t="str">
        <f t="shared" si="369"/>
        <v/>
      </c>
      <c r="R817" s="135" t="str">
        <f t="shared" ca="1" si="370"/>
        <v/>
      </c>
      <c r="S817" s="134" t="str">
        <f t="shared" ca="1" si="371"/>
        <v/>
      </c>
      <c r="T817" s="134" t="str">
        <f ca="1">IF(S817=Dashboard!$D$12,S817,"")</f>
        <v/>
      </c>
      <c r="U817" s="134" t="str">
        <f t="shared" ca="1" si="372"/>
        <v/>
      </c>
      <c r="V817" s="83" t="str">
        <f ca="1">IF(U817="","",IFERROR((RANK(U817,$U$2:$U$2028,1)+COUNTIF($U$2:U817,U817))-1,""))</f>
        <v/>
      </c>
      <c r="W817" s="134" t="str">
        <f t="shared" si="376"/>
        <v/>
      </c>
      <c r="X817" s="134" t="str">
        <f>IF(W817="","",IFERROR((RANK(W817,$W$2:$W$2028,1)+COUNTIF($W$2:W817,W817))-1,""))</f>
        <v/>
      </c>
      <c r="Y817" s="134" t="str">
        <f t="shared" si="373"/>
        <v/>
      </c>
      <c r="Z817" s="134" t="str">
        <f>IF(Y817="","",IFERROR((RANK(Y817,$Y$2:$Y$2028,1)+COUNTIF($Y$2:Y817,Y817))-1,""))</f>
        <v/>
      </c>
      <c r="AA817" s="134" t="str">
        <f t="shared" si="374"/>
        <v/>
      </c>
      <c r="AB817" s="134" t="str">
        <f>IF(AA817="","",IFERROR((RANK(AA817,$AA$2:$AA$2028,1)+COUNTIF($AA$2:AA817,AA817))-1,""))</f>
        <v/>
      </c>
      <c r="AC817" s="134" t="str">
        <f t="shared" si="375"/>
        <v/>
      </c>
      <c r="AD817" s="134" t="str">
        <f>IF(AC817="","",IFERROR((RANK(AC817,$AC$2:$AC$2028,1)+COUNTIF($AC$2:AC817,AC817))-1,""))</f>
        <v/>
      </c>
      <c r="AE817" s="144" t="str">
        <f t="shared" si="367"/>
        <v/>
      </c>
      <c r="AF817" s="144" t="str">
        <f>IF(AE817="","",SUM($AE$2:AE817))</f>
        <v/>
      </c>
    </row>
    <row r="818" spans="14:32" x14ac:dyDescent="0.35">
      <c r="N818" s="134" t="str">
        <f t="shared" si="365"/>
        <v/>
      </c>
      <c r="O818" s="82" t="str">
        <f t="shared" si="368"/>
        <v/>
      </c>
      <c r="P818" s="81" t="str">
        <f t="shared" si="366"/>
        <v/>
      </c>
      <c r="Q818" s="81" t="str">
        <f t="shared" si="369"/>
        <v/>
      </c>
      <c r="R818" s="135" t="str">
        <f t="shared" ca="1" si="370"/>
        <v/>
      </c>
      <c r="S818" s="134" t="str">
        <f t="shared" ca="1" si="371"/>
        <v/>
      </c>
      <c r="T818" s="134" t="str">
        <f ca="1">IF(S818=Dashboard!$D$12,S818,"")</f>
        <v/>
      </c>
      <c r="U818" s="134" t="str">
        <f t="shared" ca="1" si="372"/>
        <v/>
      </c>
      <c r="V818" s="83" t="str">
        <f ca="1">IF(U818="","",IFERROR((RANK(U818,$U$2:$U$2028,1)+COUNTIF($U$2:U818,U818))-1,""))</f>
        <v/>
      </c>
      <c r="W818" s="134" t="str">
        <f t="shared" si="376"/>
        <v/>
      </c>
      <c r="X818" s="134" t="str">
        <f>IF(W818="","",IFERROR((RANK(W818,$W$2:$W$2028,1)+COUNTIF($W$2:W818,W818))-1,""))</f>
        <v/>
      </c>
      <c r="Y818" s="134" t="str">
        <f t="shared" si="373"/>
        <v/>
      </c>
      <c r="Z818" s="134" t="str">
        <f>IF(Y818="","",IFERROR((RANK(Y818,$Y$2:$Y$2028,1)+COUNTIF($Y$2:Y818,Y818))-1,""))</f>
        <v/>
      </c>
      <c r="AA818" s="134" t="str">
        <f t="shared" si="374"/>
        <v/>
      </c>
      <c r="AB818" s="134" t="str">
        <f>IF(AA818="","",IFERROR((RANK(AA818,$AA$2:$AA$2028,1)+COUNTIF($AA$2:AA818,AA818))-1,""))</f>
        <v/>
      </c>
      <c r="AC818" s="134" t="str">
        <f t="shared" si="375"/>
        <v/>
      </c>
      <c r="AD818" s="134" t="str">
        <f>IF(AC818="","",IFERROR((RANK(AC818,$AC$2:$AC$2028,1)+COUNTIF($AC$2:AC818,AC818))-1,""))</f>
        <v/>
      </c>
      <c r="AE818" s="144" t="str">
        <f t="shared" si="367"/>
        <v/>
      </c>
      <c r="AF818" s="144" t="str">
        <f>IF(AE818="","",SUM($AE$2:AE818))</f>
        <v/>
      </c>
    </row>
    <row r="819" spans="14:32" x14ac:dyDescent="0.35">
      <c r="N819" s="134" t="str">
        <f t="shared" si="365"/>
        <v/>
      </c>
      <c r="O819" s="82" t="str">
        <f t="shared" si="368"/>
        <v/>
      </c>
      <c r="P819" s="81" t="str">
        <f t="shared" si="366"/>
        <v/>
      </c>
      <c r="Q819" s="81" t="str">
        <f t="shared" si="369"/>
        <v/>
      </c>
      <c r="R819" s="135" t="str">
        <f t="shared" ca="1" si="370"/>
        <v/>
      </c>
      <c r="S819" s="134" t="str">
        <f t="shared" ca="1" si="371"/>
        <v/>
      </c>
      <c r="T819" s="134" t="str">
        <f ca="1">IF(S819=Dashboard!$D$12,S819,"")</f>
        <v/>
      </c>
      <c r="U819" s="134" t="str">
        <f t="shared" ca="1" si="372"/>
        <v/>
      </c>
      <c r="V819" s="83" t="str">
        <f ca="1">IF(U819="","",IFERROR((RANK(U819,$U$2:$U$2028,1)+COUNTIF($U$2:U819,U819))-1,""))</f>
        <v/>
      </c>
      <c r="W819" s="134" t="str">
        <f t="shared" si="376"/>
        <v/>
      </c>
      <c r="X819" s="134" t="str">
        <f>IF(W819="","",IFERROR((RANK(W819,$W$2:$W$2028,1)+COUNTIF($W$2:W819,W819))-1,""))</f>
        <v/>
      </c>
      <c r="Y819" s="134" t="str">
        <f t="shared" si="373"/>
        <v/>
      </c>
      <c r="Z819" s="134" t="str">
        <f>IF(Y819="","",IFERROR((RANK(Y819,$Y$2:$Y$2028,1)+COUNTIF($Y$2:Y819,Y819))-1,""))</f>
        <v/>
      </c>
      <c r="AA819" s="134" t="str">
        <f t="shared" si="374"/>
        <v/>
      </c>
      <c r="AB819" s="134" t="str">
        <f>IF(AA819="","",IFERROR((RANK(AA819,$AA$2:$AA$2028,1)+COUNTIF($AA$2:AA819,AA819))-1,""))</f>
        <v/>
      </c>
      <c r="AC819" s="134" t="str">
        <f t="shared" si="375"/>
        <v/>
      </c>
      <c r="AD819" s="134" t="str">
        <f>IF(AC819="","",IFERROR((RANK(AC819,$AC$2:$AC$2028,1)+COUNTIF($AC$2:AC819,AC819))-1,""))</f>
        <v/>
      </c>
      <c r="AE819" s="144" t="str">
        <f t="shared" si="367"/>
        <v/>
      </c>
      <c r="AF819" s="144" t="str">
        <f>IF(AE819="","",SUM($AE$2:AE819))</f>
        <v/>
      </c>
    </row>
    <row r="820" spans="14:32" x14ac:dyDescent="0.35">
      <c r="N820" s="134" t="str">
        <f t="shared" si="365"/>
        <v/>
      </c>
      <c r="O820" s="82" t="str">
        <f t="shared" si="368"/>
        <v/>
      </c>
      <c r="P820" s="81" t="str">
        <f t="shared" si="366"/>
        <v/>
      </c>
      <c r="Q820" s="81" t="str">
        <f t="shared" si="369"/>
        <v/>
      </c>
      <c r="R820" s="135" t="str">
        <f t="shared" ca="1" si="370"/>
        <v/>
      </c>
      <c r="S820" s="134" t="str">
        <f t="shared" ca="1" si="371"/>
        <v/>
      </c>
      <c r="T820" s="134" t="str">
        <f ca="1">IF(S820=Dashboard!$D$12,S820,"")</f>
        <v/>
      </c>
      <c r="U820" s="134" t="str">
        <f t="shared" ca="1" si="372"/>
        <v/>
      </c>
      <c r="V820" s="83" t="str">
        <f ca="1">IF(U820="","",IFERROR((RANK(U820,$U$2:$U$2028,1)+COUNTIF($U$2:U820,U820))-1,""))</f>
        <v/>
      </c>
      <c r="W820" s="134" t="str">
        <f t="shared" si="376"/>
        <v/>
      </c>
      <c r="X820" s="134" t="str">
        <f>IF(W820="","",IFERROR((RANK(W820,$W$2:$W$2028,1)+COUNTIF($W$2:W820,W820))-1,""))</f>
        <v/>
      </c>
      <c r="Y820" s="134" t="str">
        <f t="shared" si="373"/>
        <v/>
      </c>
      <c r="Z820" s="134" t="str">
        <f>IF(Y820="","",IFERROR((RANK(Y820,$Y$2:$Y$2028,1)+COUNTIF($Y$2:Y820,Y820))-1,""))</f>
        <v/>
      </c>
      <c r="AA820" s="134" t="str">
        <f t="shared" si="374"/>
        <v/>
      </c>
      <c r="AB820" s="134" t="str">
        <f>IF(AA820="","",IFERROR((RANK(AA820,$AA$2:$AA$2028,1)+COUNTIF($AA$2:AA820,AA820))-1,""))</f>
        <v/>
      </c>
      <c r="AC820" s="134" t="str">
        <f t="shared" si="375"/>
        <v/>
      </c>
      <c r="AD820" s="134" t="str">
        <f>IF(AC820="","",IFERROR((RANK(AC820,$AC$2:$AC$2028,1)+COUNTIF($AC$2:AC820,AC820))-1,""))</f>
        <v/>
      </c>
      <c r="AE820" s="144" t="str">
        <f t="shared" si="367"/>
        <v/>
      </c>
      <c r="AF820" s="144" t="str">
        <f>IF(AE820="","",SUM($AE$2:AE820))</f>
        <v/>
      </c>
    </row>
    <row r="821" spans="14:32" x14ac:dyDescent="0.35">
      <c r="N821" s="134" t="str">
        <f t="shared" si="365"/>
        <v/>
      </c>
      <c r="O821" s="82" t="str">
        <f t="shared" si="368"/>
        <v/>
      </c>
      <c r="P821" s="81" t="str">
        <f t="shared" si="366"/>
        <v/>
      </c>
      <c r="Q821" s="81" t="str">
        <f t="shared" si="369"/>
        <v/>
      </c>
      <c r="R821" s="135" t="str">
        <f t="shared" ca="1" si="370"/>
        <v/>
      </c>
      <c r="S821" s="134" t="str">
        <f t="shared" ca="1" si="371"/>
        <v/>
      </c>
      <c r="T821" s="134" t="str">
        <f ca="1">IF(S821=Dashboard!$D$12,S821,"")</f>
        <v/>
      </c>
      <c r="U821" s="134" t="str">
        <f t="shared" ca="1" si="372"/>
        <v/>
      </c>
      <c r="V821" s="83" t="str">
        <f ca="1">IF(U821="","",IFERROR((RANK(U821,$U$2:$U$2028,1)+COUNTIF($U$2:U821,U821))-1,""))</f>
        <v/>
      </c>
      <c r="W821" s="134" t="str">
        <f t="shared" si="376"/>
        <v/>
      </c>
      <c r="X821" s="134" t="str">
        <f>IF(W821="","",IFERROR((RANK(W821,$W$2:$W$2028,1)+COUNTIF($W$2:W821,W821))-1,""))</f>
        <v/>
      </c>
      <c r="Y821" s="134" t="str">
        <f t="shared" si="373"/>
        <v/>
      </c>
      <c r="Z821" s="134" t="str">
        <f>IF(Y821="","",IFERROR((RANK(Y821,$Y$2:$Y$2028,1)+COUNTIF($Y$2:Y821,Y821))-1,""))</f>
        <v/>
      </c>
      <c r="AA821" s="134" t="str">
        <f t="shared" si="374"/>
        <v/>
      </c>
      <c r="AB821" s="134" t="str">
        <f>IF(AA821="","",IFERROR((RANK(AA821,$AA$2:$AA$2028,1)+COUNTIF($AA$2:AA821,AA821))-1,""))</f>
        <v/>
      </c>
      <c r="AC821" s="134" t="str">
        <f t="shared" si="375"/>
        <v/>
      </c>
      <c r="AD821" s="134" t="str">
        <f>IF(AC821="","",IFERROR((RANK(AC821,$AC$2:$AC$2028,1)+COUNTIF($AC$2:AC821,AC821))-1,""))</f>
        <v/>
      </c>
      <c r="AE821" s="144" t="str">
        <f t="shared" si="367"/>
        <v/>
      </c>
      <c r="AF821" s="144" t="str">
        <f>IF(AE821="","",SUM($AE$2:AE821))</f>
        <v/>
      </c>
    </row>
    <row r="822" spans="14:32" x14ac:dyDescent="0.35">
      <c r="N822" s="134" t="str">
        <f t="shared" si="365"/>
        <v/>
      </c>
      <c r="O822" s="82" t="str">
        <f t="shared" si="368"/>
        <v/>
      </c>
      <c r="P822" s="81" t="str">
        <f t="shared" si="366"/>
        <v/>
      </c>
      <c r="Q822" s="81" t="str">
        <f t="shared" si="369"/>
        <v/>
      </c>
      <c r="R822" s="135" t="str">
        <f t="shared" ca="1" si="370"/>
        <v/>
      </c>
      <c r="S822" s="134" t="str">
        <f t="shared" ca="1" si="371"/>
        <v/>
      </c>
      <c r="T822" s="134" t="str">
        <f ca="1">IF(S822=Dashboard!$D$12,S822,"")</f>
        <v/>
      </c>
      <c r="U822" s="134" t="str">
        <f t="shared" ca="1" si="372"/>
        <v/>
      </c>
      <c r="V822" s="83" t="str">
        <f ca="1">IF(U822="","",IFERROR((RANK(U822,$U$2:$U$2028,1)+COUNTIF($U$2:U822,U822))-1,""))</f>
        <v/>
      </c>
      <c r="W822" s="134" t="str">
        <f t="shared" si="376"/>
        <v/>
      </c>
      <c r="X822" s="134" t="str">
        <f>IF(W822="","",IFERROR((RANK(W822,$W$2:$W$2028,1)+COUNTIF($W$2:W822,W822))-1,""))</f>
        <v/>
      </c>
      <c r="Y822" s="134" t="str">
        <f t="shared" si="373"/>
        <v/>
      </c>
      <c r="Z822" s="134" t="str">
        <f>IF(Y822="","",IFERROR((RANK(Y822,$Y$2:$Y$2028,1)+COUNTIF($Y$2:Y822,Y822))-1,""))</f>
        <v/>
      </c>
      <c r="AA822" s="134" t="str">
        <f t="shared" si="374"/>
        <v/>
      </c>
      <c r="AB822" s="134" t="str">
        <f>IF(AA822="","",IFERROR((RANK(AA822,$AA$2:$AA$2028,1)+COUNTIF($AA$2:AA822,AA822))-1,""))</f>
        <v/>
      </c>
      <c r="AC822" s="134" t="str">
        <f t="shared" si="375"/>
        <v/>
      </c>
      <c r="AD822" s="134" t="str">
        <f>IF(AC822="","",IFERROR((RANK(AC822,$AC$2:$AC$2028,1)+COUNTIF($AC$2:AC822,AC822))-1,""))</f>
        <v/>
      </c>
      <c r="AE822" s="144" t="str">
        <f t="shared" si="367"/>
        <v/>
      </c>
      <c r="AF822" s="144" t="str">
        <f>IF(AE822="","",SUM($AE$2:AE822))</f>
        <v/>
      </c>
    </row>
    <row r="823" spans="14:32" x14ac:dyDescent="0.35">
      <c r="N823" s="134" t="str">
        <f t="shared" si="365"/>
        <v/>
      </c>
      <c r="O823" s="82" t="str">
        <f t="shared" si="368"/>
        <v/>
      </c>
      <c r="P823" s="81" t="str">
        <f t="shared" si="366"/>
        <v/>
      </c>
      <c r="Q823" s="81" t="str">
        <f t="shared" si="369"/>
        <v/>
      </c>
      <c r="R823" s="135" t="str">
        <f t="shared" ca="1" si="370"/>
        <v/>
      </c>
      <c r="S823" s="134" t="str">
        <f t="shared" ca="1" si="371"/>
        <v/>
      </c>
      <c r="T823" s="134" t="str">
        <f ca="1">IF(S823=Dashboard!$D$12,S823,"")</f>
        <v/>
      </c>
      <c r="U823" s="134" t="str">
        <f t="shared" ca="1" si="372"/>
        <v/>
      </c>
      <c r="V823" s="83" t="str">
        <f ca="1">IF(U823="","",IFERROR((RANK(U823,$U$2:$U$2028,1)+COUNTIF($U$2:U823,U823))-1,""))</f>
        <v/>
      </c>
      <c r="W823" s="134" t="str">
        <f t="shared" si="376"/>
        <v/>
      </c>
      <c r="X823" s="134" t="str">
        <f>IF(W823="","",IFERROR((RANK(W823,$W$2:$W$2028,1)+COUNTIF($W$2:W823,W823))-1,""))</f>
        <v/>
      </c>
      <c r="Y823" s="134" t="str">
        <f t="shared" si="373"/>
        <v/>
      </c>
      <c r="Z823" s="134" t="str">
        <f>IF(Y823="","",IFERROR((RANK(Y823,$Y$2:$Y$2028,1)+COUNTIF($Y$2:Y823,Y823))-1,""))</f>
        <v/>
      </c>
      <c r="AA823" s="134" t="str">
        <f t="shared" si="374"/>
        <v/>
      </c>
      <c r="AB823" s="134" t="str">
        <f>IF(AA823="","",IFERROR((RANK(AA823,$AA$2:$AA$2028,1)+COUNTIF($AA$2:AA823,AA823))-1,""))</f>
        <v/>
      </c>
      <c r="AC823" s="134" t="str">
        <f t="shared" si="375"/>
        <v/>
      </c>
      <c r="AD823" s="134" t="str">
        <f>IF(AC823="","",IFERROR((RANK(AC823,$AC$2:$AC$2028,1)+COUNTIF($AC$2:AC823,AC823))-1,""))</f>
        <v/>
      </c>
      <c r="AE823" s="144" t="str">
        <f t="shared" si="367"/>
        <v/>
      </c>
      <c r="AF823" s="144" t="str">
        <f>IF(AE823="","",SUM($AE$2:AE823))</f>
        <v/>
      </c>
    </row>
    <row r="824" spans="14:32" x14ac:dyDescent="0.35">
      <c r="N824" s="134" t="str">
        <f t="shared" si="365"/>
        <v/>
      </c>
      <c r="O824" s="82" t="str">
        <f t="shared" si="368"/>
        <v/>
      </c>
      <c r="P824" s="81" t="str">
        <f t="shared" si="366"/>
        <v/>
      </c>
      <c r="Q824" s="81" t="str">
        <f t="shared" si="369"/>
        <v/>
      </c>
      <c r="R824" s="135" t="str">
        <f t="shared" ca="1" si="370"/>
        <v/>
      </c>
      <c r="S824" s="134" t="str">
        <f t="shared" ca="1" si="371"/>
        <v/>
      </c>
      <c r="T824" s="134" t="str">
        <f ca="1">IF(S824=Dashboard!$D$12,S824,"")</f>
        <v/>
      </c>
      <c r="U824" s="134" t="str">
        <f t="shared" ca="1" si="372"/>
        <v/>
      </c>
      <c r="V824" s="83" t="str">
        <f ca="1">IF(U824="","",IFERROR((RANK(U824,$U$2:$U$2028,1)+COUNTIF($U$2:U824,U824))-1,""))</f>
        <v/>
      </c>
      <c r="W824" s="134" t="str">
        <f t="shared" si="376"/>
        <v/>
      </c>
      <c r="X824" s="134" t="str">
        <f>IF(W824="","",IFERROR((RANK(W824,$W$2:$W$2028,1)+COUNTIF($W$2:W824,W824))-1,""))</f>
        <v/>
      </c>
      <c r="Y824" s="134" t="str">
        <f t="shared" si="373"/>
        <v/>
      </c>
      <c r="Z824" s="134" t="str">
        <f>IF(Y824="","",IFERROR((RANK(Y824,$Y$2:$Y$2028,1)+COUNTIF($Y$2:Y824,Y824))-1,""))</f>
        <v/>
      </c>
      <c r="AA824" s="134" t="str">
        <f t="shared" si="374"/>
        <v/>
      </c>
      <c r="AB824" s="134" t="str">
        <f>IF(AA824="","",IFERROR((RANK(AA824,$AA$2:$AA$2028,1)+COUNTIF($AA$2:AA824,AA824))-1,""))</f>
        <v/>
      </c>
      <c r="AC824" s="134" t="str">
        <f t="shared" si="375"/>
        <v/>
      </c>
      <c r="AD824" s="134" t="str">
        <f>IF(AC824="","",IFERROR((RANK(AC824,$AC$2:$AC$2028,1)+COUNTIF($AC$2:AC824,AC824))-1,""))</f>
        <v/>
      </c>
      <c r="AE824" s="144" t="str">
        <f t="shared" si="367"/>
        <v/>
      </c>
      <c r="AF824" s="144" t="str">
        <f>IF(AE824="","",SUM($AE$2:AE824))</f>
        <v/>
      </c>
    </row>
    <row r="825" spans="14:32" x14ac:dyDescent="0.35">
      <c r="N825" s="134" t="str">
        <f t="shared" si="365"/>
        <v/>
      </c>
      <c r="O825" s="82" t="str">
        <f t="shared" si="368"/>
        <v/>
      </c>
      <c r="P825" s="81" t="str">
        <f t="shared" si="366"/>
        <v/>
      </c>
      <c r="Q825" s="81" t="str">
        <f t="shared" si="369"/>
        <v/>
      </c>
      <c r="R825" s="135" t="str">
        <f t="shared" ca="1" si="370"/>
        <v/>
      </c>
      <c r="S825" s="134" t="str">
        <f t="shared" ca="1" si="371"/>
        <v/>
      </c>
      <c r="T825" s="134" t="str">
        <f ca="1">IF(S825=Dashboard!$D$12,S825,"")</f>
        <v/>
      </c>
      <c r="U825" s="134" t="str">
        <f t="shared" ca="1" si="372"/>
        <v/>
      </c>
      <c r="V825" s="83" t="str">
        <f ca="1">IF(U825="","",IFERROR((RANK(U825,$U$2:$U$2028,1)+COUNTIF($U$2:U825,U825))-1,""))</f>
        <v/>
      </c>
      <c r="W825" s="134" t="str">
        <f t="shared" si="376"/>
        <v/>
      </c>
      <c r="X825" s="134" t="str">
        <f>IF(W825="","",IFERROR((RANK(W825,$W$2:$W$2028,1)+COUNTIF($W$2:W825,W825))-1,""))</f>
        <v/>
      </c>
      <c r="Y825" s="134" t="str">
        <f t="shared" si="373"/>
        <v/>
      </c>
      <c r="Z825" s="134" t="str">
        <f>IF(Y825="","",IFERROR((RANK(Y825,$Y$2:$Y$2028,1)+COUNTIF($Y$2:Y825,Y825))-1,""))</f>
        <v/>
      </c>
      <c r="AA825" s="134" t="str">
        <f t="shared" si="374"/>
        <v/>
      </c>
      <c r="AB825" s="134" t="str">
        <f>IF(AA825="","",IFERROR((RANK(AA825,$AA$2:$AA$2028,1)+COUNTIF($AA$2:AA825,AA825))-1,""))</f>
        <v/>
      </c>
      <c r="AC825" s="134" t="str">
        <f t="shared" si="375"/>
        <v/>
      </c>
      <c r="AD825" s="134" t="str">
        <f>IF(AC825="","",IFERROR((RANK(AC825,$AC$2:$AC$2028,1)+COUNTIF($AC$2:AC825,AC825))-1,""))</f>
        <v/>
      </c>
      <c r="AE825" s="144" t="str">
        <f t="shared" si="367"/>
        <v/>
      </c>
      <c r="AF825" s="144" t="str">
        <f>IF(AE825="","",SUM($AE$2:AE825))</f>
        <v/>
      </c>
    </row>
    <row r="826" spans="14:32" x14ac:dyDescent="0.35">
      <c r="N826" s="134" t="str">
        <f t="shared" si="365"/>
        <v/>
      </c>
      <c r="O826" s="82" t="str">
        <f t="shared" si="368"/>
        <v/>
      </c>
      <c r="P826" s="81" t="str">
        <f t="shared" si="366"/>
        <v/>
      </c>
      <c r="Q826" s="81" t="str">
        <f t="shared" si="369"/>
        <v/>
      </c>
      <c r="R826" s="135" t="str">
        <f t="shared" ca="1" si="370"/>
        <v/>
      </c>
      <c r="S826" s="134" t="str">
        <f t="shared" ca="1" si="371"/>
        <v/>
      </c>
      <c r="T826" s="134" t="str">
        <f ca="1">IF(S826=Dashboard!$D$12,S826,"")</f>
        <v/>
      </c>
      <c r="U826" s="134" t="str">
        <f t="shared" ca="1" si="372"/>
        <v/>
      </c>
      <c r="V826" s="83" t="str">
        <f ca="1">IF(U826="","",IFERROR((RANK(U826,$U$2:$U$2028,1)+COUNTIF($U$2:U826,U826))-1,""))</f>
        <v/>
      </c>
      <c r="W826" s="134" t="str">
        <f t="shared" si="376"/>
        <v/>
      </c>
      <c r="X826" s="134" t="str">
        <f>IF(W826="","",IFERROR((RANK(W826,$W$2:$W$2028,1)+COUNTIF($W$2:W826,W826))-1,""))</f>
        <v/>
      </c>
      <c r="Y826" s="134" t="str">
        <f t="shared" si="373"/>
        <v/>
      </c>
      <c r="Z826" s="134" t="str">
        <f>IF(Y826="","",IFERROR((RANK(Y826,$Y$2:$Y$2028,1)+COUNTIF($Y$2:Y826,Y826))-1,""))</f>
        <v/>
      </c>
      <c r="AA826" s="134" t="str">
        <f t="shared" si="374"/>
        <v/>
      </c>
      <c r="AB826" s="134" t="str">
        <f>IF(AA826="","",IFERROR((RANK(AA826,$AA$2:$AA$2028,1)+COUNTIF($AA$2:AA826,AA826))-1,""))</f>
        <v/>
      </c>
      <c r="AC826" s="134" t="str">
        <f t="shared" si="375"/>
        <v/>
      </c>
      <c r="AD826" s="134" t="str">
        <f>IF(AC826="","",IFERROR((RANK(AC826,$AC$2:$AC$2028,1)+COUNTIF($AC$2:AC826,AC826))-1,""))</f>
        <v/>
      </c>
      <c r="AE826" s="144" t="str">
        <f t="shared" si="367"/>
        <v/>
      </c>
      <c r="AF826" s="144" t="str">
        <f>IF(AE826="","",SUM($AE$2:AE826))</f>
        <v/>
      </c>
    </row>
    <row r="827" spans="14:32" x14ac:dyDescent="0.35">
      <c r="N827" s="134" t="str">
        <f t="shared" si="365"/>
        <v/>
      </c>
      <c r="O827" s="82" t="str">
        <f t="shared" si="368"/>
        <v/>
      </c>
      <c r="P827" s="81" t="str">
        <f t="shared" si="366"/>
        <v/>
      </c>
      <c r="Q827" s="81" t="str">
        <f t="shared" si="369"/>
        <v/>
      </c>
      <c r="R827" s="135" t="str">
        <f t="shared" ca="1" si="370"/>
        <v/>
      </c>
      <c r="S827" s="134" t="str">
        <f t="shared" ca="1" si="371"/>
        <v/>
      </c>
      <c r="T827" s="134" t="str">
        <f ca="1">IF(S827=Dashboard!$D$12,S827,"")</f>
        <v/>
      </c>
      <c r="U827" s="134" t="str">
        <f t="shared" ca="1" si="372"/>
        <v/>
      </c>
      <c r="V827" s="83" t="str">
        <f ca="1">IF(U827="","",IFERROR((RANK(U827,$U$2:$U$2028,1)+COUNTIF($U$2:U827,U827))-1,""))</f>
        <v/>
      </c>
      <c r="W827" s="134" t="str">
        <f t="shared" si="376"/>
        <v/>
      </c>
      <c r="X827" s="134" t="str">
        <f>IF(W827="","",IFERROR((RANK(W827,$W$2:$W$2028,1)+COUNTIF($W$2:W827,W827))-1,""))</f>
        <v/>
      </c>
      <c r="Y827" s="134" t="str">
        <f t="shared" si="373"/>
        <v/>
      </c>
      <c r="Z827" s="134" t="str">
        <f>IF(Y827="","",IFERROR((RANK(Y827,$Y$2:$Y$2028,1)+COUNTIF($Y$2:Y827,Y827))-1,""))</f>
        <v/>
      </c>
      <c r="AA827" s="134" t="str">
        <f t="shared" si="374"/>
        <v/>
      </c>
      <c r="AB827" s="134" t="str">
        <f>IF(AA827="","",IFERROR((RANK(AA827,$AA$2:$AA$2028,1)+COUNTIF($AA$2:AA827,AA827))-1,""))</f>
        <v/>
      </c>
      <c r="AC827" s="134" t="str">
        <f t="shared" si="375"/>
        <v/>
      </c>
      <c r="AD827" s="134" t="str">
        <f>IF(AC827="","",IFERROR((RANK(AC827,$AC$2:$AC$2028,1)+COUNTIF($AC$2:AC827,AC827))-1,""))</f>
        <v/>
      </c>
      <c r="AE827" s="144" t="str">
        <f t="shared" si="367"/>
        <v/>
      </c>
      <c r="AF827" s="144" t="str">
        <f>IF(AE827="","",SUM($AE$2:AE827))</f>
        <v/>
      </c>
    </row>
    <row r="828" spans="14:32" x14ac:dyDescent="0.35">
      <c r="N828" s="134" t="str">
        <f t="shared" si="365"/>
        <v/>
      </c>
      <c r="O828" s="82" t="str">
        <f t="shared" si="368"/>
        <v/>
      </c>
      <c r="P828" s="81" t="str">
        <f t="shared" si="366"/>
        <v/>
      </c>
      <c r="Q828" s="81" t="str">
        <f t="shared" si="369"/>
        <v/>
      </c>
      <c r="R828" s="135" t="str">
        <f t="shared" ca="1" si="370"/>
        <v/>
      </c>
      <c r="S828" s="134" t="str">
        <f t="shared" ca="1" si="371"/>
        <v/>
      </c>
      <c r="T828" s="134" t="str">
        <f ca="1">IF(S828=Dashboard!$D$12,S828,"")</f>
        <v/>
      </c>
      <c r="U828" s="134" t="str">
        <f t="shared" ca="1" si="372"/>
        <v/>
      </c>
      <c r="V828" s="83" t="str">
        <f ca="1">IF(U828="","",IFERROR((RANK(U828,$U$2:$U$2028,1)+COUNTIF($U$2:U828,U828))-1,""))</f>
        <v/>
      </c>
      <c r="W828" s="134" t="str">
        <f t="shared" si="376"/>
        <v/>
      </c>
      <c r="X828" s="134" t="str">
        <f>IF(W828="","",IFERROR((RANK(W828,$W$2:$W$2028,1)+COUNTIF($W$2:W828,W828))-1,""))</f>
        <v/>
      </c>
      <c r="Y828" s="134" t="str">
        <f t="shared" si="373"/>
        <v/>
      </c>
      <c r="Z828" s="134" t="str">
        <f>IF(Y828="","",IFERROR((RANK(Y828,$Y$2:$Y$2028,1)+COUNTIF($Y$2:Y828,Y828))-1,""))</f>
        <v/>
      </c>
      <c r="AA828" s="134" t="str">
        <f t="shared" si="374"/>
        <v/>
      </c>
      <c r="AB828" s="134" t="str">
        <f>IF(AA828="","",IFERROR((RANK(AA828,$AA$2:$AA$2028,1)+COUNTIF($AA$2:AA828,AA828))-1,""))</f>
        <v/>
      </c>
      <c r="AC828" s="134" t="str">
        <f t="shared" si="375"/>
        <v/>
      </c>
      <c r="AD828" s="134" t="str">
        <f>IF(AC828="","",IFERROR((RANK(AC828,$AC$2:$AC$2028,1)+COUNTIF($AC$2:AC828,AC828))-1,""))</f>
        <v/>
      </c>
      <c r="AE828" s="144" t="str">
        <f t="shared" si="367"/>
        <v/>
      </c>
      <c r="AF828" s="144" t="str">
        <f>IF(AE828="","",SUM($AE$2:AE828))</f>
        <v/>
      </c>
    </row>
    <row r="829" spans="14:32" x14ac:dyDescent="0.35">
      <c r="N829" s="134" t="str">
        <f t="shared" si="365"/>
        <v/>
      </c>
      <c r="O829" s="82" t="str">
        <f t="shared" si="368"/>
        <v/>
      </c>
      <c r="P829" s="81" t="str">
        <f t="shared" si="366"/>
        <v/>
      </c>
      <c r="Q829" s="81" t="str">
        <f t="shared" si="369"/>
        <v/>
      </c>
      <c r="R829" s="135" t="str">
        <f t="shared" ca="1" si="370"/>
        <v/>
      </c>
      <c r="S829" s="134" t="str">
        <f t="shared" ca="1" si="371"/>
        <v/>
      </c>
      <c r="T829" s="134" t="str">
        <f ca="1">IF(S829=Dashboard!$D$12,S829,"")</f>
        <v/>
      </c>
      <c r="U829" s="134" t="str">
        <f t="shared" ca="1" si="372"/>
        <v/>
      </c>
      <c r="V829" s="83" t="str">
        <f ca="1">IF(U829="","",IFERROR((RANK(U829,$U$2:$U$2028,1)+COUNTIF($U$2:U829,U829))-1,""))</f>
        <v/>
      </c>
      <c r="W829" s="134" t="str">
        <f t="shared" si="376"/>
        <v/>
      </c>
      <c r="X829" s="134" t="str">
        <f>IF(W829="","",IFERROR((RANK(W829,$W$2:$W$2028,1)+COUNTIF($W$2:W829,W829))-1,""))</f>
        <v/>
      </c>
      <c r="Y829" s="134" t="str">
        <f t="shared" si="373"/>
        <v/>
      </c>
      <c r="Z829" s="134" t="str">
        <f>IF(Y829="","",IFERROR((RANK(Y829,$Y$2:$Y$2028,1)+COUNTIF($Y$2:Y829,Y829))-1,""))</f>
        <v/>
      </c>
      <c r="AA829" s="134" t="str">
        <f t="shared" si="374"/>
        <v/>
      </c>
      <c r="AB829" s="134" t="str">
        <f>IF(AA829="","",IFERROR((RANK(AA829,$AA$2:$AA$2028,1)+COUNTIF($AA$2:AA829,AA829))-1,""))</f>
        <v/>
      </c>
      <c r="AC829" s="134" t="str">
        <f t="shared" si="375"/>
        <v/>
      </c>
      <c r="AD829" s="134" t="str">
        <f>IF(AC829="","",IFERROR((RANK(AC829,$AC$2:$AC$2028,1)+COUNTIF($AC$2:AC829,AC829))-1,""))</f>
        <v/>
      </c>
      <c r="AE829" s="144" t="str">
        <f t="shared" si="367"/>
        <v/>
      </c>
      <c r="AF829" s="144" t="str">
        <f>IF(AE829="","",SUM($AE$2:AE829))</f>
        <v/>
      </c>
    </row>
    <row r="830" spans="14:32" x14ac:dyDescent="0.35">
      <c r="N830" s="134" t="str">
        <f t="shared" si="365"/>
        <v/>
      </c>
      <c r="O830" s="82" t="str">
        <f t="shared" si="368"/>
        <v/>
      </c>
      <c r="P830" s="81" t="str">
        <f t="shared" si="366"/>
        <v/>
      </c>
      <c r="Q830" s="81" t="str">
        <f t="shared" si="369"/>
        <v/>
      </c>
      <c r="R830" s="135" t="str">
        <f t="shared" ca="1" si="370"/>
        <v/>
      </c>
      <c r="S830" s="134" t="str">
        <f t="shared" ca="1" si="371"/>
        <v/>
      </c>
      <c r="T830" s="134" t="str">
        <f ca="1">IF(S830=Dashboard!$D$12,S830,"")</f>
        <v/>
      </c>
      <c r="U830" s="134" t="str">
        <f t="shared" ca="1" si="372"/>
        <v/>
      </c>
      <c r="V830" s="83" t="str">
        <f ca="1">IF(U830="","",IFERROR((RANK(U830,$U$2:$U$2028,1)+COUNTIF($U$2:U830,U830))-1,""))</f>
        <v/>
      </c>
      <c r="W830" s="134" t="str">
        <f t="shared" si="376"/>
        <v/>
      </c>
      <c r="X830" s="134" t="str">
        <f>IF(W830="","",IFERROR((RANK(W830,$W$2:$W$2028,1)+COUNTIF($W$2:W830,W830))-1,""))</f>
        <v/>
      </c>
      <c r="Y830" s="134" t="str">
        <f t="shared" si="373"/>
        <v/>
      </c>
      <c r="Z830" s="134" t="str">
        <f>IF(Y830="","",IFERROR((RANK(Y830,$Y$2:$Y$2028,1)+COUNTIF($Y$2:Y830,Y830))-1,""))</f>
        <v/>
      </c>
      <c r="AA830" s="134" t="str">
        <f t="shared" si="374"/>
        <v/>
      </c>
      <c r="AB830" s="134" t="str">
        <f>IF(AA830="","",IFERROR((RANK(AA830,$AA$2:$AA$2028,1)+COUNTIF($AA$2:AA830,AA830))-1,""))</f>
        <v/>
      </c>
      <c r="AC830" s="134" t="str">
        <f t="shared" si="375"/>
        <v/>
      </c>
      <c r="AD830" s="134" t="str">
        <f>IF(AC830="","",IFERROR((RANK(AC830,$AC$2:$AC$2028,1)+COUNTIF($AC$2:AC830,AC830))-1,""))</f>
        <v/>
      </c>
      <c r="AE830" s="144" t="str">
        <f t="shared" si="367"/>
        <v/>
      </c>
      <c r="AF830" s="144" t="str">
        <f>IF(AE830="","",SUM($AE$2:AE830))</f>
        <v/>
      </c>
    </row>
    <row r="831" spans="14:32" x14ac:dyDescent="0.35">
      <c r="N831" s="134" t="str">
        <f t="shared" si="365"/>
        <v/>
      </c>
      <c r="O831" s="82" t="str">
        <f t="shared" si="368"/>
        <v/>
      </c>
      <c r="P831" s="81" t="str">
        <f t="shared" si="366"/>
        <v/>
      </c>
      <c r="Q831" s="81" t="str">
        <f t="shared" si="369"/>
        <v/>
      </c>
      <c r="R831" s="135" t="str">
        <f t="shared" ca="1" si="370"/>
        <v/>
      </c>
      <c r="S831" s="134" t="str">
        <f t="shared" ca="1" si="371"/>
        <v/>
      </c>
      <c r="T831" s="134" t="str">
        <f ca="1">IF(S831=Dashboard!$D$12,S831,"")</f>
        <v/>
      </c>
      <c r="U831" s="134" t="str">
        <f t="shared" ca="1" si="372"/>
        <v/>
      </c>
      <c r="V831" s="83" t="str">
        <f ca="1">IF(U831="","",IFERROR((RANK(U831,$U$2:$U$2028,1)+COUNTIF($U$2:U831,U831))-1,""))</f>
        <v/>
      </c>
      <c r="W831" s="134" t="str">
        <f t="shared" si="376"/>
        <v/>
      </c>
      <c r="X831" s="134" t="str">
        <f>IF(W831="","",IFERROR((RANK(W831,$W$2:$W$2028,1)+COUNTIF($W$2:W831,W831))-1,""))</f>
        <v/>
      </c>
      <c r="Y831" s="134" t="str">
        <f t="shared" si="373"/>
        <v/>
      </c>
      <c r="Z831" s="134" t="str">
        <f>IF(Y831="","",IFERROR((RANK(Y831,$Y$2:$Y$2028,1)+COUNTIF($Y$2:Y831,Y831))-1,""))</f>
        <v/>
      </c>
      <c r="AA831" s="134" t="str">
        <f t="shared" si="374"/>
        <v/>
      </c>
      <c r="AB831" s="134" t="str">
        <f>IF(AA831="","",IFERROR((RANK(AA831,$AA$2:$AA$2028,1)+COUNTIF($AA$2:AA831,AA831))-1,""))</f>
        <v/>
      </c>
      <c r="AC831" s="134" t="str">
        <f t="shared" si="375"/>
        <v/>
      </c>
      <c r="AD831" s="134" t="str">
        <f>IF(AC831="","",IFERROR((RANK(AC831,$AC$2:$AC$2028,1)+COUNTIF($AC$2:AC831,AC831))-1,""))</f>
        <v/>
      </c>
      <c r="AE831" s="144" t="str">
        <f t="shared" si="367"/>
        <v/>
      </c>
      <c r="AF831" s="144" t="str">
        <f>IF(AE831="","",SUM($AE$2:AE831))</f>
        <v/>
      </c>
    </row>
    <row r="832" spans="14:32" x14ac:dyDescent="0.35">
      <c r="N832" s="134" t="str">
        <f t="shared" si="365"/>
        <v/>
      </c>
      <c r="O832" s="82" t="str">
        <f t="shared" si="368"/>
        <v/>
      </c>
      <c r="P832" s="81" t="str">
        <f t="shared" si="366"/>
        <v/>
      </c>
      <c r="Q832" s="81" t="str">
        <f t="shared" si="369"/>
        <v/>
      </c>
      <c r="R832" s="135" t="str">
        <f t="shared" ca="1" si="370"/>
        <v/>
      </c>
      <c r="S832" s="134" t="str">
        <f t="shared" ca="1" si="371"/>
        <v/>
      </c>
      <c r="T832" s="134" t="str">
        <f ca="1">IF(S832=Dashboard!$D$12,S832,"")</f>
        <v/>
      </c>
      <c r="U832" s="134" t="str">
        <f t="shared" ca="1" si="372"/>
        <v/>
      </c>
      <c r="V832" s="83" t="str">
        <f ca="1">IF(U832="","",IFERROR((RANK(U832,$U$2:$U$2028,1)+COUNTIF($U$2:U832,U832))-1,""))</f>
        <v/>
      </c>
      <c r="W832" s="134" t="str">
        <f t="shared" si="376"/>
        <v/>
      </c>
      <c r="X832" s="134" t="str">
        <f>IF(W832="","",IFERROR((RANK(W832,$W$2:$W$2028,1)+COUNTIF($W$2:W832,W832))-1,""))</f>
        <v/>
      </c>
      <c r="Y832" s="134" t="str">
        <f t="shared" si="373"/>
        <v/>
      </c>
      <c r="Z832" s="134" t="str">
        <f>IF(Y832="","",IFERROR((RANK(Y832,$Y$2:$Y$2028,1)+COUNTIF($Y$2:Y832,Y832))-1,""))</f>
        <v/>
      </c>
      <c r="AA832" s="134" t="str">
        <f t="shared" si="374"/>
        <v/>
      </c>
      <c r="AB832" s="134" t="str">
        <f>IF(AA832="","",IFERROR((RANK(AA832,$AA$2:$AA$2028,1)+COUNTIF($AA$2:AA832,AA832))-1,""))</f>
        <v/>
      </c>
      <c r="AC832" s="134" t="str">
        <f t="shared" si="375"/>
        <v/>
      </c>
      <c r="AD832" s="134" t="str">
        <f>IF(AC832="","",IFERROR((RANK(AC832,$AC$2:$AC$2028,1)+COUNTIF($AC$2:AC832,AC832))-1,""))</f>
        <v/>
      </c>
      <c r="AE832" s="144" t="str">
        <f t="shared" si="367"/>
        <v/>
      </c>
      <c r="AF832" s="144" t="str">
        <f>IF(AE832="","",SUM($AE$2:AE832))</f>
        <v/>
      </c>
    </row>
    <row r="833" spans="14:32" x14ac:dyDescent="0.35">
      <c r="N833" s="134" t="str">
        <f t="shared" si="365"/>
        <v/>
      </c>
      <c r="O833" s="82" t="str">
        <f t="shared" si="368"/>
        <v/>
      </c>
      <c r="P833" s="81" t="str">
        <f t="shared" si="366"/>
        <v/>
      </c>
      <c r="Q833" s="81" t="str">
        <f t="shared" si="369"/>
        <v/>
      </c>
      <c r="R833" s="135" t="str">
        <f t="shared" ca="1" si="370"/>
        <v/>
      </c>
      <c r="S833" s="134" t="str">
        <f t="shared" ca="1" si="371"/>
        <v/>
      </c>
      <c r="T833" s="134" t="str">
        <f ca="1">IF(S833=Dashboard!$D$12,S833,"")</f>
        <v/>
      </c>
      <c r="U833" s="134" t="str">
        <f t="shared" ca="1" si="372"/>
        <v/>
      </c>
      <c r="V833" s="83" t="str">
        <f ca="1">IF(U833="","",IFERROR((RANK(U833,$U$2:$U$2028,1)+COUNTIF($U$2:U833,U833))-1,""))</f>
        <v/>
      </c>
      <c r="W833" s="134" t="str">
        <f t="shared" si="376"/>
        <v/>
      </c>
      <c r="X833" s="134" t="str">
        <f>IF(W833="","",IFERROR((RANK(W833,$W$2:$W$2028,1)+COUNTIF($W$2:W833,W833))-1,""))</f>
        <v/>
      </c>
      <c r="Y833" s="134" t="str">
        <f t="shared" si="373"/>
        <v/>
      </c>
      <c r="Z833" s="134" t="str">
        <f>IF(Y833="","",IFERROR((RANK(Y833,$Y$2:$Y$2028,1)+COUNTIF($Y$2:Y833,Y833))-1,""))</f>
        <v/>
      </c>
      <c r="AA833" s="134" t="str">
        <f t="shared" si="374"/>
        <v/>
      </c>
      <c r="AB833" s="134" t="str">
        <f>IF(AA833="","",IFERROR((RANK(AA833,$AA$2:$AA$2028,1)+COUNTIF($AA$2:AA833,AA833))-1,""))</f>
        <v/>
      </c>
      <c r="AC833" s="134" t="str">
        <f t="shared" si="375"/>
        <v/>
      </c>
      <c r="AD833" s="134" t="str">
        <f>IF(AC833="","",IFERROR((RANK(AC833,$AC$2:$AC$2028,1)+COUNTIF($AC$2:AC833,AC833))-1,""))</f>
        <v/>
      </c>
      <c r="AE833" s="144" t="str">
        <f t="shared" si="367"/>
        <v/>
      </c>
      <c r="AF833" s="144" t="str">
        <f>IF(AE833="","",SUM($AE$2:AE833))</f>
        <v/>
      </c>
    </row>
    <row r="834" spans="14:32" x14ac:dyDescent="0.35">
      <c r="N834" s="134" t="str">
        <f t="shared" ref="N834:N897" si="377">IF(A834="","",COUNTIFS(M:M,M834,H:H,"&lt;"&amp;H834)+1)</f>
        <v/>
      </c>
      <c r="O834" s="82" t="str">
        <f t="shared" si="368"/>
        <v/>
      </c>
      <c r="P834" s="81" t="str">
        <f t="shared" ref="P834:P897" si="378">IF(A834="","",COUNTIFS(M:M,M834,H:H,"&gt;"&amp;H834)+1)</f>
        <v/>
      </c>
      <c r="Q834" s="81" t="str">
        <f t="shared" si="369"/>
        <v/>
      </c>
      <c r="R834" s="135" t="str">
        <f t="shared" ca="1" si="370"/>
        <v/>
      </c>
      <c r="S834" s="134" t="str">
        <f t="shared" ca="1" si="371"/>
        <v/>
      </c>
      <c r="T834" s="134" t="str">
        <f ca="1">IF(S834=Dashboard!$D$12,S834,"")</f>
        <v/>
      </c>
      <c r="U834" s="134" t="str">
        <f t="shared" ca="1" si="372"/>
        <v/>
      </c>
      <c r="V834" s="83" t="str">
        <f ca="1">IF(U834="","",IFERROR((RANK(U834,$U$2:$U$2028,1)+COUNTIF($U$2:U834,U834))-1,""))</f>
        <v/>
      </c>
      <c r="W834" s="134" t="str">
        <f t="shared" si="376"/>
        <v/>
      </c>
      <c r="X834" s="134" t="str">
        <f>IF(W834="","",IFERROR((RANK(W834,$W$2:$W$2028,1)+COUNTIF($W$2:W834,W834))-1,""))</f>
        <v/>
      </c>
      <c r="Y834" s="134" t="str">
        <f t="shared" si="373"/>
        <v/>
      </c>
      <c r="Z834" s="134" t="str">
        <f>IF(Y834="","",IFERROR((RANK(Y834,$Y$2:$Y$2028,1)+COUNTIF($Y$2:Y834,Y834))-1,""))</f>
        <v/>
      </c>
      <c r="AA834" s="134" t="str">
        <f t="shared" si="374"/>
        <v/>
      </c>
      <c r="AB834" s="134" t="str">
        <f>IF(AA834="","",IFERROR((RANK(AA834,$AA$2:$AA$2028,1)+COUNTIF($AA$2:AA834,AA834))-1,""))</f>
        <v/>
      </c>
      <c r="AC834" s="134" t="str">
        <f t="shared" si="375"/>
        <v/>
      </c>
      <c r="AD834" s="134" t="str">
        <f>IF(AC834="","",IFERROR((RANK(AC834,$AC$2:$AC$2028,1)+COUNTIF($AC$2:AC834,AC834))-1,""))</f>
        <v/>
      </c>
      <c r="AE834" s="144" t="str">
        <f t="shared" si="367"/>
        <v/>
      </c>
      <c r="AF834" s="144" t="str">
        <f>IF(AE834="","",SUM($AE$2:AE834))</f>
        <v/>
      </c>
    </row>
    <row r="835" spans="14:32" x14ac:dyDescent="0.35">
      <c r="N835" s="134" t="str">
        <f t="shared" si="377"/>
        <v/>
      </c>
      <c r="O835" s="82" t="str">
        <f t="shared" si="368"/>
        <v/>
      </c>
      <c r="P835" s="81" t="str">
        <f t="shared" si="378"/>
        <v/>
      </c>
      <c r="Q835" s="81" t="str">
        <f t="shared" si="369"/>
        <v/>
      </c>
      <c r="R835" s="135" t="str">
        <f t="shared" ca="1" si="370"/>
        <v/>
      </c>
      <c r="S835" s="134" t="str">
        <f t="shared" ca="1" si="371"/>
        <v/>
      </c>
      <c r="T835" s="134" t="str">
        <f ca="1">IF(S835=Dashboard!$D$12,S835,"")</f>
        <v/>
      </c>
      <c r="U835" s="134" t="str">
        <f t="shared" ca="1" si="372"/>
        <v/>
      </c>
      <c r="V835" s="83" t="str">
        <f ca="1">IF(U835="","",IFERROR((RANK(U835,$U$2:$U$2028,1)+COUNTIF($U$2:U835,U835))-1,""))</f>
        <v/>
      </c>
      <c r="W835" s="134" t="str">
        <f t="shared" si="376"/>
        <v/>
      </c>
      <c r="X835" s="134" t="str">
        <f>IF(W835="","",IFERROR((RANK(W835,$W$2:$W$2028,1)+COUNTIF($W$2:W835,W835))-1,""))</f>
        <v/>
      </c>
      <c r="Y835" s="134" t="str">
        <f t="shared" si="373"/>
        <v/>
      </c>
      <c r="Z835" s="134" t="str">
        <f>IF(Y835="","",IFERROR((RANK(Y835,$Y$2:$Y$2028,1)+COUNTIF($Y$2:Y835,Y835))-1,""))</f>
        <v/>
      </c>
      <c r="AA835" s="134" t="str">
        <f t="shared" si="374"/>
        <v/>
      </c>
      <c r="AB835" s="134" t="str">
        <f>IF(AA835="","",IFERROR((RANK(AA835,$AA$2:$AA$2028,1)+COUNTIF($AA$2:AA835,AA835))-1,""))</f>
        <v/>
      </c>
      <c r="AC835" s="134" t="str">
        <f t="shared" si="375"/>
        <v/>
      </c>
      <c r="AD835" s="134" t="str">
        <f>IF(AC835="","",IFERROR((RANK(AC835,$AC$2:$AC$2028,1)+COUNTIF($AC$2:AC835,AC835))-1,""))</f>
        <v/>
      </c>
      <c r="AE835" s="144" t="str">
        <f t="shared" si="367"/>
        <v/>
      </c>
      <c r="AF835" s="144" t="str">
        <f>IF(AE835="","",SUM($AE$2:AE835))</f>
        <v/>
      </c>
    </row>
    <row r="836" spans="14:32" x14ac:dyDescent="0.35">
      <c r="N836" s="134" t="str">
        <f t="shared" si="377"/>
        <v/>
      </c>
      <c r="O836" s="82" t="str">
        <f t="shared" si="368"/>
        <v/>
      </c>
      <c r="P836" s="81" t="str">
        <f t="shared" si="378"/>
        <v/>
      </c>
      <c r="Q836" s="81" t="str">
        <f t="shared" si="369"/>
        <v/>
      </c>
      <c r="R836" s="135" t="str">
        <f t="shared" ca="1" si="370"/>
        <v/>
      </c>
      <c r="S836" s="134" t="str">
        <f t="shared" ca="1" si="371"/>
        <v/>
      </c>
      <c r="T836" s="134" t="str">
        <f ca="1">IF(S836=Dashboard!$D$12,S836,"")</f>
        <v/>
      </c>
      <c r="U836" s="134" t="str">
        <f t="shared" ca="1" si="372"/>
        <v/>
      </c>
      <c r="V836" s="83" t="str">
        <f ca="1">IF(U836="","",IFERROR((RANK(U836,$U$2:$U$2028,1)+COUNTIF($U$2:U836,U836))-1,""))</f>
        <v/>
      </c>
      <c r="W836" s="134" t="str">
        <f t="shared" si="376"/>
        <v/>
      </c>
      <c r="X836" s="134" t="str">
        <f>IF(W836="","",IFERROR((RANK(W836,$W$2:$W$2028,1)+COUNTIF($W$2:W836,W836))-1,""))</f>
        <v/>
      </c>
      <c r="Y836" s="134" t="str">
        <f t="shared" si="373"/>
        <v/>
      </c>
      <c r="Z836" s="134" t="str">
        <f>IF(Y836="","",IFERROR((RANK(Y836,$Y$2:$Y$2028,1)+COUNTIF($Y$2:Y836,Y836))-1,""))</f>
        <v/>
      </c>
      <c r="AA836" s="134" t="str">
        <f t="shared" si="374"/>
        <v/>
      </c>
      <c r="AB836" s="134" t="str">
        <f>IF(AA836="","",IFERROR((RANK(AA836,$AA$2:$AA$2028,1)+COUNTIF($AA$2:AA836,AA836))-1,""))</f>
        <v/>
      </c>
      <c r="AC836" s="134" t="str">
        <f t="shared" si="375"/>
        <v/>
      </c>
      <c r="AD836" s="134" t="str">
        <f>IF(AC836="","",IFERROR((RANK(AC836,$AC$2:$AC$2028,1)+COUNTIF($AC$2:AC836,AC836))-1,""))</f>
        <v/>
      </c>
      <c r="AE836" s="144" t="str">
        <f t="shared" si="367"/>
        <v/>
      </c>
      <c r="AF836" s="144" t="str">
        <f>IF(AE836="","",SUM($AE$2:AE836))</f>
        <v/>
      </c>
    </row>
    <row r="837" spans="14:32" x14ac:dyDescent="0.35">
      <c r="N837" s="134" t="str">
        <f t="shared" si="377"/>
        <v/>
      </c>
      <c r="O837" s="82" t="str">
        <f t="shared" si="368"/>
        <v/>
      </c>
      <c r="P837" s="81" t="str">
        <f t="shared" si="378"/>
        <v/>
      </c>
      <c r="Q837" s="81" t="str">
        <f t="shared" si="369"/>
        <v/>
      </c>
      <c r="R837" s="135" t="str">
        <f t="shared" ca="1" si="370"/>
        <v/>
      </c>
      <c r="S837" s="134" t="str">
        <f t="shared" ca="1" si="371"/>
        <v/>
      </c>
      <c r="T837" s="134" t="str">
        <f ca="1">IF(S837=Dashboard!$D$12,S837,"")</f>
        <v/>
      </c>
      <c r="U837" s="134" t="str">
        <f t="shared" ca="1" si="372"/>
        <v/>
      </c>
      <c r="V837" s="83" t="str">
        <f ca="1">IF(U837="","",IFERROR((RANK(U837,$U$2:$U$2028,1)+COUNTIF($U$2:U837,U837))-1,""))</f>
        <v/>
      </c>
      <c r="W837" s="134" t="str">
        <f t="shared" si="376"/>
        <v/>
      </c>
      <c r="X837" s="134" t="str">
        <f>IF(W837="","",IFERROR((RANK(W837,$W$2:$W$2028,1)+COUNTIF($W$2:W837,W837))-1,""))</f>
        <v/>
      </c>
      <c r="Y837" s="134" t="str">
        <f t="shared" si="373"/>
        <v/>
      </c>
      <c r="Z837" s="134" t="str">
        <f>IF(Y837="","",IFERROR((RANK(Y837,$Y$2:$Y$2028,1)+COUNTIF($Y$2:Y837,Y837))-1,""))</f>
        <v/>
      </c>
      <c r="AA837" s="134" t="str">
        <f t="shared" si="374"/>
        <v/>
      </c>
      <c r="AB837" s="134" t="str">
        <f>IF(AA837="","",IFERROR((RANK(AA837,$AA$2:$AA$2028,1)+COUNTIF($AA$2:AA837,AA837))-1,""))</f>
        <v/>
      </c>
      <c r="AC837" s="134" t="str">
        <f t="shared" si="375"/>
        <v/>
      </c>
      <c r="AD837" s="134" t="str">
        <f>IF(AC837="","",IFERROR((RANK(AC837,$AC$2:$AC$2028,1)+COUNTIF($AC$2:AC837,AC837))-1,""))</f>
        <v/>
      </c>
      <c r="AE837" s="144" t="str">
        <f t="shared" si="367"/>
        <v/>
      </c>
      <c r="AF837" s="144" t="str">
        <f>IF(AE837="","",SUM($AE$2:AE837))</f>
        <v/>
      </c>
    </row>
    <row r="838" spans="14:32" x14ac:dyDescent="0.35">
      <c r="N838" s="134" t="str">
        <f t="shared" si="377"/>
        <v/>
      </c>
      <c r="O838" s="82" t="str">
        <f t="shared" si="368"/>
        <v/>
      </c>
      <c r="P838" s="81" t="str">
        <f t="shared" si="378"/>
        <v/>
      </c>
      <c r="Q838" s="81" t="str">
        <f t="shared" si="369"/>
        <v/>
      </c>
      <c r="R838" s="135" t="str">
        <f t="shared" ca="1" si="370"/>
        <v/>
      </c>
      <c r="S838" s="134" t="str">
        <f t="shared" ca="1" si="371"/>
        <v/>
      </c>
      <c r="T838" s="134" t="str">
        <f ca="1">IF(S838=Dashboard!$D$12,S838,"")</f>
        <v/>
      </c>
      <c r="U838" s="134" t="str">
        <f t="shared" ca="1" si="372"/>
        <v/>
      </c>
      <c r="V838" s="83" t="str">
        <f ca="1">IF(U838="","",IFERROR((RANK(U838,$U$2:$U$2028,1)+COUNTIF($U$2:U838,U838))-1,""))</f>
        <v/>
      </c>
      <c r="W838" s="134" t="str">
        <f t="shared" si="376"/>
        <v/>
      </c>
      <c r="X838" s="134" t="str">
        <f>IF(W838="","",IFERROR((RANK(W838,$W$2:$W$2028,1)+COUNTIF($W$2:W838,W838))-1,""))</f>
        <v/>
      </c>
      <c r="Y838" s="134" t="str">
        <f t="shared" si="373"/>
        <v/>
      </c>
      <c r="Z838" s="134" t="str">
        <f>IF(Y838="","",IFERROR((RANK(Y838,$Y$2:$Y$2028,1)+COUNTIF($Y$2:Y838,Y838))-1,""))</f>
        <v/>
      </c>
      <c r="AA838" s="134" t="str">
        <f t="shared" si="374"/>
        <v/>
      </c>
      <c r="AB838" s="134" t="str">
        <f>IF(AA838="","",IFERROR((RANK(AA838,$AA$2:$AA$2028,1)+COUNTIF($AA$2:AA838,AA838))-1,""))</f>
        <v/>
      </c>
      <c r="AC838" s="134" t="str">
        <f t="shared" si="375"/>
        <v/>
      </c>
      <c r="AD838" s="134" t="str">
        <f>IF(AC838="","",IFERROR((RANK(AC838,$AC$2:$AC$2028,1)+COUNTIF($AC$2:AC838,AC838))-1,""))</f>
        <v/>
      </c>
      <c r="AE838" s="144" t="str">
        <f t="shared" si="367"/>
        <v/>
      </c>
      <c r="AF838" s="144" t="str">
        <f>IF(AE838="","",SUM($AE$2:AE838))</f>
        <v/>
      </c>
    </row>
    <row r="839" spans="14:32" x14ac:dyDescent="0.35">
      <c r="N839" s="134" t="str">
        <f t="shared" si="377"/>
        <v/>
      </c>
      <c r="O839" s="82" t="str">
        <f t="shared" si="368"/>
        <v/>
      </c>
      <c r="P839" s="81" t="str">
        <f t="shared" si="378"/>
        <v/>
      </c>
      <c r="Q839" s="81" t="str">
        <f t="shared" si="369"/>
        <v/>
      </c>
      <c r="R839" s="135" t="str">
        <f t="shared" ca="1" si="370"/>
        <v/>
      </c>
      <c r="S839" s="134" t="str">
        <f t="shared" ca="1" si="371"/>
        <v/>
      </c>
      <c r="T839" s="134" t="str">
        <f ca="1">IF(S839=Dashboard!$D$12,S839,"")</f>
        <v/>
      </c>
      <c r="U839" s="134" t="str">
        <f t="shared" ca="1" si="372"/>
        <v/>
      </c>
      <c r="V839" s="83" t="str">
        <f ca="1">IF(U839="","",IFERROR((RANK(U839,$U$2:$U$2028,1)+COUNTIF($U$2:U839,U839))-1,""))</f>
        <v/>
      </c>
      <c r="W839" s="134" t="str">
        <f t="shared" si="376"/>
        <v/>
      </c>
      <c r="X839" s="134" t="str">
        <f>IF(W839="","",IFERROR((RANK(W839,$W$2:$W$2028,1)+COUNTIF($W$2:W839,W839))-1,""))</f>
        <v/>
      </c>
      <c r="Y839" s="134" t="str">
        <f t="shared" si="373"/>
        <v/>
      </c>
      <c r="Z839" s="134" t="str">
        <f>IF(Y839="","",IFERROR((RANK(Y839,$Y$2:$Y$2028,1)+COUNTIF($Y$2:Y839,Y839))-1,""))</f>
        <v/>
      </c>
      <c r="AA839" s="134" t="str">
        <f t="shared" si="374"/>
        <v/>
      </c>
      <c r="AB839" s="134" t="str">
        <f>IF(AA839="","",IFERROR((RANK(AA839,$AA$2:$AA$2028,1)+COUNTIF($AA$2:AA839,AA839))-1,""))</f>
        <v/>
      </c>
      <c r="AC839" s="134" t="str">
        <f t="shared" si="375"/>
        <v/>
      </c>
      <c r="AD839" s="134" t="str">
        <f>IF(AC839="","",IFERROR((RANK(AC839,$AC$2:$AC$2028,1)+COUNTIF($AC$2:AC839,AC839))-1,""))</f>
        <v/>
      </c>
      <c r="AE839" s="144" t="str">
        <f t="shared" ref="AE839:AE902" si="379">IF(P839=1,P839,"")</f>
        <v/>
      </c>
      <c r="AF839" s="144" t="str">
        <f>IF(AE839="","",SUM($AE$2:AE839))</f>
        <v/>
      </c>
    </row>
    <row r="840" spans="14:32" x14ac:dyDescent="0.35">
      <c r="N840" s="134" t="str">
        <f t="shared" si="377"/>
        <v/>
      </c>
      <c r="O840" s="82" t="str">
        <f t="shared" si="368"/>
        <v/>
      </c>
      <c r="P840" s="81" t="str">
        <f t="shared" si="378"/>
        <v/>
      </c>
      <c r="Q840" s="81" t="str">
        <f t="shared" si="369"/>
        <v/>
      </c>
      <c r="R840" s="135" t="str">
        <f t="shared" ca="1" si="370"/>
        <v/>
      </c>
      <c r="S840" s="134" t="str">
        <f t="shared" ca="1" si="371"/>
        <v/>
      </c>
      <c r="T840" s="134" t="str">
        <f ca="1">IF(S840=Dashboard!$D$12,S840,"")</f>
        <v/>
      </c>
      <c r="U840" s="134" t="str">
        <f t="shared" ca="1" si="372"/>
        <v/>
      </c>
      <c r="V840" s="83" t="str">
        <f ca="1">IF(U840="","",IFERROR((RANK(U840,$U$2:$U$2028,1)+COUNTIF($U$2:U840,U840))-1,""))</f>
        <v/>
      </c>
      <c r="W840" s="134" t="str">
        <f t="shared" si="376"/>
        <v/>
      </c>
      <c r="X840" s="134" t="str">
        <f>IF(W840="","",IFERROR((RANK(W840,$W$2:$W$2028,1)+COUNTIF($W$2:W840,W840))-1,""))</f>
        <v/>
      </c>
      <c r="Y840" s="134" t="str">
        <f t="shared" si="373"/>
        <v/>
      </c>
      <c r="Z840" s="134" t="str">
        <f>IF(Y840="","",IFERROR((RANK(Y840,$Y$2:$Y$2028,1)+COUNTIF($Y$2:Y840,Y840))-1,""))</f>
        <v/>
      </c>
      <c r="AA840" s="134" t="str">
        <f t="shared" si="374"/>
        <v/>
      </c>
      <c r="AB840" s="134" t="str">
        <f>IF(AA840="","",IFERROR((RANK(AA840,$AA$2:$AA$2028,1)+COUNTIF($AA$2:AA840,AA840))-1,""))</f>
        <v/>
      </c>
      <c r="AC840" s="134" t="str">
        <f t="shared" si="375"/>
        <v/>
      </c>
      <c r="AD840" s="134" t="str">
        <f>IF(AC840="","",IFERROR((RANK(AC840,$AC$2:$AC$2028,1)+COUNTIF($AC$2:AC840,AC840))-1,""))</f>
        <v/>
      </c>
      <c r="AE840" s="144" t="str">
        <f t="shared" si="379"/>
        <v/>
      </c>
      <c r="AF840" s="144" t="str">
        <f>IF(AE840="","",SUM($AE$2:AE840))</f>
        <v/>
      </c>
    </row>
    <row r="841" spans="14:32" x14ac:dyDescent="0.35">
      <c r="N841" s="134" t="str">
        <f t="shared" si="377"/>
        <v/>
      </c>
      <c r="O841" s="82" t="str">
        <f t="shared" si="368"/>
        <v/>
      </c>
      <c r="P841" s="81" t="str">
        <f t="shared" si="378"/>
        <v/>
      </c>
      <c r="Q841" s="81" t="str">
        <f t="shared" si="369"/>
        <v/>
      </c>
      <c r="R841" s="135" t="str">
        <f t="shared" ca="1" si="370"/>
        <v/>
      </c>
      <c r="S841" s="134" t="str">
        <f t="shared" ca="1" si="371"/>
        <v/>
      </c>
      <c r="T841" s="134" t="str">
        <f ca="1">IF(S841=Dashboard!$D$12,S841,"")</f>
        <v/>
      </c>
      <c r="U841" s="134" t="str">
        <f t="shared" ca="1" si="372"/>
        <v/>
      </c>
      <c r="V841" s="83" t="str">
        <f ca="1">IF(U841="","",IFERROR((RANK(U841,$U$2:$U$2028,1)+COUNTIF($U$2:U841,U841))-1,""))</f>
        <v/>
      </c>
      <c r="W841" s="134" t="str">
        <f t="shared" si="376"/>
        <v/>
      </c>
      <c r="X841" s="134" t="str">
        <f>IF(W841="","",IFERROR((RANK(W841,$W$2:$W$2028,1)+COUNTIF($W$2:W841,W841))-1,""))</f>
        <v/>
      </c>
      <c r="Y841" s="134" t="str">
        <f t="shared" si="373"/>
        <v/>
      </c>
      <c r="Z841" s="134" t="str">
        <f>IF(Y841="","",IFERROR((RANK(Y841,$Y$2:$Y$2028,1)+COUNTIF($Y$2:Y841,Y841))-1,""))</f>
        <v/>
      </c>
      <c r="AA841" s="134" t="str">
        <f t="shared" si="374"/>
        <v/>
      </c>
      <c r="AB841" s="134" t="str">
        <f>IF(AA841="","",IFERROR((RANK(AA841,$AA$2:$AA$2028,1)+COUNTIF($AA$2:AA841,AA841))-1,""))</f>
        <v/>
      </c>
      <c r="AC841" s="134" t="str">
        <f t="shared" si="375"/>
        <v/>
      </c>
      <c r="AD841" s="134" t="str">
        <f>IF(AC841="","",IFERROR((RANK(AC841,$AC$2:$AC$2028,1)+COUNTIF($AC$2:AC841,AC841))-1,""))</f>
        <v/>
      </c>
      <c r="AE841" s="144" t="str">
        <f t="shared" si="379"/>
        <v/>
      </c>
      <c r="AF841" s="144" t="str">
        <f>IF(AE841="","",SUM($AE$2:AE841))</f>
        <v/>
      </c>
    </row>
    <row r="842" spans="14:32" x14ac:dyDescent="0.35">
      <c r="N842" s="134" t="str">
        <f t="shared" si="377"/>
        <v/>
      </c>
      <c r="O842" s="82" t="str">
        <f t="shared" si="368"/>
        <v/>
      </c>
      <c r="P842" s="81" t="str">
        <f t="shared" si="378"/>
        <v/>
      </c>
      <c r="Q842" s="81" t="str">
        <f t="shared" si="369"/>
        <v/>
      </c>
      <c r="R842" s="135" t="str">
        <f t="shared" ca="1" si="370"/>
        <v/>
      </c>
      <c r="S842" s="134" t="str">
        <f t="shared" ca="1" si="371"/>
        <v/>
      </c>
      <c r="T842" s="134" t="str">
        <f ca="1">IF(S842=Dashboard!$D$12,S842,"")</f>
        <v/>
      </c>
      <c r="U842" s="134" t="str">
        <f t="shared" ca="1" si="372"/>
        <v/>
      </c>
      <c r="V842" s="83" t="str">
        <f ca="1">IF(U842="","",IFERROR((RANK(U842,$U$2:$U$2028,1)+COUNTIF($U$2:U842,U842))-1,""))</f>
        <v/>
      </c>
      <c r="W842" s="134" t="str">
        <f t="shared" si="376"/>
        <v/>
      </c>
      <c r="X842" s="134" t="str">
        <f>IF(W842="","",IFERROR((RANK(W842,$W$2:$W$2028,1)+COUNTIF($W$2:W842,W842))-1,""))</f>
        <v/>
      </c>
      <c r="Y842" s="134" t="str">
        <f t="shared" si="373"/>
        <v/>
      </c>
      <c r="Z842" s="134" t="str">
        <f>IF(Y842="","",IFERROR((RANK(Y842,$Y$2:$Y$2028,1)+COUNTIF($Y$2:Y842,Y842))-1,""))</f>
        <v/>
      </c>
      <c r="AA842" s="134" t="str">
        <f t="shared" si="374"/>
        <v/>
      </c>
      <c r="AB842" s="134" t="str">
        <f>IF(AA842="","",IFERROR((RANK(AA842,$AA$2:$AA$2028,1)+COUNTIF($AA$2:AA842,AA842))-1,""))</f>
        <v/>
      </c>
      <c r="AC842" s="134" t="str">
        <f t="shared" si="375"/>
        <v/>
      </c>
      <c r="AD842" s="134" t="str">
        <f>IF(AC842="","",IFERROR((RANK(AC842,$AC$2:$AC$2028,1)+COUNTIF($AC$2:AC842,AC842))-1,""))</f>
        <v/>
      </c>
      <c r="AE842" s="144" t="str">
        <f t="shared" si="379"/>
        <v/>
      </c>
      <c r="AF842" s="144" t="str">
        <f>IF(AE842="","",SUM($AE$2:AE842))</f>
        <v/>
      </c>
    </row>
    <row r="843" spans="14:32" x14ac:dyDescent="0.35">
      <c r="N843" s="134" t="str">
        <f t="shared" si="377"/>
        <v/>
      </c>
      <c r="O843" s="82" t="str">
        <f t="shared" si="368"/>
        <v/>
      </c>
      <c r="P843" s="81" t="str">
        <f t="shared" si="378"/>
        <v/>
      </c>
      <c r="Q843" s="81" t="str">
        <f t="shared" si="369"/>
        <v/>
      </c>
      <c r="R843" s="135" t="str">
        <f t="shared" ca="1" si="370"/>
        <v/>
      </c>
      <c r="S843" s="134" t="str">
        <f t="shared" ca="1" si="371"/>
        <v/>
      </c>
      <c r="T843" s="134" t="str">
        <f ca="1">IF(S843=Dashboard!$D$12,S843,"")</f>
        <v/>
      </c>
      <c r="U843" s="134" t="str">
        <f t="shared" ca="1" si="372"/>
        <v/>
      </c>
      <c r="V843" s="83" t="str">
        <f ca="1">IF(U843="","",IFERROR((RANK(U843,$U$2:$U$2028,1)+COUNTIF($U$2:U843,U843))-1,""))</f>
        <v/>
      </c>
      <c r="W843" s="134" t="str">
        <f t="shared" si="376"/>
        <v/>
      </c>
      <c r="X843" s="134" t="str">
        <f>IF(W843="","",IFERROR((RANK(W843,$W$2:$W$2028,1)+COUNTIF($W$2:W843,W843))-1,""))</f>
        <v/>
      </c>
      <c r="Y843" s="134" t="str">
        <f t="shared" si="373"/>
        <v/>
      </c>
      <c r="Z843" s="134" t="str">
        <f>IF(Y843="","",IFERROR((RANK(Y843,$Y$2:$Y$2028,1)+COUNTIF($Y$2:Y843,Y843))-1,""))</f>
        <v/>
      </c>
      <c r="AA843" s="134" t="str">
        <f t="shared" si="374"/>
        <v/>
      </c>
      <c r="AB843" s="134" t="str">
        <f>IF(AA843="","",IFERROR((RANK(AA843,$AA$2:$AA$2028,1)+COUNTIF($AA$2:AA843,AA843))-1,""))</f>
        <v/>
      </c>
      <c r="AC843" s="134" t="str">
        <f t="shared" si="375"/>
        <v/>
      </c>
      <c r="AD843" s="134" t="str">
        <f>IF(AC843="","",IFERROR((RANK(AC843,$AC$2:$AC$2028,1)+COUNTIF($AC$2:AC843,AC843))-1,""))</f>
        <v/>
      </c>
      <c r="AE843" s="144" t="str">
        <f t="shared" si="379"/>
        <v/>
      </c>
      <c r="AF843" s="144" t="str">
        <f>IF(AE843="","",SUM($AE$2:AE843))</f>
        <v/>
      </c>
    </row>
    <row r="844" spans="14:32" x14ac:dyDescent="0.35">
      <c r="N844" s="134" t="str">
        <f t="shared" si="377"/>
        <v/>
      </c>
      <c r="O844" s="82" t="str">
        <f t="shared" si="368"/>
        <v/>
      </c>
      <c r="P844" s="81" t="str">
        <f t="shared" si="378"/>
        <v/>
      </c>
      <c r="Q844" s="81" t="str">
        <f t="shared" si="369"/>
        <v/>
      </c>
      <c r="R844" s="135" t="str">
        <f t="shared" ca="1" si="370"/>
        <v/>
      </c>
      <c r="S844" s="134" t="str">
        <f t="shared" ca="1" si="371"/>
        <v/>
      </c>
      <c r="T844" s="134" t="str">
        <f ca="1">IF(S844=Dashboard!$D$12,S844,"")</f>
        <v/>
      </c>
      <c r="U844" s="134" t="str">
        <f t="shared" ca="1" si="372"/>
        <v/>
      </c>
      <c r="V844" s="83" t="str">
        <f ca="1">IF(U844="","",IFERROR((RANK(U844,$U$2:$U$2028,1)+COUNTIF($U$2:U844,U844))-1,""))</f>
        <v/>
      </c>
      <c r="W844" s="134" t="str">
        <f t="shared" si="376"/>
        <v/>
      </c>
      <c r="X844" s="134" t="str">
        <f>IF(W844="","",IFERROR((RANK(W844,$W$2:$W$2028,1)+COUNTIF($W$2:W844,W844))-1,""))</f>
        <v/>
      </c>
      <c r="Y844" s="134" t="str">
        <f t="shared" si="373"/>
        <v/>
      </c>
      <c r="Z844" s="134" t="str">
        <f>IF(Y844="","",IFERROR((RANK(Y844,$Y$2:$Y$2028,1)+COUNTIF($Y$2:Y844,Y844))-1,""))</f>
        <v/>
      </c>
      <c r="AA844" s="134" t="str">
        <f t="shared" si="374"/>
        <v/>
      </c>
      <c r="AB844" s="134" t="str">
        <f>IF(AA844="","",IFERROR((RANK(AA844,$AA$2:$AA$2028,1)+COUNTIF($AA$2:AA844,AA844))-1,""))</f>
        <v/>
      </c>
      <c r="AC844" s="134" t="str">
        <f t="shared" si="375"/>
        <v/>
      </c>
      <c r="AD844" s="134" t="str">
        <f>IF(AC844="","",IFERROR((RANK(AC844,$AC$2:$AC$2028,1)+COUNTIF($AC$2:AC844,AC844))-1,""))</f>
        <v/>
      </c>
      <c r="AE844" s="144" t="str">
        <f t="shared" si="379"/>
        <v/>
      </c>
      <c r="AF844" s="144" t="str">
        <f>IF(AE844="","",SUM($AE$2:AE844))</f>
        <v/>
      </c>
    </row>
    <row r="845" spans="14:32" x14ac:dyDescent="0.35">
      <c r="N845" s="134" t="str">
        <f t="shared" si="377"/>
        <v/>
      </c>
      <c r="O845" s="82" t="str">
        <f t="shared" si="368"/>
        <v/>
      </c>
      <c r="P845" s="81" t="str">
        <f t="shared" si="378"/>
        <v/>
      </c>
      <c r="Q845" s="81" t="str">
        <f t="shared" si="369"/>
        <v/>
      </c>
      <c r="R845" s="135" t="str">
        <f t="shared" ca="1" si="370"/>
        <v/>
      </c>
      <c r="S845" s="134" t="str">
        <f t="shared" ca="1" si="371"/>
        <v/>
      </c>
      <c r="T845" s="134" t="str">
        <f ca="1">IF(S845=Dashboard!$D$12,S845,"")</f>
        <v/>
      </c>
      <c r="U845" s="134" t="str">
        <f t="shared" ca="1" si="372"/>
        <v/>
      </c>
      <c r="V845" s="83" t="str">
        <f ca="1">IF(U845="","",IFERROR((RANK(U845,$U$2:$U$2028,1)+COUNTIF($U$2:U845,U845))-1,""))</f>
        <v/>
      </c>
      <c r="W845" s="134" t="str">
        <f t="shared" si="376"/>
        <v/>
      </c>
      <c r="X845" s="134" t="str">
        <f>IF(W845="","",IFERROR((RANK(W845,$W$2:$W$2028,1)+COUNTIF($W$2:W845,W845))-1,""))</f>
        <v/>
      </c>
      <c r="Y845" s="134" t="str">
        <f t="shared" si="373"/>
        <v/>
      </c>
      <c r="Z845" s="134" t="str">
        <f>IF(Y845="","",IFERROR((RANK(Y845,$Y$2:$Y$2028,1)+COUNTIF($Y$2:Y845,Y845))-1,""))</f>
        <v/>
      </c>
      <c r="AA845" s="134" t="str">
        <f t="shared" si="374"/>
        <v/>
      </c>
      <c r="AB845" s="134" t="str">
        <f>IF(AA845="","",IFERROR((RANK(AA845,$AA$2:$AA$2028,1)+COUNTIF($AA$2:AA845,AA845))-1,""))</f>
        <v/>
      </c>
      <c r="AC845" s="134" t="str">
        <f t="shared" si="375"/>
        <v/>
      </c>
      <c r="AD845" s="134" t="str">
        <f>IF(AC845="","",IFERROR((RANK(AC845,$AC$2:$AC$2028,1)+COUNTIF($AC$2:AC845,AC845))-1,""))</f>
        <v/>
      </c>
      <c r="AE845" s="144" t="str">
        <f t="shared" si="379"/>
        <v/>
      </c>
      <c r="AF845" s="144" t="str">
        <f>IF(AE845="","",SUM($AE$2:AE845))</f>
        <v/>
      </c>
    </row>
    <row r="846" spans="14:32" x14ac:dyDescent="0.35">
      <c r="N846" s="134" t="str">
        <f t="shared" si="377"/>
        <v/>
      </c>
      <c r="O846" s="82" t="str">
        <f t="shared" si="368"/>
        <v/>
      </c>
      <c r="P846" s="81" t="str">
        <f t="shared" si="378"/>
        <v/>
      </c>
      <c r="Q846" s="81" t="str">
        <f t="shared" si="369"/>
        <v/>
      </c>
      <c r="R846" s="135" t="str">
        <f t="shared" ca="1" si="370"/>
        <v/>
      </c>
      <c r="S846" s="134" t="str">
        <f t="shared" ca="1" si="371"/>
        <v/>
      </c>
      <c r="T846" s="134" t="str">
        <f ca="1">IF(S846=Dashboard!$D$12,S846,"")</f>
        <v/>
      </c>
      <c r="U846" s="134" t="str">
        <f t="shared" ca="1" si="372"/>
        <v/>
      </c>
      <c r="V846" s="83" t="str">
        <f ca="1">IF(U846="","",IFERROR((RANK(U846,$U$2:$U$2028,1)+COUNTIF($U$2:U846,U846))-1,""))</f>
        <v/>
      </c>
      <c r="W846" s="134" t="str">
        <f t="shared" si="376"/>
        <v/>
      </c>
      <c r="X846" s="134" t="str">
        <f>IF(W846="","",IFERROR((RANK(W846,$W$2:$W$2028,1)+COUNTIF($W$2:W846,W846))-1,""))</f>
        <v/>
      </c>
      <c r="Y846" s="134" t="str">
        <f t="shared" si="373"/>
        <v/>
      </c>
      <c r="Z846" s="134" t="str">
        <f>IF(Y846="","",IFERROR((RANK(Y846,$Y$2:$Y$2028,1)+COUNTIF($Y$2:Y846,Y846))-1,""))</f>
        <v/>
      </c>
      <c r="AA846" s="134" t="str">
        <f t="shared" si="374"/>
        <v/>
      </c>
      <c r="AB846" s="134" t="str">
        <f>IF(AA846="","",IFERROR((RANK(AA846,$AA$2:$AA$2028,1)+COUNTIF($AA$2:AA846,AA846))-1,""))</f>
        <v/>
      </c>
      <c r="AC846" s="134" t="str">
        <f t="shared" si="375"/>
        <v/>
      </c>
      <c r="AD846" s="134" t="str">
        <f>IF(AC846="","",IFERROR((RANK(AC846,$AC$2:$AC$2028,1)+COUNTIF($AC$2:AC846,AC846))-1,""))</f>
        <v/>
      </c>
      <c r="AE846" s="144" t="str">
        <f t="shared" si="379"/>
        <v/>
      </c>
      <c r="AF846" s="144" t="str">
        <f>IF(AE846="","",SUM($AE$2:AE846))</f>
        <v/>
      </c>
    </row>
    <row r="847" spans="14:32" x14ac:dyDescent="0.35">
      <c r="N847" s="134" t="str">
        <f t="shared" si="377"/>
        <v/>
      </c>
      <c r="O847" s="82" t="str">
        <f t="shared" si="368"/>
        <v/>
      </c>
      <c r="P847" s="81" t="str">
        <f t="shared" si="378"/>
        <v/>
      </c>
      <c r="Q847" s="81" t="str">
        <f t="shared" si="369"/>
        <v/>
      </c>
      <c r="R847" s="135" t="str">
        <f t="shared" ca="1" si="370"/>
        <v/>
      </c>
      <c r="S847" s="134" t="str">
        <f t="shared" ca="1" si="371"/>
        <v/>
      </c>
      <c r="T847" s="134" t="str">
        <f ca="1">IF(S847=Dashboard!$D$12,S847,"")</f>
        <v/>
      </c>
      <c r="U847" s="134" t="str">
        <f t="shared" ca="1" si="372"/>
        <v/>
      </c>
      <c r="V847" s="83" t="str">
        <f ca="1">IF(U847="","",IFERROR((RANK(U847,$U$2:$U$2028,1)+COUNTIF($U$2:U847,U847))-1,""))</f>
        <v/>
      </c>
      <c r="W847" s="134" t="str">
        <f t="shared" si="376"/>
        <v/>
      </c>
      <c r="X847" s="134" t="str">
        <f>IF(W847="","",IFERROR((RANK(W847,$W$2:$W$2028,1)+COUNTIF($W$2:W847,W847))-1,""))</f>
        <v/>
      </c>
      <c r="Y847" s="134" t="str">
        <f t="shared" si="373"/>
        <v/>
      </c>
      <c r="Z847" s="134" t="str">
        <f>IF(Y847="","",IFERROR((RANK(Y847,$Y$2:$Y$2028,1)+COUNTIF($Y$2:Y847,Y847))-1,""))</f>
        <v/>
      </c>
      <c r="AA847" s="134" t="str">
        <f t="shared" si="374"/>
        <v/>
      </c>
      <c r="AB847" s="134" t="str">
        <f>IF(AA847="","",IFERROR((RANK(AA847,$AA$2:$AA$2028,1)+COUNTIF($AA$2:AA847,AA847))-1,""))</f>
        <v/>
      </c>
      <c r="AC847" s="134" t="str">
        <f t="shared" si="375"/>
        <v/>
      </c>
      <c r="AD847" s="134" t="str">
        <f>IF(AC847="","",IFERROR((RANK(AC847,$AC$2:$AC$2028,1)+COUNTIF($AC$2:AC847,AC847))-1,""))</f>
        <v/>
      </c>
      <c r="AE847" s="144" t="str">
        <f t="shared" si="379"/>
        <v/>
      </c>
      <c r="AF847" s="144" t="str">
        <f>IF(AE847="","",SUM($AE$2:AE847))</f>
        <v/>
      </c>
    </row>
    <row r="848" spans="14:32" x14ac:dyDescent="0.35">
      <c r="N848" s="134" t="str">
        <f t="shared" si="377"/>
        <v/>
      </c>
      <c r="O848" s="82" t="str">
        <f t="shared" si="368"/>
        <v/>
      </c>
      <c r="P848" s="81" t="str">
        <f t="shared" si="378"/>
        <v/>
      </c>
      <c r="Q848" s="81" t="str">
        <f t="shared" si="369"/>
        <v/>
      </c>
      <c r="R848" s="135" t="str">
        <f t="shared" ca="1" si="370"/>
        <v/>
      </c>
      <c r="S848" s="134" t="str">
        <f t="shared" ca="1" si="371"/>
        <v/>
      </c>
      <c r="T848" s="134" t="str">
        <f ca="1">IF(S848=Dashboard!$D$12,S848,"")</f>
        <v/>
      </c>
      <c r="U848" s="134" t="str">
        <f t="shared" ca="1" si="372"/>
        <v/>
      </c>
      <c r="V848" s="83" t="str">
        <f ca="1">IF(U848="","",IFERROR((RANK(U848,$U$2:$U$2028,1)+COUNTIF($U$2:U848,U848))-1,""))</f>
        <v/>
      </c>
      <c r="W848" s="134" t="str">
        <f t="shared" si="376"/>
        <v/>
      </c>
      <c r="X848" s="134" t="str">
        <f>IF(W848="","",IFERROR((RANK(W848,$W$2:$W$2028,1)+COUNTIF($W$2:W848,W848))-1,""))</f>
        <v/>
      </c>
      <c r="Y848" s="134" t="str">
        <f t="shared" si="373"/>
        <v/>
      </c>
      <c r="Z848" s="134" t="str">
        <f>IF(Y848="","",IFERROR((RANK(Y848,$Y$2:$Y$2028,1)+COUNTIF($Y$2:Y848,Y848))-1,""))</f>
        <v/>
      </c>
      <c r="AA848" s="134" t="str">
        <f t="shared" si="374"/>
        <v/>
      </c>
      <c r="AB848" s="134" t="str">
        <f>IF(AA848="","",IFERROR((RANK(AA848,$AA$2:$AA$2028,1)+COUNTIF($AA$2:AA848,AA848))-1,""))</f>
        <v/>
      </c>
      <c r="AC848" s="134" t="str">
        <f t="shared" si="375"/>
        <v/>
      </c>
      <c r="AD848" s="134" t="str">
        <f>IF(AC848="","",IFERROR((RANK(AC848,$AC$2:$AC$2028,1)+COUNTIF($AC$2:AC848,AC848))-1,""))</f>
        <v/>
      </c>
      <c r="AE848" s="144" t="str">
        <f t="shared" si="379"/>
        <v/>
      </c>
      <c r="AF848" s="144" t="str">
        <f>IF(AE848="","",SUM($AE$2:AE848))</f>
        <v/>
      </c>
    </row>
    <row r="849" spans="14:32" x14ac:dyDescent="0.35">
      <c r="N849" s="134" t="str">
        <f t="shared" si="377"/>
        <v/>
      </c>
      <c r="O849" s="82" t="str">
        <f t="shared" si="368"/>
        <v/>
      </c>
      <c r="P849" s="81" t="str">
        <f t="shared" si="378"/>
        <v/>
      </c>
      <c r="Q849" s="81" t="str">
        <f t="shared" si="369"/>
        <v/>
      </c>
      <c r="R849" s="135" t="str">
        <f t="shared" ca="1" si="370"/>
        <v/>
      </c>
      <c r="S849" s="134" t="str">
        <f t="shared" ca="1" si="371"/>
        <v/>
      </c>
      <c r="T849" s="134" t="str">
        <f ca="1">IF(S849=Dashboard!$D$12,S849,"")</f>
        <v/>
      </c>
      <c r="U849" s="134" t="str">
        <f t="shared" ca="1" si="372"/>
        <v/>
      </c>
      <c r="V849" s="83" t="str">
        <f ca="1">IF(U849="","",IFERROR((RANK(U849,$U$2:$U$2028,1)+COUNTIF($U$2:U849,U849))-1,""))</f>
        <v/>
      </c>
      <c r="W849" s="134" t="str">
        <f t="shared" si="376"/>
        <v/>
      </c>
      <c r="X849" s="134" t="str">
        <f>IF(W849="","",IFERROR((RANK(W849,$W$2:$W$2028,1)+COUNTIF($W$2:W849,W849))-1,""))</f>
        <v/>
      </c>
      <c r="Y849" s="134" t="str">
        <f t="shared" si="373"/>
        <v/>
      </c>
      <c r="Z849" s="134" t="str">
        <f>IF(Y849="","",IFERROR((RANK(Y849,$Y$2:$Y$2028,1)+COUNTIF($Y$2:Y849,Y849))-1,""))</f>
        <v/>
      </c>
      <c r="AA849" s="134" t="str">
        <f t="shared" si="374"/>
        <v/>
      </c>
      <c r="AB849" s="134" t="str">
        <f>IF(AA849="","",IFERROR((RANK(AA849,$AA$2:$AA$2028,1)+COUNTIF($AA$2:AA849,AA849))-1,""))</f>
        <v/>
      </c>
      <c r="AC849" s="134" t="str">
        <f t="shared" si="375"/>
        <v/>
      </c>
      <c r="AD849" s="134" t="str">
        <f>IF(AC849="","",IFERROR((RANK(AC849,$AC$2:$AC$2028,1)+COUNTIF($AC$2:AC849,AC849))-1,""))</f>
        <v/>
      </c>
      <c r="AE849" s="144" t="str">
        <f t="shared" si="379"/>
        <v/>
      </c>
      <c r="AF849" s="144" t="str">
        <f>IF(AE849="","",SUM($AE$2:AE849))</f>
        <v/>
      </c>
    </row>
    <row r="850" spans="14:32" x14ac:dyDescent="0.35">
      <c r="N850" s="134" t="str">
        <f t="shared" si="377"/>
        <v/>
      </c>
      <c r="O850" s="82" t="str">
        <f t="shared" si="368"/>
        <v/>
      </c>
      <c r="P850" s="81" t="str">
        <f t="shared" si="378"/>
        <v/>
      </c>
      <c r="Q850" s="81" t="str">
        <f t="shared" si="369"/>
        <v/>
      </c>
      <c r="R850" s="135" t="str">
        <f t="shared" ca="1" si="370"/>
        <v/>
      </c>
      <c r="S850" s="134" t="str">
        <f t="shared" ca="1" si="371"/>
        <v/>
      </c>
      <c r="T850" s="134" t="str">
        <f ca="1">IF(S850=Dashboard!$D$12,S850,"")</f>
        <v/>
      </c>
      <c r="U850" s="134" t="str">
        <f t="shared" ca="1" si="372"/>
        <v/>
      </c>
      <c r="V850" s="83" t="str">
        <f ca="1">IF(U850="","",IFERROR((RANK(U850,$U$2:$U$2028,1)+COUNTIF($U$2:U850,U850))-1,""))</f>
        <v/>
      </c>
      <c r="W850" s="134" t="str">
        <f t="shared" si="376"/>
        <v/>
      </c>
      <c r="X850" s="134" t="str">
        <f>IF(W850="","",IFERROR((RANK(W850,$W$2:$W$2028,1)+COUNTIF($W$2:W850,W850))-1,""))</f>
        <v/>
      </c>
      <c r="Y850" s="134" t="str">
        <f t="shared" si="373"/>
        <v/>
      </c>
      <c r="Z850" s="134" t="str">
        <f>IF(Y850="","",IFERROR((RANK(Y850,$Y$2:$Y$2028,1)+COUNTIF($Y$2:Y850,Y850))-1,""))</f>
        <v/>
      </c>
      <c r="AA850" s="134" t="str">
        <f t="shared" si="374"/>
        <v/>
      </c>
      <c r="AB850" s="134" t="str">
        <f>IF(AA850="","",IFERROR((RANK(AA850,$AA$2:$AA$2028,1)+COUNTIF($AA$2:AA850,AA850))-1,""))</f>
        <v/>
      </c>
      <c r="AC850" s="134" t="str">
        <f t="shared" si="375"/>
        <v/>
      </c>
      <c r="AD850" s="134" t="str">
        <f>IF(AC850="","",IFERROR((RANK(AC850,$AC$2:$AC$2028,1)+COUNTIF($AC$2:AC850,AC850))-1,""))</f>
        <v/>
      </c>
      <c r="AE850" s="144" t="str">
        <f t="shared" si="379"/>
        <v/>
      </c>
      <c r="AF850" s="144" t="str">
        <f>IF(AE850="","",SUM($AE$2:AE850))</f>
        <v/>
      </c>
    </row>
    <row r="851" spans="14:32" x14ac:dyDescent="0.35">
      <c r="N851" s="134" t="str">
        <f t="shared" si="377"/>
        <v/>
      </c>
      <c r="O851" s="82" t="str">
        <f t="shared" si="368"/>
        <v/>
      </c>
      <c r="P851" s="81" t="str">
        <f t="shared" si="378"/>
        <v/>
      </c>
      <c r="Q851" s="81" t="str">
        <f t="shared" si="369"/>
        <v/>
      </c>
      <c r="R851" s="135" t="str">
        <f t="shared" ca="1" si="370"/>
        <v/>
      </c>
      <c r="S851" s="134" t="str">
        <f t="shared" ca="1" si="371"/>
        <v/>
      </c>
      <c r="T851" s="134" t="str">
        <f ca="1">IF(S851=Dashboard!$D$12,S851,"")</f>
        <v/>
      </c>
      <c r="U851" s="134" t="str">
        <f t="shared" ca="1" si="372"/>
        <v/>
      </c>
      <c r="V851" s="83" t="str">
        <f ca="1">IF(U851="","",IFERROR((RANK(U851,$U$2:$U$2028,1)+COUNTIF($U$2:U851,U851))-1,""))</f>
        <v/>
      </c>
      <c r="W851" s="134" t="str">
        <f t="shared" si="376"/>
        <v/>
      </c>
      <c r="X851" s="134" t="str">
        <f>IF(W851="","",IFERROR((RANK(W851,$W$2:$W$2028,1)+COUNTIF($W$2:W851,W851))-1,""))</f>
        <v/>
      </c>
      <c r="Y851" s="134" t="str">
        <f t="shared" si="373"/>
        <v/>
      </c>
      <c r="Z851" s="134" t="str">
        <f>IF(Y851="","",IFERROR((RANK(Y851,$Y$2:$Y$2028,1)+COUNTIF($Y$2:Y851,Y851))-1,""))</f>
        <v/>
      </c>
      <c r="AA851" s="134" t="str">
        <f t="shared" si="374"/>
        <v/>
      </c>
      <c r="AB851" s="134" t="str">
        <f>IF(AA851="","",IFERROR((RANK(AA851,$AA$2:$AA$2028,1)+COUNTIF($AA$2:AA851,AA851))-1,""))</f>
        <v/>
      </c>
      <c r="AC851" s="134" t="str">
        <f t="shared" si="375"/>
        <v/>
      </c>
      <c r="AD851" s="134" t="str">
        <f>IF(AC851="","",IFERROR((RANK(AC851,$AC$2:$AC$2028,1)+COUNTIF($AC$2:AC851,AC851))-1,""))</f>
        <v/>
      </c>
      <c r="AE851" s="144" t="str">
        <f t="shared" si="379"/>
        <v/>
      </c>
      <c r="AF851" s="144" t="str">
        <f>IF(AE851="","",SUM($AE$2:AE851))</f>
        <v/>
      </c>
    </row>
    <row r="852" spans="14:32" x14ac:dyDescent="0.35">
      <c r="N852" s="134" t="str">
        <f t="shared" si="377"/>
        <v/>
      </c>
      <c r="O852" s="82" t="str">
        <f t="shared" si="368"/>
        <v/>
      </c>
      <c r="P852" s="81" t="str">
        <f t="shared" si="378"/>
        <v/>
      </c>
      <c r="Q852" s="81" t="str">
        <f t="shared" si="369"/>
        <v/>
      </c>
      <c r="R852" s="135" t="str">
        <f t="shared" ca="1" si="370"/>
        <v/>
      </c>
      <c r="S852" s="134" t="str">
        <f t="shared" ca="1" si="371"/>
        <v/>
      </c>
      <c r="T852" s="134" t="str">
        <f ca="1">IF(S852=Dashboard!$D$12,S852,"")</f>
        <v/>
      </c>
      <c r="U852" s="134" t="str">
        <f t="shared" ca="1" si="372"/>
        <v/>
      </c>
      <c r="V852" s="83" t="str">
        <f ca="1">IF(U852="","",IFERROR((RANK(U852,$U$2:$U$2028,1)+COUNTIF($U$2:U852,U852))-1,""))</f>
        <v/>
      </c>
      <c r="W852" s="134" t="str">
        <f t="shared" si="376"/>
        <v/>
      </c>
      <c r="X852" s="134" t="str">
        <f>IF(W852="","",IFERROR((RANK(W852,$W$2:$W$2028,1)+COUNTIF($W$2:W852,W852))-1,""))</f>
        <v/>
      </c>
      <c r="Y852" s="134" t="str">
        <f t="shared" si="373"/>
        <v/>
      </c>
      <c r="Z852" s="134" t="str">
        <f>IF(Y852="","",IFERROR((RANK(Y852,$Y$2:$Y$2028,1)+COUNTIF($Y$2:Y852,Y852))-1,""))</f>
        <v/>
      </c>
      <c r="AA852" s="134" t="str">
        <f t="shared" si="374"/>
        <v/>
      </c>
      <c r="AB852" s="134" t="str">
        <f>IF(AA852="","",IFERROR((RANK(AA852,$AA$2:$AA$2028,1)+COUNTIF($AA$2:AA852,AA852))-1,""))</f>
        <v/>
      </c>
      <c r="AC852" s="134" t="str">
        <f t="shared" si="375"/>
        <v/>
      </c>
      <c r="AD852" s="134" t="str">
        <f>IF(AC852="","",IFERROR((RANK(AC852,$AC$2:$AC$2028,1)+COUNTIF($AC$2:AC852,AC852))-1,""))</f>
        <v/>
      </c>
      <c r="AE852" s="144" t="str">
        <f t="shared" si="379"/>
        <v/>
      </c>
      <c r="AF852" s="144" t="str">
        <f>IF(AE852="","",SUM($AE$2:AE852))</f>
        <v/>
      </c>
    </row>
    <row r="853" spans="14:32" x14ac:dyDescent="0.35">
      <c r="N853" s="134" t="str">
        <f t="shared" si="377"/>
        <v/>
      </c>
      <c r="O853" s="82" t="str">
        <f t="shared" si="368"/>
        <v/>
      </c>
      <c r="P853" s="81" t="str">
        <f t="shared" si="378"/>
        <v/>
      </c>
      <c r="Q853" s="81" t="str">
        <f t="shared" si="369"/>
        <v/>
      </c>
      <c r="R853" s="135" t="str">
        <f t="shared" ca="1" si="370"/>
        <v/>
      </c>
      <c r="S853" s="134" t="str">
        <f t="shared" ca="1" si="371"/>
        <v/>
      </c>
      <c r="T853" s="134" t="str">
        <f ca="1">IF(S853=Dashboard!$D$12,S853,"")</f>
        <v/>
      </c>
      <c r="U853" s="134" t="str">
        <f t="shared" ca="1" si="372"/>
        <v/>
      </c>
      <c r="V853" s="83" t="str">
        <f ca="1">IF(U853="","",IFERROR((RANK(U853,$U$2:$U$2028,1)+COUNTIF($U$2:U853,U853))-1,""))</f>
        <v/>
      </c>
      <c r="W853" s="134" t="str">
        <f t="shared" si="376"/>
        <v/>
      </c>
      <c r="X853" s="134" t="str">
        <f>IF(W853="","",IFERROR((RANK(W853,$W$2:$W$2028,1)+COUNTIF($W$2:W853,W853))-1,""))</f>
        <v/>
      </c>
      <c r="Y853" s="134" t="str">
        <f t="shared" si="373"/>
        <v/>
      </c>
      <c r="Z853" s="134" t="str">
        <f>IF(Y853="","",IFERROR((RANK(Y853,$Y$2:$Y$2028,1)+COUNTIF($Y$2:Y853,Y853))-1,""))</f>
        <v/>
      </c>
      <c r="AA853" s="134" t="str">
        <f t="shared" si="374"/>
        <v/>
      </c>
      <c r="AB853" s="134" t="str">
        <f>IF(AA853="","",IFERROR((RANK(AA853,$AA$2:$AA$2028,1)+COUNTIF($AA$2:AA853,AA853))-1,""))</f>
        <v/>
      </c>
      <c r="AC853" s="134" t="str">
        <f t="shared" si="375"/>
        <v/>
      </c>
      <c r="AD853" s="134" t="str">
        <f>IF(AC853="","",IFERROR((RANK(AC853,$AC$2:$AC$2028,1)+COUNTIF($AC$2:AC853,AC853))-1,""))</f>
        <v/>
      </c>
      <c r="AE853" s="144" t="str">
        <f t="shared" si="379"/>
        <v/>
      </c>
      <c r="AF853" s="144" t="str">
        <f>IF(AE853="","",SUM($AE$2:AE853))</f>
        <v/>
      </c>
    </row>
    <row r="854" spans="14:32" x14ac:dyDescent="0.35">
      <c r="N854" s="134" t="str">
        <f t="shared" si="377"/>
        <v/>
      </c>
      <c r="O854" s="82" t="str">
        <f t="shared" si="368"/>
        <v/>
      </c>
      <c r="P854" s="81" t="str">
        <f t="shared" si="378"/>
        <v/>
      </c>
      <c r="Q854" s="81" t="str">
        <f t="shared" si="369"/>
        <v/>
      </c>
      <c r="R854" s="135" t="str">
        <f t="shared" ca="1" si="370"/>
        <v/>
      </c>
      <c r="S854" s="134" t="str">
        <f t="shared" ca="1" si="371"/>
        <v/>
      </c>
      <c r="T854" s="134" t="str">
        <f ca="1">IF(S854=Dashboard!$D$12,S854,"")</f>
        <v/>
      </c>
      <c r="U854" s="134" t="str">
        <f t="shared" ca="1" si="372"/>
        <v/>
      </c>
      <c r="V854" s="83" t="str">
        <f ca="1">IF(U854="","",IFERROR((RANK(U854,$U$2:$U$2028,1)+COUNTIF($U$2:U854,U854))-1,""))</f>
        <v/>
      </c>
      <c r="W854" s="134" t="str">
        <f t="shared" si="376"/>
        <v/>
      </c>
      <c r="X854" s="134" t="str">
        <f>IF(W854="","",IFERROR((RANK(W854,$W$2:$W$2028,1)+COUNTIF($W$2:W854,W854))-1,""))</f>
        <v/>
      </c>
      <c r="Y854" s="134" t="str">
        <f t="shared" si="373"/>
        <v/>
      </c>
      <c r="Z854" s="134" t="str">
        <f>IF(Y854="","",IFERROR((RANK(Y854,$Y$2:$Y$2028,1)+COUNTIF($Y$2:Y854,Y854))-1,""))</f>
        <v/>
      </c>
      <c r="AA854" s="134" t="str">
        <f t="shared" si="374"/>
        <v/>
      </c>
      <c r="AB854" s="134" t="str">
        <f>IF(AA854="","",IFERROR((RANK(AA854,$AA$2:$AA$2028,1)+COUNTIF($AA$2:AA854,AA854))-1,""))</f>
        <v/>
      </c>
      <c r="AC854" s="134" t="str">
        <f t="shared" si="375"/>
        <v/>
      </c>
      <c r="AD854" s="134" t="str">
        <f>IF(AC854="","",IFERROR((RANK(AC854,$AC$2:$AC$2028,1)+COUNTIF($AC$2:AC854,AC854))-1,""))</f>
        <v/>
      </c>
      <c r="AE854" s="144" t="str">
        <f t="shared" si="379"/>
        <v/>
      </c>
      <c r="AF854" s="144" t="str">
        <f>IF(AE854="","",SUM($AE$2:AE854))</f>
        <v/>
      </c>
    </row>
    <row r="855" spans="14:32" x14ac:dyDescent="0.35">
      <c r="N855" s="134" t="str">
        <f t="shared" si="377"/>
        <v/>
      </c>
      <c r="O855" s="82" t="str">
        <f t="shared" si="368"/>
        <v/>
      </c>
      <c r="P855" s="81" t="str">
        <f t="shared" si="378"/>
        <v/>
      </c>
      <c r="Q855" s="81" t="str">
        <f t="shared" si="369"/>
        <v/>
      </c>
      <c r="R855" s="135" t="str">
        <f t="shared" ca="1" si="370"/>
        <v/>
      </c>
      <c r="S855" s="134" t="str">
        <f t="shared" ca="1" si="371"/>
        <v/>
      </c>
      <c r="T855" s="134" t="str">
        <f ca="1">IF(S855=Dashboard!$D$12,S855,"")</f>
        <v/>
      </c>
      <c r="U855" s="134" t="str">
        <f t="shared" ca="1" si="372"/>
        <v/>
      </c>
      <c r="V855" s="83" t="str">
        <f ca="1">IF(U855="","",IFERROR((RANK(U855,$U$2:$U$2028,1)+COUNTIF($U$2:U855,U855))-1,""))</f>
        <v/>
      </c>
      <c r="W855" s="134" t="str">
        <f t="shared" si="376"/>
        <v/>
      </c>
      <c r="X855" s="134" t="str">
        <f>IF(W855="","",IFERROR((RANK(W855,$W$2:$W$2028,1)+COUNTIF($W$2:W855,W855))-1,""))</f>
        <v/>
      </c>
      <c r="Y855" s="134" t="str">
        <f t="shared" si="373"/>
        <v/>
      </c>
      <c r="Z855" s="134" t="str">
        <f>IF(Y855="","",IFERROR((RANK(Y855,$Y$2:$Y$2028,1)+COUNTIF($Y$2:Y855,Y855))-1,""))</f>
        <v/>
      </c>
      <c r="AA855" s="134" t="str">
        <f t="shared" si="374"/>
        <v/>
      </c>
      <c r="AB855" s="134" t="str">
        <f>IF(AA855="","",IFERROR((RANK(AA855,$AA$2:$AA$2028,1)+COUNTIF($AA$2:AA855,AA855))-1,""))</f>
        <v/>
      </c>
      <c r="AC855" s="134" t="str">
        <f t="shared" si="375"/>
        <v/>
      </c>
      <c r="AD855" s="134" t="str">
        <f>IF(AC855="","",IFERROR((RANK(AC855,$AC$2:$AC$2028,1)+COUNTIF($AC$2:AC855,AC855))-1,""))</f>
        <v/>
      </c>
      <c r="AE855" s="144" t="str">
        <f t="shared" si="379"/>
        <v/>
      </c>
      <c r="AF855" s="144" t="str">
        <f>IF(AE855="","",SUM($AE$2:AE855))</f>
        <v/>
      </c>
    </row>
    <row r="856" spans="14:32" x14ac:dyDescent="0.35">
      <c r="N856" s="134" t="str">
        <f t="shared" si="377"/>
        <v/>
      </c>
      <c r="O856" s="82" t="str">
        <f t="shared" si="368"/>
        <v/>
      </c>
      <c r="P856" s="81" t="str">
        <f t="shared" si="378"/>
        <v/>
      </c>
      <c r="Q856" s="81" t="str">
        <f t="shared" si="369"/>
        <v/>
      </c>
      <c r="R856" s="135" t="str">
        <f t="shared" ca="1" si="370"/>
        <v/>
      </c>
      <c r="S856" s="134" t="str">
        <f t="shared" ca="1" si="371"/>
        <v/>
      </c>
      <c r="T856" s="134" t="str">
        <f ca="1">IF(S856=Dashboard!$D$12,S856,"")</f>
        <v/>
      </c>
      <c r="U856" s="134" t="str">
        <f t="shared" ca="1" si="372"/>
        <v/>
      </c>
      <c r="V856" s="83" t="str">
        <f ca="1">IF(U856="","",IFERROR((RANK(U856,$U$2:$U$2028,1)+COUNTIF($U$2:U856,U856))-1,""))</f>
        <v/>
      </c>
      <c r="W856" s="134" t="str">
        <f t="shared" si="376"/>
        <v/>
      </c>
      <c r="X856" s="134" t="str">
        <f>IF(W856="","",IFERROR((RANK(W856,$W$2:$W$2028,1)+COUNTIF($W$2:W856,W856))-1,""))</f>
        <v/>
      </c>
      <c r="Y856" s="134" t="str">
        <f t="shared" si="373"/>
        <v/>
      </c>
      <c r="Z856" s="134" t="str">
        <f>IF(Y856="","",IFERROR((RANK(Y856,$Y$2:$Y$2028,1)+COUNTIF($Y$2:Y856,Y856))-1,""))</f>
        <v/>
      </c>
      <c r="AA856" s="134" t="str">
        <f t="shared" si="374"/>
        <v/>
      </c>
      <c r="AB856" s="134" t="str">
        <f>IF(AA856="","",IFERROR((RANK(AA856,$AA$2:$AA$2028,1)+COUNTIF($AA$2:AA856,AA856))-1,""))</f>
        <v/>
      </c>
      <c r="AC856" s="134" t="str">
        <f t="shared" si="375"/>
        <v/>
      </c>
      <c r="AD856" s="134" t="str">
        <f>IF(AC856="","",IFERROR((RANK(AC856,$AC$2:$AC$2028,1)+COUNTIF($AC$2:AC856,AC856))-1,""))</f>
        <v/>
      </c>
      <c r="AE856" s="144" t="str">
        <f t="shared" si="379"/>
        <v/>
      </c>
      <c r="AF856" s="144" t="str">
        <f>IF(AE856="","",SUM($AE$2:AE856))</f>
        <v/>
      </c>
    </row>
    <row r="857" spans="14:32" x14ac:dyDescent="0.35">
      <c r="N857" s="134" t="str">
        <f t="shared" si="377"/>
        <v/>
      </c>
      <c r="O857" s="82" t="str">
        <f t="shared" si="368"/>
        <v/>
      </c>
      <c r="P857" s="81" t="str">
        <f t="shared" si="378"/>
        <v/>
      </c>
      <c r="Q857" s="81" t="str">
        <f t="shared" si="369"/>
        <v/>
      </c>
      <c r="R857" s="135" t="str">
        <f t="shared" ca="1" si="370"/>
        <v/>
      </c>
      <c r="S857" s="134" t="str">
        <f t="shared" ca="1" si="371"/>
        <v/>
      </c>
      <c r="T857" s="134" t="str">
        <f ca="1">IF(S857=Dashboard!$D$12,S857,"")</f>
        <v/>
      </c>
      <c r="U857" s="134" t="str">
        <f t="shared" ca="1" si="372"/>
        <v/>
      </c>
      <c r="V857" s="83" t="str">
        <f ca="1">IF(U857="","",IFERROR((RANK(U857,$U$2:$U$2028,1)+COUNTIF($U$2:U857,U857))-1,""))</f>
        <v/>
      </c>
      <c r="W857" s="134" t="str">
        <f t="shared" si="376"/>
        <v/>
      </c>
      <c r="X857" s="134" t="str">
        <f>IF(W857="","",IFERROR((RANK(W857,$W$2:$W$2028,1)+COUNTIF($W$2:W857,W857))-1,""))</f>
        <v/>
      </c>
      <c r="Y857" s="134" t="str">
        <f t="shared" si="373"/>
        <v/>
      </c>
      <c r="Z857" s="134" t="str">
        <f>IF(Y857="","",IFERROR((RANK(Y857,$Y$2:$Y$2028,1)+COUNTIF($Y$2:Y857,Y857))-1,""))</f>
        <v/>
      </c>
      <c r="AA857" s="134" t="str">
        <f t="shared" si="374"/>
        <v/>
      </c>
      <c r="AB857" s="134" t="str">
        <f>IF(AA857="","",IFERROR((RANK(AA857,$AA$2:$AA$2028,1)+COUNTIF($AA$2:AA857,AA857))-1,""))</f>
        <v/>
      </c>
      <c r="AC857" s="134" t="str">
        <f t="shared" si="375"/>
        <v/>
      </c>
      <c r="AD857" s="134" t="str">
        <f>IF(AC857="","",IFERROR((RANK(AC857,$AC$2:$AC$2028,1)+COUNTIF($AC$2:AC857,AC857))-1,""))</f>
        <v/>
      </c>
      <c r="AE857" s="144" t="str">
        <f t="shared" si="379"/>
        <v/>
      </c>
      <c r="AF857" s="144" t="str">
        <f>IF(AE857="","",SUM($AE$2:AE857))</f>
        <v/>
      </c>
    </row>
    <row r="858" spans="14:32" x14ac:dyDescent="0.35">
      <c r="N858" s="134" t="str">
        <f t="shared" si="377"/>
        <v/>
      </c>
      <c r="O858" s="82" t="str">
        <f t="shared" si="368"/>
        <v/>
      </c>
      <c r="P858" s="81" t="str">
        <f t="shared" si="378"/>
        <v/>
      </c>
      <c r="Q858" s="81" t="str">
        <f t="shared" si="369"/>
        <v/>
      </c>
      <c r="R858" s="135" t="str">
        <f t="shared" ca="1" si="370"/>
        <v/>
      </c>
      <c r="S858" s="134" t="str">
        <f t="shared" ca="1" si="371"/>
        <v/>
      </c>
      <c r="T858" s="134" t="str">
        <f ca="1">IF(S858=Dashboard!$D$12,S858,"")</f>
        <v/>
      </c>
      <c r="U858" s="134" t="str">
        <f t="shared" ca="1" si="372"/>
        <v/>
      </c>
      <c r="V858" s="83" t="str">
        <f ca="1">IF(U858="","",IFERROR((RANK(U858,$U$2:$U$2028,1)+COUNTIF($U$2:U858,U858))-1,""))</f>
        <v/>
      </c>
      <c r="W858" s="134" t="str">
        <f t="shared" si="376"/>
        <v/>
      </c>
      <c r="X858" s="134" t="str">
        <f>IF(W858="","",IFERROR((RANK(W858,$W$2:$W$2028,1)+COUNTIF($W$2:W858,W858))-1,""))</f>
        <v/>
      </c>
      <c r="Y858" s="134" t="str">
        <f t="shared" si="373"/>
        <v/>
      </c>
      <c r="Z858" s="134" t="str">
        <f>IF(Y858="","",IFERROR((RANK(Y858,$Y$2:$Y$2028,1)+COUNTIF($Y$2:Y858,Y858))-1,""))</f>
        <v/>
      </c>
      <c r="AA858" s="134" t="str">
        <f t="shared" si="374"/>
        <v/>
      </c>
      <c r="AB858" s="134" t="str">
        <f>IF(AA858="","",IFERROR((RANK(AA858,$AA$2:$AA$2028,1)+COUNTIF($AA$2:AA858,AA858))-1,""))</f>
        <v/>
      </c>
      <c r="AC858" s="134" t="str">
        <f t="shared" si="375"/>
        <v/>
      </c>
      <c r="AD858" s="134" t="str">
        <f>IF(AC858="","",IFERROR((RANK(AC858,$AC$2:$AC$2028,1)+COUNTIF($AC$2:AC858,AC858))-1,""))</f>
        <v/>
      </c>
      <c r="AE858" s="144" t="str">
        <f t="shared" si="379"/>
        <v/>
      </c>
      <c r="AF858" s="144" t="str">
        <f>IF(AE858="","",SUM($AE$2:AE858))</f>
        <v/>
      </c>
    </row>
    <row r="859" spans="14:32" x14ac:dyDescent="0.35">
      <c r="N859" s="134" t="str">
        <f t="shared" si="377"/>
        <v/>
      </c>
      <c r="O859" s="82" t="str">
        <f t="shared" si="368"/>
        <v/>
      </c>
      <c r="P859" s="81" t="str">
        <f t="shared" si="378"/>
        <v/>
      </c>
      <c r="Q859" s="81" t="str">
        <f t="shared" si="369"/>
        <v/>
      </c>
      <c r="R859" s="135" t="str">
        <f t="shared" ca="1" si="370"/>
        <v/>
      </c>
      <c r="S859" s="134" t="str">
        <f t="shared" ca="1" si="371"/>
        <v/>
      </c>
      <c r="T859" s="134" t="str">
        <f ca="1">IF(S859=Dashboard!$D$12,S859,"")</f>
        <v/>
      </c>
      <c r="U859" s="134" t="str">
        <f t="shared" ca="1" si="372"/>
        <v/>
      </c>
      <c r="V859" s="83" t="str">
        <f ca="1">IF(U859="","",IFERROR((RANK(U859,$U$2:$U$2028,1)+COUNTIF($U$2:U859,U859))-1,""))</f>
        <v/>
      </c>
      <c r="W859" s="134" t="str">
        <f t="shared" si="376"/>
        <v/>
      </c>
      <c r="X859" s="134" t="str">
        <f>IF(W859="","",IFERROR((RANK(W859,$W$2:$W$2028,1)+COUNTIF($W$2:W859,W859))-1,""))</f>
        <v/>
      </c>
      <c r="Y859" s="134" t="str">
        <f t="shared" si="373"/>
        <v/>
      </c>
      <c r="Z859" s="134" t="str">
        <f>IF(Y859="","",IFERROR((RANK(Y859,$Y$2:$Y$2028,1)+COUNTIF($Y$2:Y859,Y859))-1,""))</f>
        <v/>
      </c>
      <c r="AA859" s="134" t="str">
        <f t="shared" si="374"/>
        <v/>
      </c>
      <c r="AB859" s="134" t="str">
        <f>IF(AA859="","",IFERROR((RANK(AA859,$AA$2:$AA$2028,1)+COUNTIF($AA$2:AA859,AA859))-1,""))</f>
        <v/>
      </c>
      <c r="AC859" s="134" t="str">
        <f t="shared" si="375"/>
        <v/>
      </c>
      <c r="AD859" s="134" t="str">
        <f>IF(AC859="","",IFERROR((RANK(AC859,$AC$2:$AC$2028,1)+COUNTIF($AC$2:AC859,AC859))-1,""))</f>
        <v/>
      </c>
      <c r="AE859" s="144" t="str">
        <f t="shared" si="379"/>
        <v/>
      </c>
      <c r="AF859" s="144" t="str">
        <f>IF(AE859="","",SUM($AE$2:AE859))</f>
        <v/>
      </c>
    </row>
    <row r="860" spans="14:32" x14ac:dyDescent="0.35">
      <c r="N860" s="134" t="str">
        <f t="shared" si="377"/>
        <v/>
      </c>
      <c r="O860" s="82" t="str">
        <f t="shared" si="368"/>
        <v/>
      </c>
      <c r="P860" s="81" t="str">
        <f t="shared" si="378"/>
        <v/>
      </c>
      <c r="Q860" s="81" t="str">
        <f t="shared" si="369"/>
        <v/>
      </c>
      <c r="R860" s="135" t="str">
        <f t="shared" ca="1" si="370"/>
        <v/>
      </c>
      <c r="S860" s="134" t="str">
        <f t="shared" ca="1" si="371"/>
        <v/>
      </c>
      <c r="T860" s="134" t="str">
        <f ca="1">IF(S860=Dashboard!$D$12,S860,"")</f>
        <v/>
      </c>
      <c r="U860" s="134" t="str">
        <f t="shared" ca="1" si="372"/>
        <v/>
      </c>
      <c r="V860" s="83" t="str">
        <f ca="1">IF(U860="","",IFERROR((RANK(U860,$U$2:$U$2028,1)+COUNTIF($U$2:U860,U860))-1,""))</f>
        <v/>
      </c>
      <c r="W860" s="134" t="str">
        <f t="shared" si="376"/>
        <v/>
      </c>
      <c r="X860" s="134" t="str">
        <f>IF(W860="","",IFERROR((RANK(W860,$W$2:$W$2028,1)+COUNTIF($W$2:W860,W860))-1,""))</f>
        <v/>
      </c>
      <c r="Y860" s="134" t="str">
        <f t="shared" si="373"/>
        <v/>
      </c>
      <c r="Z860" s="134" t="str">
        <f>IF(Y860="","",IFERROR((RANK(Y860,$Y$2:$Y$2028,1)+COUNTIF($Y$2:Y860,Y860))-1,""))</f>
        <v/>
      </c>
      <c r="AA860" s="134" t="str">
        <f t="shared" si="374"/>
        <v/>
      </c>
      <c r="AB860" s="134" t="str">
        <f>IF(AA860="","",IFERROR((RANK(AA860,$AA$2:$AA$2028,1)+COUNTIF($AA$2:AA860,AA860))-1,""))</f>
        <v/>
      </c>
      <c r="AC860" s="134" t="str">
        <f t="shared" si="375"/>
        <v/>
      </c>
      <c r="AD860" s="134" t="str">
        <f>IF(AC860="","",IFERROR((RANK(AC860,$AC$2:$AC$2028,1)+COUNTIF($AC$2:AC860,AC860))-1,""))</f>
        <v/>
      </c>
      <c r="AE860" s="144" t="str">
        <f t="shared" si="379"/>
        <v/>
      </c>
      <c r="AF860" s="144" t="str">
        <f>IF(AE860="","",SUM($AE$2:AE860))</f>
        <v/>
      </c>
    </row>
    <row r="861" spans="14:32" x14ac:dyDescent="0.35">
      <c r="N861" s="134" t="str">
        <f t="shared" si="377"/>
        <v/>
      </c>
      <c r="O861" s="82" t="str">
        <f t="shared" si="368"/>
        <v/>
      </c>
      <c r="P861" s="81" t="str">
        <f t="shared" si="378"/>
        <v/>
      </c>
      <c r="Q861" s="81" t="str">
        <f t="shared" si="369"/>
        <v/>
      </c>
      <c r="R861" s="135" t="str">
        <f t="shared" ca="1" si="370"/>
        <v/>
      </c>
      <c r="S861" s="134" t="str">
        <f t="shared" ca="1" si="371"/>
        <v/>
      </c>
      <c r="T861" s="134" t="str">
        <f ca="1">IF(S861=Dashboard!$D$12,S861,"")</f>
        <v/>
      </c>
      <c r="U861" s="134" t="str">
        <f t="shared" ca="1" si="372"/>
        <v/>
      </c>
      <c r="V861" s="83" t="str">
        <f ca="1">IF(U861="","",IFERROR((RANK(U861,$U$2:$U$2028,1)+COUNTIF($U$2:U861,U861))-1,""))</f>
        <v/>
      </c>
      <c r="W861" s="134" t="str">
        <f t="shared" si="376"/>
        <v/>
      </c>
      <c r="X861" s="134" t="str">
        <f>IF(W861="","",IFERROR((RANK(W861,$W$2:$W$2028,1)+COUNTIF($W$2:W861,W861))-1,""))</f>
        <v/>
      </c>
      <c r="Y861" s="134" t="str">
        <f t="shared" si="373"/>
        <v/>
      </c>
      <c r="Z861" s="134" t="str">
        <f>IF(Y861="","",IFERROR((RANK(Y861,$Y$2:$Y$2028,1)+COUNTIF($Y$2:Y861,Y861))-1,""))</f>
        <v/>
      </c>
      <c r="AA861" s="134" t="str">
        <f t="shared" si="374"/>
        <v/>
      </c>
      <c r="AB861" s="134" t="str">
        <f>IF(AA861="","",IFERROR((RANK(AA861,$AA$2:$AA$2028,1)+COUNTIF($AA$2:AA861,AA861))-1,""))</f>
        <v/>
      </c>
      <c r="AC861" s="134" t="str">
        <f t="shared" si="375"/>
        <v/>
      </c>
      <c r="AD861" s="134" t="str">
        <f>IF(AC861="","",IFERROR((RANK(AC861,$AC$2:$AC$2028,1)+COUNTIF($AC$2:AC861,AC861))-1,""))</f>
        <v/>
      </c>
      <c r="AE861" s="144" t="str">
        <f t="shared" si="379"/>
        <v/>
      </c>
      <c r="AF861" s="144" t="str">
        <f>IF(AE861="","",SUM($AE$2:AE861))</f>
        <v/>
      </c>
    </row>
    <row r="862" spans="14:32" x14ac:dyDescent="0.35">
      <c r="N862" s="134" t="str">
        <f t="shared" si="377"/>
        <v/>
      </c>
      <c r="O862" s="82" t="str">
        <f t="shared" ref="O862:O925" si="380">IF(A862="","",N862&amp;"-"&amp;M862)</f>
        <v/>
      </c>
      <c r="P862" s="81" t="str">
        <f t="shared" si="378"/>
        <v/>
      </c>
      <c r="Q862" s="81" t="str">
        <f t="shared" ref="Q862:Q925" si="381">IF(A862="","",IF(P862=1,M862,""))</f>
        <v/>
      </c>
      <c r="R862" s="135" t="str">
        <f t="shared" ref="R862:R925" ca="1" si="382">IF(Q862="","",I862-TODAY())</f>
        <v/>
      </c>
      <c r="S862" s="134" t="str">
        <f t="shared" ref="S862:S925" ca="1" si="383">IF(R862="","",
IF(R862&lt;-90,"Pass&gt;90",IF(R862&lt;-60,"Pass 61-90",IF(R862&lt;-30,"Pass 31-60",IF(R862&lt;0,"Pass 0-30",IF(R862&lt;31,"Run 0-30",IF(R862&lt;61,"Run 31-60",IF(R862&lt;91,"Run 60-90","Run &gt;90"))))))))</f>
        <v/>
      </c>
      <c r="T862" s="134" t="str">
        <f ca="1">IF(S862=Dashboard!$D$12,S862,"")</f>
        <v/>
      </c>
      <c r="U862" s="134" t="str">
        <f t="shared" ref="U862:U925" ca="1" si="384">IF(T862="","",R862)</f>
        <v/>
      </c>
      <c r="V862" s="83" t="str">
        <f ca="1">IF(U862="","",IFERROR((RANK(U862,$U$2:$U$2028,1)+COUNTIF($U$2:U862,U862))-1,""))</f>
        <v/>
      </c>
      <c r="W862" s="134" t="str">
        <f t="shared" si="376"/>
        <v/>
      </c>
      <c r="X862" s="134" t="str">
        <f>IF(W862="","",IFERROR((RANK(W862,$W$2:$W$2028,1)+COUNTIF($W$2:W862,W862))-1,""))</f>
        <v/>
      </c>
      <c r="Y862" s="134" t="str">
        <f t="shared" ref="Y862:Y925" si="385">IF($J862=Y$1,$U862,"")</f>
        <v/>
      </c>
      <c r="Z862" s="134" t="str">
        <f>IF(Y862="","",IFERROR((RANK(Y862,$Y$2:$Y$2028,1)+COUNTIF($Y$2:Y862,Y862))-1,""))</f>
        <v/>
      </c>
      <c r="AA862" s="134" t="str">
        <f t="shared" ref="AA862:AA925" si="386">IF($J862=AA$1,$U862,"")</f>
        <v/>
      </c>
      <c r="AB862" s="134" t="str">
        <f>IF(AA862="","",IFERROR((RANK(AA862,$AA$2:$AA$2028,1)+COUNTIF($AA$2:AA862,AA862))-1,""))</f>
        <v/>
      </c>
      <c r="AC862" s="134" t="str">
        <f t="shared" ref="AC862:AC925" si="387">IF($J862=AC$1,$U862,"")</f>
        <v/>
      </c>
      <c r="AD862" s="134" t="str">
        <f>IF(AC862="","",IFERROR((RANK(AC862,$AC$2:$AC$2028,1)+COUNTIF($AC$2:AC862,AC862))-1,""))</f>
        <v/>
      </c>
      <c r="AE862" s="144" t="str">
        <f t="shared" si="379"/>
        <v/>
      </c>
      <c r="AF862" s="144" t="str">
        <f>IF(AE862="","",SUM($AE$2:AE862))</f>
        <v/>
      </c>
    </row>
    <row r="863" spans="14:32" x14ac:dyDescent="0.35">
      <c r="N863" s="134" t="str">
        <f t="shared" si="377"/>
        <v/>
      </c>
      <c r="O863" s="82" t="str">
        <f t="shared" si="380"/>
        <v/>
      </c>
      <c r="P863" s="81" t="str">
        <f t="shared" si="378"/>
        <v/>
      </c>
      <c r="Q863" s="81" t="str">
        <f t="shared" si="381"/>
        <v/>
      </c>
      <c r="R863" s="135" t="str">
        <f t="shared" ca="1" si="382"/>
        <v/>
      </c>
      <c r="S863" s="134" t="str">
        <f t="shared" ca="1" si="383"/>
        <v/>
      </c>
      <c r="T863" s="134" t="str">
        <f ca="1">IF(S863=Dashboard!$D$12,S863,"")</f>
        <v/>
      </c>
      <c r="U863" s="134" t="str">
        <f t="shared" ca="1" si="384"/>
        <v/>
      </c>
      <c r="V863" s="83" t="str">
        <f ca="1">IF(U863="","",IFERROR((RANK(U863,$U$2:$U$2028,1)+COUNTIF($U$2:U863,U863))-1,""))</f>
        <v/>
      </c>
      <c r="W863" s="134" t="str">
        <f t="shared" ref="W863:W926" si="388">IF($J863=$W$1,U863,"")</f>
        <v/>
      </c>
      <c r="X863" s="134" t="str">
        <f>IF(W863="","",IFERROR((RANK(W863,$W$2:$W$2028,1)+COUNTIF($W$2:W863,W863))-1,""))</f>
        <v/>
      </c>
      <c r="Y863" s="134" t="str">
        <f t="shared" si="385"/>
        <v/>
      </c>
      <c r="Z863" s="134" t="str">
        <f>IF(Y863="","",IFERROR((RANK(Y863,$Y$2:$Y$2028,1)+COUNTIF($Y$2:Y863,Y863))-1,""))</f>
        <v/>
      </c>
      <c r="AA863" s="134" t="str">
        <f t="shared" si="386"/>
        <v/>
      </c>
      <c r="AB863" s="134" t="str">
        <f>IF(AA863="","",IFERROR((RANK(AA863,$AA$2:$AA$2028,1)+COUNTIF($AA$2:AA863,AA863))-1,""))</f>
        <v/>
      </c>
      <c r="AC863" s="134" t="str">
        <f t="shared" si="387"/>
        <v/>
      </c>
      <c r="AD863" s="134" t="str">
        <f>IF(AC863="","",IFERROR((RANK(AC863,$AC$2:$AC$2028,1)+COUNTIF($AC$2:AC863,AC863))-1,""))</f>
        <v/>
      </c>
      <c r="AE863" s="144" t="str">
        <f t="shared" si="379"/>
        <v/>
      </c>
      <c r="AF863" s="144" t="str">
        <f>IF(AE863="","",SUM($AE$2:AE863))</f>
        <v/>
      </c>
    </row>
    <row r="864" spans="14:32" x14ac:dyDescent="0.35">
      <c r="N864" s="134" t="str">
        <f t="shared" si="377"/>
        <v/>
      </c>
      <c r="O864" s="82" t="str">
        <f t="shared" si="380"/>
        <v/>
      </c>
      <c r="P864" s="81" t="str">
        <f t="shared" si="378"/>
        <v/>
      </c>
      <c r="Q864" s="81" t="str">
        <f t="shared" si="381"/>
        <v/>
      </c>
      <c r="R864" s="135" t="str">
        <f t="shared" ca="1" si="382"/>
        <v/>
      </c>
      <c r="S864" s="134" t="str">
        <f t="shared" ca="1" si="383"/>
        <v/>
      </c>
      <c r="T864" s="134" t="str">
        <f ca="1">IF(S864=Dashboard!$D$12,S864,"")</f>
        <v/>
      </c>
      <c r="U864" s="134" t="str">
        <f t="shared" ca="1" si="384"/>
        <v/>
      </c>
      <c r="V864" s="83" t="str">
        <f ca="1">IF(U864="","",IFERROR((RANK(U864,$U$2:$U$2028,1)+COUNTIF($U$2:U864,U864))-1,""))</f>
        <v/>
      </c>
      <c r="W864" s="134" t="str">
        <f t="shared" si="388"/>
        <v/>
      </c>
      <c r="X864" s="134" t="str">
        <f>IF(W864="","",IFERROR((RANK(W864,$W$2:$W$2028,1)+COUNTIF($W$2:W864,W864))-1,""))</f>
        <v/>
      </c>
      <c r="Y864" s="134" t="str">
        <f t="shared" si="385"/>
        <v/>
      </c>
      <c r="Z864" s="134" t="str">
        <f>IF(Y864="","",IFERROR((RANK(Y864,$Y$2:$Y$2028,1)+COUNTIF($Y$2:Y864,Y864))-1,""))</f>
        <v/>
      </c>
      <c r="AA864" s="134" t="str">
        <f t="shared" si="386"/>
        <v/>
      </c>
      <c r="AB864" s="134" t="str">
        <f>IF(AA864="","",IFERROR((RANK(AA864,$AA$2:$AA$2028,1)+COUNTIF($AA$2:AA864,AA864))-1,""))</f>
        <v/>
      </c>
      <c r="AC864" s="134" t="str">
        <f t="shared" si="387"/>
        <v/>
      </c>
      <c r="AD864" s="134" t="str">
        <f>IF(AC864="","",IFERROR((RANK(AC864,$AC$2:$AC$2028,1)+COUNTIF($AC$2:AC864,AC864))-1,""))</f>
        <v/>
      </c>
      <c r="AE864" s="144" t="str">
        <f t="shared" si="379"/>
        <v/>
      </c>
      <c r="AF864" s="144" t="str">
        <f>IF(AE864="","",SUM($AE$2:AE864))</f>
        <v/>
      </c>
    </row>
    <row r="865" spans="14:32" x14ac:dyDescent="0.35">
      <c r="N865" s="134" t="str">
        <f t="shared" si="377"/>
        <v/>
      </c>
      <c r="O865" s="82" t="str">
        <f t="shared" si="380"/>
        <v/>
      </c>
      <c r="P865" s="81" t="str">
        <f t="shared" si="378"/>
        <v/>
      </c>
      <c r="Q865" s="81" t="str">
        <f t="shared" si="381"/>
        <v/>
      </c>
      <c r="R865" s="135" t="str">
        <f t="shared" ca="1" si="382"/>
        <v/>
      </c>
      <c r="S865" s="134" t="str">
        <f t="shared" ca="1" si="383"/>
        <v/>
      </c>
      <c r="T865" s="134" t="str">
        <f ca="1">IF(S865=Dashboard!$D$12,S865,"")</f>
        <v/>
      </c>
      <c r="U865" s="134" t="str">
        <f t="shared" ca="1" si="384"/>
        <v/>
      </c>
      <c r="V865" s="83" t="str">
        <f ca="1">IF(U865="","",IFERROR((RANK(U865,$U$2:$U$2028,1)+COUNTIF($U$2:U865,U865))-1,""))</f>
        <v/>
      </c>
      <c r="W865" s="134" t="str">
        <f t="shared" si="388"/>
        <v/>
      </c>
      <c r="X865" s="134" t="str">
        <f>IF(W865="","",IFERROR((RANK(W865,$W$2:$W$2028,1)+COUNTIF($W$2:W865,W865))-1,""))</f>
        <v/>
      </c>
      <c r="Y865" s="134" t="str">
        <f t="shared" si="385"/>
        <v/>
      </c>
      <c r="Z865" s="134" t="str">
        <f>IF(Y865="","",IFERROR((RANK(Y865,$Y$2:$Y$2028,1)+COUNTIF($Y$2:Y865,Y865))-1,""))</f>
        <v/>
      </c>
      <c r="AA865" s="134" t="str">
        <f t="shared" si="386"/>
        <v/>
      </c>
      <c r="AB865" s="134" t="str">
        <f>IF(AA865="","",IFERROR((RANK(AA865,$AA$2:$AA$2028,1)+COUNTIF($AA$2:AA865,AA865))-1,""))</f>
        <v/>
      </c>
      <c r="AC865" s="134" t="str">
        <f t="shared" si="387"/>
        <v/>
      </c>
      <c r="AD865" s="134" t="str">
        <f>IF(AC865="","",IFERROR((RANK(AC865,$AC$2:$AC$2028,1)+COUNTIF($AC$2:AC865,AC865))-1,""))</f>
        <v/>
      </c>
      <c r="AE865" s="144" t="str">
        <f t="shared" si="379"/>
        <v/>
      </c>
      <c r="AF865" s="144" t="str">
        <f>IF(AE865="","",SUM($AE$2:AE865))</f>
        <v/>
      </c>
    </row>
    <row r="866" spans="14:32" x14ac:dyDescent="0.35">
      <c r="N866" s="134" t="str">
        <f t="shared" si="377"/>
        <v/>
      </c>
      <c r="O866" s="82" t="str">
        <f t="shared" si="380"/>
        <v/>
      </c>
      <c r="P866" s="81" t="str">
        <f t="shared" si="378"/>
        <v/>
      </c>
      <c r="Q866" s="81" t="str">
        <f t="shared" si="381"/>
        <v/>
      </c>
      <c r="R866" s="135" t="str">
        <f t="shared" ca="1" si="382"/>
        <v/>
      </c>
      <c r="S866" s="134" t="str">
        <f t="shared" ca="1" si="383"/>
        <v/>
      </c>
      <c r="T866" s="134" t="str">
        <f ca="1">IF(S866=Dashboard!$D$12,S866,"")</f>
        <v/>
      </c>
      <c r="U866" s="134" t="str">
        <f t="shared" ca="1" si="384"/>
        <v/>
      </c>
      <c r="V866" s="83" t="str">
        <f ca="1">IF(U866="","",IFERROR((RANK(U866,$U$2:$U$2028,1)+COUNTIF($U$2:U866,U866))-1,""))</f>
        <v/>
      </c>
      <c r="W866" s="134" t="str">
        <f t="shared" si="388"/>
        <v/>
      </c>
      <c r="X866" s="134" t="str">
        <f>IF(W866="","",IFERROR((RANK(W866,$W$2:$W$2028,1)+COUNTIF($W$2:W866,W866))-1,""))</f>
        <v/>
      </c>
      <c r="Y866" s="134" t="str">
        <f t="shared" si="385"/>
        <v/>
      </c>
      <c r="Z866" s="134" t="str">
        <f>IF(Y866="","",IFERROR((RANK(Y866,$Y$2:$Y$2028,1)+COUNTIF($Y$2:Y866,Y866))-1,""))</f>
        <v/>
      </c>
      <c r="AA866" s="134" t="str">
        <f t="shared" si="386"/>
        <v/>
      </c>
      <c r="AB866" s="134" t="str">
        <f>IF(AA866="","",IFERROR((RANK(AA866,$AA$2:$AA$2028,1)+COUNTIF($AA$2:AA866,AA866))-1,""))</f>
        <v/>
      </c>
      <c r="AC866" s="134" t="str">
        <f t="shared" si="387"/>
        <v/>
      </c>
      <c r="AD866" s="134" t="str">
        <f>IF(AC866="","",IFERROR((RANK(AC866,$AC$2:$AC$2028,1)+COUNTIF($AC$2:AC866,AC866))-1,""))</f>
        <v/>
      </c>
      <c r="AE866" s="144" t="str">
        <f t="shared" si="379"/>
        <v/>
      </c>
      <c r="AF866" s="144" t="str">
        <f>IF(AE866="","",SUM($AE$2:AE866))</f>
        <v/>
      </c>
    </row>
    <row r="867" spans="14:32" x14ac:dyDescent="0.35">
      <c r="N867" s="134" t="str">
        <f t="shared" si="377"/>
        <v/>
      </c>
      <c r="O867" s="82" t="str">
        <f t="shared" si="380"/>
        <v/>
      </c>
      <c r="P867" s="81" t="str">
        <f t="shared" si="378"/>
        <v/>
      </c>
      <c r="Q867" s="81" t="str">
        <f t="shared" si="381"/>
        <v/>
      </c>
      <c r="R867" s="135" t="str">
        <f t="shared" ca="1" si="382"/>
        <v/>
      </c>
      <c r="S867" s="134" t="str">
        <f t="shared" ca="1" si="383"/>
        <v/>
      </c>
      <c r="T867" s="134" t="str">
        <f ca="1">IF(S867=Dashboard!$D$12,S867,"")</f>
        <v/>
      </c>
      <c r="U867" s="134" t="str">
        <f t="shared" ca="1" si="384"/>
        <v/>
      </c>
      <c r="V867" s="83" t="str">
        <f ca="1">IF(U867="","",IFERROR((RANK(U867,$U$2:$U$2028,1)+COUNTIF($U$2:U867,U867))-1,""))</f>
        <v/>
      </c>
      <c r="W867" s="134" t="str">
        <f t="shared" si="388"/>
        <v/>
      </c>
      <c r="X867" s="134" t="str">
        <f>IF(W867="","",IFERROR((RANK(W867,$W$2:$W$2028,1)+COUNTIF($W$2:W867,W867))-1,""))</f>
        <v/>
      </c>
      <c r="Y867" s="134" t="str">
        <f t="shared" si="385"/>
        <v/>
      </c>
      <c r="Z867" s="134" t="str">
        <f>IF(Y867="","",IFERROR((RANK(Y867,$Y$2:$Y$2028,1)+COUNTIF($Y$2:Y867,Y867))-1,""))</f>
        <v/>
      </c>
      <c r="AA867" s="134" t="str">
        <f t="shared" si="386"/>
        <v/>
      </c>
      <c r="AB867" s="134" t="str">
        <f>IF(AA867="","",IFERROR((RANK(AA867,$AA$2:$AA$2028,1)+COUNTIF($AA$2:AA867,AA867))-1,""))</f>
        <v/>
      </c>
      <c r="AC867" s="134" t="str">
        <f t="shared" si="387"/>
        <v/>
      </c>
      <c r="AD867" s="134" t="str">
        <f>IF(AC867="","",IFERROR((RANK(AC867,$AC$2:$AC$2028,1)+COUNTIF($AC$2:AC867,AC867))-1,""))</f>
        <v/>
      </c>
      <c r="AE867" s="144" t="str">
        <f t="shared" si="379"/>
        <v/>
      </c>
      <c r="AF867" s="144" t="str">
        <f>IF(AE867="","",SUM($AE$2:AE867))</f>
        <v/>
      </c>
    </row>
    <row r="868" spans="14:32" x14ac:dyDescent="0.35">
      <c r="N868" s="134" t="str">
        <f t="shared" si="377"/>
        <v/>
      </c>
      <c r="O868" s="82" t="str">
        <f t="shared" si="380"/>
        <v/>
      </c>
      <c r="P868" s="81" t="str">
        <f t="shared" si="378"/>
        <v/>
      </c>
      <c r="Q868" s="81" t="str">
        <f t="shared" si="381"/>
        <v/>
      </c>
      <c r="R868" s="135" t="str">
        <f t="shared" ca="1" si="382"/>
        <v/>
      </c>
      <c r="S868" s="134" t="str">
        <f t="shared" ca="1" si="383"/>
        <v/>
      </c>
      <c r="T868" s="134" t="str">
        <f ca="1">IF(S868=Dashboard!$D$12,S868,"")</f>
        <v/>
      </c>
      <c r="U868" s="134" t="str">
        <f t="shared" ca="1" si="384"/>
        <v/>
      </c>
      <c r="V868" s="83" t="str">
        <f ca="1">IF(U868="","",IFERROR((RANK(U868,$U$2:$U$2028,1)+COUNTIF($U$2:U868,U868))-1,""))</f>
        <v/>
      </c>
      <c r="W868" s="134" t="str">
        <f t="shared" si="388"/>
        <v/>
      </c>
      <c r="X868" s="134" t="str">
        <f>IF(W868="","",IFERROR((RANK(W868,$W$2:$W$2028,1)+COUNTIF($W$2:W868,W868))-1,""))</f>
        <v/>
      </c>
      <c r="Y868" s="134" t="str">
        <f t="shared" si="385"/>
        <v/>
      </c>
      <c r="Z868" s="134" t="str">
        <f>IF(Y868="","",IFERROR((RANK(Y868,$Y$2:$Y$2028,1)+COUNTIF($Y$2:Y868,Y868))-1,""))</f>
        <v/>
      </c>
      <c r="AA868" s="134" t="str">
        <f t="shared" si="386"/>
        <v/>
      </c>
      <c r="AB868" s="134" t="str">
        <f>IF(AA868="","",IFERROR((RANK(AA868,$AA$2:$AA$2028,1)+COUNTIF($AA$2:AA868,AA868))-1,""))</f>
        <v/>
      </c>
      <c r="AC868" s="134" t="str">
        <f t="shared" si="387"/>
        <v/>
      </c>
      <c r="AD868" s="134" t="str">
        <f>IF(AC868="","",IFERROR((RANK(AC868,$AC$2:$AC$2028,1)+COUNTIF($AC$2:AC868,AC868))-1,""))</f>
        <v/>
      </c>
      <c r="AE868" s="144" t="str">
        <f t="shared" si="379"/>
        <v/>
      </c>
      <c r="AF868" s="144" t="str">
        <f>IF(AE868="","",SUM($AE$2:AE868))</f>
        <v/>
      </c>
    </row>
    <row r="869" spans="14:32" x14ac:dyDescent="0.35">
      <c r="N869" s="134" t="str">
        <f t="shared" si="377"/>
        <v/>
      </c>
      <c r="O869" s="82" t="str">
        <f t="shared" si="380"/>
        <v/>
      </c>
      <c r="P869" s="81" t="str">
        <f t="shared" si="378"/>
        <v/>
      </c>
      <c r="Q869" s="81" t="str">
        <f t="shared" si="381"/>
        <v/>
      </c>
      <c r="R869" s="135" t="str">
        <f t="shared" ca="1" si="382"/>
        <v/>
      </c>
      <c r="S869" s="134" t="str">
        <f t="shared" ca="1" si="383"/>
        <v/>
      </c>
      <c r="T869" s="134" t="str">
        <f ca="1">IF(S869=Dashboard!$D$12,S869,"")</f>
        <v/>
      </c>
      <c r="U869" s="134" t="str">
        <f t="shared" ca="1" si="384"/>
        <v/>
      </c>
      <c r="V869" s="83" t="str">
        <f ca="1">IF(U869="","",IFERROR((RANK(U869,$U$2:$U$2028,1)+COUNTIF($U$2:U869,U869))-1,""))</f>
        <v/>
      </c>
      <c r="W869" s="134" t="str">
        <f t="shared" si="388"/>
        <v/>
      </c>
      <c r="X869" s="134" t="str">
        <f>IF(W869="","",IFERROR((RANK(W869,$W$2:$W$2028,1)+COUNTIF($W$2:W869,W869))-1,""))</f>
        <v/>
      </c>
      <c r="Y869" s="134" t="str">
        <f t="shared" si="385"/>
        <v/>
      </c>
      <c r="Z869" s="134" t="str">
        <f>IF(Y869="","",IFERROR((RANK(Y869,$Y$2:$Y$2028,1)+COUNTIF($Y$2:Y869,Y869))-1,""))</f>
        <v/>
      </c>
      <c r="AA869" s="134" t="str">
        <f t="shared" si="386"/>
        <v/>
      </c>
      <c r="AB869" s="134" t="str">
        <f>IF(AA869="","",IFERROR((RANK(AA869,$AA$2:$AA$2028,1)+COUNTIF($AA$2:AA869,AA869))-1,""))</f>
        <v/>
      </c>
      <c r="AC869" s="134" t="str">
        <f t="shared" si="387"/>
        <v/>
      </c>
      <c r="AD869" s="134" t="str">
        <f>IF(AC869="","",IFERROR((RANK(AC869,$AC$2:$AC$2028,1)+COUNTIF($AC$2:AC869,AC869))-1,""))</f>
        <v/>
      </c>
      <c r="AE869" s="144" t="str">
        <f t="shared" si="379"/>
        <v/>
      </c>
      <c r="AF869" s="144" t="str">
        <f>IF(AE869="","",SUM($AE$2:AE869))</f>
        <v/>
      </c>
    </row>
    <row r="870" spans="14:32" x14ac:dyDescent="0.35">
      <c r="N870" s="134" t="str">
        <f t="shared" si="377"/>
        <v/>
      </c>
      <c r="O870" s="82" t="str">
        <f t="shared" si="380"/>
        <v/>
      </c>
      <c r="P870" s="81" t="str">
        <f t="shared" si="378"/>
        <v/>
      </c>
      <c r="Q870" s="81" t="str">
        <f t="shared" si="381"/>
        <v/>
      </c>
      <c r="R870" s="135" t="str">
        <f t="shared" ca="1" si="382"/>
        <v/>
      </c>
      <c r="S870" s="134" t="str">
        <f t="shared" ca="1" si="383"/>
        <v/>
      </c>
      <c r="T870" s="134" t="str">
        <f ca="1">IF(S870=Dashboard!$D$12,S870,"")</f>
        <v/>
      </c>
      <c r="U870" s="134" t="str">
        <f t="shared" ca="1" si="384"/>
        <v/>
      </c>
      <c r="V870" s="83" t="str">
        <f ca="1">IF(U870="","",IFERROR((RANK(U870,$U$2:$U$2028,1)+COUNTIF($U$2:U870,U870))-1,""))</f>
        <v/>
      </c>
      <c r="W870" s="134" t="str">
        <f t="shared" si="388"/>
        <v/>
      </c>
      <c r="X870" s="134" t="str">
        <f>IF(W870="","",IFERROR((RANK(W870,$W$2:$W$2028,1)+COUNTIF($W$2:W870,W870))-1,""))</f>
        <v/>
      </c>
      <c r="Y870" s="134" t="str">
        <f t="shared" si="385"/>
        <v/>
      </c>
      <c r="Z870" s="134" t="str">
        <f>IF(Y870="","",IFERROR((RANK(Y870,$Y$2:$Y$2028,1)+COUNTIF($Y$2:Y870,Y870))-1,""))</f>
        <v/>
      </c>
      <c r="AA870" s="134" t="str">
        <f t="shared" si="386"/>
        <v/>
      </c>
      <c r="AB870" s="134" t="str">
        <f>IF(AA870="","",IFERROR((RANK(AA870,$AA$2:$AA$2028,1)+COUNTIF($AA$2:AA870,AA870))-1,""))</f>
        <v/>
      </c>
      <c r="AC870" s="134" t="str">
        <f t="shared" si="387"/>
        <v/>
      </c>
      <c r="AD870" s="134" t="str">
        <f>IF(AC870="","",IFERROR((RANK(AC870,$AC$2:$AC$2028,1)+COUNTIF($AC$2:AC870,AC870))-1,""))</f>
        <v/>
      </c>
      <c r="AE870" s="144" t="str">
        <f t="shared" si="379"/>
        <v/>
      </c>
      <c r="AF870" s="144" t="str">
        <f>IF(AE870="","",SUM($AE$2:AE870))</f>
        <v/>
      </c>
    </row>
    <row r="871" spans="14:32" x14ac:dyDescent="0.35">
      <c r="N871" s="134" t="str">
        <f t="shared" si="377"/>
        <v/>
      </c>
      <c r="O871" s="82" t="str">
        <f t="shared" si="380"/>
        <v/>
      </c>
      <c r="P871" s="81" t="str">
        <f t="shared" si="378"/>
        <v/>
      </c>
      <c r="Q871" s="81" t="str">
        <f t="shared" si="381"/>
        <v/>
      </c>
      <c r="R871" s="135" t="str">
        <f t="shared" ca="1" si="382"/>
        <v/>
      </c>
      <c r="S871" s="134" t="str">
        <f t="shared" ca="1" si="383"/>
        <v/>
      </c>
      <c r="T871" s="134" t="str">
        <f ca="1">IF(S871=Dashboard!$D$12,S871,"")</f>
        <v/>
      </c>
      <c r="U871" s="134" t="str">
        <f t="shared" ca="1" si="384"/>
        <v/>
      </c>
      <c r="V871" s="83" t="str">
        <f ca="1">IF(U871="","",IFERROR((RANK(U871,$U$2:$U$2028,1)+COUNTIF($U$2:U871,U871))-1,""))</f>
        <v/>
      </c>
      <c r="W871" s="134" t="str">
        <f t="shared" si="388"/>
        <v/>
      </c>
      <c r="X871" s="134" t="str">
        <f>IF(W871="","",IFERROR((RANK(W871,$W$2:$W$2028,1)+COUNTIF($W$2:W871,W871))-1,""))</f>
        <v/>
      </c>
      <c r="Y871" s="134" t="str">
        <f t="shared" si="385"/>
        <v/>
      </c>
      <c r="Z871" s="134" t="str">
        <f>IF(Y871="","",IFERROR((RANK(Y871,$Y$2:$Y$2028,1)+COUNTIF($Y$2:Y871,Y871))-1,""))</f>
        <v/>
      </c>
      <c r="AA871" s="134" t="str">
        <f t="shared" si="386"/>
        <v/>
      </c>
      <c r="AB871" s="134" t="str">
        <f>IF(AA871="","",IFERROR((RANK(AA871,$AA$2:$AA$2028,1)+COUNTIF($AA$2:AA871,AA871))-1,""))</f>
        <v/>
      </c>
      <c r="AC871" s="134" t="str">
        <f t="shared" si="387"/>
        <v/>
      </c>
      <c r="AD871" s="134" t="str">
        <f>IF(AC871="","",IFERROR((RANK(AC871,$AC$2:$AC$2028,1)+COUNTIF($AC$2:AC871,AC871))-1,""))</f>
        <v/>
      </c>
      <c r="AE871" s="144" t="str">
        <f t="shared" si="379"/>
        <v/>
      </c>
      <c r="AF871" s="144" t="str">
        <f>IF(AE871="","",SUM($AE$2:AE871))</f>
        <v/>
      </c>
    </row>
    <row r="872" spans="14:32" x14ac:dyDescent="0.35">
      <c r="N872" s="134" t="str">
        <f t="shared" si="377"/>
        <v/>
      </c>
      <c r="O872" s="82" t="str">
        <f t="shared" si="380"/>
        <v/>
      </c>
      <c r="P872" s="81" t="str">
        <f t="shared" si="378"/>
        <v/>
      </c>
      <c r="Q872" s="81" t="str">
        <f t="shared" si="381"/>
        <v/>
      </c>
      <c r="R872" s="135" t="str">
        <f t="shared" ca="1" si="382"/>
        <v/>
      </c>
      <c r="S872" s="134" t="str">
        <f t="shared" ca="1" si="383"/>
        <v/>
      </c>
      <c r="T872" s="134" t="str">
        <f ca="1">IF(S872=Dashboard!$D$12,S872,"")</f>
        <v/>
      </c>
      <c r="U872" s="134" t="str">
        <f t="shared" ca="1" si="384"/>
        <v/>
      </c>
      <c r="V872" s="83" t="str">
        <f ca="1">IF(U872="","",IFERROR((RANK(U872,$U$2:$U$2028,1)+COUNTIF($U$2:U872,U872))-1,""))</f>
        <v/>
      </c>
      <c r="W872" s="134" t="str">
        <f t="shared" si="388"/>
        <v/>
      </c>
      <c r="X872" s="134" t="str">
        <f>IF(W872="","",IFERROR((RANK(W872,$W$2:$W$2028,1)+COUNTIF($W$2:W872,W872))-1,""))</f>
        <v/>
      </c>
      <c r="Y872" s="134" t="str">
        <f t="shared" si="385"/>
        <v/>
      </c>
      <c r="Z872" s="134" t="str">
        <f>IF(Y872="","",IFERROR((RANK(Y872,$Y$2:$Y$2028,1)+COUNTIF($Y$2:Y872,Y872))-1,""))</f>
        <v/>
      </c>
      <c r="AA872" s="134" t="str">
        <f t="shared" si="386"/>
        <v/>
      </c>
      <c r="AB872" s="134" t="str">
        <f>IF(AA872="","",IFERROR((RANK(AA872,$AA$2:$AA$2028,1)+COUNTIF($AA$2:AA872,AA872))-1,""))</f>
        <v/>
      </c>
      <c r="AC872" s="134" t="str">
        <f t="shared" si="387"/>
        <v/>
      </c>
      <c r="AD872" s="134" t="str">
        <f>IF(AC872="","",IFERROR((RANK(AC872,$AC$2:$AC$2028,1)+COUNTIF($AC$2:AC872,AC872))-1,""))</f>
        <v/>
      </c>
      <c r="AE872" s="144" t="str">
        <f t="shared" si="379"/>
        <v/>
      </c>
      <c r="AF872" s="144" t="str">
        <f>IF(AE872="","",SUM($AE$2:AE872))</f>
        <v/>
      </c>
    </row>
    <row r="873" spans="14:32" x14ac:dyDescent="0.35">
      <c r="N873" s="134" t="str">
        <f t="shared" si="377"/>
        <v/>
      </c>
      <c r="O873" s="82" t="str">
        <f t="shared" si="380"/>
        <v/>
      </c>
      <c r="P873" s="81" t="str">
        <f t="shared" si="378"/>
        <v/>
      </c>
      <c r="Q873" s="81" t="str">
        <f t="shared" si="381"/>
        <v/>
      </c>
      <c r="R873" s="135" t="str">
        <f t="shared" ca="1" si="382"/>
        <v/>
      </c>
      <c r="S873" s="134" t="str">
        <f t="shared" ca="1" si="383"/>
        <v/>
      </c>
      <c r="T873" s="134" t="str">
        <f ca="1">IF(S873=Dashboard!$D$12,S873,"")</f>
        <v/>
      </c>
      <c r="U873" s="134" t="str">
        <f t="shared" ca="1" si="384"/>
        <v/>
      </c>
      <c r="V873" s="83" t="str">
        <f ca="1">IF(U873="","",IFERROR((RANK(U873,$U$2:$U$2028,1)+COUNTIF($U$2:U873,U873))-1,""))</f>
        <v/>
      </c>
      <c r="W873" s="134" t="str">
        <f t="shared" si="388"/>
        <v/>
      </c>
      <c r="X873" s="134" t="str">
        <f>IF(W873="","",IFERROR((RANK(W873,$W$2:$W$2028,1)+COUNTIF($W$2:W873,W873))-1,""))</f>
        <v/>
      </c>
      <c r="Y873" s="134" t="str">
        <f t="shared" si="385"/>
        <v/>
      </c>
      <c r="Z873" s="134" t="str">
        <f>IF(Y873="","",IFERROR((RANK(Y873,$Y$2:$Y$2028,1)+COUNTIF($Y$2:Y873,Y873))-1,""))</f>
        <v/>
      </c>
      <c r="AA873" s="134" t="str">
        <f t="shared" si="386"/>
        <v/>
      </c>
      <c r="AB873" s="134" t="str">
        <f>IF(AA873="","",IFERROR((RANK(AA873,$AA$2:$AA$2028,1)+COUNTIF($AA$2:AA873,AA873))-1,""))</f>
        <v/>
      </c>
      <c r="AC873" s="134" t="str">
        <f t="shared" si="387"/>
        <v/>
      </c>
      <c r="AD873" s="134" t="str">
        <f>IF(AC873="","",IFERROR((RANK(AC873,$AC$2:$AC$2028,1)+COUNTIF($AC$2:AC873,AC873))-1,""))</f>
        <v/>
      </c>
      <c r="AE873" s="144" t="str">
        <f t="shared" si="379"/>
        <v/>
      </c>
      <c r="AF873" s="144" t="str">
        <f>IF(AE873="","",SUM($AE$2:AE873))</f>
        <v/>
      </c>
    </row>
    <row r="874" spans="14:32" x14ac:dyDescent="0.35">
      <c r="N874" s="134" t="str">
        <f t="shared" si="377"/>
        <v/>
      </c>
      <c r="O874" s="82" t="str">
        <f t="shared" si="380"/>
        <v/>
      </c>
      <c r="P874" s="81" t="str">
        <f t="shared" si="378"/>
        <v/>
      </c>
      <c r="Q874" s="81" t="str">
        <f t="shared" si="381"/>
        <v/>
      </c>
      <c r="R874" s="135" t="str">
        <f t="shared" ca="1" si="382"/>
        <v/>
      </c>
      <c r="S874" s="134" t="str">
        <f t="shared" ca="1" si="383"/>
        <v/>
      </c>
      <c r="T874" s="134" t="str">
        <f ca="1">IF(S874=Dashboard!$D$12,S874,"")</f>
        <v/>
      </c>
      <c r="U874" s="134" t="str">
        <f t="shared" ca="1" si="384"/>
        <v/>
      </c>
      <c r="V874" s="83" t="str">
        <f ca="1">IF(U874="","",IFERROR((RANK(U874,$U$2:$U$2028,1)+COUNTIF($U$2:U874,U874))-1,""))</f>
        <v/>
      </c>
      <c r="W874" s="134" t="str">
        <f t="shared" si="388"/>
        <v/>
      </c>
      <c r="X874" s="134" t="str">
        <f>IF(W874="","",IFERROR((RANK(W874,$W$2:$W$2028,1)+COUNTIF($W$2:W874,W874))-1,""))</f>
        <v/>
      </c>
      <c r="Y874" s="134" t="str">
        <f t="shared" si="385"/>
        <v/>
      </c>
      <c r="Z874" s="134" t="str">
        <f>IF(Y874="","",IFERROR((RANK(Y874,$Y$2:$Y$2028,1)+COUNTIF($Y$2:Y874,Y874))-1,""))</f>
        <v/>
      </c>
      <c r="AA874" s="134" t="str">
        <f t="shared" si="386"/>
        <v/>
      </c>
      <c r="AB874" s="134" t="str">
        <f>IF(AA874="","",IFERROR((RANK(AA874,$AA$2:$AA$2028,1)+COUNTIF($AA$2:AA874,AA874))-1,""))</f>
        <v/>
      </c>
      <c r="AC874" s="134" t="str">
        <f t="shared" si="387"/>
        <v/>
      </c>
      <c r="AD874" s="134" t="str">
        <f>IF(AC874="","",IFERROR((RANK(AC874,$AC$2:$AC$2028,1)+COUNTIF($AC$2:AC874,AC874))-1,""))</f>
        <v/>
      </c>
      <c r="AE874" s="144" t="str">
        <f t="shared" si="379"/>
        <v/>
      </c>
      <c r="AF874" s="144" t="str">
        <f>IF(AE874="","",SUM($AE$2:AE874))</f>
        <v/>
      </c>
    </row>
    <row r="875" spans="14:32" x14ac:dyDescent="0.35">
      <c r="N875" s="134" t="str">
        <f t="shared" si="377"/>
        <v/>
      </c>
      <c r="O875" s="82" t="str">
        <f t="shared" si="380"/>
        <v/>
      </c>
      <c r="P875" s="81" t="str">
        <f t="shared" si="378"/>
        <v/>
      </c>
      <c r="Q875" s="81" t="str">
        <f t="shared" si="381"/>
        <v/>
      </c>
      <c r="R875" s="135" t="str">
        <f t="shared" ca="1" si="382"/>
        <v/>
      </c>
      <c r="S875" s="134" t="str">
        <f t="shared" ca="1" si="383"/>
        <v/>
      </c>
      <c r="T875" s="134" t="str">
        <f ca="1">IF(S875=Dashboard!$D$12,S875,"")</f>
        <v/>
      </c>
      <c r="U875" s="134" t="str">
        <f t="shared" ca="1" si="384"/>
        <v/>
      </c>
      <c r="V875" s="83" t="str">
        <f ca="1">IF(U875="","",IFERROR((RANK(U875,$U$2:$U$2028,1)+COUNTIF($U$2:U875,U875))-1,""))</f>
        <v/>
      </c>
      <c r="W875" s="134" t="str">
        <f t="shared" si="388"/>
        <v/>
      </c>
      <c r="X875" s="134" t="str">
        <f>IF(W875="","",IFERROR((RANK(W875,$W$2:$W$2028,1)+COUNTIF($W$2:W875,W875))-1,""))</f>
        <v/>
      </c>
      <c r="Y875" s="134" t="str">
        <f t="shared" si="385"/>
        <v/>
      </c>
      <c r="Z875" s="134" t="str">
        <f>IF(Y875="","",IFERROR((RANK(Y875,$Y$2:$Y$2028,1)+COUNTIF($Y$2:Y875,Y875))-1,""))</f>
        <v/>
      </c>
      <c r="AA875" s="134" t="str">
        <f t="shared" si="386"/>
        <v/>
      </c>
      <c r="AB875" s="134" t="str">
        <f>IF(AA875="","",IFERROR((RANK(AA875,$AA$2:$AA$2028,1)+COUNTIF($AA$2:AA875,AA875))-1,""))</f>
        <v/>
      </c>
      <c r="AC875" s="134" t="str">
        <f t="shared" si="387"/>
        <v/>
      </c>
      <c r="AD875" s="134" t="str">
        <f>IF(AC875="","",IFERROR((RANK(AC875,$AC$2:$AC$2028,1)+COUNTIF($AC$2:AC875,AC875))-1,""))</f>
        <v/>
      </c>
      <c r="AE875" s="144" t="str">
        <f t="shared" si="379"/>
        <v/>
      </c>
      <c r="AF875" s="144" t="str">
        <f>IF(AE875="","",SUM($AE$2:AE875))</f>
        <v/>
      </c>
    </row>
    <row r="876" spans="14:32" x14ac:dyDescent="0.35">
      <c r="N876" s="134" t="str">
        <f t="shared" si="377"/>
        <v/>
      </c>
      <c r="O876" s="82" t="str">
        <f t="shared" si="380"/>
        <v/>
      </c>
      <c r="P876" s="81" t="str">
        <f t="shared" si="378"/>
        <v/>
      </c>
      <c r="Q876" s="81" t="str">
        <f t="shared" si="381"/>
        <v/>
      </c>
      <c r="R876" s="135" t="str">
        <f t="shared" ca="1" si="382"/>
        <v/>
      </c>
      <c r="S876" s="134" t="str">
        <f t="shared" ca="1" si="383"/>
        <v/>
      </c>
      <c r="T876" s="134" t="str">
        <f ca="1">IF(S876=Dashboard!$D$12,S876,"")</f>
        <v/>
      </c>
      <c r="U876" s="134" t="str">
        <f t="shared" ca="1" si="384"/>
        <v/>
      </c>
      <c r="V876" s="83" t="str">
        <f ca="1">IF(U876="","",IFERROR((RANK(U876,$U$2:$U$2028,1)+COUNTIF($U$2:U876,U876))-1,""))</f>
        <v/>
      </c>
      <c r="W876" s="134" t="str">
        <f t="shared" si="388"/>
        <v/>
      </c>
      <c r="X876" s="134" t="str">
        <f>IF(W876="","",IFERROR((RANK(W876,$W$2:$W$2028,1)+COUNTIF($W$2:W876,W876))-1,""))</f>
        <v/>
      </c>
      <c r="Y876" s="134" t="str">
        <f t="shared" si="385"/>
        <v/>
      </c>
      <c r="Z876" s="134" t="str">
        <f>IF(Y876="","",IFERROR((RANK(Y876,$Y$2:$Y$2028,1)+COUNTIF($Y$2:Y876,Y876))-1,""))</f>
        <v/>
      </c>
      <c r="AA876" s="134" t="str">
        <f t="shared" si="386"/>
        <v/>
      </c>
      <c r="AB876" s="134" t="str">
        <f>IF(AA876="","",IFERROR((RANK(AA876,$AA$2:$AA$2028,1)+COUNTIF($AA$2:AA876,AA876))-1,""))</f>
        <v/>
      </c>
      <c r="AC876" s="134" t="str">
        <f t="shared" si="387"/>
        <v/>
      </c>
      <c r="AD876" s="134" t="str">
        <f>IF(AC876="","",IFERROR((RANK(AC876,$AC$2:$AC$2028,1)+COUNTIF($AC$2:AC876,AC876))-1,""))</f>
        <v/>
      </c>
      <c r="AE876" s="144" t="str">
        <f t="shared" si="379"/>
        <v/>
      </c>
      <c r="AF876" s="144" t="str">
        <f>IF(AE876="","",SUM($AE$2:AE876))</f>
        <v/>
      </c>
    </row>
    <row r="877" spans="14:32" x14ac:dyDescent="0.35">
      <c r="N877" s="134" t="str">
        <f t="shared" si="377"/>
        <v/>
      </c>
      <c r="O877" s="82" t="str">
        <f t="shared" si="380"/>
        <v/>
      </c>
      <c r="P877" s="81" t="str">
        <f t="shared" si="378"/>
        <v/>
      </c>
      <c r="Q877" s="81" t="str">
        <f t="shared" si="381"/>
        <v/>
      </c>
      <c r="R877" s="135" t="str">
        <f t="shared" ca="1" si="382"/>
        <v/>
      </c>
      <c r="S877" s="134" t="str">
        <f t="shared" ca="1" si="383"/>
        <v/>
      </c>
      <c r="T877" s="134" t="str">
        <f ca="1">IF(S877=Dashboard!$D$12,S877,"")</f>
        <v/>
      </c>
      <c r="U877" s="134" t="str">
        <f t="shared" ca="1" si="384"/>
        <v/>
      </c>
      <c r="V877" s="83" t="str">
        <f ca="1">IF(U877="","",IFERROR((RANK(U877,$U$2:$U$2028,1)+COUNTIF($U$2:U877,U877))-1,""))</f>
        <v/>
      </c>
      <c r="W877" s="134" t="str">
        <f t="shared" si="388"/>
        <v/>
      </c>
      <c r="X877" s="134" t="str">
        <f>IF(W877="","",IFERROR((RANK(W877,$W$2:$W$2028,1)+COUNTIF($W$2:W877,W877))-1,""))</f>
        <v/>
      </c>
      <c r="Y877" s="134" t="str">
        <f t="shared" si="385"/>
        <v/>
      </c>
      <c r="Z877" s="134" t="str">
        <f>IF(Y877="","",IFERROR((RANK(Y877,$Y$2:$Y$2028,1)+COUNTIF($Y$2:Y877,Y877))-1,""))</f>
        <v/>
      </c>
      <c r="AA877" s="134" t="str">
        <f t="shared" si="386"/>
        <v/>
      </c>
      <c r="AB877" s="134" t="str">
        <f>IF(AA877="","",IFERROR((RANK(AA877,$AA$2:$AA$2028,1)+COUNTIF($AA$2:AA877,AA877))-1,""))</f>
        <v/>
      </c>
      <c r="AC877" s="134" t="str">
        <f t="shared" si="387"/>
        <v/>
      </c>
      <c r="AD877" s="134" t="str">
        <f>IF(AC877="","",IFERROR((RANK(AC877,$AC$2:$AC$2028,1)+COUNTIF($AC$2:AC877,AC877))-1,""))</f>
        <v/>
      </c>
      <c r="AE877" s="144" t="str">
        <f t="shared" si="379"/>
        <v/>
      </c>
      <c r="AF877" s="144" t="str">
        <f>IF(AE877="","",SUM($AE$2:AE877))</f>
        <v/>
      </c>
    </row>
    <row r="878" spans="14:32" x14ac:dyDescent="0.35">
      <c r="N878" s="134" t="str">
        <f t="shared" si="377"/>
        <v/>
      </c>
      <c r="O878" s="82" t="str">
        <f t="shared" si="380"/>
        <v/>
      </c>
      <c r="P878" s="81" t="str">
        <f t="shared" si="378"/>
        <v/>
      </c>
      <c r="Q878" s="81" t="str">
        <f t="shared" si="381"/>
        <v/>
      </c>
      <c r="R878" s="135" t="str">
        <f t="shared" ca="1" si="382"/>
        <v/>
      </c>
      <c r="S878" s="134" t="str">
        <f t="shared" ca="1" si="383"/>
        <v/>
      </c>
      <c r="T878" s="134" t="str">
        <f ca="1">IF(S878=Dashboard!$D$12,S878,"")</f>
        <v/>
      </c>
      <c r="U878" s="134" t="str">
        <f t="shared" ca="1" si="384"/>
        <v/>
      </c>
      <c r="V878" s="83" t="str">
        <f ca="1">IF(U878="","",IFERROR((RANK(U878,$U$2:$U$2028,1)+COUNTIF($U$2:U878,U878))-1,""))</f>
        <v/>
      </c>
      <c r="W878" s="134" t="str">
        <f t="shared" si="388"/>
        <v/>
      </c>
      <c r="X878" s="134" t="str">
        <f>IF(W878="","",IFERROR((RANK(W878,$W$2:$W$2028,1)+COUNTIF($W$2:W878,W878))-1,""))</f>
        <v/>
      </c>
      <c r="Y878" s="134" t="str">
        <f t="shared" si="385"/>
        <v/>
      </c>
      <c r="Z878" s="134" t="str">
        <f>IF(Y878="","",IFERROR((RANK(Y878,$Y$2:$Y$2028,1)+COUNTIF($Y$2:Y878,Y878))-1,""))</f>
        <v/>
      </c>
      <c r="AA878" s="134" t="str">
        <f t="shared" si="386"/>
        <v/>
      </c>
      <c r="AB878" s="134" t="str">
        <f>IF(AA878="","",IFERROR((RANK(AA878,$AA$2:$AA$2028,1)+COUNTIF($AA$2:AA878,AA878))-1,""))</f>
        <v/>
      </c>
      <c r="AC878" s="134" t="str">
        <f t="shared" si="387"/>
        <v/>
      </c>
      <c r="AD878" s="134" t="str">
        <f>IF(AC878="","",IFERROR((RANK(AC878,$AC$2:$AC$2028,1)+COUNTIF($AC$2:AC878,AC878))-1,""))</f>
        <v/>
      </c>
      <c r="AE878" s="144" t="str">
        <f t="shared" si="379"/>
        <v/>
      </c>
      <c r="AF878" s="144" t="str">
        <f>IF(AE878="","",SUM($AE$2:AE878))</f>
        <v/>
      </c>
    </row>
    <row r="879" spans="14:32" x14ac:dyDescent="0.35">
      <c r="N879" s="134" t="str">
        <f t="shared" si="377"/>
        <v/>
      </c>
      <c r="O879" s="82" t="str">
        <f t="shared" si="380"/>
        <v/>
      </c>
      <c r="P879" s="81" t="str">
        <f t="shared" si="378"/>
        <v/>
      </c>
      <c r="Q879" s="81" t="str">
        <f t="shared" si="381"/>
        <v/>
      </c>
      <c r="R879" s="135" t="str">
        <f t="shared" ca="1" si="382"/>
        <v/>
      </c>
      <c r="S879" s="134" t="str">
        <f t="shared" ca="1" si="383"/>
        <v/>
      </c>
      <c r="T879" s="134" t="str">
        <f ca="1">IF(S879=Dashboard!$D$12,S879,"")</f>
        <v/>
      </c>
      <c r="U879" s="134" t="str">
        <f t="shared" ca="1" si="384"/>
        <v/>
      </c>
      <c r="V879" s="83" t="str">
        <f ca="1">IF(U879="","",IFERROR((RANK(U879,$U$2:$U$2028,1)+COUNTIF($U$2:U879,U879))-1,""))</f>
        <v/>
      </c>
      <c r="W879" s="134" t="str">
        <f t="shared" si="388"/>
        <v/>
      </c>
      <c r="X879" s="134" t="str">
        <f>IF(W879="","",IFERROR((RANK(W879,$W$2:$W$2028,1)+COUNTIF($W$2:W879,W879))-1,""))</f>
        <v/>
      </c>
      <c r="Y879" s="134" t="str">
        <f t="shared" si="385"/>
        <v/>
      </c>
      <c r="Z879" s="134" t="str">
        <f>IF(Y879="","",IFERROR((RANK(Y879,$Y$2:$Y$2028,1)+COUNTIF($Y$2:Y879,Y879))-1,""))</f>
        <v/>
      </c>
      <c r="AA879" s="134" t="str">
        <f t="shared" si="386"/>
        <v/>
      </c>
      <c r="AB879" s="134" t="str">
        <f>IF(AA879="","",IFERROR((RANK(AA879,$AA$2:$AA$2028,1)+COUNTIF($AA$2:AA879,AA879))-1,""))</f>
        <v/>
      </c>
      <c r="AC879" s="134" t="str">
        <f t="shared" si="387"/>
        <v/>
      </c>
      <c r="AD879" s="134" t="str">
        <f>IF(AC879="","",IFERROR((RANK(AC879,$AC$2:$AC$2028,1)+COUNTIF($AC$2:AC879,AC879))-1,""))</f>
        <v/>
      </c>
      <c r="AE879" s="144" t="str">
        <f t="shared" si="379"/>
        <v/>
      </c>
      <c r="AF879" s="144" t="str">
        <f>IF(AE879="","",SUM($AE$2:AE879))</f>
        <v/>
      </c>
    </row>
    <row r="880" spans="14:32" x14ac:dyDescent="0.35">
      <c r="N880" s="134" t="str">
        <f t="shared" si="377"/>
        <v/>
      </c>
      <c r="O880" s="82" t="str">
        <f t="shared" si="380"/>
        <v/>
      </c>
      <c r="P880" s="81" t="str">
        <f t="shared" si="378"/>
        <v/>
      </c>
      <c r="Q880" s="81" t="str">
        <f t="shared" si="381"/>
        <v/>
      </c>
      <c r="R880" s="135" t="str">
        <f t="shared" ca="1" si="382"/>
        <v/>
      </c>
      <c r="S880" s="134" t="str">
        <f t="shared" ca="1" si="383"/>
        <v/>
      </c>
      <c r="T880" s="134" t="str">
        <f ca="1">IF(S880=Dashboard!$D$12,S880,"")</f>
        <v/>
      </c>
      <c r="U880" s="134" t="str">
        <f t="shared" ca="1" si="384"/>
        <v/>
      </c>
      <c r="V880" s="83" t="str">
        <f ca="1">IF(U880="","",IFERROR((RANK(U880,$U$2:$U$2028,1)+COUNTIF($U$2:U880,U880))-1,""))</f>
        <v/>
      </c>
      <c r="W880" s="134" t="str">
        <f t="shared" si="388"/>
        <v/>
      </c>
      <c r="X880" s="134" t="str">
        <f>IF(W880="","",IFERROR((RANK(W880,$W$2:$W$2028,1)+COUNTIF($W$2:W880,W880))-1,""))</f>
        <v/>
      </c>
      <c r="Y880" s="134" t="str">
        <f t="shared" si="385"/>
        <v/>
      </c>
      <c r="Z880" s="134" t="str">
        <f>IF(Y880="","",IFERROR((RANK(Y880,$Y$2:$Y$2028,1)+COUNTIF($Y$2:Y880,Y880))-1,""))</f>
        <v/>
      </c>
      <c r="AA880" s="134" t="str">
        <f t="shared" si="386"/>
        <v/>
      </c>
      <c r="AB880" s="134" t="str">
        <f>IF(AA880="","",IFERROR((RANK(AA880,$AA$2:$AA$2028,1)+COUNTIF($AA$2:AA880,AA880))-1,""))</f>
        <v/>
      </c>
      <c r="AC880" s="134" t="str">
        <f t="shared" si="387"/>
        <v/>
      </c>
      <c r="AD880" s="134" t="str">
        <f>IF(AC880="","",IFERROR((RANK(AC880,$AC$2:$AC$2028,1)+COUNTIF($AC$2:AC880,AC880))-1,""))</f>
        <v/>
      </c>
      <c r="AE880" s="144" t="str">
        <f t="shared" si="379"/>
        <v/>
      </c>
      <c r="AF880" s="144" t="str">
        <f>IF(AE880="","",SUM($AE$2:AE880))</f>
        <v/>
      </c>
    </row>
    <row r="881" spans="14:32" x14ac:dyDescent="0.35">
      <c r="N881" s="134" t="str">
        <f t="shared" si="377"/>
        <v/>
      </c>
      <c r="O881" s="82" t="str">
        <f t="shared" si="380"/>
        <v/>
      </c>
      <c r="P881" s="81" t="str">
        <f t="shared" si="378"/>
        <v/>
      </c>
      <c r="Q881" s="81" t="str">
        <f t="shared" si="381"/>
        <v/>
      </c>
      <c r="R881" s="135" t="str">
        <f t="shared" ca="1" si="382"/>
        <v/>
      </c>
      <c r="S881" s="134" t="str">
        <f t="shared" ca="1" si="383"/>
        <v/>
      </c>
      <c r="T881" s="134" t="str">
        <f ca="1">IF(S881=Dashboard!$D$12,S881,"")</f>
        <v/>
      </c>
      <c r="U881" s="134" t="str">
        <f t="shared" ca="1" si="384"/>
        <v/>
      </c>
      <c r="V881" s="83" t="str">
        <f ca="1">IF(U881="","",IFERROR((RANK(U881,$U$2:$U$2028,1)+COUNTIF($U$2:U881,U881))-1,""))</f>
        <v/>
      </c>
      <c r="W881" s="134" t="str">
        <f t="shared" si="388"/>
        <v/>
      </c>
      <c r="X881" s="134" t="str">
        <f>IF(W881="","",IFERROR((RANK(W881,$W$2:$W$2028,1)+COUNTIF($W$2:W881,W881))-1,""))</f>
        <v/>
      </c>
      <c r="Y881" s="134" t="str">
        <f t="shared" si="385"/>
        <v/>
      </c>
      <c r="Z881" s="134" t="str">
        <f>IF(Y881="","",IFERROR((RANK(Y881,$Y$2:$Y$2028,1)+COUNTIF($Y$2:Y881,Y881))-1,""))</f>
        <v/>
      </c>
      <c r="AA881" s="134" t="str">
        <f t="shared" si="386"/>
        <v/>
      </c>
      <c r="AB881" s="134" t="str">
        <f>IF(AA881="","",IFERROR((RANK(AA881,$AA$2:$AA$2028,1)+COUNTIF($AA$2:AA881,AA881))-1,""))</f>
        <v/>
      </c>
      <c r="AC881" s="134" t="str">
        <f t="shared" si="387"/>
        <v/>
      </c>
      <c r="AD881" s="134" t="str">
        <f>IF(AC881="","",IFERROR((RANK(AC881,$AC$2:$AC$2028,1)+COUNTIF($AC$2:AC881,AC881))-1,""))</f>
        <v/>
      </c>
      <c r="AE881" s="144" t="str">
        <f t="shared" si="379"/>
        <v/>
      </c>
      <c r="AF881" s="144" t="str">
        <f>IF(AE881="","",SUM($AE$2:AE881))</f>
        <v/>
      </c>
    </row>
    <row r="882" spans="14:32" x14ac:dyDescent="0.35">
      <c r="N882" s="134" t="str">
        <f t="shared" si="377"/>
        <v/>
      </c>
      <c r="O882" s="82" t="str">
        <f t="shared" si="380"/>
        <v/>
      </c>
      <c r="P882" s="81" t="str">
        <f t="shared" si="378"/>
        <v/>
      </c>
      <c r="Q882" s="81" t="str">
        <f t="shared" si="381"/>
        <v/>
      </c>
      <c r="R882" s="135" t="str">
        <f t="shared" ca="1" si="382"/>
        <v/>
      </c>
      <c r="S882" s="134" t="str">
        <f t="shared" ca="1" si="383"/>
        <v/>
      </c>
      <c r="T882" s="134" t="str">
        <f ca="1">IF(S882=Dashboard!$D$12,S882,"")</f>
        <v/>
      </c>
      <c r="U882" s="134" t="str">
        <f t="shared" ca="1" si="384"/>
        <v/>
      </c>
      <c r="V882" s="83" t="str">
        <f ca="1">IF(U882="","",IFERROR((RANK(U882,$U$2:$U$2028,1)+COUNTIF($U$2:U882,U882))-1,""))</f>
        <v/>
      </c>
      <c r="W882" s="134" t="str">
        <f t="shared" si="388"/>
        <v/>
      </c>
      <c r="X882" s="134" t="str">
        <f>IF(W882="","",IFERROR((RANK(W882,$W$2:$W$2028,1)+COUNTIF($W$2:W882,W882))-1,""))</f>
        <v/>
      </c>
      <c r="Y882" s="134" t="str">
        <f t="shared" si="385"/>
        <v/>
      </c>
      <c r="Z882" s="134" t="str">
        <f>IF(Y882="","",IFERROR((RANK(Y882,$Y$2:$Y$2028,1)+COUNTIF($Y$2:Y882,Y882))-1,""))</f>
        <v/>
      </c>
      <c r="AA882" s="134" t="str">
        <f t="shared" si="386"/>
        <v/>
      </c>
      <c r="AB882" s="134" t="str">
        <f>IF(AA882="","",IFERROR((RANK(AA882,$AA$2:$AA$2028,1)+COUNTIF($AA$2:AA882,AA882))-1,""))</f>
        <v/>
      </c>
      <c r="AC882" s="134" t="str">
        <f t="shared" si="387"/>
        <v/>
      </c>
      <c r="AD882" s="134" t="str">
        <f>IF(AC882="","",IFERROR((RANK(AC882,$AC$2:$AC$2028,1)+COUNTIF($AC$2:AC882,AC882))-1,""))</f>
        <v/>
      </c>
      <c r="AE882" s="144" t="str">
        <f t="shared" si="379"/>
        <v/>
      </c>
      <c r="AF882" s="144" t="str">
        <f>IF(AE882="","",SUM($AE$2:AE882))</f>
        <v/>
      </c>
    </row>
    <row r="883" spans="14:32" x14ac:dyDescent="0.35">
      <c r="N883" s="134" t="str">
        <f t="shared" si="377"/>
        <v/>
      </c>
      <c r="O883" s="82" t="str">
        <f t="shared" si="380"/>
        <v/>
      </c>
      <c r="P883" s="81" t="str">
        <f t="shared" si="378"/>
        <v/>
      </c>
      <c r="Q883" s="81" t="str">
        <f t="shared" si="381"/>
        <v/>
      </c>
      <c r="R883" s="135" t="str">
        <f t="shared" ca="1" si="382"/>
        <v/>
      </c>
      <c r="S883" s="134" t="str">
        <f t="shared" ca="1" si="383"/>
        <v/>
      </c>
      <c r="T883" s="134" t="str">
        <f ca="1">IF(S883=Dashboard!$D$12,S883,"")</f>
        <v/>
      </c>
      <c r="U883" s="134" t="str">
        <f t="shared" ca="1" si="384"/>
        <v/>
      </c>
      <c r="V883" s="83" t="str">
        <f ca="1">IF(U883="","",IFERROR((RANK(U883,$U$2:$U$2028,1)+COUNTIF($U$2:U883,U883))-1,""))</f>
        <v/>
      </c>
      <c r="W883" s="134" t="str">
        <f t="shared" si="388"/>
        <v/>
      </c>
      <c r="X883" s="134" t="str">
        <f>IF(W883="","",IFERROR((RANK(W883,$W$2:$W$2028,1)+COUNTIF($W$2:W883,W883))-1,""))</f>
        <v/>
      </c>
      <c r="Y883" s="134" t="str">
        <f t="shared" si="385"/>
        <v/>
      </c>
      <c r="Z883" s="134" t="str">
        <f>IF(Y883="","",IFERROR((RANK(Y883,$Y$2:$Y$2028,1)+COUNTIF($Y$2:Y883,Y883))-1,""))</f>
        <v/>
      </c>
      <c r="AA883" s="134" t="str">
        <f t="shared" si="386"/>
        <v/>
      </c>
      <c r="AB883" s="134" t="str">
        <f>IF(AA883="","",IFERROR((RANK(AA883,$AA$2:$AA$2028,1)+COUNTIF($AA$2:AA883,AA883))-1,""))</f>
        <v/>
      </c>
      <c r="AC883" s="134" t="str">
        <f t="shared" si="387"/>
        <v/>
      </c>
      <c r="AD883" s="134" t="str">
        <f>IF(AC883="","",IFERROR((RANK(AC883,$AC$2:$AC$2028,1)+COUNTIF($AC$2:AC883,AC883))-1,""))</f>
        <v/>
      </c>
      <c r="AE883" s="144" t="str">
        <f t="shared" si="379"/>
        <v/>
      </c>
      <c r="AF883" s="144" t="str">
        <f>IF(AE883="","",SUM($AE$2:AE883))</f>
        <v/>
      </c>
    </row>
    <row r="884" spans="14:32" x14ac:dyDescent="0.35">
      <c r="N884" s="134" t="str">
        <f t="shared" si="377"/>
        <v/>
      </c>
      <c r="O884" s="82" t="str">
        <f t="shared" si="380"/>
        <v/>
      </c>
      <c r="P884" s="81" t="str">
        <f t="shared" si="378"/>
        <v/>
      </c>
      <c r="Q884" s="81" t="str">
        <f t="shared" si="381"/>
        <v/>
      </c>
      <c r="R884" s="135" t="str">
        <f t="shared" ca="1" si="382"/>
        <v/>
      </c>
      <c r="S884" s="134" t="str">
        <f t="shared" ca="1" si="383"/>
        <v/>
      </c>
      <c r="T884" s="134" t="str">
        <f ca="1">IF(S884=Dashboard!$D$12,S884,"")</f>
        <v/>
      </c>
      <c r="U884" s="134" t="str">
        <f t="shared" ca="1" si="384"/>
        <v/>
      </c>
      <c r="V884" s="83" t="str">
        <f ca="1">IF(U884="","",IFERROR((RANK(U884,$U$2:$U$2028,1)+COUNTIF($U$2:U884,U884))-1,""))</f>
        <v/>
      </c>
      <c r="W884" s="134" t="str">
        <f t="shared" si="388"/>
        <v/>
      </c>
      <c r="X884" s="134" t="str">
        <f>IF(W884="","",IFERROR((RANK(W884,$W$2:$W$2028,1)+COUNTIF($W$2:W884,W884))-1,""))</f>
        <v/>
      </c>
      <c r="Y884" s="134" t="str">
        <f t="shared" si="385"/>
        <v/>
      </c>
      <c r="Z884" s="134" t="str">
        <f>IF(Y884="","",IFERROR((RANK(Y884,$Y$2:$Y$2028,1)+COUNTIF($Y$2:Y884,Y884))-1,""))</f>
        <v/>
      </c>
      <c r="AA884" s="134" t="str">
        <f t="shared" si="386"/>
        <v/>
      </c>
      <c r="AB884" s="134" t="str">
        <f>IF(AA884="","",IFERROR((RANK(AA884,$AA$2:$AA$2028,1)+COUNTIF($AA$2:AA884,AA884))-1,""))</f>
        <v/>
      </c>
      <c r="AC884" s="134" t="str">
        <f t="shared" si="387"/>
        <v/>
      </c>
      <c r="AD884" s="134" t="str">
        <f>IF(AC884="","",IFERROR((RANK(AC884,$AC$2:$AC$2028,1)+COUNTIF($AC$2:AC884,AC884))-1,""))</f>
        <v/>
      </c>
      <c r="AE884" s="144" t="str">
        <f t="shared" si="379"/>
        <v/>
      </c>
      <c r="AF884" s="144" t="str">
        <f>IF(AE884="","",SUM($AE$2:AE884))</f>
        <v/>
      </c>
    </row>
    <row r="885" spans="14:32" x14ac:dyDescent="0.35">
      <c r="N885" s="134" t="str">
        <f t="shared" si="377"/>
        <v/>
      </c>
      <c r="O885" s="82" t="str">
        <f t="shared" si="380"/>
        <v/>
      </c>
      <c r="P885" s="81" t="str">
        <f t="shared" si="378"/>
        <v/>
      </c>
      <c r="Q885" s="81" t="str">
        <f t="shared" si="381"/>
        <v/>
      </c>
      <c r="R885" s="135" t="str">
        <f t="shared" ca="1" si="382"/>
        <v/>
      </c>
      <c r="S885" s="134" t="str">
        <f t="shared" ca="1" si="383"/>
        <v/>
      </c>
      <c r="T885" s="134" t="str">
        <f ca="1">IF(S885=Dashboard!$D$12,S885,"")</f>
        <v/>
      </c>
      <c r="U885" s="134" t="str">
        <f t="shared" ca="1" si="384"/>
        <v/>
      </c>
      <c r="V885" s="83" t="str">
        <f ca="1">IF(U885="","",IFERROR((RANK(U885,$U$2:$U$2028,1)+COUNTIF($U$2:U885,U885))-1,""))</f>
        <v/>
      </c>
      <c r="W885" s="134" t="str">
        <f t="shared" si="388"/>
        <v/>
      </c>
      <c r="X885" s="134" t="str">
        <f>IF(W885="","",IFERROR((RANK(W885,$W$2:$W$2028,1)+COUNTIF($W$2:W885,W885))-1,""))</f>
        <v/>
      </c>
      <c r="Y885" s="134" t="str">
        <f t="shared" si="385"/>
        <v/>
      </c>
      <c r="Z885" s="134" t="str">
        <f>IF(Y885="","",IFERROR((RANK(Y885,$Y$2:$Y$2028,1)+COUNTIF($Y$2:Y885,Y885))-1,""))</f>
        <v/>
      </c>
      <c r="AA885" s="134" t="str">
        <f t="shared" si="386"/>
        <v/>
      </c>
      <c r="AB885" s="134" t="str">
        <f>IF(AA885="","",IFERROR((RANK(AA885,$AA$2:$AA$2028,1)+COUNTIF($AA$2:AA885,AA885))-1,""))</f>
        <v/>
      </c>
      <c r="AC885" s="134" t="str">
        <f t="shared" si="387"/>
        <v/>
      </c>
      <c r="AD885" s="134" t="str">
        <f>IF(AC885="","",IFERROR((RANK(AC885,$AC$2:$AC$2028,1)+COUNTIF($AC$2:AC885,AC885))-1,""))</f>
        <v/>
      </c>
      <c r="AE885" s="144" t="str">
        <f t="shared" si="379"/>
        <v/>
      </c>
      <c r="AF885" s="144" t="str">
        <f>IF(AE885="","",SUM($AE$2:AE885))</f>
        <v/>
      </c>
    </row>
    <row r="886" spans="14:32" x14ac:dyDescent="0.35">
      <c r="N886" s="134" t="str">
        <f t="shared" si="377"/>
        <v/>
      </c>
      <c r="O886" s="82" t="str">
        <f t="shared" si="380"/>
        <v/>
      </c>
      <c r="P886" s="81" t="str">
        <f t="shared" si="378"/>
        <v/>
      </c>
      <c r="Q886" s="81" t="str">
        <f t="shared" si="381"/>
        <v/>
      </c>
      <c r="R886" s="135" t="str">
        <f t="shared" ca="1" si="382"/>
        <v/>
      </c>
      <c r="S886" s="134" t="str">
        <f t="shared" ca="1" si="383"/>
        <v/>
      </c>
      <c r="T886" s="134" t="str">
        <f ca="1">IF(S886=Dashboard!$D$12,S886,"")</f>
        <v/>
      </c>
      <c r="U886" s="134" t="str">
        <f t="shared" ca="1" si="384"/>
        <v/>
      </c>
      <c r="V886" s="83" t="str">
        <f ca="1">IF(U886="","",IFERROR((RANK(U886,$U$2:$U$2028,1)+COUNTIF($U$2:U886,U886))-1,""))</f>
        <v/>
      </c>
      <c r="W886" s="134" t="str">
        <f t="shared" si="388"/>
        <v/>
      </c>
      <c r="X886" s="134" t="str">
        <f>IF(W886="","",IFERROR((RANK(W886,$W$2:$W$2028,1)+COUNTIF($W$2:W886,W886))-1,""))</f>
        <v/>
      </c>
      <c r="Y886" s="134" t="str">
        <f t="shared" si="385"/>
        <v/>
      </c>
      <c r="Z886" s="134" t="str">
        <f>IF(Y886="","",IFERROR((RANK(Y886,$Y$2:$Y$2028,1)+COUNTIF($Y$2:Y886,Y886))-1,""))</f>
        <v/>
      </c>
      <c r="AA886" s="134" t="str">
        <f t="shared" si="386"/>
        <v/>
      </c>
      <c r="AB886" s="134" t="str">
        <f>IF(AA886="","",IFERROR((RANK(AA886,$AA$2:$AA$2028,1)+COUNTIF($AA$2:AA886,AA886))-1,""))</f>
        <v/>
      </c>
      <c r="AC886" s="134" t="str">
        <f t="shared" si="387"/>
        <v/>
      </c>
      <c r="AD886" s="134" t="str">
        <f>IF(AC886="","",IFERROR((RANK(AC886,$AC$2:$AC$2028,1)+COUNTIF($AC$2:AC886,AC886))-1,""))</f>
        <v/>
      </c>
      <c r="AE886" s="144" t="str">
        <f t="shared" si="379"/>
        <v/>
      </c>
      <c r="AF886" s="144" t="str">
        <f>IF(AE886="","",SUM($AE$2:AE886))</f>
        <v/>
      </c>
    </row>
    <row r="887" spans="14:32" x14ac:dyDescent="0.35">
      <c r="N887" s="134" t="str">
        <f t="shared" si="377"/>
        <v/>
      </c>
      <c r="O887" s="82" t="str">
        <f t="shared" si="380"/>
        <v/>
      </c>
      <c r="P887" s="81" t="str">
        <f t="shared" si="378"/>
        <v/>
      </c>
      <c r="Q887" s="81" t="str">
        <f t="shared" si="381"/>
        <v/>
      </c>
      <c r="R887" s="135" t="str">
        <f t="shared" ca="1" si="382"/>
        <v/>
      </c>
      <c r="S887" s="134" t="str">
        <f t="shared" ca="1" si="383"/>
        <v/>
      </c>
      <c r="T887" s="134" t="str">
        <f ca="1">IF(S887=Dashboard!$D$12,S887,"")</f>
        <v/>
      </c>
      <c r="U887" s="134" t="str">
        <f t="shared" ca="1" si="384"/>
        <v/>
      </c>
      <c r="V887" s="83" t="str">
        <f ca="1">IF(U887="","",IFERROR((RANK(U887,$U$2:$U$2028,1)+COUNTIF($U$2:U887,U887))-1,""))</f>
        <v/>
      </c>
      <c r="W887" s="134" t="str">
        <f t="shared" si="388"/>
        <v/>
      </c>
      <c r="X887" s="134" t="str">
        <f>IF(W887="","",IFERROR((RANK(W887,$W$2:$W$2028,1)+COUNTIF($W$2:W887,W887))-1,""))</f>
        <v/>
      </c>
      <c r="Y887" s="134" t="str">
        <f t="shared" si="385"/>
        <v/>
      </c>
      <c r="Z887" s="134" t="str">
        <f>IF(Y887="","",IFERROR((RANK(Y887,$Y$2:$Y$2028,1)+COUNTIF($Y$2:Y887,Y887))-1,""))</f>
        <v/>
      </c>
      <c r="AA887" s="134" t="str">
        <f t="shared" si="386"/>
        <v/>
      </c>
      <c r="AB887" s="134" t="str">
        <f>IF(AA887="","",IFERROR((RANK(AA887,$AA$2:$AA$2028,1)+COUNTIF($AA$2:AA887,AA887))-1,""))</f>
        <v/>
      </c>
      <c r="AC887" s="134" t="str">
        <f t="shared" si="387"/>
        <v/>
      </c>
      <c r="AD887" s="134" t="str">
        <f>IF(AC887="","",IFERROR((RANK(AC887,$AC$2:$AC$2028,1)+COUNTIF($AC$2:AC887,AC887))-1,""))</f>
        <v/>
      </c>
      <c r="AE887" s="144" t="str">
        <f t="shared" si="379"/>
        <v/>
      </c>
      <c r="AF887" s="144" t="str">
        <f>IF(AE887="","",SUM($AE$2:AE887))</f>
        <v/>
      </c>
    </row>
    <row r="888" spans="14:32" x14ac:dyDescent="0.35">
      <c r="N888" s="134" t="str">
        <f t="shared" si="377"/>
        <v/>
      </c>
      <c r="O888" s="82" t="str">
        <f t="shared" si="380"/>
        <v/>
      </c>
      <c r="P888" s="81" t="str">
        <f t="shared" si="378"/>
        <v/>
      </c>
      <c r="Q888" s="81" t="str">
        <f t="shared" si="381"/>
        <v/>
      </c>
      <c r="R888" s="135" t="str">
        <f t="shared" ca="1" si="382"/>
        <v/>
      </c>
      <c r="S888" s="134" t="str">
        <f t="shared" ca="1" si="383"/>
        <v/>
      </c>
      <c r="T888" s="134" t="str">
        <f ca="1">IF(S888=Dashboard!$D$12,S888,"")</f>
        <v/>
      </c>
      <c r="U888" s="134" t="str">
        <f t="shared" ca="1" si="384"/>
        <v/>
      </c>
      <c r="V888" s="83" t="str">
        <f ca="1">IF(U888="","",IFERROR((RANK(U888,$U$2:$U$2028,1)+COUNTIF($U$2:U888,U888))-1,""))</f>
        <v/>
      </c>
      <c r="W888" s="134" t="str">
        <f t="shared" si="388"/>
        <v/>
      </c>
      <c r="X888" s="134" t="str">
        <f>IF(W888="","",IFERROR((RANK(W888,$W$2:$W$2028,1)+COUNTIF($W$2:W888,W888))-1,""))</f>
        <v/>
      </c>
      <c r="Y888" s="134" t="str">
        <f t="shared" si="385"/>
        <v/>
      </c>
      <c r="Z888" s="134" t="str">
        <f>IF(Y888="","",IFERROR((RANK(Y888,$Y$2:$Y$2028,1)+COUNTIF($Y$2:Y888,Y888))-1,""))</f>
        <v/>
      </c>
      <c r="AA888" s="134" t="str">
        <f t="shared" si="386"/>
        <v/>
      </c>
      <c r="AB888" s="134" t="str">
        <f>IF(AA888="","",IFERROR((RANK(AA888,$AA$2:$AA$2028,1)+COUNTIF($AA$2:AA888,AA888))-1,""))</f>
        <v/>
      </c>
      <c r="AC888" s="134" t="str">
        <f t="shared" si="387"/>
        <v/>
      </c>
      <c r="AD888" s="134" t="str">
        <f>IF(AC888="","",IFERROR((RANK(AC888,$AC$2:$AC$2028,1)+COUNTIF($AC$2:AC888,AC888))-1,""))</f>
        <v/>
      </c>
      <c r="AE888" s="144" t="str">
        <f t="shared" si="379"/>
        <v/>
      </c>
      <c r="AF888" s="144" t="str">
        <f>IF(AE888="","",SUM($AE$2:AE888))</f>
        <v/>
      </c>
    </row>
    <row r="889" spans="14:32" x14ac:dyDescent="0.35">
      <c r="N889" s="134" t="str">
        <f t="shared" si="377"/>
        <v/>
      </c>
      <c r="O889" s="82" t="str">
        <f t="shared" si="380"/>
        <v/>
      </c>
      <c r="P889" s="81" t="str">
        <f t="shared" si="378"/>
        <v/>
      </c>
      <c r="Q889" s="81" t="str">
        <f t="shared" si="381"/>
        <v/>
      </c>
      <c r="R889" s="135" t="str">
        <f t="shared" ca="1" si="382"/>
        <v/>
      </c>
      <c r="S889" s="134" t="str">
        <f t="shared" ca="1" si="383"/>
        <v/>
      </c>
      <c r="T889" s="134" t="str">
        <f ca="1">IF(S889=Dashboard!$D$12,S889,"")</f>
        <v/>
      </c>
      <c r="U889" s="134" t="str">
        <f t="shared" ca="1" si="384"/>
        <v/>
      </c>
      <c r="V889" s="83" t="str">
        <f ca="1">IF(U889="","",IFERROR((RANK(U889,$U$2:$U$2028,1)+COUNTIF($U$2:U889,U889))-1,""))</f>
        <v/>
      </c>
      <c r="W889" s="134" t="str">
        <f t="shared" si="388"/>
        <v/>
      </c>
      <c r="X889" s="134" t="str">
        <f>IF(W889="","",IFERROR((RANK(W889,$W$2:$W$2028,1)+COUNTIF($W$2:W889,W889))-1,""))</f>
        <v/>
      </c>
      <c r="Y889" s="134" t="str">
        <f t="shared" si="385"/>
        <v/>
      </c>
      <c r="Z889" s="134" t="str">
        <f>IF(Y889="","",IFERROR((RANK(Y889,$Y$2:$Y$2028,1)+COUNTIF($Y$2:Y889,Y889))-1,""))</f>
        <v/>
      </c>
      <c r="AA889" s="134" t="str">
        <f t="shared" si="386"/>
        <v/>
      </c>
      <c r="AB889" s="134" t="str">
        <f>IF(AA889="","",IFERROR((RANK(AA889,$AA$2:$AA$2028,1)+COUNTIF($AA$2:AA889,AA889))-1,""))</f>
        <v/>
      </c>
      <c r="AC889" s="134" t="str">
        <f t="shared" si="387"/>
        <v/>
      </c>
      <c r="AD889" s="134" t="str">
        <f>IF(AC889="","",IFERROR((RANK(AC889,$AC$2:$AC$2028,1)+COUNTIF($AC$2:AC889,AC889))-1,""))</f>
        <v/>
      </c>
      <c r="AE889" s="144" t="str">
        <f t="shared" si="379"/>
        <v/>
      </c>
      <c r="AF889" s="144" t="str">
        <f>IF(AE889="","",SUM($AE$2:AE889))</f>
        <v/>
      </c>
    </row>
    <row r="890" spans="14:32" x14ac:dyDescent="0.35">
      <c r="N890" s="134" t="str">
        <f t="shared" si="377"/>
        <v/>
      </c>
      <c r="O890" s="82" t="str">
        <f t="shared" si="380"/>
        <v/>
      </c>
      <c r="P890" s="81" t="str">
        <f t="shared" si="378"/>
        <v/>
      </c>
      <c r="Q890" s="81" t="str">
        <f t="shared" si="381"/>
        <v/>
      </c>
      <c r="R890" s="135" t="str">
        <f t="shared" ca="1" si="382"/>
        <v/>
      </c>
      <c r="S890" s="134" t="str">
        <f t="shared" ca="1" si="383"/>
        <v/>
      </c>
      <c r="T890" s="134" t="str">
        <f ca="1">IF(S890=Dashboard!$D$12,S890,"")</f>
        <v/>
      </c>
      <c r="U890" s="134" t="str">
        <f t="shared" ca="1" si="384"/>
        <v/>
      </c>
      <c r="V890" s="83" t="str">
        <f ca="1">IF(U890="","",IFERROR((RANK(U890,$U$2:$U$2028,1)+COUNTIF($U$2:U890,U890))-1,""))</f>
        <v/>
      </c>
      <c r="W890" s="134" t="str">
        <f t="shared" si="388"/>
        <v/>
      </c>
      <c r="X890" s="134" t="str">
        <f>IF(W890="","",IFERROR((RANK(W890,$W$2:$W$2028,1)+COUNTIF($W$2:W890,W890))-1,""))</f>
        <v/>
      </c>
      <c r="Y890" s="134" t="str">
        <f t="shared" si="385"/>
        <v/>
      </c>
      <c r="Z890" s="134" t="str">
        <f>IF(Y890="","",IFERROR((RANK(Y890,$Y$2:$Y$2028,1)+COUNTIF($Y$2:Y890,Y890))-1,""))</f>
        <v/>
      </c>
      <c r="AA890" s="134" t="str">
        <f t="shared" si="386"/>
        <v/>
      </c>
      <c r="AB890" s="134" t="str">
        <f>IF(AA890="","",IFERROR((RANK(AA890,$AA$2:$AA$2028,1)+COUNTIF($AA$2:AA890,AA890))-1,""))</f>
        <v/>
      </c>
      <c r="AC890" s="134" t="str">
        <f t="shared" si="387"/>
        <v/>
      </c>
      <c r="AD890" s="134" t="str">
        <f>IF(AC890="","",IFERROR((RANK(AC890,$AC$2:$AC$2028,1)+COUNTIF($AC$2:AC890,AC890))-1,""))</f>
        <v/>
      </c>
      <c r="AE890" s="144" t="str">
        <f t="shared" si="379"/>
        <v/>
      </c>
      <c r="AF890" s="144" t="str">
        <f>IF(AE890="","",SUM($AE$2:AE890))</f>
        <v/>
      </c>
    </row>
    <row r="891" spans="14:32" x14ac:dyDescent="0.35">
      <c r="N891" s="134" t="str">
        <f t="shared" si="377"/>
        <v/>
      </c>
      <c r="O891" s="82" t="str">
        <f t="shared" si="380"/>
        <v/>
      </c>
      <c r="P891" s="81" t="str">
        <f t="shared" si="378"/>
        <v/>
      </c>
      <c r="Q891" s="81" t="str">
        <f t="shared" si="381"/>
        <v/>
      </c>
      <c r="R891" s="135" t="str">
        <f t="shared" ca="1" si="382"/>
        <v/>
      </c>
      <c r="S891" s="134" t="str">
        <f t="shared" ca="1" si="383"/>
        <v/>
      </c>
      <c r="T891" s="134" t="str">
        <f ca="1">IF(S891=Dashboard!$D$12,S891,"")</f>
        <v/>
      </c>
      <c r="U891" s="134" t="str">
        <f t="shared" ca="1" si="384"/>
        <v/>
      </c>
      <c r="V891" s="83" t="str">
        <f ca="1">IF(U891="","",IFERROR((RANK(U891,$U$2:$U$2028,1)+COUNTIF($U$2:U891,U891))-1,""))</f>
        <v/>
      </c>
      <c r="W891" s="134" t="str">
        <f t="shared" si="388"/>
        <v/>
      </c>
      <c r="X891" s="134" t="str">
        <f>IF(W891="","",IFERROR((RANK(W891,$W$2:$W$2028,1)+COUNTIF($W$2:W891,W891))-1,""))</f>
        <v/>
      </c>
      <c r="Y891" s="134" t="str">
        <f t="shared" si="385"/>
        <v/>
      </c>
      <c r="Z891" s="134" t="str">
        <f>IF(Y891="","",IFERROR((RANK(Y891,$Y$2:$Y$2028,1)+COUNTIF($Y$2:Y891,Y891))-1,""))</f>
        <v/>
      </c>
      <c r="AA891" s="134" t="str">
        <f t="shared" si="386"/>
        <v/>
      </c>
      <c r="AB891" s="134" t="str">
        <f>IF(AA891="","",IFERROR((RANK(AA891,$AA$2:$AA$2028,1)+COUNTIF($AA$2:AA891,AA891))-1,""))</f>
        <v/>
      </c>
      <c r="AC891" s="134" t="str">
        <f t="shared" si="387"/>
        <v/>
      </c>
      <c r="AD891" s="134" t="str">
        <f>IF(AC891="","",IFERROR((RANK(AC891,$AC$2:$AC$2028,1)+COUNTIF($AC$2:AC891,AC891))-1,""))</f>
        <v/>
      </c>
      <c r="AE891" s="144" t="str">
        <f t="shared" si="379"/>
        <v/>
      </c>
      <c r="AF891" s="144" t="str">
        <f>IF(AE891="","",SUM($AE$2:AE891))</f>
        <v/>
      </c>
    </row>
    <row r="892" spans="14:32" x14ac:dyDescent="0.35">
      <c r="N892" s="134" t="str">
        <f t="shared" si="377"/>
        <v/>
      </c>
      <c r="O892" s="82" t="str">
        <f t="shared" si="380"/>
        <v/>
      </c>
      <c r="P892" s="81" t="str">
        <f t="shared" si="378"/>
        <v/>
      </c>
      <c r="Q892" s="81" t="str">
        <f t="shared" si="381"/>
        <v/>
      </c>
      <c r="R892" s="135" t="str">
        <f t="shared" ca="1" si="382"/>
        <v/>
      </c>
      <c r="S892" s="134" t="str">
        <f t="shared" ca="1" si="383"/>
        <v/>
      </c>
      <c r="T892" s="134" t="str">
        <f ca="1">IF(S892=Dashboard!$D$12,S892,"")</f>
        <v/>
      </c>
      <c r="U892" s="134" t="str">
        <f t="shared" ca="1" si="384"/>
        <v/>
      </c>
      <c r="V892" s="83" t="str">
        <f ca="1">IF(U892="","",IFERROR((RANK(U892,$U$2:$U$2028,1)+COUNTIF($U$2:U892,U892))-1,""))</f>
        <v/>
      </c>
      <c r="W892" s="134" t="str">
        <f t="shared" si="388"/>
        <v/>
      </c>
      <c r="X892" s="134" t="str">
        <f>IF(W892="","",IFERROR((RANK(W892,$W$2:$W$2028,1)+COUNTIF($W$2:W892,W892))-1,""))</f>
        <v/>
      </c>
      <c r="Y892" s="134" t="str">
        <f t="shared" si="385"/>
        <v/>
      </c>
      <c r="Z892" s="134" t="str">
        <f>IF(Y892="","",IFERROR((RANK(Y892,$Y$2:$Y$2028,1)+COUNTIF($Y$2:Y892,Y892))-1,""))</f>
        <v/>
      </c>
      <c r="AA892" s="134" t="str">
        <f t="shared" si="386"/>
        <v/>
      </c>
      <c r="AB892" s="134" t="str">
        <f>IF(AA892="","",IFERROR((RANK(AA892,$AA$2:$AA$2028,1)+COUNTIF($AA$2:AA892,AA892))-1,""))</f>
        <v/>
      </c>
      <c r="AC892" s="134" t="str">
        <f t="shared" si="387"/>
        <v/>
      </c>
      <c r="AD892" s="134" t="str">
        <f>IF(AC892="","",IFERROR((RANK(AC892,$AC$2:$AC$2028,1)+COUNTIF($AC$2:AC892,AC892))-1,""))</f>
        <v/>
      </c>
      <c r="AE892" s="144" t="str">
        <f t="shared" si="379"/>
        <v/>
      </c>
      <c r="AF892" s="144" t="str">
        <f>IF(AE892="","",SUM($AE$2:AE892))</f>
        <v/>
      </c>
    </row>
    <row r="893" spans="14:32" x14ac:dyDescent="0.35">
      <c r="N893" s="134" t="str">
        <f t="shared" si="377"/>
        <v/>
      </c>
      <c r="O893" s="82" t="str">
        <f t="shared" si="380"/>
        <v/>
      </c>
      <c r="P893" s="81" t="str">
        <f t="shared" si="378"/>
        <v/>
      </c>
      <c r="Q893" s="81" t="str">
        <f t="shared" si="381"/>
        <v/>
      </c>
      <c r="R893" s="135" t="str">
        <f t="shared" ca="1" si="382"/>
        <v/>
      </c>
      <c r="S893" s="134" t="str">
        <f t="shared" ca="1" si="383"/>
        <v/>
      </c>
      <c r="T893" s="134" t="str">
        <f ca="1">IF(S893=Dashboard!$D$12,S893,"")</f>
        <v/>
      </c>
      <c r="U893" s="134" t="str">
        <f t="shared" ca="1" si="384"/>
        <v/>
      </c>
      <c r="V893" s="83" t="str">
        <f ca="1">IF(U893="","",IFERROR((RANK(U893,$U$2:$U$2028,1)+COUNTIF($U$2:U893,U893))-1,""))</f>
        <v/>
      </c>
      <c r="W893" s="134" t="str">
        <f t="shared" si="388"/>
        <v/>
      </c>
      <c r="X893" s="134" t="str">
        <f>IF(W893="","",IFERROR((RANK(W893,$W$2:$W$2028,1)+COUNTIF($W$2:W893,W893))-1,""))</f>
        <v/>
      </c>
      <c r="Y893" s="134" t="str">
        <f t="shared" si="385"/>
        <v/>
      </c>
      <c r="Z893" s="134" t="str">
        <f>IF(Y893="","",IFERROR((RANK(Y893,$Y$2:$Y$2028,1)+COUNTIF($Y$2:Y893,Y893))-1,""))</f>
        <v/>
      </c>
      <c r="AA893" s="134" t="str">
        <f t="shared" si="386"/>
        <v/>
      </c>
      <c r="AB893" s="134" t="str">
        <f>IF(AA893="","",IFERROR((RANK(AA893,$AA$2:$AA$2028,1)+COUNTIF($AA$2:AA893,AA893))-1,""))</f>
        <v/>
      </c>
      <c r="AC893" s="134" t="str">
        <f t="shared" si="387"/>
        <v/>
      </c>
      <c r="AD893" s="134" t="str">
        <f>IF(AC893="","",IFERROR((RANK(AC893,$AC$2:$AC$2028,1)+COUNTIF($AC$2:AC893,AC893))-1,""))</f>
        <v/>
      </c>
      <c r="AE893" s="144" t="str">
        <f t="shared" si="379"/>
        <v/>
      </c>
      <c r="AF893" s="144" t="str">
        <f>IF(AE893="","",SUM($AE$2:AE893))</f>
        <v/>
      </c>
    </row>
    <row r="894" spans="14:32" x14ac:dyDescent="0.35">
      <c r="N894" s="134" t="str">
        <f t="shared" si="377"/>
        <v/>
      </c>
      <c r="O894" s="82" t="str">
        <f t="shared" si="380"/>
        <v/>
      </c>
      <c r="P894" s="81" t="str">
        <f t="shared" si="378"/>
        <v/>
      </c>
      <c r="Q894" s="81" t="str">
        <f t="shared" si="381"/>
        <v/>
      </c>
      <c r="R894" s="135" t="str">
        <f t="shared" ca="1" si="382"/>
        <v/>
      </c>
      <c r="S894" s="134" t="str">
        <f t="shared" ca="1" si="383"/>
        <v/>
      </c>
      <c r="T894" s="134" t="str">
        <f ca="1">IF(S894=Dashboard!$D$12,S894,"")</f>
        <v/>
      </c>
      <c r="U894" s="134" t="str">
        <f t="shared" ca="1" si="384"/>
        <v/>
      </c>
      <c r="V894" s="83" t="str">
        <f ca="1">IF(U894="","",IFERROR((RANK(U894,$U$2:$U$2028,1)+COUNTIF($U$2:U894,U894))-1,""))</f>
        <v/>
      </c>
      <c r="W894" s="134" t="str">
        <f t="shared" si="388"/>
        <v/>
      </c>
      <c r="X894" s="134" t="str">
        <f>IF(W894="","",IFERROR((RANK(W894,$W$2:$W$2028,1)+COUNTIF($W$2:W894,W894))-1,""))</f>
        <v/>
      </c>
      <c r="Y894" s="134" t="str">
        <f t="shared" si="385"/>
        <v/>
      </c>
      <c r="Z894" s="134" t="str">
        <f>IF(Y894="","",IFERROR((RANK(Y894,$Y$2:$Y$2028,1)+COUNTIF($Y$2:Y894,Y894))-1,""))</f>
        <v/>
      </c>
      <c r="AA894" s="134" t="str">
        <f t="shared" si="386"/>
        <v/>
      </c>
      <c r="AB894" s="134" t="str">
        <f>IF(AA894="","",IFERROR((RANK(AA894,$AA$2:$AA$2028,1)+COUNTIF($AA$2:AA894,AA894))-1,""))</f>
        <v/>
      </c>
      <c r="AC894" s="134" t="str">
        <f t="shared" si="387"/>
        <v/>
      </c>
      <c r="AD894" s="134" t="str">
        <f>IF(AC894="","",IFERROR((RANK(AC894,$AC$2:$AC$2028,1)+COUNTIF($AC$2:AC894,AC894))-1,""))</f>
        <v/>
      </c>
      <c r="AE894" s="144" t="str">
        <f t="shared" si="379"/>
        <v/>
      </c>
      <c r="AF894" s="144" t="str">
        <f>IF(AE894="","",SUM($AE$2:AE894))</f>
        <v/>
      </c>
    </row>
    <row r="895" spans="14:32" x14ac:dyDescent="0.35">
      <c r="N895" s="134" t="str">
        <f t="shared" si="377"/>
        <v/>
      </c>
      <c r="O895" s="82" t="str">
        <f t="shared" si="380"/>
        <v/>
      </c>
      <c r="P895" s="81" t="str">
        <f t="shared" si="378"/>
        <v/>
      </c>
      <c r="Q895" s="81" t="str">
        <f t="shared" si="381"/>
        <v/>
      </c>
      <c r="R895" s="135" t="str">
        <f t="shared" ca="1" si="382"/>
        <v/>
      </c>
      <c r="S895" s="134" t="str">
        <f t="shared" ca="1" si="383"/>
        <v/>
      </c>
      <c r="T895" s="134" t="str">
        <f ca="1">IF(S895=Dashboard!$D$12,S895,"")</f>
        <v/>
      </c>
      <c r="U895" s="134" t="str">
        <f t="shared" ca="1" si="384"/>
        <v/>
      </c>
      <c r="V895" s="83" t="str">
        <f ca="1">IF(U895="","",IFERROR((RANK(U895,$U$2:$U$2028,1)+COUNTIF($U$2:U895,U895))-1,""))</f>
        <v/>
      </c>
      <c r="W895" s="134" t="str">
        <f t="shared" si="388"/>
        <v/>
      </c>
      <c r="X895" s="134" t="str">
        <f>IF(W895="","",IFERROR((RANK(W895,$W$2:$W$2028,1)+COUNTIF($W$2:W895,W895))-1,""))</f>
        <v/>
      </c>
      <c r="Y895" s="134" t="str">
        <f t="shared" si="385"/>
        <v/>
      </c>
      <c r="Z895" s="134" t="str">
        <f>IF(Y895="","",IFERROR((RANK(Y895,$Y$2:$Y$2028,1)+COUNTIF($Y$2:Y895,Y895))-1,""))</f>
        <v/>
      </c>
      <c r="AA895" s="134" t="str">
        <f t="shared" si="386"/>
        <v/>
      </c>
      <c r="AB895" s="134" t="str">
        <f>IF(AA895="","",IFERROR((RANK(AA895,$AA$2:$AA$2028,1)+COUNTIF($AA$2:AA895,AA895))-1,""))</f>
        <v/>
      </c>
      <c r="AC895" s="134" t="str">
        <f t="shared" si="387"/>
        <v/>
      </c>
      <c r="AD895" s="134" t="str">
        <f>IF(AC895="","",IFERROR((RANK(AC895,$AC$2:$AC$2028,1)+COUNTIF($AC$2:AC895,AC895))-1,""))</f>
        <v/>
      </c>
      <c r="AE895" s="144" t="str">
        <f t="shared" si="379"/>
        <v/>
      </c>
      <c r="AF895" s="144" t="str">
        <f>IF(AE895="","",SUM($AE$2:AE895))</f>
        <v/>
      </c>
    </row>
    <row r="896" spans="14:32" x14ac:dyDescent="0.35">
      <c r="N896" s="134" t="str">
        <f t="shared" si="377"/>
        <v/>
      </c>
      <c r="O896" s="82" t="str">
        <f t="shared" si="380"/>
        <v/>
      </c>
      <c r="P896" s="81" t="str">
        <f t="shared" si="378"/>
        <v/>
      </c>
      <c r="Q896" s="81" t="str">
        <f t="shared" si="381"/>
        <v/>
      </c>
      <c r="R896" s="135" t="str">
        <f t="shared" ca="1" si="382"/>
        <v/>
      </c>
      <c r="S896" s="134" t="str">
        <f t="shared" ca="1" si="383"/>
        <v/>
      </c>
      <c r="T896" s="134" t="str">
        <f ca="1">IF(S896=Dashboard!$D$12,S896,"")</f>
        <v/>
      </c>
      <c r="U896" s="134" t="str">
        <f t="shared" ca="1" si="384"/>
        <v/>
      </c>
      <c r="V896" s="83" t="str">
        <f ca="1">IF(U896="","",IFERROR((RANK(U896,$U$2:$U$2028,1)+COUNTIF($U$2:U896,U896))-1,""))</f>
        <v/>
      </c>
      <c r="W896" s="134" t="str">
        <f t="shared" si="388"/>
        <v/>
      </c>
      <c r="X896" s="134" t="str">
        <f>IF(W896="","",IFERROR((RANK(W896,$W$2:$W$2028,1)+COUNTIF($W$2:W896,W896))-1,""))</f>
        <v/>
      </c>
      <c r="Y896" s="134" t="str">
        <f t="shared" si="385"/>
        <v/>
      </c>
      <c r="Z896" s="134" t="str">
        <f>IF(Y896="","",IFERROR((RANK(Y896,$Y$2:$Y$2028,1)+COUNTIF($Y$2:Y896,Y896))-1,""))</f>
        <v/>
      </c>
      <c r="AA896" s="134" t="str">
        <f t="shared" si="386"/>
        <v/>
      </c>
      <c r="AB896" s="134" t="str">
        <f>IF(AA896="","",IFERROR((RANK(AA896,$AA$2:$AA$2028,1)+COUNTIF($AA$2:AA896,AA896))-1,""))</f>
        <v/>
      </c>
      <c r="AC896" s="134" t="str">
        <f t="shared" si="387"/>
        <v/>
      </c>
      <c r="AD896" s="134" t="str">
        <f>IF(AC896="","",IFERROR((RANK(AC896,$AC$2:$AC$2028,1)+COUNTIF($AC$2:AC896,AC896))-1,""))</f>
        <v/>
      </c>
      <c r="AE896" s="144" t="str">
        <f t="shared" si="379"/>
        <v/>
      </c>
      <c r="AF896" s="144" t="str">
        <f>IF(AE896="","",SUM($AE$2:AE896))</f>
        <v/>
      </c>
    </row>
    <row r="897" spans="14:32" x14ac:dyDescent="0.35">
      <c r="N897" s="134" t="str">
        <f t="shared" si="377"/>
        <v/>
      </c>
      <c r="O897" s="82" t="str">
        <f t="shared" si="380"/>
        <v/>
      </c>
      <c r="P897" s="81" t="str">
        <f t="shared" si="378"/>
        <v/>
      </c>
      <c r="Q897" s="81" t="str">
        <f t="shared" si="381"/>
        <v/>
      </c>
      <c r="R897" s="135" t="str">
        <f t="shared" ca="1" si="382"/>
        <v/>
      </c>
      <c r="S897" s="134" t="str">
        <f t="shared" ca="1" si="383"/>
        <v/>
      </c>
      <c r="T897" s="134" t="str">
        <f ca="1">IF(S897=Dashboard!$D$12,S897,"")</f>
        <v/>
      </c>
      <c r="U897" s="134" t="str">
        <f t="shared" ca="1" si="384"/>
        <v/>
      </c>
      <c r="V897" s="83" t="str">
        <f ca="1">IF(U897="","",IFERROR((RANK(U897,$U$2:$U$2028,1)+COUNTIF($U$2:U897,U897))-1,""))</f>
        <v/>
      </c>
      <c r="W897" s="134" t="str">
        <f t="shared" si="388"/>
        <v/>
      </c>
      <c r="X897" s="134" t="str">
        <f>IF(W897="","",IFERROR((RANK(W897,$W$2:$W$2028,1)+COUNTIF($W$2:W897,W897))-1,""))</f>
        <v/>
      </c>
      <c r="Y897" s="134" t="str">
        <f t="shared" si="385"/>
        <v/>
      </c>
      <c r="Z897" s="134" t="str">
        <f>IF(Y897="","",IFERROR((RANK(Y897,$Y$2:$Y$2028,1)+COUNTIF($Y$2:Y897,Y897))-1,""))</f>
        <v/>
      </c>
      <c r="AA897" s="134" t="str">
        <f t="shared" si="386"/>
        <v/>
      </c>
      <c r="AB897" s="134" t="str">
        <f>IF(AA897="","",IFERROR((RANK(AA897,$AA$2:$AA$2028,1)+COUNTIF($AA$2:AA897,AA897))-1,""))</f>
        <v/>
      </c>
      <c r="AC897" s="134" t="str">
        <f t="shared" si="387"/>
        <v/>
      </c>
      <c r="AD897" s="134" t="str">
        <f>IF(AC897="","",IFERROR((RANK(AC897,$AC$2:$AC$2028,1)+COUNTIF($AC$2:AC897,AC897))-1,""))</f>
        <v/>
      </c>
      <c r="AE897" s="144" t="str">
        <f t="shared" si="379"/>
        <v/>
      </c>
      <c r="AF897" s="144" t="str">
        <f>IF(AE897="","",SUM($AE$2:AE897))</f>
        <v/>
      </c>
    </row>
    <row r="898" spans="14:32" x14ac:dyDescent="0.35">
      <c r="N898" s="134" t="str">
        <f t="shared" ref="N898:N961" si="389">IF(A898="","",COUNTIFS(M:M,M898,H:H,"&lt;"&amp;H898)+1)</f>
        <v/>
      </c>
      <c r="O898" s="82" t="str">
        <f t="shared" si="380"/>
        <v/>
      </c>
      <c r="P898" s="81" t="str">
        <f t="shared" ref="P898:P961" si="390">IF(A898="","",COUNTIFS(M:M,M898,H:H,"&gt;"&amp;H898)+1)</f>
        <v/>
      </c>
      <c r="Q898" s="81" t="str">
        <f t="shared" si="381"/>
        <v/>
      </c>
      <c r="R898" s="135" t="str">
        <f t="shared" ca="1" si="382"/>
        <v/>
      </c>
      <c r="S898" s="134" t="str">
        <f t="shared" ca="1" si="383"/>
        <v/>
      </c>
      <c r="T898" s="134" t="str">
        <f ca="1">IF(S898=Dashboard!$D$12,S898,"")</f>
        <v/>
      </c>
      <c r="U898" s="134" t="str">
        <f t="shared" ca="1" si="384"/>
        <v/>
      </c>
      <c r="V898" s="83" t="str">
        <f ca="1">IF(U898="","",IFERROR((RANK(U898,$U$2:$U$2028,1)+COUNTIF($U$2:U898,U898))-1,""))</f>
        <v/>
      </c>
      <c r="W898" s="134" t="str">
        <f t="shared" si="388"/>
        <v/>
      </c>
      <c r="X898" s="134" t="str">
        <f>IF(W898="","",IFERROR((RANK(W898,$W$2:$W$2028,1)+COUNTIF($W$2:W898,W898))-1,""))</f>
        <v/>
      </c>
      <c r="Y898" s="134" t="str">
        <f t="shared" si="385"/>
        <v/>
      </c>
      <c r="Z898" s="134" t="str">
        <f>IF(Y898="","",IFERROR((RANK(Y898,$Y$2:$Y$2028,1)+COUNTIF($Y$2:Y898,Y898))-1,""))</f>
        <v/>
      </c>
      <c r="AA898" s="134" t="str">
        <f t="shared" si="386"/>
        <v/>
      </c>
      <c r="AB898" s="134" t="str">
        <f>IF(AA898="","",IFERROR((RANK(AA898,$AA$2:$AA$2028,1)+COUNTIF($AA$2:AA898,AA898))-1,""))</f>
        <v/>
      </c>
      <c r="AC898" s="134" t="str">
        <f t="shared" si="387"/>
        <v/>
      </c>
      <c r="AD898" s="134" t="str">
        <f>IF(AC898="","",IFERROR((RANK(AC898,$AC$2:$AC$2028,1)+COUNTIF($AC$2:AC898,AC898))-1,""))</f>
        <v/>
      </c>
      <c r="AE898" s="144" t="str">
        <f t="shared" si="379"/>
        <v/>
      </c>
      <c r="AF898" s="144" t="str">
        <f>IF(AE898="","",SUM($AE$2:AE898))</f>
        <v/>
      </c>
    </row>
    <row r="899" spans="14:32" x14ac:dyDescent="0.35">
      <c r="N899" s="134" t="str">
        <f t="shared" si="389"/>
        <v/>
      </c>
      <c r="O899" s="82" t="str">
        <f t="shared" si="380"/>
        <v/>
      </c>
      <c r="P899" s="81" t="str">
        <f t="shared" si="390"/>
        <v/>
      </c>
      <c r="Q899" s="81" t="str">
        <f t="shared" si="381"/>
        <v/>
      </c>
      <c r="R899" s="135" t="str">
        <f t="shared" ca="1" si="382"/>
        <v/>
      </c>
      <c r="S899" s="134" t="str">
        <f t="shared" ca="1" si="383"/>
        <v/>
      </c>
      <c r="T899" s="134" t="str">
        <f ca="1">IF(S899=Dashboard!$D$12,S899,"")</f>
        <v/>
      </c>
      <c r="U899" s="134" t="str">
        <f t="shared" ca="1" si="384"/>
        <v/>
      </c>
      <c r="V899" s="83" t="str">
        <f ca="1">IF(U899="","",IFERROR((RANK(U899,$U$2:$U$2028,1)+COUNTIF($U$2:U899,U899))-1,""))</f>
        <v/>
      </c>
      <c r="W899" s="134" t="str">
        <f t="shared" si="388"/>
        <v/>
      </c>
      <c r="X899" s="134" t="str">
        <f>IF(W899="","",IFERROR((RANK(W899,$W$2:$W$2028,1)+COUNTIF($W$2:W899,W899))-1,""))</f>
        <v/>
      </c>
      <c r="Y899" s="134" t="str">
        <f t="shared" si="385"/>
        <v/>
      </c>
      <c r="Z899" s="134" t="str">
        <f>IF(Y899="","",IFERROR((RANK(Y899,$Y$2:$Y$2028,1)+COUNTIF($Y$2:Y899,Y899))-1,""))</f>
        <v/>
      </c>
      <c r="AA899" s="134" t="str">
        <f t="shared" si="386"/>
        <v/>
      </c>
      <c r="AB899" s="134" t="str">
        <f>IF(AA899="","",IFERROR((RANK(AA899,$AA$2:$AA$2028,1)+COUNTIF($AA$2:AA899,AA899))-1,""))</f>
        <v/>
      </c>
      <c r="AC899" s="134" t="str">
        <f t="shared" si="387"/>
        <v/>
      </c>
      <c r="AD899" s="134" t="str">
        <f>IF(AC899="","",IFERROR((RANK(AC899,$AC$2:$AC$2028,1)+COUNTIF($AC$2:AC899,AC899))-1,""))</f>
        <v/>
      </c>
      <c r="AE899" s="144" t="str">
        <f t="shared" si="379"/>
        <v/>
      </c>
      <c r="AF899" s="144" t="str">
        <f>IF(AE899="","",SUM($AE$2:AE899))</f>
        <v/>
      </c>
    </row>
    <row r="900" spans="14:32" x14ac:dyDescent="0.35">
      <c r="N900" s="134" t="str">
        <f t="shared" si="389"/>
        <v/>
      </c>
      <c r="O900" s="82" t="str">
        <f t="shared" si="380"/>
        <v/>
      </c>
      <c r="P900" s="81" t="str">
        <f t="shared" si="390"/>
        <v/>
      </c>
      <c r="Q900" s="81" t="str">
        <f t="shared" si="381"/>
        <v/>
      </c>
      <c r="R900" s="135" t="str">
        <f t="shared" ca="1" si="382"/>
        <v/>
      </c>
      <c r="S900" s="134" t="str">
        <f t="shared" ca="1" si="383"/>
        <v/>
      </c>
      <c r="T900" s="134" t="str">
        <f ca="1">IF(S900=Dashboard!$D$12,S900,"")</f>
        <v/>
      </c>
      <c r="U900" s="134" t="str">
        <f t="shared" ca="1" si="384"/>
        <v/>
      </c>
      <c r="V900" s="83" t="str">
        <f ca="1">IF(U900="","",IFERROR((RANK(U900,$U$2:$U$2028,1)+COUNTIF($U$2:U900,U900))-1,""))</f>
        <v/>
      </c>
      <c r="W900" s="134" t="str">
        <f t="shared" si="388"/>
        <v/>
      </c>
      <c r="X900" s="134" t="str">
        <f>IF(W900="","",IFERROR((RANK(W900,$W$2:$W$2028,1)+COUNTIF($W$2:W900,W900))-1,""))</f>
        <v/>
      </c>
      <c r="Y900" s="134" t="str">
        <f t="shared" si="385"/>
        <v/>
      </c>
      <c r="Z900" s="134" t="str">
        <f>IF(Y900="","",IFERROR((RANK(Y900,$Y$2:$Y$2028,1)+COUNTIF($Y$2:Y900,Y900))-1,""))</f>
        <v/>
      </c>
      <c r="AA900" s="134" t="str">
        <f t="shared" si="386"/>
        <v/>
      </c>
      <c r="AB900" s="134" t="str">
        <f>IF(AA900="","",IFERROR((RANK(AA900,$AA$2:$AA$2028,1)+COUNTIF($AA$2:AA900,AA900))-1,""))</f>
        <v/>
      </c>
      <c r="AC900" s="134" t="str">
        <f t="shared" si="387"/>
        <v/>
      </c>
      <c r="AD900" s="134" t="str">
        <f>IF(AC900="","",IFERROR((RANK(AC900,$AC$2:$AC$2028,1)+COUNTIF($AC$2:AC900,AC900))-1,""))</f>
        <v/>
      </c>
      <c r="AE900" s="144" t="str">
        <f t="shared" si="379"/>
        <v/>
      </c>
      <c r="AF900" s="144" t="str">
        <f>IF(AE900="","",SUM($AE$2:AE900))</f>
        <v/>
      </c>
    </row>
    <row r="901" spans="14:32" x14ac:dyDescent="0.35">
      <c r="N901" s="134" t="str">
        <f t="shared" si="389"/>
        <v/>
      </c>
      <c r="O901" s="82" t="str">
        <f t="shared" si="380"/>
        <v/>
      </c>
      <c r="P901" s="81" t="str">
        <f t="shared" si="390"/>
        <v/>
      </c>
      <c r="Q901" s="81" t="str">
        <f t="shared" si="381"/>
        <v/>
      </c>
      <c r="R901" s="135" t="str">
        <f t="shared" ca="1" si="382"/>
        <v/>
      </c>
      <c r="S901" s="134" t="str">
        <f t="shared" ca="1" si="383"/>
        <v/>
      </c>
      <c r="T901" s="134" t="str">
        <f ca="1">IF(S901=Dashboard!$D$12,S901,"")</f>
        <v/>
      </c>
      <c r="U901" s="134" t="str">
        <f t="shared" ca="1" si="384"/>
        <v/>
      </c>
      <c r="V901" s="83" t="str">
        <f ca="1">IF(U901="","",IFERROR((RANK(U901,$U$2:$U$2028,1)+COUNTIF($U$2:U901,U901))-1,""))</f>
        <v/>
      </c>
      <c r="W901" s="134" t="str">
        <f t="shared" si="388"/>
        <v/>
      </c>
      <c r="X901" s="134" t="str">
        <f>IF(W901="","",IFERROR((RANK(W901,$W$2:$W$2028,1)+COUNTIF($W$2:W901,W901))-1,""))</f>
        <v/>
      </c>
      <c r="Y901" s="134" t="str">
        <f t="shared" si="385"/>
        <v/>
      </c>
      <c r="Z901" s="134" t="str">
        <f>IF(Y901="","",IFERROR((RANK(Y901,$Y$2:$Y$2028,1)+COUNTIF($Y$2:Y901,Y901))-1,""))</f>
        <v/>
      </c>
      <c r="AA901" s="134" t="str">
        <f t="shared" si="386"/>
        <v/>
      </c>
      <c r="AB901" s="134" t="str">
        <f>IF(AA901="","",IFERROR((RANK(AA901,$AA$2:$AA$2028,1)+COUNTIF($AA$2:AA901,AA901))-1,""))</f>
        <v/>
      </c>
      <c r="AC901" s="134" t="str">
        <f t="shared" si="387"/>
        <v/>
      </c>
      <c r="AD901" s="134" t="str">
        <f>IF(AC901="","",IFERROR((RANK(AC901,$AC$2:$AC$2028,1)+COUNTIF($AC$2:AC901,AC901))-1,""))</f>
        <v/>
      </c>
      <c r="AE901" s="144" t="str">
        <f t="shared" si="379"/>
        <v/>
      </c>
      <c r="AF901" s="144" t="str">
        <f>IF(AE901="","",SUM($AE$2:AE901))</f>
        <v/>
      </c>
    </row>
    <row r="902" spans="14:32" x14ac:dyDescent="0.35">
      <c r="N902" s="134" t="str">
        <f t="shared" si="389"/>
        <v/>
      </c>
      <c r="O902" s="82" t="str">
        <f t="shared" si="380"/>
        <v/>
      </c>
      <c r="P902" s="81" t="str">
        <f t="shared" si="390"/>
        <v/>
      </c>
      <c r="Q902" s="81" t="str">
        <f t="shared" si="381"/>
        <v/>
      </c>
      <c r="R902" s="135" t="str">
        <f t="shared" ca="1" si="382"/>
        <v/>
      </c>
      <c r="S902" s="134" t="str">
        <f t="shared" ca="1" si="383"/>
        <v/>
      </c>
      <c r="T902" s="134" t="str">
        <f ca="1">IF(S902=Dashboard!$D$12,S902,"")</f>
        <v/>
      </c>
      <c r="U902" s="134" t="str">
        <f t="shared" ca="1" si="384"/>
        <v/>
      </c>
      <c r="V902" s="83" t="str">
        <f ca="1">IF(U902="","",IFERROR((RANK(U902,$U$2:$U$2028,1)+COUNTIF($U$2:U902,U902))-1,""))</f>
        <v/>
      </c>
      <c r="W902" s="134" t="str">
        <f t="shared" si="388"/>
        <v/>
      </c>
      <c r="X902" s="134" t="str">
        <f>IF(W902="","",IFERROR((RANK(W902,$W$2:$W$2028,1)+COUNTIF($W$2:W902,W902))-1,""))</f>
        <v/>
      </c>
      <c r="Y902" s="134" t="str">
        <f t="shared" si="385"/>
        <v/>
      </c>
      <c r="Z902" s="134" t="str">
        <f>IF(Y902="","",IFERROR((RANK(Y902,$Y$2:$Y$2028,1)+COUNTIF($Y$2:Y902,Y902))-1,""))</f>
        <v/>
      </c>
      <c r="AA902" s="134" t="str">
        <f t="shared" si="386"/>
        <v/>
      </c>
      <c r="AB902" s="134" t="str">
        <f>IF(AA902="","",IFERROR((RANK(AA902,$AA$2:$AA$2028,1)+COUNTIF($AA$2:AA902,AA902))-1,""))</f>
        <v/>
      </c>
      <c r="AC902" s="134" t="str">
        <f t="shared" si="387"/>
        <v/>
      </c>
      <c r="AD902" s="134" t="str">
        <f>IF(AC902="","",IFERROR((RANK(AC902,$AC$2:$AC$2028,1)+COUNTIF($AC$2:AC902,AC902))-1,""))</f>
        <v/>
      </c>
      <c r="AE902" s="144" t="str">
        <f t="shared" si="379"/>
        <v/>
      </c>
      <c r="AF902" s="144" t="str">
        <f>IF(AE902="","",SUM($AE$2:AE902))</f>
        <v/>
      </c>
    </row>
    <row r="903" spans="14:32" x14ac:dyDescent="0.35">
      <c r="N903" s="134" t="str">
        <f t="shared" si="389"/>
        <v/>
      </c>
      <c r="O903" s="82" t="str">
        <f t="shared" si="380"/>
        <v/>
      </c>
      <c r="P903" s="81" t="str">
        <f t="shared" si="390"/>
        <v/>
      </c>
      <c r="Q903" s="81" t="str">
        <f t="shared" si="381"/>
        <v/>
      </c>
      <c r="R903" s="135" t="str">
        <f t="shared" ca="1" si="382"/>
        <v/>
      </c>
      <c r="S903" s="134" t="str">
        <f t="shared" ca="1" si="383"/>
        <v/>
      </c>
      <c r="T903" s="134" t="str">
        <f ca="1">IF(S903=Dashboard!$D$12,S903,"")</f>
        <v/>
      </c>
      <c r="U903" s="134" t="str">
        <f t="shared" ca="1" si="384"/>
        <v/>
      </c>
      <c r="V903" s="83" t="str">
        <f ca="1">IF(U903="","",IFERROR((RANK(U903,$U$2:$U$2028,1)+COUNTIF($U$2:U903,U903))-1,""))</f>
        <v/>
      </c>
      <c r="W903" s="134" t="str">
        <f t="shared" si="388"/>
        <v/>
      </c>
      <c r="X903" s="134" t="str">
        <f>IF(W903="","",IFERROR((RANK(W903,$W$2:$W$2028,1)+COUNTIF($W$2:W903,W903))-1,""))</f>
        <v/>
      </c>
      <c r="Y903" s="134" t="str">
        <f t="shared" si="385"/>
        <v/>
      </c>
      <c r="Z903" s="134" t="str">
        <f>IF(Y903="","",IFERROR((RANK(Y903,$Y$2:$Y$2028,1)+COUNTIF($Y$2:Y903,Y903))-1,""))</f>
        <v/>
      </c>
      <c r="AA903" s="134" t="str">
        <f t="shared" si="386"/>
        <v/>
      </c>
      <c r="AB903" s="134" t="str">
        <f>IF(AA903="","",IFERROR((RANK(AA903,$AA$2:$AA$2028,1)+COUNTIF($AA$2:AA903,AA903))-1,""))</f>
        <v/>
      </c>
      <c r="AC903" s="134" t="str">
        <f t="shared" si="387"/>
        <v/>
      </c>
      <c r="AD903" s="134" t="str">
        <f>IF(AC903="","",IFERROR((RANK(AC903,$AC$2:$AC$2028,1)+COUNTIF($AC$2:AC903,AC903))-1,""))</f>
        <v/>
      </c>
      <c r="AE903" s="144" t="str">
        <f t="shared" ref="AE903:AE966" si="391">IF(P903=1,P903,"")</f>
        <v/>
      </c>
      <c r="AF903" s="144" t="str">
        <f>IF(AE903="","",SUM($AE$2:AE903))</f>
        <v/>
      </c>
    </row>
    <row r="904" spans="14:32" x14ac:dyDescent="0.35">
      <c r="N904" s="134" t="str">
        <f t="shared" si="389"/>
        <v/>
      </c>
      <c r="O904" s="82" t="str">
        <f t="shared" si="380"/>
        <v/>
      </c>
      <c r="P904" s="81" t="str">
        <f t="shared" si="390"/>
        <v/>
      </c>
      <c r="Q904" s="81" t="str">
        <f t="shared" si="381"/>
        <v/>
      </c>
      <c r="R904" s="135" t="str">
        <f t="shared" ca="1" si="382"/>
        <v/>
      </c>
      <c r="S904" s="134" t="str">
        <f t="shared" ca="1" si="383"/>
        <v/>
      </c>
      <c r="T904" s="134" t="str">
        <f ca="1">IF(S904=Dashboard!$D$12,S904,"")</f>
        <v/>
      </c>
      <c r="U904" s="134" t="str">
        <f t="shared" ca="1" si="384"/>
        <v/>
      </c>
      <c r="V904" s="83" t="str">
        <f ca="1">IF(U904="","",IFERROR((RANK(U904,$U$2:$U$2028,1)+COUNTIF($U$2:U904,U904))-1,""))</f>
        <v/>
      </c>
      <c r="W904" s="134" t="str">
        <f t="shared" si="388"/>
        <v/>
      </c>
      <c r="X904" s="134" t="str">
        <f>IF(W904="","",IFERROR((RANK(W904,$W$2:$W$2028,1)+COUNTIF($W$2:W904,W904))-1,""))</f>
        <v/>
      </c>
      <c r="Y904" s="134" t="str">
        <f t="shared" si="385"/>
        <v/>
      </c>
      <c r="Z904" s="134" t="str">
        <f>IF(Y904="","",IFERROR((RANK(Y904,$Y$2:$Y$2028,1)+COUNTIF($Y$2:Y904,Y904))-1,""))</f>
        <v/>
      </c>
      <c r="AA904" s="134" t="str">
        <f t="shared" si="386"/>
        <v/>
      </c>
      <c r="AB904" s="134" t="str">
        <f>IF(AA904="","",IFERROR((RANK(AA904,$AA$2:$AA$2028,1)+COUNTIF($AA$2:AA904,AA904))-1,""))</f>
        <v/>
      </c>
      <c r="AC904" s="134" t="str">
        <f t="shared" si="387"/>
        <v/>
      </c>
      <c r="AD904" s="134" t="str">
        <f>IF(AC904="","",IFERROR((RANK(AC904,$AC$2:$AC$2028,1)+COUNTIF($AC$2:AC904,AC904))-1,""))</f>
        <v/>
      </c>
      <c r="AE904" s="144" t="str">
        <f t="shared" si="391"/>
        <v/>
      </c>
      <c r="AF904" s="144" t="str">
        <f>IF(AE904="","",SUM($AE$2:AE904))</f>
        <v/>
      </c>
    </row>
    <row r="905" spans="14:32" x14ac:dyDescent="0.35">
      <c r="N905" s="134" t="str">
        <f t="shared" si="389"/>
        <v/>
      </c>
      <c r="O905" s="82" t="str">
        <f t="shared" si="380"/>
        <v/>
      </c>
      <c r="P905" s="81" t="str">
        <f t="shared" si="390"/>
        <v/>
      </c>
      <c r="Q905" s="81" t="str">
        <f t="shared" si="381"/>
        <v/>
      </c>
      <c r="R905" s="135" t="str">
        <f t="shared" ca="1" si="382"/>
        <v/>
      </c>
      <c r="S905" s="134" t="str">
        <f t="shared" ca="1" si="383"/>
        <v/>
      </c>
      <c r="T905" s="134" t="str">
        <f ca="1">IF(S905=Dashboard!$D$12,S905,"")</f>
        <v/>
      </c>
      <c r="U905" s="134" t="str">
        <f t="shared" ca="1" si="384"/>
        <v/>
      </c>
      <c r="V905" s="83" t="str">
        <f ca="1">IF(U905="","",IFERROR((RANK(U905,$U$2:$U$2028,1)+COUNTIF($U$2:U905,U905))-1,""))</f>
        <v/>
      </c>
      <c r="W905" s="134" t="str">
        <f t="shared" si="388"/>
        <v/>
      </c>
      <c r="X905" s="134" t="str">
        <f>IF(W905="","",IFERROR((RANK(W905,$W$2:$W$2028,1)+COUNTIF($W$2:W905,W905))-1,""))</f>
        <v/>
      </c>
      <c r="Y905" s="134" t="str">
        <f t="shared" si="385"/>
        <v/>
      </c>
      <c r="Z905" s="134" t="str">
        <f>IF(Y905="","",IFERROR((RANK(Y905,$Y$2:$Y$2028,1)+COUNTIF($Y$2:Y905,Y905))-1,""))</f>
        <v/>
      </c>
      <c r="AA905" s="134" t="str">
        <f t="shared" si="386"/>
        <v/>
      </c>
      <c r="AB905" s="134" t="str">
        <f>IF(AA905="","",IFERROR((RANK(AA905,$AA$2:$AA$2028,1)+COUNTIF($AA$2:AA905,AA905))-1,""))</f>
        <v/>
      </c>
      <c r="AC905" s="134" t="str">
        <f t="shared" si="387"/>
        <v/>
      </c>
      <c r="AD905" s="134" t="str">
        <f>IF(AC905="","",IFERROR((RANK(AC905,$AC$2:$AC$2028,1)+COUNTIF($AC$2:AC905,AC905))-1,""))</f>
        <v/>
      </c>
      <c r="AE905" s="144" t="str">
        <f t="shared" si="391"/>
        <v/>
      </c>
      <c r="AF905" s="144" t="str">
        <f>IF(AE905="","",SUM($AE$2:AE905))</f>
        <v/>
      </c>
    </row>
    <row r="906" spans="14:32" x14ac:dyDescent="0.35">
      <c r="N906" s="134" t="str">
        <f t="shared" si="389"/>
        <v/>
      </c>
      <c r="O906" s="82" t="str">
        <f t="shared" si="380"/>
        <v/>
      </c>
      <c r="P906" s="81" t="str">
        <f t="shared" si="390"/>
        <v/>
      </c>
      <c r="Q906" s="81" t="str">
        <f t="shared" si="381"/>
        <v/>
      </c>
      <c r="R906" s="135" t="str">
        <f t="shared" ca="1" si="382"/>
        <v/>
      </c>
      <c r="S906" s="134" t="str">
        <f t="shared" ca="1" si="383"/>
        <v/>
      </c>
      <c r="T906" s="134" t="str">
        <f ca="1">IF(S906=Dashboard!$D$12,S906,"")</f>
        <v/>
      </c>
      <c r="U906" s="134" t="str">
        <f t="shared" ca="1" si="384"/>
        <v/>
      </c>
      <c r="V906" s="83" t="str">
        <f ca="1">IF(U906="","",IFERROR((RANK(U906,$U$2:$U$2028,1)+COUNTIF($U$2:U906,U906))-1,""))</f>
        <v/>
      </c>
      <c r="W906" s="134" t="str">
        <f t="shared" si="388"/>
        <v/>
      </c>
      <c r="X906" s="134" t="str">
        <f>IF(W906="","",IFERROR((RANK(W906,$W$2:$W$2028,1)+COUNTIF($W$2:W906,W906))-1,""))</f>
        <v/>
      </c>
      <c r="Y906" s="134" t="str">
        <f t="shared" si="385"/>
        <v/>
      </c>
      <c r="Z906" s="134" t="str">
        <f>IF(Y906="","",IFERROR((RANK(Y906,$Y$2:$Y$2028,1)+COUNTIF($Y$2:Y906,Y906))-1,""))</f>
        <v/>
      </c>
      <c r="AA906" s="134" t="str">
        <f t="shared" si="386"/>
        <v/>
      </c>
      <c r="AB906" s="134" t="str">
        <f>IF(AA906="","",IFERROR((RANK(AA906,$AA$2:$AA$2028,1)+COUNTIF($AA$2:AA906,AA906))-1,""))</f>
        <v/>
      </c>
      <c r="AC906" s="134" t="str">
        <f t="shared" si="387"/>
        <v/>
      </c>
      <c r="AD906" s="134" t="str">
        <f>IF(AC906="","",IFERROR((RANK(AC906,$AC$2:$AC$2028,1)+COUNTIF($AC$2:AC906,AC906))-1,""))</f>
        <v/>
      </c>
      <c r="AE906" s="144" t="str">
        <f t="shared" si="391"/>
        <v/>
      </c>
      <c r="AF906" s="144" t="str">
        <f>IF(AE906="","",SUM($AE$2:AE906))</f>
        <v/>
      </c>
    </row>
    <row r="907" spans="14:32" x14ac:dyDescent="0.35">
      <c r="N907" s="134" t="str">
        <f t="shared" si="389"/>
        <v/>
      </c>
      <c r="O907" s="82" t="str">
        <f t="shared" si="380"/>
        <v/>
      </c>
      <c r="P907" s="81" t="str">
        <f t="shared" si="390"/>
        <v/>
      </c>
      <c r="Q907" s="81" t="str">
        <f t="shared" si="381"/>
        <v/>
      </c>
      <c r="R907" s="135" t="str">
        <f t="shared" ca="1" si="382"/>
        <v/>
      </c>
      <c r="S907" s="134" t="str">
        <f t="shared" ca="1" si="383"/>
        <v/>
      </c>
      <c r="T907" s="134" t="str">
        <f ca="1">IF(S907=Dashboard!$D$12,S907,"")</f>
        <v/>
      </c>
      <c r="U907" s="134" t="str">
        <f t="shared" ca="1" si="384"/>
        <v/>
      </c>
      <c r="V907" s="83" t="str">
        <f ca="1">IF(U907="","",IFERROR((RANK(U907,$U$2:$U$2028,1)+COUNTIF($U$2:U907,U907))-1,""))</f>
        <v/>
      </c>
      <c r="W907" s="134" t="str">
        <f t="shared" si="388"/>
        <v/>
      </c>
      <c r="X907" s="134" t="str">
        <f>IF(W907="","",IFERROR((RANK(W907,$W$2:$W$2028,1)+COUNTIF($W$2:W907,W907))-1,""))</f>
        <v/>
      </c>
      <c r="Y907" s="134" t="str">
        <f t="shared" si="385"/>
        <v/>
      </c>
      <c r="Z907" s="134" t="str">
        <f>IF(Y907="","",IFERROR((RANK(Y907,$Y$2:$Y$2028,1)+COUNTIF($Y$2:Y907,Y907))-1,""))</f>
        <v/>
      </c>
      <c r="AA907" s="134" t="str">
        <f t="shared" si="386"/>
        <v/>
      </c>
      <c r="AB907" s="134" t="str">
        <f>IF(AA907="","",IFERROR((RANK(AA907,$AA$2:$AA$2028,1)+COUNTIF($AA$2:AA907,AA907))-1,""))</f>
        <v/>
      </c>
      <c r="AC907" s="134" t="str">
        <f t="shared" si="387"/>
        <v/>
      </c>
      <c r="AD907" s="134" t="str">
        <f>IF(AC907="","",IFERROR((RANK(AC907,$AC$2:$AC$2028,1)+COUNTIF($AC$2:AC907,AC907))-1,""))</f>
        <v/>
      </c>
      <c r="AE907" s="144" t="str">
        <f t="shared" si="391"/>
        <v/>
      </c>
      <c r="AF907" s="144" t="str">
        <f>IF(AE907="","",SUM($AE$2:AE907))</f>
        <v/>
      </c>
    </row>
    <row r="908" spans="14:32" x14ac:dyDescent="0.35">
      <c r="N908" s="134" t="str">
        <f t="shared" si="389"/>
        <v/>
      </c>
      <c r="O908" s="82" t="str">
        <f t="shared" si="380"/>
        <v/>
      </c>
      <c r="P908" s="81" t="str">
        <f t="shared" si="390"/>
        <v/>
      </c>
      <c r="Q908" s="81" t="str">
        <f t="shared" si="381"/>
        <v/>
      </c>
      <c r="R908" s="135" t="str">
        <f t="shared" ca="1" si="382"/>
        <v/>
      </c>
      <c r="S908" s="134" t="str">
        <f t="shared" ca="1" si="383"/>
        <v/>
      </c>
      <c r="T908" s="134" t="str">
        <f ca="1">IF(S908=Dashboard!$D$12,S908,"")</f>
        <v/>
      </c>
      <c r="U908" s="134" t="str">
        <f t="shared" ca="1" si="384"/>
        <v/>
      </c>
      <c r="V908" s="83" t="str">
        <f ca="1">IF(U908="","",IFERROR((RANK(U908,$U$2:$U$2028,1)+COUNTIF($U$2:U908,U908))-1,""))</f>
        <v/>
      </c>
      <c r="W908" s="134" t="str">
        <f t="shared" si="388"/>
        <v/>
      </c>
      <c r="X908" s="134" t="str">
        <f>IF(W908="","",IFERROR((RANK(W908,$W$2:$W$2028,1)+COUNTIF($W$2:W908,W908))-1,""))</f>
        <v/>
      </c>
      <c r="Y908" s="134" t="str">
        <f t="shared" si="385"/>
        <v/>
      </c>
      <c r="Z908" s="134" t="str">
        <f>IF(Y908="","",IFERROR((RANK(Y908,$Y$2:$Y$2028,1)+COUNTIF($Y$2:Y908,Y908))-1,""))</f>
        <v/>
      </c>
      <c r="AA908" s="134" t="str">
        <f t="shared" si="386"/>
        <v/>
      </c>
      <c r="AB908" s="134" t="str">
        <f>IF(AA908="","",IFERROR((RANK(AA908,$AA$2:$AA$2028,1)+COUNTIF($AA$2:AA908,AA908))-1,""))</f>
        <v/>
      </c>
      <c r="AC908" s="134" t="str">
        <f t="shared" si="387"/>
        <v/>
      </c>
      <c r="AD908" s="134" t="str">
        <f>IF(AC908="","",IFERROR((RANK(AC908,$AC$2:$AC$2028,1)+COUNTIF($AC$2:AC908,AC908))-1,""))</f>
        <v/>
      </c>
      <c r="AE908" s="144" t="str">
        <f t="shared" si="391"/>
        <v/>
      </c>
      <c r="AF908" s="144" t="str">
        <f>IF(AE908="","",SUM($AE$2:AE908))</f>
        <v/>
      </c>
    </row>
    <row r="909" spans="14:32" x14ac:dyDescent="0.35">
      <c r="N909" s="134" t="str">
        <f t="shared" si="389"/>
        <v/>
      </c>
      <c r="O909" s="82" t="str">
        <f t="shared" si="380"/>
        <v/>
      </c>
      <c r="P909" s="81" t="str">
        <f t="shared" si="390"/>
        <v/>
      </c>
      <c r="Q909" s="81" t="str">
        <f t="shared" si="381"/>
        <v/>
      </c>
      <c r="R909" s="135" t="str">
        <f t="shared" ca="1" si="382"/>
        <v/>
      </c>
      <c r="S909" s="134" t="str">
        <f t="shared" ca="1" si="383"/>
        <v/>
      </c>
      <c r="T909" s="134" t="str">
        <f ca="1">IF(S909=Dashboard!$D$12,S909,"")</f>
        <v/>
      </c>
      <c r="U909" s="134" t="str">
        <f t="shared" ca="1" si="384"/>
        <v/>
      </c>
      <c r="V909" s="83" t="str">
        <f ca="1">IF(U909="","",IFERROR((RANK(U909,$U$2:$U$2028,1)+COUNTIF($U$2:U909,U909))-1,""))</f>
        <v/>
      </c>
      <c r="W909" s="134" t="str">
        <f t="shared" si="388"/>
        <v/>
      </c>
      <c r="X909" s="134" t="str">
        <f>IF(W909="","",IFERROR((RANK(W909,$W$2:$W$2028,1)+COUNTIF($W$2:W909,W909))-1,""))</f>
        <v/>
      </c>
      <c r="Y909" s="134" t="str">
        <f t="shared" si="385"/>
        <v/>
      </c>
      <c r="Z909" s="134" t="str">
        <f>IF(Y909="","",IFERROR((RANK(Y909,$Y$2:$Y$2028,1)+COUNTIF($Y$2:Y909,Y909))-1,""))</f>
        <v/>
      </c>
      <c r="AA909" s="134" t="str">
        <f t="shared" si="386"/>
        <v/>
      </c>
      <c r="AB909" s="134" t="str">
        <f>IF(AA909="","",IFERROR((RANK(AA909,$AA$2:$AA$2028,1)+COUNTIF($AA$2:AA909,AA909))-1,""))</f>
        <v/>
      </c>
      <c r="AC909" s="134" t="str">
        <f t="shared" si="387"/>
        <v/>
      </c>
      <c r="AD909" s="134" t="str">
        <f>IF(AC909="","",IFERROR((RANK(AC909,$AC$2:$AC$2028,1)+COUNTIF($AC$2:AC909,AC909))-1,""))</f>
        <v/>
      </c>
      <c r="AE909" s="144" t="str">
        <f t="shared" si="391"/>
        <v/>
      </c>
      <c r="AF909" s="144" t="str">
        <f>IF(AE909="","",SUM($AE$2:AE909))</f>
        <v/>
      </c>
    </row>
    <row r="910" spans="14:32" x14ac:dyDescent="0.35">
      <c r="N910" s="134" t="str">
        <f t="shared" si="389"/>
        <v/>
      </c>
      <c r="O910" s="82" t="str">
        <f t="shared" si="380"/>
        <v/>
      </c>
      <c r="P910" s="81" t="str">
        <f t="shared" si="390"/>
        <v/>
      </c>
      <c r="Q910" s="81" t="str">
        <f t="shared" si="381"/>
        <v/>
      </c>
      <c r="R910" s="135" t="str">
        <f t="shared" ca="1" si="382"/>
        <v/>
      </c>
      <c r="S910" s="134" t="str">
        <f t="shared" ca="1" si="383"/>
        <v/>
      </c>
      <c r="T910" s="134" t="str">
        <f ca="1">IF(S910=Dashboard!$D$12,S910,"")</f>
        <v/>
      </c>
      <c r="U910" s="134" t="str">
        <f t="shared" ca="1" si="384"/>
        <v/>
      </c>
      <c r="V910" s="83" t="str">
        <f ca="1">IF(U910="","",IFERROR((RANK(U910,$U$2:$U$2028,1)+COUNTIF($U$2:U910,U910))-1,""))</f>
        <v/>
      </c>
      <c r="W910" s="134" t="str">
        <f t="shared" si="388"/>
        <v/>
      </c>
      <c r="X910" s="134" t="str">
        <f>IF(W910="","",IFERROR((RANK(W910,$W$2:$W$2028,1)+COUNTIF($W$2:W910,W910))-1,""))</f>
        <v/>
      </c>
      <c r="Y910" s="134" t="str">
        <f t="shared" si="385"/>
        <v/>
      </c>
      <c r="Z910" s="134" t="str">
        <f>IF(Y910="","",IFERROR((RANK(Y910,$Y$2:$Y$2028,1)+COUNTIF($Y$2:Y910,Y910))-1,""))</f>
        <v/>
      </c>
      <c r="AA910" s="134" t="str">
        <f t="shared" si="386"/>
        <v/>
      </c>
      <c r="AB910" s="134" t="str">
        <f>IF(AA910="","",IFERROR((RANK(AA910,$AA$2:$AA$2028,1)+COUNTIF($AA$2:AA910,AA910))-1,""))</f>
        <v/>
      </c>
      <c r="AC910" s="134" t="str">
        <f t="shared" si="387"/>
        <v/>
      </c>
      <c r="AD910" s="134" t="str">
        <f>IF(AC910="","",IFERROR((RANK(AC910,$AC$2:$AC$2028,1)+COUNTIF($AC$2:AC910,AC910))-1,""))</f>
        <v/>
      </c>
      <c r="AE910" s="144" t="str">
        <f t="shared" si="391"/>
        <v/>
      </c>
      <c r="AF910" s="144" t="str">
        <f>IF(AE910="","",SUM($AE$2:AE910))</f>
        <v/>
      </c>
    </row>
    <row r="911" spans="14:32" x14ac:dyDescent="0.35">
      <c r="N911" s="134" t="str">
        <f t="shared" si="389"/>
        <v/>
      </c>
      <c r="O911" s="82" t="str">
        <f t="shared" si="380"/>
        <v/>
      </c>
      <c r="P911" s="81" t="str">
        <f t="shared" si="390"/>
        <v/>
      </c>
      <c r="Q911" s="81" t="str">
        <f t="shared" si="381"/>
        <v/>
      </c>
      <c r="R911" s="135" t="str">
        <f t="shared" ca="1" si="382"/>
        <v/>
      </c>
      <c r="S911" s="134" t="str">
        <f t="shared" ca="1" si="383"/>
        <v/>
      </c>
      <c r="T911" s="134" t="str">
        <f ca="1">IF(S911=Dashboard!$D$12,S911,"")</f>
        <v/>
      </c>
      <c r="U911" s="134" t="str">
        <f t="shared" ca="1" si="384"/>
        <v/>
      </c>
      <c r="V911" s="83" t="str">
        <f ca="1">IF(U911="","",IFERROR((RANK(U911,$U$2:$U$2028,1)+COUNTIF($U$2:U911,U911))-1,""))</f>
        <v/>
      </c>
      <c r="W911" s="134" t="str">
        <f t="shared" si="388"/>
        <v/>
      </c>
      <c r="X911" s="134" t="str">
        <f>IF(W911="","",IFERROR((RANK(W911,$W$2:$W$2028,1)+COUNTIF($W$2:W911,W911))-1,""))</f>
        <v/>
      </c>
      <c r="Y911" s="134" t="str">
        <f t="shared" si="385"/>
        <v/>
      </c>
      <c r="Z911" s="134" t="str">
        <f>IF(Y911="","",IFERROR((RANK(Y911,$Y$2:$Y$2028,1)+COUNTIF($Y$2:Y911,Y911))-1,""))</f>
        <v/>
      </c>
      <c r="AA911" s="134" t="str">
        <f t="shared" si="386"/>
        <v/>
      </c>
      <c r="AB911" s="134" t="str">
        <f>IF(AA911="","",IFERROR((RANK(AA911,$AA$2:$AA$2028,1)+COUNTIF($AA$2:AA911,AA911))-1,""))</f>
        <v/>
      </c>
      <c r="AC911" s="134" t="str">
        <f t="shared" si="387"/>
        <v/>
      </c>
      <c r="AD911" s="134" t="str">
        <f>IF(AC911="","",IFERROR((RANK(AC911,$AC$2:$AC$2028,1)+COUNTIF($AC$2:AC911,AC911))-1,""))</f>
        <v/>
      </c>
      <c r="AE911" s="144" t="str">
        <f t="shared" si="391"/>
        <v/>
      </c>
      <c r="AF911" s="144" t="str">
        <f>IF(AE911="","",SUM($AE$2:AE911))</f>
        <v/>
      </c>
    </row>
    <row r="912" spans="14:32" x14ac:dyDescent="0.35">
      <c r="N912" s="134" t="str">
        <f t="shared" si="389"/>
        <v/>
      </c>
      <c r="O912" s="82" t="str">
        <f t="shared" si="380"/>
        <v/>
      </c>
      <c r="P912" s="81" t="str">
        <f t="shared" si="390"/>
        <v/>
      </c>
      <c r="Q912" s="81" t="str">
        <f t="shared" si="381"/>
        <v/>
      </c>
      <c r="R912" s="135" t="str">
        <f t="shared" ca="1" si="382"/>
        <v/>
      </c>
      <c r="S912" s="134" t="str">
        <f t="shared" ca="1" si="383"/>
        <v/>
      </c>
      <c r="T912" s="134" t="str">
        <f ca="1">IF(S912=Dashboard!$D$12,S912,"")</f>
        <v/>
      </c>
      <c r="U912" s="134" t="str">
        <f t="shared" ca="1" si="384"/>
        <v/>
      </c>
      <c r="V912" s="83" t="str">
        <f ca="1">IF(U912="","",IFERROR((RANK(U912,$U$2:$U$2028,1)+COUNTIF($U$2:U912,U912))-1,""))</f>
        <v/>
      </c>
      <c r="W912" s="134" t="str">
        <f t="shared" si="388"/>
        <v/>
      </c>
      <c r="X912" s="134" t="str">
        <f>IF(W912="","",IFERROR((RANK(W912,$W$2:$W$2028,1)+COUNTIF($W$2:W912,W912))-1,""))</f>
        <v/>
      </c>
      <c r="Y912" s="134" t="str">
        <f t="shared" si="385"/>
        <v/>
      </c>
      <c r="Z912" s="134" t="str">
        <f>IF(Y912="","",IFERROR((RANK(Y912,$Y$2:$Y$2028,1)+COUNTIF($Y$2:Y912,Y912))-1,""))</f>
        <v/>
      </c>
      <c r="AA912" s="134" t="str">
        <f t="shared" si="386"/>
        <v/>
      </c>
      <c r="AB912" s="134" t="str">
        <f>IF(AA912="","",IFERROR((RANK(AA912,$AA$2:$AA$2028,1)+COUNTIF($AA$2:AA912,AA912))-1,""))</f>
        <v/>
      </c>
      <c r="AC912" s="134" t="str">
        <f t="shared" si="387"/>
        <v/>
      </c>
      <c r="AD912" s="134" t="str">
        <f>IF(AC912="","",IFERROR((RANK(AC912,$AC$2:$AC$2028,1)+COUNTIF($AC$2:AC912,AC912))-1,""))</f>
        <v/>
      </c>
      <c r="AE912" s="144" t="str">
        <f t="shared" si="391"/>
        <v/>
      </c>
      <c r="AF912" s="144" t="str">
        <f>IF(AE912="","",SUM($AE$2:AE912))</f>
        <v/>
      </c>
    </row>
    <row r="913" spans="14:32" x14ac:dyDescent="0.35">
      <c r="N913" s="134" t="str">
        <f t="shared" si="389"/>
        <v/>
      </c>
      <c r="O913" s="82" t="str">
        <f t="shared" si="380"/>
        <v/>
      </c>
      <c r="P913" s="81" t="str">
        <f t="shared" si="390"/>
        <v/>
      </c>
      <c r="Q913" s="81" t="str">
        <f t="shared" si="381"/>
        <v/>
      </c>
      <c r="R913" s="135" t="str">
        <f t="shared" ca="1" si="382"/>
        <v/>
      </c>
      <c r="S913" s="134" t="str">
        <f t="shared" ca="1" si="383"/>
        <v/>
      </c>
      <c r="T913" s="134" t="str">
        <f ca="1">IF(S913=Dashboard!$D$12,S913,"")</f>
        <v/>
      </c>
      <c r="U913" s="134" t="str">
        <f t="shared" ca="1" si="384"/>
        <v/>
      </c>
      <c r="V913" s="83" t="str">
        <f ca="1">IF(U913="","",IFERROR((RANK(U913,$U$2:$U$2028,1)+COUNTIF($U$2:U913,U913))-1,""))</f>
        <v/>
      </c>
      <c r="W913" s="134" t="str">
        <f t="shared" si="388"/>
        <v/>
      </c>
      <c r="X913" s="134" t="str">
        <f>IF(W913="","",IFERROR((RANK(W913,$W$2:$W$2028,1)+COUNTIF($W$2:W913,W913))-1,""))</f>
        <v/>
      </c>
      <c r="Y913" s="134" t="str">
        <f t="shared" si="385"/>
        <v/>
      </c>
      <c r="Z913" s="134" t="str">
        <f>IF(Y913="","",IFERROR((RANK(Y913,$Y$2:$Y$2028,1)+COUNTIF($Y$2:Y913,Y913))-1,""))</f>
        <v/>
      </c>
      <c r="AA913" s="134" t="str">
        <f t="shared" si="386"/>
        <v/>
      </c>
      <c r="AB913" s="134" t="str">
        <f>IF(AA913="","",IFERROR((RANK(AA913,$AA$2:$AA$2028,1)+COUNTIF($AA$2:AA913,AA913))-1,""))</f>
        <v/>
      </c>
      <c r="AC913" s="134" t="str">
        <f t="shared" si="387"/>
        <v/>
      </c>
      <c r="AD913" s="134" t="str">
        <f>IF(AC913="","",IFERROR((RANK(AC913,$AC$2:$AC$2028,1)+COUNTIF($AC$2:AC913,AC913))-1,""))</f>
        <v/>
      </c>
      <c r="AE913" s="144" t="str">
        <f t="shared" si="391"/>
        <v/>
      </c>
      <c r="AF913" s="144" t="str">
        <f>IF(AE913="","",SUM($AE$2:AE913))</f>
        <v/>
      </c>
    </row>
    <row r="914" spans="14:32" x14ac:dyDescent="0.35">
      <c r="N914" s="134" t="str">
        <f t="shared" si="389"/>
        <v/>
      </c>
      <c r="O914" s="82" t="str">
        <f t="shared" si="380"/>
        <v/>
      </c>
      <c r="P914" s="81" t="str">
        <f t="shared" si="390"/>
        <v/>
      </c>
      <c r="Q914" s="81" t="str">
        <f t="shared" si="381"/>
        <v/>
      </c>
      <c r="R914" s="135" t="str">
        <f t="shared" ca="1" si="382"/>
        <v/>
      </c>
      <c r="S914" s="134" t="str">
        <f t="shared" ca="1" si="383"/>
        <v/>
      </c>
      <c r="T914" s="134" t="str">
        <f ca="1">IF(S914=Dashboard!$D$12,S914,"")</f>
        <v/>
      </c>
      <c r="U914" s="134" t="str">
        <f t="shared" ca="1" si="384"/>
        <v/>
      </c>
      <c r="V914" s="83" t="str">
        <f ca="1">IF(U914="","",IFERROR((RANK(U914,$U$2:$U$2028,1)+COUNTIF($U$2:U914,U914))-1,""))</f>
        <v/>
      </c>
      <c r="W914" s="134" t="str">
        <f t="shared" si="388"/>
        <v/>
      </c>
      <c r="X914" s="134" t="str">
        <f>IF(W914="","",IFERROR((RANK(W914,$W$2:$W$2028,1)+COUNTIF($W$2:W914,W914))-1,""))</f>
        <v/>
      </c>
      <c r="Y914" s="134" t="str">
        <f t="shared" si="385"/>
        <v/>
      </c>
      <c r="Z914" s="134" t="str">
        <f>IF(Y914="","",IFERROR((RANK(Y914,$Y$2:$Y$2028,1)+COUNTIF($Y$2:Y914,Y914))-1,""))</f>
        <v/>
      </c>
      <c r="AA914" s="134" t="str">
        <f t="shared" si="386"/>
        <v/>
      </c>
      <c r="AB914" s="134" t="str">
        <f>IF(AA914="","",IFERROR((RANK(AA914,$AA$2:$AA$2028,1)+COUNTIF($AA$2:AA914,AA914))-1,""))</f>
        <v/>
      </c>
      <c r="AC914" s="134" t="str">
        <f t="shared" si="387"/>
        <v/>
      </c>
      <c r="AD914" s="134" t="str">
        <f>IF(AC914="","",IFERROR((RANK(AC914,$AC$2:$AC$2028,1)+COUNTIF($AC$2:AC914,AC914))-1,""))</f>
        <v/>
      </c>
      <c r="AE914" s="144" t="str">
        <f t="shared" si="391"/>
        <v/>
      </c>
      <c r="AF914" s="144" t="str">
        <f>IF(AE914="","",SUM($AE$2:AE914))</f>
        <v/>
      </c>
    </row>
    <row r="915" spans="14:32" x14ac:dyDescent="0.35">
      <c r="N915" s="134" t="str">
        <f t="shared" si="389"/>
        <v/>
      </c>
      <c r="O915" s="82" t="str">
        <f t="shared" si="380"/>
        <v/>
      </c>
      <c r="P915" s="81" t="str">
        <f t="shared" si="390"/>
        <v/>
      </c>
      <c r="Q915" s="81" t="str">
        <f t="shared" si="381"/>
        <v/>
      </c>
      <c r="R915" s="135" t="str">
        <f t="shared" ca="1" si="382"/>
        <v/>
      </c>
      <c r="S915" s="134" t="str">
        <f t="shared" ca="1" si="383"/>
        <v/>
      </c>
      <c r="T915" s="134" t="str">
        <f ca="1">IF(S915=Dashboard!$D$12,S915,"")</f>
        <v/>
      </c>
      <c r="U915" s="134" t="str">
        <f t="shared" ca="1" si="384"/>
        <v/>
      </c>
      <c r="V915" s="83" t="str">
        <f ca="1">IF(U915="","",IFERROR((RANK(U915,$U$2:$U$2028,1)+COUNTIF($U$2:U915,U915))-1,""))</f>
        <v/>
      </c>
      <c r="W915" s="134" t="str">
        <f t="shared" si="388"/>
        <v/>
      </c>
      <c r="X915" s="134" t="str">
        <f>IF(W915="","",IFERROR((RANK(W915,$W$2:$W$2028,1)+COUNTIF($W$2:W915,W915))-1,""))</f>
        <v/>
      </c>
      <c r="Y915" s="134" t="str">
        <f t="shared" si="385"/>
        <v/>
      </c>
      <c r="Z915" s="134" t="str">
        <f>IF(Y915="","",IFERROR((RANK(Y915,$Y$2:$Y$2028,1)+COUNTIF($Y$2:Y915,Y915))-1,""))</f>
        <v/>
      </c>
      <c r="AA915" s="134" t="str">
        <f t="shared" si="386"/>
        <v/>
      </c>
      <c r="AB915" s="134" t="str">
        <f>IF(AA915="","",IFERROR((RANK(AA915,$AA$2:$AA$2028,1)+COUNTIF($AA$2:AA915,AA915))-1,""))</f>
        <v/>
      </c>
      <c r="AC915" s="134" t="str">
        <f t="shared" si="387"/>
        <v/>
      </c>
      <c r="AD915" s="134" t="str">
        <f>IF(AC915="","",IFERROR((RANK(AC915,$AC$2:$AC$2028,1)+COUNTIF($AC$2:AC915,AC915))-1,""))</f>
        <v/>
      </c>
      <c r="AE915" s="144" t="str">
        <f t="shared" si="391"/>
        <v/>
      </c>
      <c r="AF915" s="144" t="str">
        <f>IF(AE915="","",SUM($AE$2:AE915))</f>
        <v/>
      </c>
    </row>
    <row r="916" spans="14:32" x14ac:dyDescent="0.35">
      <c r="N916" s="134" t="str">
        <f t="shared" si="389"/>
        <v/>
      </c>
      <c r="O916" s="82" t="str">
        <f t="shared" si="380"/>
        <v/>
      </c>
      <c r="P916" s="81" t="str">
        <f t="shared" si="390"/>
        <v/>
      </c>
      <c r="Q916" s="81" t="str">
        <f t="shared" si="381"/>
        <v/>
      </c>
      <c r="R916" s="135" t="str">
        <f t="shared" ca="1" si="382"/>
        <v/>
      </c>
      <c r="S916" s="134" t="str">
        <f t="shared" ca="1" si="383"/>
        <v/>
      </c>
      <c r="T916" s="134" t="str">
        <f ca="1">IF(S916=Dashboard!$D$12,S916,"")</f>
        <v/>
      </c>
      <c r="U916" s="134" t="str">
        <f t="shared" ca="1" si="384"/>
        <v/>
      </c>
      <c r="V916" s="83" t="str">
        <f ca="1">IF(U916="","",IFERROR((RANK(U916,$U$2:$U$2028,1)+COUNTIF($U$2:U916,U916))-1,""))</f>
        <v/>
      </c>
      <c r="W916" s="134" t="str">
        <f t="shared" si="388"/>
        <v/>
      </c>
      <c r="X916" s="134" t="str">
        <f>IF(W916="","",IFERROR((RANK(W916,$W$2:$W$2028,1)+COUNTIF($W$2:W916,W916))-1,""))</f>
        <v/>
      </c>
      <c r="Y916" s="134" t="str">
        <f t="shared" si="385"/>
        <v/>
      </c>
      <c r="Z916" s="134" t="str">
        <f>IF(Y916="","",IFERROR((RANK(Y916,$Y$2:$Y$2028,1)+COUNTIF($Y$2:Y916,Y916))-1,""))</f>
        <v/>
      </c>
      <c r="AA916" s="134" t="str">
        <f t="shared" si="386"/>
        <v/>
      </c>
      <c r="AB916" s="134" t="str">
        <f>IF(AA916="","",IFERROR((RANK(AA916,$AA$2:$AA$2028,1)+COUNTIF($AA$2:AA916,AA916))-1,""))</f>
        <v/>
      </c>
      <c r="AC916" s="134" t="str">
        <f t="shared" si="387"/>
        <v/>
      </c>
      <c r="AD916" s="134" t="str">
        <f>IF(AC916="","",IFERROR((RANK(AC916,$AC$2:$AC$2028,1)+COUNTIF($AC$2:AC916,AC916))-1,""))</f>
        <v/>
      </c>
      <c r="AE916" s="144" t="str">
        <f t="shared" si="391"/>
        <v/>
      </c>
      <c r="AF916" s="144" t="str">
        <f>IF(AE916="","",SUM($AE$2:AE916))</f>
        <v/>
      </c>
    </row>
    <row r="917" spans="14:32" x14ac:dyDescent="0.35">
      <c r="N917" s="134" t="str">
        <f t="shared" si="389"/>
        <v/>
      </c>
      <c r="O917" s="82" t="str">
        <f t="shared" si="380"/>
        <v/>
      </c>
      <c r="P917" s="81" t="str">
        <f t="shared" si="390"/>
        <v/>
      </c>
      <c r="Q917" s="81" t="str">
        <f t="shared" si="381"/>
        <v/>
      </c>
      <c r="R917" s="135" t="str">
        <f t="shared" ca="1" si="382"/>
        <v/>
      </c>
      <c r="S917" s="134" t="str">
        <f t="shared" ca="1" si="383"/>
        <v/>
      </c>
      <c r="T917" s="134" t="str">
        <f ca="1">IF(S917=Dashboard!$D$12,S917,"")</f>
        <v/>
      </c>
      <c r="U917" s="134" t="str">
        <f t="shared" ca="1" si="384"/>
        <v/>
      </c>
      <c r="V917" s="83" t="str">
        <f ca="1">IF(U917="","",IFERROR((RANK(U917,$U$2:$U$2028,1)+COUNTIF($U$2:U917,U917))-1,""))</f>
        <v/>
      </c>
      <c r="W917" s="134" t="str">
        <f t="shared" si="388"/>
        <v/>
      </c>
      <c r="X917" s="134" t="str">
        <f>IF(W917="","",IFERROR((RANK(W917,$W$2:$W$2028,1)+COUNTIF($W$2:W917,W917))-1,""))</f>
        <v/>
      </c>
      <c r="Y917" s="134" t="str">
        <f t="shared" si="385"/>
        <v/>
      </c>
      <c r="Z917" s="134" t="str">
        <f>IF(Y917="","",IFERROR((RANK(Y917,$Y$2:$Y$2028,1)+COUNTIF($Y$2:Y917,Y917))-1,""))</f>
        <v/>
      </c>
      <c r="AA917" s="134" t="str">
        <f t="shared" si="386"/>
        <v/>
      </c>
      <c r="AB917" s="134" t="str">
        <f>IF(AA917="","",IFERROR((RANK(AA917,$AA$2:$AA$2028,1)+COUNTIF($AA$2:AA917,AA917))-1,""))</f>
        <v/>
      </c>
      <c r="AC917" s="134" t="str">
        <f t="shared" si="387"/>
        <v/>
      </c>
      <c r="AD917" s="134" t="str">
        <f>IF(AC917="","",IFERROR((RANK(AC917,$AC$2:$AC$2028,1)+COUNTIF($AC$2:AC917,AC917))-1,""))</f>
        <v/>
      </c>
      <c r="AE917" s="144" t="str">
        <f t="shared" si="391"/>
        <v/>
      </c>
      <c r="AF917" s="144" t="str">
        <f>IF(AE917="","",SUM($AE$2:AE917))</f>
        <v/>
      </c>
    </row>
    <row r="918" spans="14:32" x14ac:dyDescent="0.35">
      <c r="N918" s="134" t="str">
        <f t="shared" si="389"/>
        <v/>
      </c>
      <c r="O918" s="82" t="str">
        <f t="shared" si="380"/>
        <v/>
      </c>
      <c r="P918" s="81" t="str">
        <f t="shared" si="390"/>
        <v/>
      </c>
      <c r="Q918" s="81" t="str">
        <f t="shared" si="381"/>
        <v/>
      </c>
      <c r="R918" s="135" t="str">
        <f t="shared" ca="1" si="382"/>
        <v/>
      </c>
      <c r="S918" s="134" t="str">
        <f t="shared" ca="1" si="383"/>
        <v/>
      </c>
      <c r="T918" s="134" t="str">
        <f ca="1">IF(S918=Dashboard!$D$12,S918,"")</f>
        <v/>
      </c>
      <c r="U918" s="134" t="str">
        <f t="shared" ca="1" si="384"/>
        <v/>
      </c>
      <c r="V918" s="83" t="str">
        <f ca="1">IF(U918="","",IFERROR((RANK(U918,$U$2:$U$2028,1)+COUNTIF($U$2:U918,U918))-1,""))</f>
        <v/>
      </c>
      <c r="W918" s="134" t="str">
        <f t="shared" si="388"/>
        <v/>
      </c>
      <c r="X918" s="134" t="str">
        <f>IF(W918="","",IFERROR((RANK(W918,$W$2:$W$2028,1)+COUNTIF($W$2:W918,W918))-1,""))</f>
        <v/>
      </c>
      <c r="Y918" s="134" t="str">
        <f t="shared" si="385"/>
        <v/>
      </c>
      <c r="Z918" s="134" t="str">
        <f>IF(Y918="","",IFERROR((RANK(Y918,$Y$2:$Y$2028,1)+COUNTIF($Y$2:Y918,Y918))-1,""))</f>
        <v/>
      </c>
      <c r="AA918" s="134" t="str">
        <f t="shared" si="386"/>
        <v/>
      </c>
      <c r="AB918" s="134" t="str">
        <f>IF(AA918="","",IFERROR((RANK(AA918,$AA$2:$AA$2028,1)+COUNTIF($AA$2:AA918,AA918))-1,""))</f>
        <v/>
      </c>
      <c r="AC918" s="134" t="str">
        <f t="shared" si="387"/>
        <v/>
      </c>
      <c r="AD918" s="134" t="str">
        <f>IF(AC918="","",IFERROR((RANK(AC918,$AC$2:$AC$2028,1)+COUNTIF($AC$2:AC918,AC918))-1,""))</f>
        <v/>
      </c>
      <c r="AE918" s="144" t="str">
        <f t="shared" si="391"/>
        <v/>
      </c>
      <c r="AF918" s="144" t="str">
        <f>IF(AE918="","",SUM($AE$2:AE918))</f>
        <v/>
      </c>
    </row>
    <row r="919" spans="14:32" x14ac:dyDescent="0.35">
      <c r="N919" s="134" t="str">
        <f t="shared" si="389"/>
        <v/>
      </c>
      <c r="O919" s="82" t="str">
        <f t="shared" si="380"/>
        <v/>
      </c>
      <c r="P919" s="81" t="str">
        <f t="shared" si="390"/>
        <v/>
      </c>
      <c r="Q919" s="81" t="str">
        <f t="shared" si="381"/>
        <v/>
      </c>
      <c r="R919" s="135" t="str">
        <f t="shared" ca="1" si="382"/>
        <v/>
      </c>
      <c r="S919" s="134" t="str">
        <f t="shared" ca="1" si="383"/>
        <v/>
      </c>
      <c r="T919" s="134" t="str">
        <f ca="1">IF(S919=Dashboard!$D$12,S919,"")</f>
        <v/>
      </c>
      <c r="U919" s="134" t="str">
        <f t="shared" ca="1" si="384"/>
        <v/>
      </c>
      <c r="V919" s="83" t="str">
        <f ca="1">IF(U919="","",IFERROR((RANK(U919,$U$2:$U$2028,1)+COUNTIF($U$2:U919,U919))-1,""))</f>
        <v/>
      </c>
      <c r="W919" s="134" t="str">
        <f t="shared" si="388"/>
        <v/>
      </c>
      <c r="X919" s="134" t="str">
        <f>IF(W919="","",IFERROR((RANK(W919,$W$2:$W$2028,1)+COUNTIF($W$2:W919,W919))-1,""))</f>
        <v/>
      </c>
      <c r="Y919" s="134" t="str">
        <f t="shared" si="385"/>
        <v/>
      </c>
      <c r="Z919" s="134" t="str">
        <f>IF(Y919="","",IFERROR((RANK(Y919,$Y$2:$Y$2028,1)+COUNTIF($Y$2:Y919,Y919))-1,""))</f>
        <v/>
      </c>
      <c r="AA919" s="134" t="str">
        <f t="shared" si="386"/>
        <v/>
      </c>
      <c r="AB919" s="134" t="str">
        <f>IF(AA919="","",IFERROR((RANK(AA919,$AA$2:$AA$2028,1)+COUNTIF($AA$2:AA919,AA919))-1,""))</f>
        <v/>
      </c>
      <c r="AC919" s="134" t="str">
        <f t="shared" si="387"/>
        <v/>
      </c>
      <c r="AD919" s="134" t="str">
        <f>IF(AC919="","",IFERROR((RANK(AC919,$AC$2:$AC$2028,1)+COUNTIF($AC$2:AC919,AC919))-1,""))</f>
        <v/>
      </c>
      <c r="AE919" s="144" t="str">
        <f t="shared" si="391"/>
        <v/>
      </c>
      <c r="AF919" s="144" t="str">
        <f>IF(AE919="","",SUM($AE$2:AE919))</f>
        <v/>
      </c>
    </row>
    <row r="920" spans="14:32" x14ac:dyDescent="0.35">
      <c r="N920" s="134" t="str">
        <f t="shared" si="389"/>
        <v/>
      </c>
      <c r="O920" s="82" t="str">
        <f t="shared" si="380"/>
        <v/>
      </c>
      <c r="P920" s="81" t="str">
        <f t="shared" si="390"/>
        <v/>
      </c>
      <c r="Q920" s="81" t="str">
        <f t="shared" si="381"/>
        <v/>
      </c>
      <c r="R920" s="135" t="str">
        <f t="shared" ca="1" si="382"/>
        <v/>
      </c>
      <c r="S920" s="134" t="str">
        <f t="shared" ca="1" si="383"/>
        <v/>
      </c>
      <c r="T920" s="134" t="str">
        <f ca="1">IF(S920=Dashboard!$D$12,S920,"")</f>
        <v/>
      </c>
      <c r="U920" s="134" t="str">
        <f t="shared" ca="1" si="384"/>
        <v/>
      </c>
      <c r="V920" s="83" t="str">
        <f ca="1">IF(U920="","",IFERROR((RANK(U920,$U$2:$U$2028,1)+COUNTIF($U$2:U920,U920))-1,""))</f>
        <v/>
      </c>
      <c r="W920" s="134" t="str">
        <f t="shared" si="388"/>
        <v/>
      </c>
      <c r="X920" s="134" t="str">
        <f>IF(W920="","",IFERROR((RANK(W920,$W$2:$W$2028,1)+COUNTIF($W$2:W920,W920))-1,""))</f>
        <v/>
      </c>
      <c r="Y920" s="134" t="str">
        <f t="shared" si="385"/>
        <v/>
      </c>
      <c r="Z920" s="134" t="str">
        <f>IF(Y920="","",IFERROR((RANK(Y920,$Y$2:$Y$2028,1)+COUNTIF($Y$2:Y920,Y920))-1,""))</f>
        <v/>
      </c>
      <c r="AA920" s="134" t="str">
        <f t="shared" si="386"/>
        <v/>
      </c>
      <c r="AB920" s="134" t="str">
        <f>IF(AA920="","",IFERROR((RANK(AA920,$AA$2:$AA$2028,1)+COUNTIF($AA$2:AA920,AA920))-1,""))</f>
        <v/>
      </c>
      <c r="AC920" s="134" t="str">
        <f t="shared" si="387"/>
        <v/>
      </c>
      <c r="AD920" s="134" t="str">
        <f>IF(AC920="","",IFERROR((RANK(AC920,$AC$2:$AC$2028,1)+COUNTIF($AC$2:AC920,AC920))-1,""))</f>
        <v/>
      </c>
      <c r="AE920" s="144" t="str">
        <f t="shared" si="391"/>
        <v/>
      </c>
      <c r="AF920" s="144" t="str">
        <f>IF(AE920="","",SUM($AE$2:AE920))</f>
        <v/>
      </c>
    </row>
    <row r="921" spans="14:32" x14ac:dyDescent="0.35">
      <c r="N921" s="134" t="str">
        <f t="shared" si="389"/>
        <v/>
      </c>
      <c r="O921" s="82" t="str">
        <f t="shared" si="380"/>
        <v/>
      </c>
      <c r="P921" s="81" t="str">
        <f t="shared" si="390"/>
        <v/>
      </c>
      <c r="Q921" s="81" t="str">
        <f t="shared" si="381"/>
        <v/>
      </c>
      <c r="R921" s="135" t="str">
        <f t="shared" ca="1" si="382"/>
        <v/>
      </c>
      <c r="S921" s="134" t="str">
        <f t="shared" ca="1" si="383"/>
        <v/>
      </c>
      <c r="T921" s="134" t="str">
        <f ca="1">IF(S921=Dashboard!$D$12,S921,"")</f>
        <v/>
      </c>
      <c r="U921" s="134" t="str">
        <f t="shared" ca="1" si="384"/>
        <v/>
      </c>
      <c r="V921" s="83" t="str">
        <f ca="1">IF(U921="","",IFERROR((RANK(U921,$U$2:$U$2028,1)+COUNTIF($U$2:U921,U921))-1,""))</f>
        <v/>
      </c>
      <c r="W921" s="134" t="str">
        <f t="shared" si="388"/>
        <v/>
      </c>
      <c r="X921" s="134" t="str">
        <f>IF(W921="","",IFERROR((RANK(W921,$W$2:$W$2028,1)+COUNTIF($W$2:W921,W921))-1,""))</f>
        <v/>
      </c>
      <c r="Y921" s="134" t="str">
        <f t="shared" si="385"/>
        <v/>
      </c>
      <c r="Z921" s="134" t="str">
        <f>IF(Y921="","",IFERROR((RANK(Y921,$Y$2:$Y$2028,1)+COUNTIF($Y$2:Y921,Y921))-1,""))</f>
        <v/>
      </c>
      <c r="AA921" s="134" t="str">
        <f t="shared" si="386"/>
        <v/>
      </c>
      <c r="AB921" s="134" t="str">
        <f>IF(AA921="","",IFERROR((RANK(AA921,$AA$2:$AA$2028,1)+COUNTIF($AA$2:AA921,AA921))-1,""))</f>
        <v/>
      </c>
      <c r="AC921" s="134" t="str">
        <f t="shared" si="387"/>
        <v/>
      </c>
      <c r="AD921" s="134" t="str">
        <f>IF(AC921="","",IFERROR((RANK(AC921,$AC$2:$AC$2028,1)+COUNTIF($AC$2:AC921,AC921))-1,""))</f>
        <v/>
      </c>
      <c r="AE921" s="144" t="str">
        <f t="shared" si="391"/>
        <v/>
      </c>
      <c r="AF921" s="144" t="str">
        <f>IF(AE921="","",SUM($AE$2:AE921))</f>
        <v/>
      </c>
    </row>
    <row r="922" spans="14:32" x14ac:dyDescent="0.35">
      <c r="N922" s="134" t="str">
        <f t="shared" si="389"/>
        <v/>
      </c>
      <c r="O922" s="82" t="str">
        <f t="shared" si="380"/>
        <v/>
      </c>
      <c r="P922" s="81" t="str">
        <f t="shared" si="390"/>
        <v/>
      </c>
      <c r="Q922" s="81" t="str">
        <f t="shared" si="381"/>
        <v/>
      </c>
      <c r="R922" s="135" t="str">
        <f t="shared" ca="1" si="382"/>
        <v/>
      </c>
      <c r="S922" s="134" t="str">
        <f t="shared" ca="1" si="383"/>
        <v/>
      </c>
      <c r="T922" s="134" t="str">
        <f ca="1">IF(S922=Dashboard!$D$12,S922,"")</f>
        <v/>
      </c>
      <c r="U922" s="134" t="str">
        <f t="shared" ca="1" si="384"/>
        <v/>
      </c>
      <c r="V922" s="83" t="str">
        <f ca="1">IF(U922="","",IFERROR((RANK(U922,$U$2:$U$2028,1)+COUNTIF($U$2:U922,U922))-1,""))</f>
        <v/>
      </c>
      <c r="W922" s="134" t="str">
        <f t="shared" si="388"/>
        <v/>
      </c>
      <c r="X922" s="134" t="str">
        <f>IF(W922="","",IFERROR((RANK(W922,$W$2:$W$2028,1)+COUNTIF($W$2:W922,W922))-1,""))</f>
        <v/>
      </c>
      <c r="Y922" s="134" t="str">
        <f t="shared" si="385"/>
        <v/>
      </c>
      <c r="Z922" s="134" t="str">
        <f>IF(Y922="","",IFERROR((RANK(Y922,$Y$2:$Y$2028,1)+COUNTIF($Y$2:Y922,Y922))-1,""))</f>
        <v/>
      </c>
      <c r="AA922" s="134" t="str">
        <f t="shared" si="386"/>
        <v/>
      </c>
      <c r="AB922" s="134" t="str">
        <f>IF(AA922="","",IFERROR((RANK(AA922,$AA$2:$AA$2028,1)+COUNTIF($AA$2:AA922,AA922))-1,""))</f>
        <v/>
      </c>
      <c r="AC922" s="134" t="str">
        <f t="shared" si="387"/>
        <v/>
      </c>
      <c r="AD922" s="134" t="str">
        <f>IF(AC922="","",IFERROR((RANK(AC922,$AC$2:$AC$2028,1)+COUNTIF($AC$2:AC922,AC922))-1,""))</f>
        <v/>
      </c>
      <c r="AE922" s="144" t="str">
        <f t="shared" si="391"/>
        <v/>
      </c>
      <c r="AF922" s="144" t="str">
        <f>IF(AE922="","",SUM($AE$2:AE922))</f>
        <v/>
      </c>
    </row>
    <row r="923" spans="14:32" x14ac:dyDescent="0.35">
      <c r="N923" s="134" t="str">
        <f t="shared" si="389"/>
        <v/>
      </c>
      <c r="O923" s="82" t="str">
        <f t="shared" si="380"/>
        <v/>
      </c>
      <c r="P923" s="81" t="str">
        <f t="shared" si="390"/>
        <v/>
      </c>
      <c r="Q923" s="81" t="str">
        <f t="shared" si="381"/>
        <v/>
      </c>
      <c r="R923" s="135" t="str">
        <f t="shared" ca="1" si="382"/>
        <v/>
      </c>
      <c r="S923" s="134" t="str">
        <f t="shared" ca="1" si="383"/>
        <v/>
      </c>
      <c r="T923" s="134" t="str">
        <f ca="1">IF(S923=Dashboard!$D$12,S923,"")</f>
        <v/>
      </c>
      <c r="U923" s="134" t="str">
        <f t="shared" ca="1" si="384"/>
        <v/>
      </c>
      <c r="V923" s="83" t="str">
        <f ca="1">IF(U923="","",IFERROR((RANK(U923,$U$2:$U$2028,1)+COUNTIF($U$2:U923,U923))-1,""))</f>
        <v/>
      </c>
      <c r="W923" s="134" t="str">
        <f t="shared" si="388"/>
        <v/>
      </c>
      <c r="X923" s="134" t="str">
        <f>IF(W923="","",IFERROR((RANK(W923,$W$2:$W$2028,1)+COUNTIF($W$2:W923,W923))-1,""))</f>
        <v/>
      </c>
      <c r="Y923" s="134" t="str">
        <f t="shared" si="385"/>
        <v/>
      </c>
      <c r="Z923" s="134" t="str">
        <f>IF(Y923="","",IFERROR((RANK(Y923,$Y$2:$Y$2028,1)+COUNTIF($Y$2:Y923,Y923))-1,""))</f>
        <v/>
      </c>
      <c r="AA923" s="134" t="str">
        <f t="shared" si="386"/>
        <v/>
      </c>
      <c r="AB923" s="134" t="str">
        <f>IF(AA923="","",IFERROR((RANK(AA923,$AA$2:$AA$2028,1)+COUNTIF($AA$2:AA923,AA923))-1,""))</f>
        <v/>
      </c>
      <c r="AC923" s="134" t="str">
        <f t="shared" si="387"/>
        <v/>
      </c>
      <c r="AD923" s="134" t="str">
        <f>IF(AC923="","",IFERROR((RANK(AC923,$AC$2:$AC$2028,1)+COUNTIF($AC$2:AC923,AC923))-1,""))</f>
        <v/>
      </c>
      <c r="AE923" s="144" t="str">
        <f t="shared" si="391"/>
        <v/>
      </c>
      <c r="AF923" s="144" t="str">
        <f>IF(AE923="","",SUM($AE$2:AE923))</f>
        <v/>
      </c>
    </row>
    <row r="924" spans="14:32" x14ac:dyDescent="0.35">
      <c r="N924" s="134" t="str">
        <f t="shared" si="389"/>
        <v/>
      </c>
      <c r="O924" s="82" t="str">
        <f t="shared" si="380"/>
        <v/>
      </c>
      <c r="P924" s="81" t="str">
        <f t="shared" si="390"/>
        <v/>
      </c>
      <c r="Q924" s="81" t="str">
        <f t="shared" si="381"/>
        <v/>
      </c>
      <c r="R924" s="135" t="str">
        <f t="shared" ca="1" si="382"/>
        <v/>
      </c>
      <c r="S924" s="134" t="str">
        <f t="shared" ca="1" si="383"/>
        <v/>
      </c>
      <c r="T924" s="134" t="str">
        <f ca="1">IF(S924=Dashboard!$D$12,S924,"")</f>
        <v/>
      </c>
      <c r="U924" s="134" t="str">
        <f t="shared" ca="1" si="384"/>
        <v/>
      </c>
      <c r="V924" s="83" t="str">
        <f ca="1">IF(U924="","",IFERROR((RANK(U924,$U$2:$U$2028,1)+COUNTIF($U$2:U924,U924))-1,""))</f>
        <v/>
      </c>
      <c r="W924" s="134" t="str">
        <f t="shared" si="388"/>
        <v/>
      </c>
      <c r="X924" s="134" t="str">
        <f>IF(W924="","",IFERROR((RANK(W924,$W$2:$W$2028,1)+COUNTIF($W$2:W924,W924))-1,""))</f>
        <v/>
      </c>
      <c r="Y924" s="134" t="str">
        <f t="shared" si="385"/>
        <v/>
      </c>
      <c r="Z924" s="134" t="str">
        <f>IF(Y924="","",IFERROR((RANK(Y924,$Y$2:$Y$2028,1)+COUNTIF($Y$2:Y924,Y924))-1,""))</f>
        <v/>
      </c>
      <c r="AA924" s="134" t="str">
        <f t="shared" si="386"/>
        <v/>
      </c>
      <c r="AB924" s="134" t="str">
        <f>IF(AA924="","",IFERROR((RANK(AA924,$AA$2:$AA$2028,1)+COUNTIF($AA$2:AA924,AA924))-1,""))</f>
        <v/>
      </c>
      <c r="AC924" s="134" t="str">
        <f t="shared" si="387"/>
        <v/>
      </c>
      <c r="AD924" s="134" t="str">
        <f>IF(AC924="","",IFERROR((RANK(AC924,$AC$2:$AC$2028,1)+COUNTIF($AC$2:AC924,AC924))-1,""))</f>
        <v/>
      </c>
      <c r="AE924" s="144" t="str">
        <f t="shared" si="391"/>
        <v/>
      </c>
      <c r="AF924" s="144" t="str">
        <f>IF(AE924="","",SUM($AE$2:AE924))</f>
        <v/>
      </c>
    </row>
    <row r="925" spans="14:32" x14ac:dyDescent="0.35">
      <c r="N925" s="134" t="str">
        <f t="shared" si="389"/>
        <v/>
      </c>
      <c r="O925" s="82" t="str">
        <f t="shared" si="380"/>
        <v/>
      </c>
      <c r="P925" s="81" t="str">
        <f t="shared" si="390"/>
        <v/>
      </c>
      <c r="Q925" s="81" t="str">
        <f t="shared" si="381"/>
        <v/>
      </c>
      <c r="R925" s="135" t="str">
        <f t="shared" ca="1" si="382"/>
        <v/>
      </c>
      <c r="S925" s="134" t="str">
        <f t="shared" ca="1" si="383"/>
        <v/>
      </c>
      <c r="T925" s="134" t="str">
        <f ca="1">IF(S925=Dashboard!$D$12,S925,"")</f>
        <v/>
      </c>
      <c r="U925" s="134" t="str">
        <f t="shared" ca="1" si="384"/>
        <v/>
      </c>
      <c r="V925" s="83" t="str">
        <f ca="1">IF(U925="","",IFERROR((RANK(U925,$U$2:$U$2028,1)+COUNTIF($U$2:U925,U925))-1,""))</f>
        <v/>
      </c>
      <c r="W925" s="134" t="str">
        <f t="shared" si="388"/>
        <v/>
      </c>
      <c r="X925" s="134" t="str">
        <f>IF(W925="","",IFERROR((RANK(W925,$W$2:$W$2028,1)+COUNTIF($W$2:W925,W925))-1,""))</f>
        <v/>
      </c>
      <c r="Y925" s="134" t="str">
        <f t="shared" si="385"/>
        <v/>
      </c>
      <c r="Z925" s="134" t="str">
        <f>IF(Y925="","",IFERROR((RANK(Y925,$Y$2:$Y$2028,1)+COUNTIF($Y$2:Y925,Y925))-1,""))</f>
        <v/>
      </c>
      <c r="AA925" s="134" t="str">
        <f t="shared" si="386"/>
        <v/>
      </c>
      <c r="AB925" s="134" t="str">
        <f>IF(AA925="","",IFERROR((RANK(AA925,$AA$2:$AA$2028,1)+COUNTIF($AA$2:AA925,AA925))-1,""))</f>
        <v/>
      </c>
      <c r="AC925" s="134" t="str">
        <f t="shared" si="387"/>
        <v/>
      </c>
      <c r="AD925" s="134" t="str">
        <f>IF(AC925="","",IFERROR((RANK(AC925,$AC$2:$AC$2028,1)+COUNTIF($AC$2:AC925,AC925))-1,""))</f>
        <v/>
      </c>
      <c r="AE925" s="144" t="str">
        <f t="shared" si="391"/>
        <v/>
      </c>
      <c r="AF925" s="144" t="str">
        <f>IF(AE925="","",SUM($AE$2:AE925))</f>
        <v/>
      </c>
    </row>
    <row r="926" spans="14:32" x14ac:dyDescent="0.35">
      <c r="N926" s="134" t="str">
        <f t="shared" si="389"/>
        <v/>
      </c>
      <c r="O926" s="82" t="str">
        <f t="shared" ref="O926:O989" si="392">IF(A926="","",N926&amp;"-"&amp;M926)</f>
        <v/>
      </c>
      <c r="P926" s="81" t="str">
        <f t="shared" si="390"/>
        <v/>
      </c>
      <c r="Q926" s="81" t="str">
        <f t="shared" ref="Q926:Q989" si="393">IF(A926="","",IF(P926=1,M926,""))</f>
        <v/>
      </c>
      <c r="R926" s="135" t="str">
        <f t="shared" ref="R926:R989" ca="1" si="394">IF(Q926="","",I926-TODAY())</f>
        <v/>
      </c>
      <c r="S926" s="134" t="str">
        <f t="shared" ref="S926:S989" ca="1" si="395">IF(R926="","",
IF(R926&lt;-90,"Pass&gt;90",IF(R926&lt;-60,"Pass 61-90",IF(R926&lt;-30,"Pass 31-60",IF(R926&lt;0,"Pass 0-30",IF(R926&lt;31,"Run 0-30",IF(R926&lt;61,"Run 31-60",IF(R926&lt;91,"Run 60-90","Run &gt;90"))))))))</f>
        <v/>
      </c>
      <c r="T926" s="134" t="str">
        <f ca="1">IF(S926=Dashboard!$D$12,S926,"")</f>
        <v/>
      </c>
      <c r="U926" s="134" t="str">
        <f t="shared" ref="U926:U989" ca="1" si="396">IF(T926="","",R926)</f>
        <v/>
      </c>
      <c r="V926" s="83" t="str">
        <f ca="1">IF(U926="","",IFERROR((RANK(U926,$U$2:$U$2028,1)+COUNTIF($U$2:U926,U926))-1,""))</f>
        <v/>
      </c>
      <c r="W926" s="134" t="str">
        <f t="shared" si="388"/>
        <v/>
      </c>
      <c r="X926" s="134" t="str">
        <f>IF(W926="","",IFERROR((RANK(W926,$W$2:$W$2028,1)+COUNTIF($W$2:W926,W926))-1,""))</f>
        <v/>
      </c>
      <c r="Y926" s="134" t="str">
        <f t="shared" ref="Y926:Y989" si="397">IF($J926=Y$1,$U926,"")</f>
        <v/>
      </c>
      <c r="Z926" s="134" t="str">
        <f>IF(Y926="","",IFERROR((RANK(Y926,$Y$2:$Y$2028,1)+COUNTIF($Y$2:Y926,Y926))-1,""))</f>
        <v/>
      </c>
      <c r="AA926" s="134" t="str">
        <f t="shared" ref="AA926:AA989" si="398">IF($J926=AA$1,$U926,"")</f>
        <v/>
      </c>
      <c r="AB926" s="134" t="str">
        <f>IF(AA926="","",IFERROR((RANK(AA926,$AA$2:$AA$2028,1)+COUNTIF($AA$2:AA926,AA926))-1,""))</f>
        <v/>
      </c>
      <c r="AC926" s="134" t="str">
        <f t="shared" ref="AC926:AC989" si="399">IF($J926=AC$1,$U926,"")</f>
        <v/>
      </c>
      <c r="AD926" s="134" t="str">
        <f>IF(AC926="","",IFERROR((RANK(AC926,$AC$2:$AC$2028,1)+COUNTIF($AC$2:AC926,AC926))-1,""))</f>
        <v/>
      </c>
      <c r="AE926" s="144" t="str">
        <f t="shared" si="391"/>
        <v/>
      </c>
      <c r="AF926" s="144" t="str">
        <f>IF(AE926="","",SUM($AE$2:AE926))</f>
        <v/>
      </c>
    </row>
    <row r="927" spans="14:32" x14ac:dyDescent="0.35">
      <c r="N927" s="134" t="str">
        <f t="shared" si="389"/>
        <v/>
      </c>
      <c r="O927" s="82" t="str">
        <f t="shared" si="392"/>
        <v/>
      </c>
      <c r="P927" s="81" t="str">
        <f t="shared" si="390"/>
        <v/>
      </c>
      <c r="Q927" s="81" t="str">
        <f t="shared" si="393"/>
        <v/>
      </c>
      <c r="R927" s="135" t="str">
        <f t="shared" ca="1" si="394"/>
        <v/>
      </c>
      <c r="S927" s="134" t="str">
        <f t="shared" ca="1" si="395"/>
        <v/>
      </c>
      <c r="T927" s="134" t="str">
        <f ca="1">IF(S927=Dashboard!$D$12,S927,"")</f>
        <v/>
      </c>
      <c r="U927" s="134" t="str">
        <f t="shared" ca="1" si="396"/>
        <v/>
      </c>
      <c r="V927" s="83" t="str">
        <f ca="1">IF(U927="","",IFERROR((RANK(U927,$U$2:$U$2028,1)+COUNTIF($U$2:U927,U927))-1,""))</f>
        <v/>
      </c>
      <c r="W927" s="134" t="str">
        <f t="shared" ref="W927:W990" si="400">IF($J927=$W$1,U927,"")</f>
        <v/>
      </c>
      <c r="X927" s="134" t="str">
        <f>IF(W927="","",IFERROR((RANK(W927,$W$2:$W$2028,1)+COUNTIF($W$2:W927,W927))-1,""))</f>
        <v/>
      </c>
      <c r="Y927" s="134" t="str">
        <f t="shared" si="397"/>
        <v/>
      </c>
      <c r="Z927" s="134" t="str">
        <f>IF(Y927="","",IFERROR((RANK(Y927,$Y$2:$Y$2028,1)+COUNTIF($Y$2:Y927,Y927))-1,""))</f>
        <v/>
      </c>
      <c r="AA927" s="134" t="str">
        <f t="shared" si="398"/>
        <v/>
      </c>
      <c r="AB927" s="134" t="str">
        <f>IF(AA927="","",IFERROR((RANK(AA927,$AA$2:$AA$2028,1)+COUNTIF($AA$2:AA927,AA927))-1,""))</f>
        <v/>
      </c>
      <c r="AC927" s="134" t="str">
        <f t="shared" si="399"/>
        <v/>
      </c>
      <c r="AD927" s="134" t="str">
        <f>IF(AC927="","",IFERROR((RANK(AC927,$AC$2:$AC$2028,1)+COUNTIF($AC$2:AC927,AC927))-1,""))</f>
        <v/>
      </c>
      <c r="AE927" s="144" t="str">
        <f t="shared" si="391"/>
        <v/>
      </c>
      <c r="AF927" s="144" t="str">
        <f>IF(AE927="","",SUM($AE$2:AE927))</f>
        <v/>
      </c>
    </row>
    <row r="928" spans="14:32" x14ac:dyDescent="0.35">
      <c r="N928" s="134" t="str">
        <f t="shared" si="389"/>
        <v/>
      </c>
      <c r="O928" s="82" t="str">
        <f t="shared" si="392"/>
        <v/>
      </c>
      <c r="P928" s="81" t="str">
        <f t="shared" si="390"/>
        <v/>
      </c>
      <c r="Q928" s="81" t="str">
        <f t="shared" si="393"/>
        <v/>
      </c>
      <c r="R928" s="135" t="str">
        <f t="shared" ca="1" si="394"/>
        <v/>
      </c>
      <c r="S928" s="134" t="str">
        <f t="shared" ca="1" si="395"/>
        <v/>
      </c>
      <c r="T928" s="134" t="str">
        <f ca="1">IF(S928=Dashboard!$D$12,S928,"")</f>
        <v/>
      </c>
      <c r="U928" s="134" t="str">
        <f t="shared" ca="1" si="396"/>
        <v/>
      </c>
      <c r="V928" s="83" t="str">
        <f ca="1">IF(U928="","",IFERROR((RANK(U928,$U$2:$U$2028,1)+COUNTIF($U$2:U928,U928))-1,""))</f>
        <v/>
      </c>
      <c r="W928" s="134" t="str">
        <f t="shared" si="400"/>
        <v/>
      </c>
      <c r="X928" s="134" t="str">
        <f>IF(W928="","",IFERROR((RANK(W928,$W$2:$W$2028,1)+COUNTIF($W$2:W928,W928))-1,""))</f>
        <v/>
      </c>
      <c r="Y928" s="134" t="str">
        <f t="shared" si="397"/>
        <v/>
      </c>
      <c r="Z928" s="134" t="str">
        <f>IF(Y928="","",IFERROR((RANK(Y928,$Y$2:$Y$2028,1)+COUNTIF($Y$2:Y928,Y928))-1,""))</f>
        <v/>
      </c>
      <c r="AA928" s="134" t="str">
        <f t="shared" si="398"/>
        <v/>
      </c>
      <c r="AB928" s="134" t="str">
        <f>IF(AA928="","",IFERROR((RANK(AA928,$AA$2:$AA$2028,1)+COUNTIF($AA$2:AA928,AA928))-1,""))</f>
        <v/>
      </c>
      <c r="AC928" s="134" t="str">
        <f t="shared" si="399"/>
        <v/>
      </c>
      <c r="AD928" s="134" t="str">
        <f>IF(AC928="","",IFERROR((RANK(AC928,$AC$2:$AC$2028,1)+COUNTIF($AC$2:AC928,AC928))-1,""))</f>
        <v/>
      </c>
      <c r="AE928" s="144" t="str">
        <f t="shared" si="391"/>
        <v/>
      </c>
      <c r="AF928" s="144" t="str">
        <f>IF(AE928="","",SUM($AE$2:AE928))</f>
        <v/>
      </c>
    </row>
    <row r="929" spans="14:32" x14ac:dyDescent="0.35">
      <c r="N929" s="134" t="str">
        <f t="shared" si="389"/>
        <v/>
      </c>
      <c r="O929" s="82" t="str">
        <f t="shared" si="392"/>
        <v/>
      </c>
      <c r="P929" s="81" t="str">
        <f t="shared" si="390"/>
        <v/>
      </c>
      <c r="Q929" s="81" t="str">
        <f t="shared" si="393"/>
        <v/>
      </c>
      <c r="R929" s="135" t="str">
        <f t="shared" ca="1" si="394"/>
        <v/>
      </c>
      <c r="S929" s="134" t="str">
        <f t="shared" ca="1" si="395"/>
        <v/>
      </c>
      <c r="T929" s="134" t="str">
        <f ca="1">IF(S929=Dashboard!$D$12,S929,"")</f>
        <v/>
      </c>
      <c r="U929" s="134" t="str">
        <f t="shared" ca="1" si="396"/>
        <v/>
      </c>
      <c r="V929" s="83" t="str">
        <f ca="1">IF(U929="","",IFERROR((RANK(U929,$U$2:$U$2028,1)+COUNTIF($U$2:U929,U929))-1,""))</f>
        <v/>
      </c>
      <c r="W929" s="134" t="str">
        <f t="shared" si="400"/>
        <v/>
      </c>
      <c r="X929" s="134" t="str">
        <f>IF(W929="","",IFERROR((RANK(W929,$W$2:$W$2028,1)+COUNTIF($W$2:W929,W929))-1,""))</f>
        <v/>
      </c>
      <c r="Y929" s="134" t="str">
        <f t="shared" si="397"/>
        <v/>
      </c>
      <c r="Z929" s="134" t="str">
        <f>IF(Y929="","",IFERROR((RANK(Y929,$Y$2:$Y$2028,1)+COUNTIF($Y$2:Y929,Y929))-1,""))</f>
        <v/>
      </c>
      <c r="AA929" s="134" t="str">
        <f t="shared" si="398"/>
        <v/>
      </c>
      <c r="AB929" s="134" t="str">
        <f>IF(AA929="","",IFERROR((RANK(AA929,$AA$2:$AA$2028,1)+COUNTIF($AA$2:AA929,AA929))-1,""))</f>
        <v/>
      </c>
      <c r="AC929" s="134" t="str">
        <f t="shared" si="399"/>
        <v/>
      </c>
      <c r="AD929" s="134" t="str">
        <f>IF(AC929="","",IFERROR((RANK(AC929,$AC$2:$AC$2028,1)+COUNTIF($AC$2:AC929,AC929))-1,""))</f>
        <v/>
      </c>
      <c r="AE929" s="144" t="str">
        <f t="shared" si="391"/>
        <v/>
      </c>
      <c r="AF929" s="144" t="str">
        <f>IF(AE929="","",SUM($AE$2:AE929))</f>
        <v/>
      </c>
    </row>
    <row r="930" spans="14:32" x14ac:dyDescent="0.35">
      <c r="N930" s="134" t="str">
        <f t="shared" si="389"/>
        <v/>
      </c>
      <c r="O930" s="82" t="str">
        <f t="shared" si="392"/>
        <v/>
      </c>
      <c r="P930" s="81" t="str">
        <f t="shared" si="390"/>
        <v/>
      </c>
      <c r="Q930" s="81" t="str">
        <f t="shared" si="393"/>
        <v/>
      </c>
      <c r="R930" s="135" t="str">
        <f t="shared" ca="1" si="394"/>
        <v/>
      </c>
      <c r="S930" s="134" t="str">
        <f t="shared" ca="1" si="395"/>
        <v/>
      </c>
      <c r="T930" s="134" t="str">
        <f ca="1">IF(S930=Dashboard!$D$12,S930,"")</f>
        <v/>
      </c>
      <c r="U930" s="134" t="str">
        <f t="shared" ca="1" si="396"/>
        <v/>
      </c>
      <c r="V930" s="83" t="str">
        <f ca="1">IF(U930="","",IFERROR((RANK(U930,$U$2:$U$2028,1)+COUNTIF($U$2:U930,U930))-1,""))</f>
        <v/>
      </c>
      <c r="W930" s="134" t="str">
        <f t="shared" si="400"/>
        <v/>
      </c>
      <c r="X930" s="134" t="str">
        <f>IF(W930="","",IFERROR((RANK(W930,$W$2:$W$2028,1)+COUNTIF($W$2:W930,W930))-1,""))</f>
        <v/>
      </c>
      <c r="Y930" s="134" t="str">
        <f t="shared" si="397"/>
        <v/>
      </c>
      <c r="Z930" s="134" t="str">
        <f>IF(Y930="","",IFERROR((RANK(Y930,$Y$2:$Y$2028,1)+COUNTIF($Y$2:Y930,Y930))-1,""))</f>
        <v/>
      </c>
      <c r="AA930" s="134" t="str">
        <f t="shared" si="398"/>
        <v/>
      </c>
      <c r="AB930" s="134" t="str">
        <f>IF(AA930="","",IFERROR((RANK(AA930,$AA$2:$AA$2028,1)+COUNTIF($AA$2:AA930,AA930))-1,""))</f>
        <v/>
      </c>
      <c r="AC930" s="134" t="str">
        <f t="shared" si="399"/>
        <v/>
      </c>
      <c r="AD930" s="134" t="str">
        <f>IF(AC930="","",IFERROR((RANK(AC930,$AC$2:$AC$2028,1)+COUNTIF($AC$2:AC930,AC930))-1,""))</f>
        <v/>
      </c>
      <c r="AE930" s="144" t="str">
        <f t="shared" si="391"/>
        <v/>
      </c>
      <c r="AF930" s="144" t="str">
        <f>IF(AE930="","",SUM($AE$2:AE930))</f>
        <v/>
      </c>
    </row>
    <row r="931" spans="14:32" x14ac:dyDescent="0.35">
      <c r="N931" s="134" t="str">
        <f t="shared" si="389"/>
        <v/>
      </c>
      <c r="O931" s="82" t="str">
        <f t="shared" si="392"/>
        <v/>
      </c>
      <c r="P931" s="81" t="str">
        <f t="shared" si="390"/>
        <v/>
      </c>
      <c r="Q931" s="81" t="str">
        <f t="shared" si="393"/>
        <v/>
      </c>
      <c r="R931" s="135" t="str">
        <f t="shared" ca="1" si="394"/>
        <v/>
      </c>
      <c r="S931" s="134" t="str">
        <f t="shared" ca="1" si="395"/>
        <v/>
      </c>
      <c r="T931" s="134" t="str">
        <f ca="1">IF(S931=Dashboard!$D$12,S931,"")</f>
        <v/>
      </c>
      <c r="U931" s="134" t="str">
        <f t="shared" ca="1" si="396"/>
        <v/>
      </c>
      <c r="V931" s="83" t="str">
        <f ca="1">IF(U931="","",IFERROR((RANK(U931,$U$2:$U$2028,1)+COUNTIF($U$2:U931,U931))-1,""))</f>
        <v/>
      </c>
      <c r="W931" s="134" t="str">
        <f t="shared" si="400"/>
        <v/>
      </c>
      <c r="X931" s="134" t="str">
        <f>IF(W931="","",IFERROR((RANK(W931,$W$2:$W$2028,1)+COUNTIF($W$2:W931,W931))-1,""))</f>
        <v/>
      </c>
      <c r="Y931" s="134" t="str">
        <f t="shared" si="397"/>
        <v/>
      </c>
      <c r="Z931" s="134" t="str">
        <f>IF(Y931="","",IFERROR((RANK(Y931,$Y$2:$Y$2028,1)+COUNTIF($Y$2:Y931,Y931))-1,""))</f>
        <v/>
      </c>
      <c r="AA931" s="134" t="str">
        <f t="shared" si="398"/>
        <v/>
      </c>
      <c r="AB931" s="134" t="str">
        <f>IF(AA931="","",IFERROR((RANK(AA931,$AA$2:$AA$2028,1)+COUNTIF($AA$2:AA931,AA931))-1,""))</f>
        <v/>
      </c>
      <c r="AC931" s="134" t="str">
        <f t="shared" si="399"/>
        <v/>
      </c>
      <c r="AD931" s="134" t="str">
        <f>IF(AC931="","",IFERROR((RANK(AC931,$AC$2:$AC$2028,1)+COUNTIF($AC$2:AC931,AC931))-1,""))</f>
        <v/>
      </c>
      <c r="AE931" s="144" t="str">
        <f t="shared" si="391"/>
        <v/>
      </c>
      <c r="AF931" s="144" t="str">
        <f>IF(AE931="","",SUM($AE$2:AE931))</f>
        <v/>
      </c>
    </row>
    <row r="932" spans="14:32" x14ac:dyDescent="0.35">
      <c r="N932" s="134" t="str">
        <f t="shared" si="389"/>
        <v/>
      </c>
      <c r="O932" s="82" t="str">
        <f t="shared" si="392"/>
        <v/>
      </c>
      <c r="P932" s="81" t="str">
        <f t="shared" si="390"/>
        <v/>
      </c>
      <c r="Q932" s="81" t="str">
        <f t="shared" si="393"/>
        <v/>
      </c>
      <c r="R932" s="135" t="str">
        <f t="shared" ca="1" si="394"/>
        <v/>
      </c>
      <c r="S932" s="134" t="str">
        <f t="shared" ca="1" si="395"/>
        <v/>
      </c>
      <c r="T932" s="134" t="str">
        <f ca="1">IF(S932=Dashboard!$D$12,S932,"")</f>
        <v/>
      </c>
      <c r="U932" s="134" t="str">
        <f t="shared" ca="1" si="396"/>
        <v/>
      </c>
      <c r="V932" s="83" t="str">
        <f ca="1">IF(U932="","",IFERROR((RANK(U932,$U$2:$U$2028,1)+COUNTIF($U$2:U932,U932))-1,""))</f>
        <v/>
      </c>
      <c r="W932" s="134" t="str">
        <f t="shared" si="400"/>
        <v/>
      </c>
      <c r="X932" s="134" t="str">
        <f>IF(W932="","",IFERROR((RANK(W932,$W$2:$W$2028,1)+COUNTIF($W$2:W932,W932))-1,""))</f>
        <v/>
      </c>
      <c r="Y932" s="134" t="str">
        <f t="shared" si="397"/>
        <v/>
      </c>
      <c r="Z932" s="134" t="str">
        <f>IF(Y932="","",IFERROR((RANK(Y932,$Y$2:$Y$2028,1)+COUNTIF($Y$2:Y932,Y932))-1,""))</f>
        <v/>
      </c>
      <c r="AA932" s="134" t="str">
        <f t="shared" si="398"/>
        <v/>
      </c>
      <c r="AB932" s="134" t="str">
        <f>IF(AA932="","",IFERROR((RANK(AA932,$AA$2:$AA$2028,1)+COUNTIF($AA$2:AA932,AA932))-1,""))</f>
        <v/>
      </c>
      <c r="AC932" s="134" t="str">
        <f t="shared" si="399"/>
        <v/>
      </c>
      <c r="AD932" s="134" t="str">
        <f>IF(AC932="","",IFERROR((RANK(AC932,$AC$2:$AC$2028,1)+COUNTIF($AC$2:AC932,AC932))-1,""))</f>
        <v/>
      </c>
      <c r="AE932" s="144" t="str">
        <f t="shared" si="391"/>
        <v/>
      </c>
      <c r="AF932" s="144" t="str">
        <f>IF(AE932="","",SUM($AE$2:AE932))</f>
        <v/>
      </c>
    </row>
    <row r="933" spans="14:32" x14ac:dyDescent="0.35">
      <c r="N933" s="134" t="str">
        <f t="shared" si="389"/>
        <v/>
      </c>
      <c r="O933" s="82" t="str">
        <f t="shared" si="392"/>
        <v/>
      </c>
      <c r="P933" s="81" t="str">
        <f t="shared" si="390"/>
        <v/>
      </c>
      <c r="Q933" s="81" t="str">
        <f t="shared" si="393"/>
        <v/>
      </c>
      <c r="R933" s="135" t="str">
        <f t="shared" ca="1" si="394"/>
        <v/>
      </c>
      <c r="S933" s="134" t="str">
        <f t="shared" ca="1" si="395"/>
        <v/>
      </c>
      <c r="T933" s="134" t="str">
        <f ca="1">IF(S933=Dashboard!$D$12,S933,"")</f>
        <v/>
      </c>
      <c r="U933" s="134" t="str">
        <f t="shared" ca="1" si="396"/>
        <v/>
      </c>
      <c r="V933" s="83" t="str">
        <f ca="1">IF(U933="","",IFERROR((RANK(U933,$U$2:$U$2028,1)+COUNTIF($U$2:U933,U933))-1,""))</f>
        <v/>
      </c>
      <c r="W933" s="134" t="str">
        <f t="shared" si="400"/>
        <v/>
      </c>
      <c r="X933" s="134" t="str">
        <f>IF(W933="","",IFERROR((RANK(W933,$W$2:$W$2028,1)+COUNTIF($W$2:W933,W933))-1,""))</f>
        <v/>
      </c>
      <c r="Y933" s="134" t="str">
        <f t="shared" si="397"/>
        <v/>
      </c>
      <c r="Z933" s="134" t="str">
        <f>IF(Y933="","",IFERROR((RANK(Y933,$Y$2:$Y$2028,1)+COUNTIF($Y$2:Y933,Y933))-1,""))</f>
        <v/>
      </c>
      <c r="AA933" s="134" t="str">
        <f t="shared" si="398"/>
        <v/>
      </c>
      <c r="AB933" s="134" t="str">
        <f>IF(AA933="","",IFERROR((RANK(AA933,$AA$2:$AA$2028,1)+COUNTIF($AA$2:AA933,AA933))-1,""))</f>
        <v/>
      </c>
      <c r="AC933" s="134" t="str">
        <f t="shared" si="399"/>
        <v/>
      </c>
      <c r="AD933" s="134" t="str">
        <f>IF(AC933="","",IFERROR((RANK(AC933,$AC$2:$AC$2028,1)+COUNTIF($AC$2:AC933,AC933))-1,""))</f>
        <v/>
      </c>
      <c r="AE933" s="144" t="str">
        <f t="shared" si="391"/>
        <v/>
      </c>
      <c r="AF933" s="144" t="str">
        <f>IF(AE933="","",SUM($AE$2:AE933))</f>
        <v/>
      </c>
    </row>
    <row r="934" spans="14:32" x14ac:dyDescent="0.35">
      <c r="N934" s="134" t="str">
        <f t="shared" si="389"/>
        <v/>
      </c>
      <c r="O934" s="82" t="str">
        <f t="shared" si="392"/>
        <v/>
      </c>
      <c r="P934" s="81" t="str">
        <f t="shared" si="390"/>
        <v/>
      </c>
      <c r="Q934" s="81" t="str">
        <f t="shared" si="393"/>
        <v/>
      </c>
      <c r="R934" s="135" t="str">
        <f t="shared" ca="1" si="394"/>
        <v/>
      </c>
      <c r="S934" s="134" t="str">
        <f t="shared" ca="1" si="395"/>
        <v/>
      </c>
      <c r="T934" s="134" t="str">
        <f ca="1">IF(S934=Dashboard!$D$12,S934,"")</f>
        <v/>
      </c>
      <c r="U934" s="134" t="str">
        <f t="shared" ca="1" si="396"/>
        <v/>
      </c>
      <c r="V934" s="83" t="str">
        <f ca="1">IF(U934="","",IFERROR((RANK(U934,$U$2:$U$2028,1)+COUNTIF($U$2:U934,U934))-1,""))</f>
        <v/>
      </c>
      <c r="W934" s="134" t="str">
        <f t="shared" si="400"/>
        <v/>
      </c>
      <c r="X934" s="134" t="str">
        <f>IF(W934="","",IFERROR((RANK(W934,$W$2:$W$2028,1)+COUNTIF($W$2:W934,W934))-1,""))</f>
        <v/>
      </c>
      <c r="Y934" s="134" t="str">
        <f t="shared" si="397"/>
        <v/>
      </c>
      <c r="Z934" s="134" t="str">
        <f>IF(Y934="","",IFERROR((RANK(Y934,$Y$2:$Y$2028,1)+COUNTIF($Y$2:Y934,Y934))-1,""))</f>
        <v/>
      </c>
      <c r="AA934" s="134" t="str">
        <f t="shared" si="398"/>
        <v/>
      </c>
      <c r="AB934" s="134" t="str">
        <f>IF(AA934="","",IFERROR((RANK(AA934,$AA$2:$AA$2028,1)+COUNTIF($AA$2:AA934,AA934))-1,""))</f>
        <v/>
      </c>
      <c r="AC934" s="134" t="str">
        <f t="shared" si="399"/>
        <v/>
      </c>
      <c r="AD934" s="134" t="str">
        <f>IF(AC934="","",IFERROR((RANK(AC934,$AC$2:$AC$2028,1)+COUNTIF($AC$2:AC934,AC934))-1,""))</f>
        <v/>
      </c>
      <c r="AE934" s="144" t="str">
        <f t="shared" si="391"/>
        <v/>
      </c>
      <c r="AF934" s="144" t="str">
        <f>IF(AE934="","",SUM($AE$2:AE934))</f>
        <v/>
      </c>
    </row>
    <row r="935" spans="14:32" x14ac:dyDescent="0.35">
      <c r="N935" s="134" t="str">
        <f t="shared" si="389"/>
        <v/>
      </c>
      <c r="O935" s="82" t="str">
        <f t="shared" si="392"/>
        <v/>
      </c>
      <c r="P935" s="81" t="str">
        <f t="shared" si="390"/>
        <v/>
      </c>
      <c r="Q935" s="81" t="str">
        <f t="shared" si="393"/>
        <v/>
      </c>
      <c r="R935" s="135" t="str">
        <f t="shared" ca="1" si="394"/>
        <v/>
      </c>
      <c r="S935" s="134" t="str">
        <f t="shared" ca="1" si="395"/>
        <v/>
      </c>
      <c r="T935" s="134" t="str">
        <f ca="1">IF(S935=Dashboard!$D$12,S935,"")</f>
        <v/>
      </c>
      <c r="U935" s="134" t="str">
        <f t="shared" ca="1" si="396"/>
        <v/>
      </c>
      <c r="V935" s="83" t="str">
        <f ca="1">IF(U935="","",IFERROR((RANK(U935,$U$2:$U$2028,1)+COUNTIF($U$2:U935,U935))-1,""))</f>
        <v/>
      </c>
      <c r="W935" s="134" t="str">
        <f t="shared" si="400"/>
        <v/>
      </c>
      <c r="X935" s="134" t="str">
        <f>IF(W935="","",IFERROR((RANK(W935,$W$2:$W$2028,1)+COUNTIF($W$2:W935,W935))-1,""))</f>
        <v/>
      </c>
      <c r="Y935" s="134" t="str">
        <f t="shared" si="397"/>
        <v/>
      </c>
      <c r="Z935" s="134" t="str">
        <f>IF(Y935="","",IFERROR((RANK(Y935,$Y$2:$Y$2028,1)+COUNTIF($Y$2:Y935,Y935))-1,""))</f>
        <v/>
      </c>
      <c r="AA935" s="134" t="str">
        <f t="shared" si="398"/>
        <v/>
      </c>
      <c r="AB935" s="134" t="str">
        <f>IF(AA935="","",IFERROR((RANK(AA935,$AA$2:$AA$2028,1)+COUNTIF($AA$2:AA935,AA935))-1,""))</f>
        <v/>
      </c>
      <c r="AC935" s="134" t="str">
        <f t="shared" si="399"/>
        <v/>
      </c>
      <c r="AD935" s="134" t="str">
        <f>IF(AC935="","",IFERROR((RANK(AC935,$AC$2:$AC$2028,1)+COUNTIF($AC$2:AC935,AC935))-1,""))</f>
        <v/>
      </c>
      <c r="AE935" s="144" t="str">
        <f t="shared" si="391"/>
        <v/>
      </c>
      <c r="AF935" s="144" t="str">
        <f>IF(AE935="","",SUM($AE$2:AE935))</f>
        <v/>
      </c>
    </row>
    <row r="936" spans="14:32" x14ac:dyDescent="0.35">
      <c r="N936" s="134" t="str">
        <f t="shared" si="389"/>
        <v/>
      </c>
      <c r="O936" s="82" t="str">
        <f t="shared" si="392"/>
        <v/>
      </c>
      <c r="P936" s="81" t="str">
        <f t="shared" si="390"/>
        <v/>
      </c>
      <c r="Q936" s="81" t="str">
        <f t="shared" si="393"/>
        <v/>
      </c>
      <c r="R936" s="135" t="str">
        <f t="shared" ca="1" si="394"/>
        <v/>
      </c>
      <c r="S936" s="134" t="str">
        <f t="shared" ca="1" si="395"/>
        <v/>
      </c>
      <c r="T936" s="134" t="str">
        <f ca="1">IF(S936=Dashboard!$D$12,S936,"")</f>
        <v/>
      </c>
      <c r="U936" s="134" t="str">
        <f t="shared" ca="1" si="396"/>
        <v/>
      </c>
      <c r="V936" s="83" t="str">
        <f ca="1">IF(U936="","",IFERROR((RANK(U936,$U$2:$U$2028,1)+COUNTIF($U$2:U936,U936))-1,""))</f>
        <v/>
      </c>
      <c r="W936" s="134" t="str">
        <f t="shared" si="400"/>
        <v/>
      </c>
      <c r="X936" s="134" t="str">
        <f>IF(W936="","",IFERROR((RANK(W936,$W$2:$W$2028,1)+COUNTIF($W$2:W936,W936))-1,""))</f>
        <v/>
      </c>
      <c r="Y936" s="134" t="str">
        <f t="shared" si="397"/>
        <v/>
      </c>
      <c r="Z936" s="134" t="str">
        <f>IF(Y936="","",IFERROR((RANK(Y936,$Y$2:$Y$2028,1)+COUNTIF($Y$2:Y936,Y936))-1,""))</f>
        <v/>
      </c>
      <c r="AA936" s="134" t="str">
        <f t="shared" si="398"/>
        <v/>
      </c>
      <c r="AB936" s="134" t="str">
        <f>IF(AA936="","",IFERROR((RANK(AA936,$AA$2:$AA$2028,1)+COUNTIF($AA$2:AA936,AA936))-1,""))</f>
        <v/>
      </c>
      <c r="AC936" s="134" t="str">
        <f t="shared" si="399"/>
        <v/>
      </c>
      <c r="AD936" s="134" t="str">
        <f>IF(AC936="","",IFERROR((RANK(AC936,$AC$2:$AC$2028,1)+COUNTIF($AC$2:AC936,AC936))-1,""))</f>
        <v/>
      </c>
      <c r="AE936" s="144" t="str">
        <f t="shared" si="391"/>
        <v/>
      </c>
      <c r="AF936" s="144" t="str">
        <f>IF(AE936="","",SUM($AE$2:AE936))</f>
        <v/>
      </c>
    </row>
    <row r="937" spans="14:32" x14ac:dyDescent="0.35">
      <c r="N937" s="134" t="str">
        <f t="shared" si="389"/>
        <v/>
      </c>
      <c r="O937" s="82" t="str">
        <f t="shared" si="392"/>
        <v/>
      </c>
      <c r="P937" s="81" t="str">
        <f t="shared" si="390"/>
        <v/>
      </c>
      <c r="Q937" s="81" t="str">
        <f t="shared" si="393"/>
        <v/>
      </c>
      <c r="R937" s="135" t="str">
        <f t="shared" ca="1" si="394"/>
        <v/>
      </c>
      <c r="S937" s="134" t="str">
        <f t="shared" ca="1" si="395"/>
        <v/>
      </c>
      <c r="T937" s="134" t="str">
        <f ca="1">IF(S937=Dashboard!$D$12,S937,"")</f>
        <v/>
      </c>
      <c r="U937" s="134" t="str">
        <f t="shared" ca="1" si="396"/>
        <v/>
      </c>
      <c r="V937" s="83" t="str">
        <f ca="1">IF(U937="","",IFERROR((RANK(U937,$U$2:$U$2028,1)+COUNTIF($U$2:U937,U937))-1,""))</f>
        <v/>
      </c>
      <c r="W937" s="134" t="str">
        <f t="shared" si="400"/>
        <v/>
      </c>
      <c r="X937" s="134" t="str">
        <f>IF(W937="","",IFERROR((RANK(W937,$W$2:$W$2028,1)+COUNTIF($W$2:W937,W937))-1,""))</f>
        <v/>
      </c>
      <c r="Y937" s="134" t="str">
        <f t="shared" si="397"/>
        <v/>
      </c>
      <c r="Z937" s="134" t="str">
        <f>IF(Y937="","",IFERROR((RANK(Y937,$Y$2:$Y$2028,1)+COUNTIF($Y$2:Y937,Y937))-1,""))</f>
        <v/>
      </c>
      <c r="AA937" s="134" t="str">
        <f t="shared" si="398"/>
        <v/>
      </c>
      <c r="AB937" s="134" t="str">
        <f>IF(AA937="","",IFERROR((RANK(AA937,$AA$2:$AA$2028,1)+COUNTIF($AA$2:AA937,AA937))-1,""))</f>
        <v/>
      </c>
      <c r="AC937" s="134" t="str">
        <f t="shared" si="399"/>
        <v/>
      </c>
      <c r="AD937" s="134" t="str">
        <f>IF(AC937="","",IFERROR((RANK(AC937,$AC$2:$AC$2028,1)+COUNTIF($AC$2:AC937,AC937))-1,""))</f>
        <v/>
      </c>
      <c r="AE937" s="144" t="str">
        <f t="shared" si="391"/>
        <v/>
      </c>
      <c r="AF937" s="144" t="str">
        <f>IF(AE937="","",SUM($AE$2:AE937))</f>
        <v/>
      </c>
    </row>
    <row r="938" spans="14:32" x14ac:dyDescent="0.35">
      <c r="N938" s="134" t="str">
        <f t="shared" si="389"/>
        <v/>
      </c>
      <c r="O938" s="82" t="str">
        <f t="shared" si="392"/>
        <v/>
      </c>
      <c r="P938" s="81" t="str">
        <f t="shared" si="390"/>
        <v/>
      </c>
      <c r="Q938" s="81" t="str">
        <f t="shared" si="393"/>
        <v/>
      </c>
      <c r="R938" s="135" t="str">
        <f t="shared" ca="1" si="394"/>
        <v/>
      </c>
      <c r="S938" s="134" t="str">
        <f t="shared" ca="1" si="395"/>
        <v/>
      </c>
      <c r="T938" s="134" t="str">
        <f ca="1">IF(S938=Dashboard!$D$12,S938,"")</f>
        <v/>
      </c>
      <c r="U938" s="134" t="str">
        <f t="shared" ca="1" si="396"/>
        <v/>
      </c>
      <c r="V938" s="83" t="str">
        <f ca="1">IF(U938="","",IFERROR((RANK(U938,$U$2:$U$2028,1)+COUNTIF($U$2:U938,U938))-1,""))</f>
        <v/>
      </c>
      <c r="W938" s="134" t="str">
        <f t="shared" si="400"/>
        <v/>
      </c>
      <c r="X938" s="134" t="str">
        <f>IF(W938="","",IFERROR((RANK(W938,$W$2:$W$2028,1)+COUNTIF($W$2:W938,W938))-1,""))</f>
        <v/>
      </c>
      <c r="Y938" s="134" t="str">
        <f t="shared" si="397"/>
        <v/>
      </c>
      <c r="Z938" s="134" t="str">
        <f>IF(Y938="","",IFERROR((RANK(Y938,$Y$2:$Y$2028,1)+COUNTIF($Y$2:Y938,Y938))-1,""))</f>
        <v/>
      </c>
      <c r="AA938" s="134" t="str">
        <f t="shared" si="398"/>
        <v/>
      </c>
      <c r="AB938" s="134" t="str">
        <f>IF(AA938="","",IFERROR((RANK(AA938,$AA$2:$AA$2028,1)+COUNTIF($AA$2:AA938,AA938))-1,""))</f>
        <v/>
      </c>
      <c r="AC938" s="134" t="str">
        <f t="shared" si="399"/>
        <v/>
      </c>
      <c r="AD938" s="134" t="str">
        <f>IF(AC938="","",IFERROR((RANK(AC938,$AC$2:$AC$2028,1)+COUNTIF($AC$2:AC938,AC938))-1,""))</f>
        <v/>
      </c>
      <c r="AE938" s="144" t="str">
        <f t="shared" si="391"/>
        <v/>
      </c>
      <c r="AF938" s="144" t="str">
        <f>IF(AE938="","",SUM($AE$2:AE938))</f>
        <v/>
      </c>
    </row>
    <row r="939" spans="14:32" x14ac:dyDescent="0.35">
      <c r="N939" s="134" t="str">
        <f t="shared" si="389"/>
        <v/>
      </c>
      <c r="O939" s="82" t="str">
        <f t="shared" si="392"/>
        <v/>
      </c>
      <c r="P939" s="81" t="str">
        <f t="shared" si="390"/>
        <v/>
      </c>
      <c r="Q939" s="81" t="str">
        <f t="shared" si="393"/>
        <v/>
      </c>
      <c r="R939" s="135" t="str">
        <f t="shared" ca="1" si="394"/>
        <v/>
      </c>
      <c r="S939" s="134" t="str">
        <f t="shared" ca="1" si="395"/>
        <v/>
      </c>
      <c r="T939" s="134" t="str">
        <f ca="1">IF(S939=Dashboard!$D$12,S939,"")</f>
        <v/>
      </c>
      <c r="U939" s="134" t="str">
        <f t="shared" ca="1" si="396"/>
        <v/>
      </c>
      <c r="V939" s="83" t="str">
        <f ca="1">IF(U939="","",IFERROR((RANK(U939,$U$2:$U$2028,1)+COUNTIF($U$2:U939,U939))-1,""))</f>
        <v/>
      </c>
      <c r="W939" s="134" t="str">
        <f t="shared" si="400"/>
        <v/>
      </c>
      <c r="X939" s="134" t="str">
        <f>IF(W939="","",IFERROR((RANK(W939,$W$2:$W$2028,1)+COUNTIF($W$2:W939,W939))-1,""))</f>
        <v/>
      </c>
      <c r="Y939" s="134" t="str">
        <f t="shared" si="397"/>
        <v/>
      </c>
      <c r="Z939" s="134" t="str">
        <f>IF(Y939="","",IFERROR((RANK(Y939,$Y$2:$Y$2028,1)+COUNTIF($Y$2:Y939,Y939))-1,""))</f>
        <v/>
      </c>
      <c r="AA939" s="134" t="str">
        <f t="shared" si="398"/>
        <v/>
      </c>
      <c r="AB939" s="134" t="str">
        <f>IF(AA939="","",IFERROR((RANK(AA939,$AA$2:$AA$2028,1)+COUNTIF($AA$2:AA939,AA939))-1,""))</f>
        <v/>
      </c>
      <c r="AC939" s="134" t="str">
        <f t="shared" si="399"/>
        <v/>
      </c>
      <c r="AD939" s="134" t="str">
        <f>IF(AC939="","",IFERROR((RANK(AC939,$AC$2:$AC$2028,1)+COUNTIF($AC$2:AC939,AC939))-1,""))</f>
        <v/>
      </c>
      <c r="AE939" s="144" t="str">
        <f t="shared" si="391"/>
        <v/>
      </c>
      <c r="AF939" s="144" t="str">
        <f>IF(AE939="","",SUM($AE$2:AE939))</f>
        <v/>
      </c>
    </row>
    <row r="940" spans="14:32" x14ac:dyDescent="0.35">
      <c r="N940" s="134" t="str">
        <f t="shared" si="389"/>
        <v/>
      </c>
      <c r="O940" s="82" t="str">
        <f t="shared" si="392"/>
        <v/>
      </c>
      <c r="P940" s="81" t="str">
        <f t="shared" si="390"/>
        <v/>
      </c>
      <c r="Q940" s="81" t="str">
        <f t="shared" si="393"/>
        <v/>
      </c>
      <c r="R940" s="135" t="str">
        <f t="shared" ca="1" si="394"/>
        <v/>
      </c>
      <c r="S940" s="134" t="str">
        <f t="shared" ca="1" si="395"/>
        <v/>
      </c>
      <c r="T940" s="134" t="str">
        <f ca="1">IF(S940=Dashboard!$D$12,S940,"")</f>
        <v/>
      </c>
      <c r="U940" s="134" t="str">
        <f t="shared" ca="1" si="396"/>
        <v/>
      </c>
      <c r="V940" s="83" t="str">
        <f ca="1">IF(U940="","",IFERROR((RANK(U940,$U$2:$U$2028,1)+COUNTIF($U$2:U940,U940))-1,""))</f>
        <v/>
      </c>
      <c r="W940" s="134" t="str">
        <f t="shared" si="400"/>
        <v/>
      </c>
      <c r="X940" s="134" t="str">
        <f>IF(W940="","",IFERROR((RANK(W940,$W$2:$W$2028,1)+COUNTIF($W$2:W940,W940))-1,""))</f>
        <v/>
      </c>
      <c r="Y940" s="134" t="str">
        <f t="shared" si="397"/>
        <v/>
      </c>
      <c r="Z940" s="134" t="str">
        <f>IF(Y940="","",IFERROR((RANK(Y940,$Y$2:$Y$2028,1)+COUNTIF($Y$2:Y940,Y940))-1,""))</f>
        <v/>
      </c>
      <c r="AA940" s="134" t="str">
        <f t="shared" si="398"/>
        <v/>
      </c>
      <c r="AB940" s="134" t="str">
        <f>IF(AA940="","",IFERROR((RANK(AA940,$AA$2:$AA$2028,1)+COUNTIF($AA$2:AA940,AA940))-1,""))</f>
        <v/>
      </c>
      <c r="AC940" s="134" t="str">
        <f t="shared" si="399"/>
        <v/>
      </c>
      <c r="AD940" s="134" t="str">
        <f>IF(AC940="","",IFERROR((RANK(AC940,$AC$2:$AC$2028,1)+COUNTIF($AC$2:AC940,AC940))-1,""))</f>
        <v/>
      </c>
      <c r="AE940" s="144" t="str">
        <f t="shared" si="391"/>
        <v/>
      </c>
      <c r="AF940" s="144" t="str">
        <f>IF(AE940="","",SUM($AE$2:AE940))</f>
        <v/>
      </c>
    </row>
    <row r="941" spans="14:32" x14ac:dyDescent="0.35">
      <c r="N941" s="134" t="str">
        <f t="shared" si="389"/>
        <v/>
      </c>
      <c r="O941" s="82" t="str">
        <f t="shared" si="392"/>
        <v/>
      </c>
      <c r="P941" s="81" t="str">
        <f t="shared" si="390"/>
        <v/>
      </c>
      <c r="Q941" s="81" t="str">
        <f t="shared" si="393"/>
        <v/>
      </c>
      <c r="R941" s="135" t="str">
        <f t="shared" ca="1" si="394"/>
        <v/>
      </c>
      <c r="S941" s="134" t="str">
        <f t="shared" ca="1" si="395"/>
        <v/>
      </c>
      <c r="T941" s="134" t="str">
        <f ca="1">IF(S941=Dashboard!$D$12,S941,"")</f>
        <v/>
      </c>
      <c r="U941" s="134" t="str">
        <f t="shared" ca="1" si="396"/>
        <v/>
      </c>
      <c r="V941" s="83" t="str">
        <f ca="1">IF(U941="","",IFERROR((RANK(U941,$U$2:$U$2028,1)+COUNTIF($U$2:U941,U941))-1,""))</f>
        <v/>
      </c>
      <c r="W941" s="134" t="str">
        <f t="shared" si="400"/>
        <v/>
      </c>
      <c r="X941" s="134" t="str">
        <f>IF(W941="","",IFERROR((RANK(W941,$W$2:$W$2028,1)+COUNTIF($W$2:W941,W941))-1,""))</f>
        <v/>
      </c>
      <c r="Y941" s="134" t="str">
        <f t="shared" si="397"/>
        <v/>
      </c>
      <c r="Z941" s="134" t="str">
        <f>IF(Y941="","",IFERROR((RANK(Y941,$Y$2:$Y$2028,1)+COUNTIF($Y$2:Y941,Y941))-1,""))</f>
        <v/>
      </c>
      <c r="AA941" s="134" t="str">
        <f t="shared" si="398"/>
        <v/>
      </c>
      <c r="AB941" s="134" t="str">
        <f>IF(AA941="","",IFERROR((RANK(AA941,$AA$2:$AA$2028,1)+COUNTIF($AA$2:AA941,AA941))-1,""))</f>
        <v/>
      </c>
      <c r="AC941" s="134" t="str">
        <f t="shared" si="399"/>
        <v/>
      </c>
      <c r="AD941" s="134" t="str">
        <f>IF(AC941="","",IFERROR((RANK(AC941,$AC$2:$AC$2028,1)+COUNTIF($AC$2:AC941,AC941))-1,""))</f>
        <v/>
      </c>
      <c r="AE941" s="144" t="str">
        <f t="shared" si="391"/>
        <v/>
      </c>
      <c r="AF941" s="144" t="str">
        <f>IF(AE941="","",SUM($AE$2:AE941))</f>
        <v/>
      </c>
    </row>
    <row r="942" spans="14:32" x14ac:dyDescent="0.35">
      <c r="N942" s="134" t="str">
        <f t="shared" si="389"/>
        <v/>
      </c>
      <c r="O942" s="82" t="str">
        <f t="shared" si="392"/>
        <v/>
      </c>
      <c r="P942" s="81" t="str">
        <f t="shared" si="390"/>
        <v/>
      </c>
      <c r="Q942" s="81" t="str">
        <f t="shared" si="393"/>
        <v/>
      </c>
      <c r="R942" s="135" t="str">
        <f t="shared" ca="1" si="394"/>
        <v/>
      </c>
      <c r="S942" s="134" t="str">
        <f t="shared" ca="1" si="395"/>
        <v/>
      </c>
      <c r="T942" s="134" t="str">
        <f ca="1">IF(S942=Dashboard!$D$12,S942,"")</f>
        <v/>
      </c>
      <c r="U942" s="134" t="str">
        <f t="shared" ca="1" si="396"/>
        <v/>
      </c>
      <c r="V942" s="83" t="str">
        <f ca="1">IF(U942="","",IFERROR((RANK(U942,$U$2:$U$2028,1)+COUNTIF($U$2:U942,U942))-1,""))</f>
        <v/>
      </c>
      <c r="W942" s="134" t="str">
        <f t="shared" si="400"/>
        <v/>
      </c>
      <c r="X942" s="134" t="str">
        <f>IF(W942="","",IFERROR((RANK(W942,$W$2:$W$2028,1)+COUNTIF($W$2:W942,W942))-1,""))</f>
        <v/>
      </c>
      <c r="Y942" s="134" t="str">
        <f t="shared" si="397"/>
        <v/>
      </c>
      <c r="Z942" s="134" t="str">
        <f>IF(Y942="","",IFERROR((RANK(Y942,$Y$2:$Y$2028,1)+COUNTIF($Y$2:Y942,Y942))-1,""))</f>
        <v/>
      </c>
      <c r="AA942" s="134" t="str">
        <f t="shared" si="398"/>
        <v/>
      </c>
      <c r="AB942" s="134" t="str">
        <f>IF(AA942="","",IFERROR((RANK(AA942,$AA$2:$AA$2028,1)+COUNTIF($AA$2:AA942,AA942))-1,""))</f>
        <v/>
      </c>
      <c r="AC942" s="134" t="str">
        <f t="shared" si="399"/>
        <v/>
      </c>
      <c r="AD942" s="134" t="str">
        <f>IF(AC942="","",IFERROR((RANK(AC942,$AC$2:$AC$2028,1)+COUNTIF($AC$2:AC942,AC942))-1,""))</f>
        <v/>
      </c>
      <c r="AE942" s="144" t="str">
        <f t="shared" si="391"/>
        <v/>
      </c>
      <c r="AF942" s="144" t="str">
        <f>IF(AE942="","",SUM($AE$2:AE942))</f>
        <v/>
      </c>
    </row>
    <row r="943" spans="14:32" x14ac:dyDescent="0.35">
      <c r="N943" s="134" t="str">
        <f t="shared" si="389"/>
        <v/>
      </c>
      <c r="O943" s="82" t="str">
        <f t="shared" si="392"/>
        <v/>
      </c>
      <c r="P943" s="81" t="str">
        <f t="shared" si="390"/>
        <v/>
      </c>
      <c r="Q943" s="81" t="str">
        <f t="shared" si="393"/>
        <v/>
      </c>
      <c r="R943" s="135" t="str">
        <f t="shared" ca="1" si="394"/>
        <v/>
      </c>
      <c r="S943" s="134" t="str">
        <f t="shared" ca="1" si="395"/>
        <v/>
      </c>
      <c r="T943" s="134" t="str">
        <f ca="1">IF(S943=Dashboard!$D$12,S943,"")</f>
        <v/>
      </c>
      <c r="U943" s="134" t="str">
        <f t="shared" ca="1" si="396"/>
        <v/>
      </c>
      <c r="V943" s="83" t="str">
        <f ca="1">IF(U943="","",IFERROR((RANK(U943,$U$2:$U$2028,1)+COUNTIF($U$2:U943,U943))-1,""))</f>
        <v/>
      </c>
      <c r="W943" s="134" t="str">
        <f t="shared" si="400"/>
        <v/>
      </c>
      <c r="X943" s="134" t="str">
        <f>IF(W943="","",IFERROR((RANK(W943,$W$2:$W$2028,1)+COUNTIF($W$2:W943,W943))-1,""))</f>
        <v/>
      </c>
      <c r="Y943" s="134" t="str">
        <f t="shared" si="397"/>
        <v/>
      </c>
      <c r="Z943" s="134" t="str">
        <f>IF(Y943="","",IFERROR((RANK(Y943,$Y$2:$Y$2028,1)+COUNTIF($Y$2:Y943,Y943))-1,""))</f>
        <v/>
      </c>
      <c r="AA943" s="134" t="str">
        <f t="shared" si="398"/>
        <v/>
      </c>
      <c r="AB943" s="134" t="str">
        <f>IF(AA943="","",IFERROR((RANK(AA943,$AA$2:$AA$2028,1)+COUNTIF($AA$2:AA943,AA943))-1,""))</f>
        <v/>
      </c>
      <c r="AC943" s="134" t="str">
        <f t="shared" si="399"/>
        <v/>
      </c>
      <c r="AD943" s="134" t="str">
        <f>IF(AC943="","",IFERROR((RANK(AC943,$AC$2:$AC$2028,1)+COUNTIF($AC$2:AC943,AC943))-1,""))</f>
        <v/>
      </c>
      <c r="AE943" s="144" t="str">
        <f t="shared" si="391"/>
        <v/>
      </c>
      <c r="AF943" s="144" t="str">
        <f>IF(AE943="","",SUM($AE$2:AE943))</f>
        <v/>
      </c>
    </row>
    <row r="944" spans="14:32" x14ac:dyDescent="0.35">
      <c r="N944" s="134" t="str">
        <f t="shared" si="389"/>
        <v/>
      </c>
      <c r="O944" s="82" t="str">
        <f t="shared" si="392"/>
        <v/>
      </c>
      <c r="P944" s="81" t="str">
        <f t="shared" si="390"/>
        <v/>
      </c>
      <c r="Q944" s="81" t="str">
        <f t="shared" si="393"/>
        <v/>
      </c>
      <c r="R944" s="135" t="str">
        <f t="shared" ca="1" si="394"/>
        <v/>
      </c>
      <c r="S944" s="134" t="str">
        <f t="shared" ca="1" si="395"/>
        <v/>
      </c>
      <c r="T944" s="134" t="str">
        <f ca="1">IF(S944=Dashboard!$D$12,S944,"")</f>
        <v/>
      </c>
      <c r="U944" s="134" t="str">
        <f t="shared" ca="1" si="396"/>
        <v/>
      </c>
      <c r="V944" s="83" t="str">
        <f ca="1">IF(U944="","",IFERROR((RANK(U944,$U$2:$U$2028,1)+COUNTIF($U$2:U944,U944))-1,""))</f>
        <v/>
      </c>
      <c r="W944" s="134" t="str">
        <f t="shared" si="400"/>
        <v/>
      </c>
      <c r="X944" s="134" t="str">
        <f>IF(W944="","",IFERROR((RANK(W944,$W$2:$W$2028,1)+COUNTIF($W$2:W944,W944))-1,""))</f>
        <v/>
      </c>
      <c r="Y944" s="134" t="str">
        <f t="shared" si="397"/>
        <v/>
      </c>
      <c r="Z944" s="134" t="str">
        <f>IF(Y944="","",IFERROR((RANK(Y944,$Y$2:$Y$2028,1)+COUNTIF($Y$2:Y944,Y944))-1,""))</f>
        <v/>
      </c>
      <c r="AA944" s="134" t="str">
        <f t="shared" si="398"/>
        <v/>
      </c>
      <c r="AB944" s="134" t="str">
        <f>IF(AA944="","",IFERROR((RANK(AA944,$AA$2:$AA$2028,1)+COUNTIF($AA$2:AA944,AA944))-1,""))</f>
        <v/>
      </c>
      <c r="AC944" s="134" t="str">
        <f t="shared" si="399"/>
        <v/>
      </c>
      <c r="AD944" s="134" t="str">
        <f>IF(AC944="","",IFERROR((RANK(AC944,$AC$2:$AC$2028,1)+COUNTIF($AC$2:AC944,AC944))-1,""))</f>
        <v/>
      </c>
      <c r="AE944" s="144" t="str">
        <f t="shared" si="391"/>
        <v/>
      </c>
      <c r="AF944" s="144" t="str">
        <f>IF(AE944="","",SUM($AE$2:AE944))</f>
        <v/>
      </c>
    </row>
    <row r="945" spans="14:32" x14ac:dyDescent="0.35">
      <c r="N945" s="134" t="str">
        <f t="shared" si="389"/>
        <v/>
      </c>
      <c r="O945" s="82" t="str">
        <f t="shared" si="392"/>
        <v/>
      </c>
      <c r="P945" s="81" t="str">
        <f t="shared" si="390"/>
        <v/>
      </c>
      <c r="Q945" s="81" t="str">
        <f t="shared" si="393"/>
        <v/>
      </c>
      <c r="R945" s="135" t="str">
        <f t="shared" ca="1" si="394"/>
        <v/>
      </c>
      <c r="S945" s="134" t="str">
        <f t="shared" ca="1" si="395"/>
        <v/>
      </c>
      <c r="T945" s="134" t="str">
        <f ca="1">IF(S945=Dashboard!$D$12,S945,"")</f>
        <v/>
      </c>
      <c r="U945" s="134" t="str">
        <f t="shared" ca="1" si="396"/>
        <v/>
      </c>
      <c r="V945" s="83" t="str">
        <f ca="1">IF(U945="","",IFERROR((RANK(U945,$U$2:$U$2028,1)+COUNTIF($U$2:U945,U945))-1,""))</f>
        <v/>
      </c>
      <c r="W945" s="134" t="str">
        <f t="shared" si="400"/>
        <v/>
      </c>
      <c r="X945" s="134" t="str">
        <f>IF(W945="","",IFERROR((RANK(W945,$W$2:$W$2028,1)+COUNTIF($W$2:W945,W945))-1,""))</f>
        <v/>
      </c>
      <c r="Y945" s="134" t="str">
        <f t="shared" si="397"/>
        <v/>
      </c>
      <c r="Z945" s="134" t="str">
        <f>IF(Y945="","",IFERROR((RANK(Y945,$Y$2:$Y$2028,1)+COUNTIF($Y$2:Y945,Y945))-1,""))</f>
        <v/>
      </c>
      <c r="AA945" s="134" t="str">
        <f t="shared" si="398"/>
        <v/>
      </c>
      <c r="AB945" s="134" t="str">
        <f>IF(AA945="","",IFERROR((RANK(AA945,$AA$2:$AA$2028,1)+COUNTIF($AA$2:AA945,AA945))-1,""))</f>
        <v/>
      </c>
      <c r="AC945" s="134" t="str">
        <f t="shared" si="399"/>
        <v/>
      </c>
      <c r="AD945" s="134" t="str">
        <f>IF(AC945="","",IFERROR((RANK(AC945,$AC$2:$AC$2028,1)+COUNTIF($AC$2:AC945,AC945))-1,""))</f>
        <v/>
      </c>
      <c r="AE945" s="144" t="str">
        <f t="shared" si="391"/>
        <v/>
      </c>
      <c r="AF945" s="144" t="str">
        <f>IF(AE945="","",SUM($AE$2:AE945))</f>
        <v/>
      </c>
    </row>
    <row r="946" spans="14:32" x14ac:dyDescent="0.35">
      <c r="N946" s="134" t="str">
        <f t="shared" si="389"/>
        <v/>
      </c>
      <c r="O946" s="82" t="str">
        <f t="shared" si="392"/>
        <v/>
      </c>
      <c r="P946" s="81" t="str">
        <f t="shared" si="390"/>
        <v/>
      </c>
      <c r="Q946" s="81" t="str">
        <f t="shared" si="393"/>
        <v/>
      </c>
      <c r="R946" s="135" t="str">
        <f t="shared" ca="1" si="394"/>
        <v/>
      </c>
      <c r="S946" s="134" t="str">
        <f t="shared" ca="1" si="395"/>
        <v/>
      </c>
      <c r="T946" s="134" t="str">
        <f ca="1">IF(S946=Dashboard!$D$12,S946,"")</f>
        <v/>
      </c>
      <c r="U946" s="134" t="str">
        <f t="shared" ca="1" si="396"/>
        <v/>
      </c>
      <c r="V946" s="83" t="str">
        <f ca="1">IF(U946="","",IFERROR((RANK(U946,$U$2:$U$2028,1)+COUNTIF($U$2:U946,U946))-1,""))</f>
        <v/>
      </c>
      <c r="W946" s="134" t="str">
        <f t="shared" si="400"/>
        <v/>
      </c>
      <c r="X946" s="134" t="str">
        <f>IF(W946="","",IFERROR((RANK(W946,$W$2:$W$2028,1)+COUNTIF($W$2:W946,W946))-1,""))</f>
        <v/>
      </c>
      <c r="Y946" s="134" t="str">
        <f t="shared" si="397"/>
        <v/>
      </c>
      <c r="Z946" s="134" t="str">
        <f>IF(Y946="","",IFERROR((RANK(Y946,$Y$2:$Y$2028,1)+COUNTIF($Y$2:Y946,Y946))-1,""))</f>
        <v/>
      </c>
      <c r="AA946" s="134" t="str">
        <f t="shared" si="398"/>
        <v/>
      </c>
      <c r="AB946" s="134" t="str">
        <f>IF(AA946="","",IFERROR((RANK(AA946,$AA$2:$AA$2028,1)+COUNTIF($AA$2:AA946,AA946))-1,""))</f>
        <v/>
      </c>
      <c r="AC946" s="134" t="str">
        <f t="shared" si="399"/>
        <v/>
      </c>
      <c r="AD946" s="134" t="str">
        <f>IF(AC946="","",IFERROR((RANK(AC946,$AC$2:$AC$2028,1)+COUNTIF($AC$2:AC946,AC946))-1,""))</f>
        <v/>
      </c>
      <c r="AE946" s="144" t="str">
        <f t="shared" si="391"/>
        <v/>
      </c>
      <c r="AF946" s="144" t="str">
        <f>IF(AE946="","",SUM($AE$2:AE946))</f>
        <v/>
      </c>
    </row>
    <row r="947" spans="14:32" x14ac:dyDescent="0.35">
      <c r="N947" s="134" t="str">
        <f t="shared" si="389"/>
        <v/>
      </c>
      <c r="O947" s="82" t="str">
        <f t="shared" si="392"/>
        <v/>
      </c>
      <c r="P947" s="81" t="str">
        <f t="shared" si="390"/>
        <v/>
      </c>
      <c r="Q947" s="81" t="str">
        <f t="shared" si="393"/>
        <v/>
      </c>
      <c r="R947" s="135" t="str">
        <f t="shared" ca="1" si="394"/>
        <v/>
      </c>
      <c r="S947" s="134" t="str">
        <f t="shared" ca="1" si="395"/>
        <v/>
      </c>
      <c r="T947" s="134" t="str">
        <f ca="1">IF(S947=Dashboard!$D$12,S947,"")</f>
        <v/>
      </c>
      <c r="U947" s="134" t="str">
        <f t="shared" ca="1" si="396"/>
        <v/>
      </c>
      <c r="V947" s="83" t="str">
        <f ca="1">IF(U947="","",IFERROR((RANK(U947,$U$2:$U$2028,1)+COUNTIF($U$2:U947,U947))-1,""))</f>
        <v/>
      </c>
      <c r="W947" s="134" t="str">
        <f t="shared" si="400"/>
        <v/>
      </c>
      <c r="X947" s="134" t="str">
        <f>IF(W947="","",IFERROR((RANK(W947,$W$2:$W$2028,1)+COUNTIF($W$2:W947,W947))-1,""))</f>
        <v/>
      </c>
      <c r="Y947" s="134" t="str">
        <f t="shared" si="397"/>
        <v/>
      </c>
      <c r="Z947" s="134" t="str">
        <f>IF(Y947="","",IFERROR((RANK(Y947,$Y$2:$Y$2028,1)+COUNTIF($Y$2:Y947,Y947))-1,""))</f>
        <v/>
      </c>
      <c r="AA947" s="134" t="str">
        <f t="shared" si="398"/>
        <v/>
      </c>
      <c r="AB947" s="134" t="str">
        <f>IF(AA947="","",IFERROR((RANK(AA947,$AA$2:$AA$2028,1)+COUNTIF($AA$2:AA947,AA947))-1,""))</f>
        <v/>
      </c>
      <c r="AC947" s="134" t="str">
        <f t="shared" si="399"/>
        <v/>
      </c>
      <c r="AD947" s="134" t="str">
        <f>IF(AC947="","",IFERROR((RANK(AC947,$AC$2:$AC$2028,1)+COUNTIF($AC$2:AC947,AC947))-1,""))</f>
        <v/>
      </c>
      <c r="AE947" s="144" t="str">
        <f t="shared" si="391"/>
        <v/>
      </c>
      <c r="AF947" s="144" t="str">
        <f>IF(AE947="","",SUM($AE$2:AE947))</f>
        <v/>
      </c>
    </row>
    <row r="948" spans="14:32" x14ac:dyDescent="0.35">
      <c r="N948" s="134" t="str">
        <f t="shared" si="389"/>
        <v/>
      </c>
      <c r="O948" s="82" t="str">
        <f t="shared" si="392"/>
        <v/>
      </c>
      <c r="P948" s="81" t="str">
        <f t="shared" si="390"/>
        <v/>
      </c>
      <c r="Q948" s="81" t="str">
        <f t="shared" si="393"/>
        <v/>
      </c>
      <c r="R948" s="135" t="str">
        <f t="shared" ca="1" si="394"/>
        <v/>
      </c>
      <c r="S948" s="134" t="str">
        <f t="shared" ca="1" si="395"/>
        <v/>
      </c>
      <c r="T948" s="134" t="str">
        <f ca="1">IF(S948=Dashboard!$D$12,S948,"")</f>
        <v/>
      </c>
      <c r="U948" s="134" t="str">
        <f t="shared" ca="1" si="396"/>
        <v/>
      </c>
      <c r="V948" s="83" t="str">
        <f ca="1">IF(U948="","",IFERROR((RANK(U948,$U$2:$U$2028,1)+COUNTIF($U$2:U948,U948))-1,""))</f>
        <v/>
      </c>
      <c r="W948" s="134" t="str">
        <f t="shared" si="400"/>
        <v/>
      </c>
      <c r="X948" s="134" t="str">
        <f>IF(W948="","",IFERROR((RANK(W948,$W$2:$W$2028,1)+COUNTIF($W$2:W948,W948))-1,""))</f>
        <v/>
      </c>
      <c r="Y948" s="134" t="str">
        <f t="shared" si="397"/>
        <v/>
      </c>
      <c r="Z948" s="134" t="str">
        <f>IF(Y948="","",IFERROR((RANK(Y948,$Y$2:$Y$2028,1)+COUNTIF($Y$2:Y948,Y948))-1,""))</f>
        <v/>
      </c>
      <c r="AA948" s="134" t="str">
        <f t="shared" si="398"/>
        <v/>
      </c>
      <c r="AB948" s="134" t="str">
        <f>IF(AA948="","",IFERROR((RANK(AA948,$AA$2:$AA$2028,1)+COUNTIF($AA$2:AA948,AA948))-1,""))</f>
        <v/>
      </c>
      <c r="AC948" s="134" t="str">
        <f t="shared" si="399"/>
        <v/>
      </c>
      <c r="AD948" s="134" t="str">
        <f>IF(AC948="","",IFERROR((RANK(AC948,$AC$2:$AC$2028,1)+COUNTIF($AC$2:AC948,AC948))-1,""))</f>
        <v/>
      </c>
      <c r="AE948" s="144" t="str">
        <f t="shared" si="391"/>
        <v/>
      </c>
      <c r="AF948" s="144" t="str">
        <f>IF(AE948="","",SUM($AE$2:AE948))</f>
        <v/>
      </c>
    </row>
    <row r="949" spans="14:32" x14ac:dyDescent="0.35">
      <c r="N949" s="134" t="str">
        <f t="shared" si="389"/>
        <v/>
      </c>
      <c r="O949" s="82" t="str">
        <f t="shared" si="392"/>
        <v/>
      </c>
      <c r="P949" s="81" t="str">
        <f t="shared" si="390"/>
        <v/>
      </c>
      <c r="Q949" s="81" t="str">
        <f t="shared" si="393"/>
        <v/>
      </c>
      <c r="R949" s="135" t="str">
        <f t="shared" ca="1" si="394"/>
        <v/>
      </c>
      <c r="S949" s="134" t="str">
        <f t="shared" ca="1" si="395"/>
        <v/>
      </c>
      <c r="T949" s="134" t="str">
        <f ca="1">IF(S949=Dashboard!$D$12,S949,"")</f>
        <v/>
      </c>
      <c r="U949" s="134" t="str">
        <f t="shared" ca="1" si="396"/>
        <v/>
      </c>
      <c r="V949" s="83" t="str">
        <f ca="1">IF(U949="","",IFERROR((RANK(U949,$U$2:$U$2028,1)+COUNTIF($U$2:U949,U949))-1,""))</f>
        <v/>
      </c>
      <c r="W949" s="134" t="str">
        <f t="shared" si="400"/>
        <v/>
      </c>
      <c r="X949" s="134" t="str">
        <f>IF(W949="","",IFERROR((RANK(W949,$W$2:$W$2028,1)+COUNTIF($W$2:W949,W949))-1,""))</f>
        <v/>
      </c>
      <c r="Y949" s="134" t="str">
        <f t="shared" si="397"/>
        <v/>
      </c>
      <c r="Z949" s="134" t="str">
        <f>IF(Y949="","",IFERROR((RANK(Y949,$Y$2:$Y$2028,1)+COUNTIF($Y$2:Y949,Y949))-1,""))</f>
        <v/>
      </c>
      <c r="AA949" s="134" t="str">
        <f t="shared" si="398"/>
        <v/>
      </c>
      <c r="AB949" s="134" t="str">
        <f>IF(AA949="","",IFERROR((RANK(AA949,$AA$2:$AA$2028,1)+COUNTIF($AA$2:AA949,AA949))-1,""))</f>
        <v/>
      </c>
      <c r="AC949" s="134" t="str">
        <f t="shared" si="399"/>
        <v/>
      </c>
      <c r="AD949" s="134" t="str">
        <f>IF(AC949="","",IFERROR((RANK(AC949,$AC$2:$AC$2028,1)+COUNTIF($AC$2:AC949,AC949))-1,""))</f>
        <v/>
      </c>
      <c r="AE949" s="144" t="str">
        <f t="shared" si="391"/>
        <v/>
      </c>
      <c r="AF949" s="144" t="str">
        <f>IF(AE949="","",SUM($AE$2:AE949))</f>
        <v/>
      </c>
    </row>
    <row r="950" spans="14:32" x14ac:dyDescent="0.35">
      <c r="N950" s="134" t="str">
        <f t="shared" si="389"/>
        <v/>
      </c>
      <c r="O950" s="82" t="str">
        <f t="shared" si="392"/>
        <v/>
      </c>
      <c r="P950" s="81" t="str">
        <f t="shared" si="390"/>
        <v/>
      </c>
      <c r="Q950" s="81" t="str">
        <f t="shared" si="393"/>
        <v/>
      </c>
      <c r="R950" s="135" t="str">
        <f t="shared" ca="1" si="394"/>
        <v/>
      </c>
      <c r="S950" s="134" t="str">
        <f t="shared" ca="1" si="395"/>
        <v/>
      </c>
      <c r="T950" s="134" t="str">
        <f ca="1">IF(S950=Dashboard!$D$12,S950,"")</f>
        <v/>
      </c>
      <c r="U950" s="134" t="str">
        <f t="shared" ca="1" si="396"/>
        <v/>
      </c>
      <c r="V950" s="83" t="str">
        <f ca="1">IF(U950="","",IFERROR((RANK(U950,$U$2:$U$2028,1)+COUNTIF($U$2:U950,U950))-1,""))</f>
        <v/>
      </c>
      <c r="W950" s="134" t="str">
        <f t="shared" si="400"/>
        <v/>
      </c>
      <c r="X950" s="134" t="str">
        <f>IF(W950="","",IFERROR((RANK(W950,$W$2:$W$2028,1)+COUNTIF($W$2:W950,W950))-1,""))</f>
        <v/>
      </c>
      <c r="Y950" s="134" t="str">
        <f t="shared" si="397"/>
        <v/>
      </c>
      <c r="Z950" s="134" t="str">
        <f>IF(Y950="","",IFERROR((RANK(Y950,$Y$2:$Y$2028,1)+COUNTIF($Y$2:Y950,Y950))-1,""))</f>
        <v/>
      </c>
      <c r="AA950" s="134" t="str">
        <f t="shared" si="398"/>
        <v/>
      </c>
      <c r="AB950" s="134" t="str">
        <f>IF(AA950="","",IFERROR((RANK(AA950,$AA$2:$AA$2028,1)+COUNTIF($AA$2:AA950,AA950))-1,""))</f>
        <v/>
      </c>
      <c r="AC950" s="134" t="str">
        <f t="shared" si="399"/>
        <v/>
      </c>
      <c r="AD950" s="134" t="str">
        <f>IF(AC950="","",IFERROR((RANK(AC950,$AC$2:$AC$2028,1)+COUNTIF($AC$2:AC950,AC950))-1,""))</f>
        <v/>
      </c>
      <c r="AE950" s="144" t="str">
        <f t="shared" si="391"/>
        <v/>
      </c>
      <c r="AF950" s="144" t="str">
        <f>IF(AE950="","",SUM($AE$2:AE950))</f>
        <v/>
      </c>
    </row>
    <row r="951" spans="14:32" x14ac:dyDescent="0.35">
      <c r="N951" s="134" t="str">
        <f t="shared" si="389"/>
        <v/>
      </c>
      <c r="O951" s="82" t="str">
        <f t="shared" si="392"/>
        <v/>
      </c>
      <c r="P951" s="81" t="str">
        <f t="shared" si="390"/>
        <v/>
      </c>
      <c r="Q951" s="81" t="str">
        <f t="shared" si="393"/>
        <v/>
      </c>
      <c r="R951" s="135" t="str">
        <f t="shared" ca="1" si="394"/>
        <v/>
      </c>
      <c r="S951" s="134" t="str">
        <f t="shared" ca="1" si="395"/>
        <v/>
      </c>
      <c r="T951" s="134" t="str">
        <f ca="1">IF(S951=Dashboard!$D$12,S951,"")</f>
        <v/>
      </c>
      <c r="U951" s="134" t="str">
        <f t="shared" ca="1" si="396"/>
        <v/>
      </c>
      <c r="V951" s="83" t="str">
        <f ca="1">IF(U951="","",IFERROR((RANK(U951,$U$2:$U$2028,1)+COUNTIF($U$2:U951,U951))-1,""))</f>
        <v/>
      </c>
      <c r="W951" s="134" t="str">
        <f t="shared" si="400"/>
        <v/>
      </c>
      <c r="X951" s="134" t="str">
        <f>IF(W951="","",IFERROR((RANK(W951,$W$2:$W$2028,1)+COUNTIF($W$2:W951,W951))-1,""))</f>
        <v/>
      </c>
      <c r="Y951" s="134" t="str">
        <f t="shared" si="397"/>
        <v/>
      </c>
      <c r="Z951" s="134" t="str">
        <f>IF(Y951="","",IFERROR((RANK(Y951,$Y$2:$Y$2028,1)+COUNTIF($Y$2:Y951,Y951))-1,""))</f>
        <v/>
      </c>
      <c r="AA951" s="134" t="str">
        <f t="shared" si="398"/>
        <v/>
      </c>
      <c r="AB951" s="134" t="str">
        <f>IF(AA951="","",IFERROR((RANK(AA951,$AA$2:$AA$2028,1)+COUNTIF($AA$2:AA951,AA951))-1,""))</f>
        <v/>
      </c>
      <c r="AC951" s="134" t="str">
        <f t="shared" si="399"/>
        <v/>
      </c>
      <c r="AD951" s="134" t="str">
        <f>IF(AC951="","",IFERROR((RANK(AC951,$AC$2:$AC$2028,1)+COUNTIF($AC$2:AC951,AC951))-1,""))</f>
        <v/>
      </c>
      <c r="AE951" s="144" t="str">
        <f t="shared" si="391"/>
        <v/>
      </c>
      <c r="AF951" s="144" t="str">
        <f>IF(AE951="","",SUM($AE$2:AE951))</f>
        <v/>
      </c>
    </row>
    <row r="952" spans="14:32" x14ac:dyDescent="0.35">
      <c r="N952" s="134" t="str">
        <f t="shared" si="389"/>
        <v/>
      </c>
      <c r="O952" s="82" t="str">
        <f t="shared" si="392"/>
        <v/>
      </c>
      <c r="P952" s="81" t="str">
        <f t="shared" si="390"/>
        <v/>
      </c>
      <c r="Q952" s="81" t="str">
        <f t="shared" si="393"/>
        <v/>
      </c>
      <c r="R952" s="135" t="str">
        <f t="shared" ca="1" si="394"/>
        <v/>
      </c>
      <c r="S952" s="134" t="str">
        <f t="shared" ca="1" si="395"/>
        <v/>
      </c>
      <c r="T952" s="134" t="str">
        <f ca="1">IF(S952=Dashboard!$D$12,S952,"")</f>
        <v/>
      </c>
      <c r="U952" s="134" t="str">
        <f t="shared" ca="1" si="396"/>
        <v/>
      </c>
      <c r="V952" s="83" t="str">
        <f ca="1">IF(U952="","",IFERROR((RANK(U952,$U$2:$U$2028,1)+COUNTIF($U$2:U952,U952))-1,""))</f>
        <v/>
      </c>
      <c r="W952" s="134" t="str">
        <f t="shared" si="400"/>
        <v/>
      </c>
      <c r="X952" s="134" t="str">
        <f>IF(W952="","",IFERROR((RANK(W952,$W$2:$W$2028,1)+COUNTIF($W$2:W952,W952))-1,""))</f>
        <v/>
      </c>
      <c r="Y952" s="134" t="str">
        <f t="shared" si="397"/>
        <v/>
      </c>
      <c r="Z952" s="134" t="str">
        <f>IF(Y952="","",IFERROR((RANK(Y952,$Y$2:$Y$2028,1)+COUNTIF($Y$2:Y952,Y952))-1,""))</f>
        <v/>
      </c>
      <c r="AA952" s="134" t="str">
        <f t="shared" si="398"/>
        <v/>
      </c>
      <c r="AB952" s="134" t="str">
        <f>IF(AA952="","",IFERROR((RANK(AA952,$AA$2:$AA$2028,1)+COUNTIF($AA$2:AA952,AA952))-1,""))</f>
        <v/>
      </c>
      <c r="AC952" s="134" t="str">
        <f t="shared" si="399"/>
        <v/>
      </c>
      <c r="AD952" s="134" t="str">
        <f>IF(AC952="","",IFERROR((RANK(AC952,$AC$2:$AC$2028,1)+COUNTIF($AC$2:AC952,AC952))-1,""))</f>
        <v/>
      </c>
      <c r="AE952" s="144" t="str">
        <f t="shared" si="391"/>
        <v/>
      </c>
      <c r="AF952" s="144" t="str">
        <f>IF(AE952="","",SUM($AE$2:AE952))</f>
        <v/>
      </c>
    </row>
    <row r="953" spans="14:32" x14ac:dyDescent="0.35">
      <c r="N953" s="134" t="str">
        <f t="shared" si="389"/>
        <v/>
      </c>
      <c r="O953" s="82" t="str">
        <f t="shared" si="392"/>
        <v/>
      </c>
      <c r="P953" s="81" t="str">
        <f t="shared" si="390"/>
        <v/>
      </c>
      <c r="Q953" s="81" t="str">
        <f t="shared" si="393"/>
        <v/>
      </c>
      <c r="R953" s="135" t="str">
        <f t="shared" ca="1" si="394"/>
        <v/>
      </c>
      <c r="S953" s="134" t="str">
        <f t="shared" ca="1" si="395"/>
        <v/>
      </c>
      <c r="T953" s="134" t="str">
        <f ca="1">IF(S953=Dashboard!$D$12,S953,"")</f>
        <v/>
      </c>
      <c r="U953" s="134" t="str">
        <f t="shared" ca="1" si="396"/>
        <v/>
      </c>
      <c r="V953" s="83" t="str">
        <f ca="1">IF(U953="","",IFERROR((RANK(U953,$U$2:$U$2028,1)+COUNTIF($U$2:U953,U953))-1,""))</f>
        <v/>
      </c>
      <c r="W953" s="134" t="str">
        <f t="shared" si="400"/>
        <v/>
      </c>
      <c r="X953" s="134" t="str">
        <f>IF(W953="","",IFERROR((RANK(W953,$W$2:$W$2028,1)+COUNTIF($W$2:W953,W953))-1,""))</f>
        <v/>
      </c>
      <c r="Y953" s="134" t="str">
        <f t="shared" si="397"/>
        <v/>
      </c>
      <c r="Z953" s="134" t="str">
        <f>IF(Y953="","",IFERROR((RANK(Y953,$Y$2:$Y$2028,1)+COUNTIF($Y$2:Y953,Y953))-1,""))</f>
        <v/>
      </c>
      <c r="AA953" s="134" t="str">
        <f t="shared" si="398"/>
        <v/>
      </c>
      <c r="AB953" s="134" t="str">
        <f>IF(AA953="","",IFERROR((RANK(AA953,$AA$2:$AA$2028,1)+COUNTIF($AA$2:AA953,AA953))-1,""))</f>
        <v/>
      </c>
      <c r="AC953" s="134" t="str">
        <f t="shared" si="399"/>
        <v/>
      </c>
      <c r="AD953" s="134" t="str">
        <f>IF(AC953="","",IFERROR((RANK(AC953,$AC$2:$AC$2028,1)+COUNTIF($AC$2:AC953,AC953))-1,""))</f>
        <v/>
      </c>
      <c r="AE953" s="144" t="str">
        <f t="shared" si="391"/>
        <v/>
      </c>
      <c r="AF953" s="144" t="str">
        <f>IF(AE953="","",SUM($AE$2:AE953))</f>
        <v/>
      </c>
    </row>
    <row r="954" spans="14:32" x14ac:dyDescent="0.35">
      <c r="N954" s="134" t="str">
        <f t="shared" si="389"/>
        <v/>
      </c>
      <c r="O954" s="82" t="str">
        <f t="shared" si="392"/>
        <v/>
      </c>
      <c r="P954" s="81" t="str">
        <f t="shared" si="390"/>
        <v/>
      </c>
      <c r="Q954" s="81" t="str">
        <f t="shared" si="393"/>
        <v/>
      </c>
      <c r="R954" s="135" t="str">
        <f t="shared" ca="1" si="394"/>
        <v/>
      </c>
      <c r="S954" s="134" t="str">
        <f t="shared" ca="1" si="395"/>
        <v/>
      </c>
      <c r="T954" s="134" t="str">
        <f ca="1">IF(S954=Dashboard!$D$12,S954,"")</f>
        <v/>
      </c>
      <c r="U954" s="134" t="str">
        <f t="shared" ca="1" si="396"/>
        <v/>
      </c>
      <c r="V954" s="83" t="str">
        <f ca="1">IF(U954="","",IFERROR((RANK(U954,$U$2:$U$2028,1)+COUNTIF($U$2:U954,U954))-1,""))</f>
        <v/>
      </c>
      <c r="W954" s="134" t="str">
        <f t="shared" si="400"/>
        <v/>
      </c>
      <c r="X954" s="134" t="str">
        <f>IF(W954="","",IFERROR((RANK(W954,$W$2:$W$2028,1)+COUNTIF($W$2:W954,W954))-1,""))</f>
        <v/>
      </c>
      <c r="Y954" s="134" t="str">
        <f t="shared" si="397"/>
        <v/>
      </c>
      <c r="Z954" s="134" t="str">
        <f>IF(Y954="","",IFERROR((RANK(Y954,$Y$2:$Y$2028,1)+COUNTIF($Y$2:Y954,Y954))-1,""))</f>
        <v/>
      </c>
      <c r="AA954" s="134" t="str">
        <f t="shared" si="398"/>
        <v/>
      </c>
      <c r="AB954" s="134" t="str">
        <f>IF(AA954="","",IFERROR((RANK(AA954,$AA$2:$AA$2028,1)+COUNTIF($AA$2:AA954,AA954))-1,""))</f>
        <v/>
      </c>
      <c r="AC954" s="134" t="str">
        <f t="shared" si="399"/>
        <v/>
      </c>
      <c r="AD954" s="134" t="str">
        <f>IF(AC954="","",IFERROR((RANK(AC954,$AC$2:$AC$2028,1)+COUNTIF($AC$2:AC954,AC954))-1,""))</f>
        <v/>
      </c>
      <c r="AE954" s="144" t="str">
        <f t="shared" si="391"/>
        <v/>
      </c>
      <c r="AF954" s="144" t="str">
        <f>IF(AE954="","",SUM($AE$2:AE954))</f>
        <v/>
      </c>
    </row>
    <row r="955" spans="14:32" x14ac:dyDescent="0.35">
      <c r="N955" s="134" t="str">
        <f t="shared" si="389"/>
        <v/>
      </c>
      <c r="O955" s="82" t="str">
        <f t="shared" si="392"/>
        <v/>
      </c>
      <c r="P955" s="81" t="str">
        <f t="shared" si="390"/>
        <v/>
      </c>
      <c r="Q955" s="81" t="str">
        <f t="shared" si="393"/>
        <v/>
      </c>
      <c r="R955" s="135" t="str">
        <f t="shared" ca="1" si="394"/>
        <v/>
      </c>
      <c r="S955" s="134" t="str">
        <f t="shared" ca="1" si="395"/>
        <v/>
      </c>
      <c r="T955" s="134" t="str">
        <f ca="1">IF(S955=Dashboard!$D$12,S955,"")</f>
        <v/>
      </c>
      <c r="U955" s="134" t="str">
        <f t="shared" ca="1" si="396"/>
        <v/>
      </c>
      <c r="V955" s="83" t="str">
        <f ca="1">IF(U955="","",IFERROR((RANK(U955,$U$2:$U$2028,1)+COUNTIF($U$2:U955,U955))-1,""))</f>
        <v/>
      </c>
      <c r="W955" s="134" t="str">
        <f t="shared" si="400"/>
        <v/>
      </c>
      <c r="X955" s="134" t="str">
        <f>IF(W955="","",IFERROR((RANK(W955,$W$2:$W$2028,1)+COUNTIF($W$2:W955,W955))-1,""))</f>
        <v/>
      </c>
      <c r="Y955" s="134" t="str">
        <f t="shared" si="397"/>
        <v/>
      </c>
      <c r="Z955" s="134" t="str">
        <f>IF(Y955="","",IFERROR((RANK(Y955,$Y$2:$Y$2028,1)+COUNTIF($Y$2:Y955,Y955))-1,""))</f>
        <v/>
      </c>
      <c r="AA955" s="134" t="str">
        <f t="shared" si="398"/>
        <v/>
      </c>
      <c r="AB955" s="134" t="str">
        <f>IF(AA955="","",IFERROR((RANK(AA955,$AA$2:$AA$2028,1)+COUNTIF($AA$2:AA955,AA955))-1,""))</f>
        <v/>
      </c>
      <c r="AC955" s="134" t="str">
        <f t="shared" si="399"/>
        <v/>
      </c>
      <c r="AD955" s="134" t="str">
        <f>IF(AC955="","",IFERROR((RANK(AC955,$AC$2:$AC$2028,1)+COUNTIF($AC$2:AC955,AC955))-1,""))</f>
        <v/>
      </c>
      <c r="AE955" s="144" t="str">
        <f t="shared" si="391"/>
        <v/>
      </c>
      <c r="AF955" s="144" t="str">
        <f>IF(AE955="","",SUM($AE$2:AE955))</f>
        <v/>
      </c>
    </row>
    <row r="956" spans="14:32" x14ac:dyDescent="0.35">
      <c r="N956" s="134" t="str">
        <f t="shared" si="389"/>
        <v/>
      </c>
      <c r="O956" s="82" t="str">
        <f t="shared" si="392"/>
        <v/>
      </c>
      <c r="P956" s="81" t="str">
        <f t="shared" si="390"/>
        <v/>
      </c>
      <c r="Q956" s="81" t="str">
        <f t="shared" si="393"/>
        <v/>
      </c>
      <c r="R956" s="135" t="str">
        <f t="shared" ca="1" si="394"/>
        <v/>
      </c>
      <c r="S956" s="134" t="str">
        <f t="shared" ca="1" si="395"/>
        <v/>
      </c>
      <c r="T956" s="134" t="str">
        <f ca="1">IF(S956=Dashboard!$D$12,S956,"")</f>
        <v/>
      </c>
      <c r="U956" s="134" t="str">
        <f t="shared" ca="1" si="396"/>
        <v/>
      </c>
      <c r="V956" s="83" t="str">
        <f ca="1">IF(U956="","",IFERROR((RANK(U956,$U$2:$U$2028,1)+COUNTIF($U$2:U956,U956))-1,""))</f>
        <v/>
      </c>
      <c r="W956" s="134" t="str">
        <f t="shared" si="400"/>
        <v/>
      </c>
      <c r="X956" s="134" t="str">
        <f>IF(W956="","",IFERROR((RANK(W956,$W$2:$W$2028,1)+COUNTIF($W$2:W956,W956))-1,""))</f>
        <v/>
      </c>
      <c r="Y956" s="134" t="str">
        <f t="shared" si="397"/>
        <v/>
      </c>
      <c r="Z956" s="134" t="str">
        <f>IF(Y956="","",IFERROR((RANK(Y956,$Y$2:$Y$2028,1)+COUNTIF($Y$2:Y956,Y956))-1,""))</f>
        <v/>
      </c>
      <c r="AA956" s="134" t="str">
        <f t="shared" si="398"/>
        <v/>
      </c>
      <c r="AB956" s="134" t="str">
        <f>IF(AA956="","",IFERROR((RANK(AA956,$AA$2:$AA$2028,1)+COUNTIF($AA$2:AA956,AA956))-1,""))</f>
        <v/>
      </c>
      <c r="AC956" s="134" t="str">
        <f t="shared" si="399"/>
        <v/>
      </c>
      <c r="AD956" s="134" t="str">
        <f>IF(AC956="","",IFERROR((RANK(AC956,$AC$2:$AC$2028,1)+COUNTIF($AC$2:AC956,AC956))-1,""))</f>
        <v/>
      </c>
      <c r="AE956" s="144" t="str">
        <f t="shared" si="391"/>
        <v/>
      </c>
      <c r="AF956" s="144" t="str">
        <f>IF(AE956="","",SUM($AE$2:AE956))</f>
        <v/>
      </c>
    </row>
    <row r="957" spans="14:32" x14ac:dyDescent="0.35">
      <c r="N957" s="134" t="str">
        <f t="shared" si="389"/>
        <v/>
      </c>
      <c r="O957" s="82" t="str">
        <f t="shared" si="392"/>
        <v/>
      </c>
      <c r="P957" s="81" t="str">
        <f t="shared" si="390"/>
        <v/>
      </c>
      <c r="Q957" s="81" t="str">
        <f t="shared" si="393"/>
        <v/>
      </c>
      <c r="R957" s="135" t="str">
        <f t="shared" ca="1" si="394"/>
        <v/>
      </c>
      <c r="S957" s="134" t="str">
        <f t="shared" ca="1" si="395"/>
        <v/>
      </c>
      <c r="T957" s="134" t="str">
        <f ca="1">IF(S957=Dashboard!$D$12,S957,"")</f>
        <v/>
      </c>
      <c r="U957" s="134" t="str">
        <f t="shared" ca="1" si="396"/>
        <v/>
      </c>
      <c r="V957" s="83" t="str">
        <f ca="1">IF(U957="","",IFERROR((RANK(U957,$U$2:$U$2028,1)+COUNTIF($U$2:U957,U957))-1,""))</f>
        <v/>
      </c>
      <c r="W957" s="134" t="str">
        <f t="shared" si="400"/>
        <v/>
      </c>
      <c r="X957" s="134" t="str">
        <f>IF(W957="","",IFERROR((RANK(W957,$W$2:$W$2028,1)+COUNTIF($W$2:W957,W957))-1,""))</f>
        <v/>
      </c>
      <c r="Y957" s="134" t="str">
        <f t="shared" si="397"/>
        <v/>
      </c>
      <c r="Z957" s="134" t="str">
        <f>IF(Y957="","",IFERROR((RANK(Y957,$Y$2:$Y$2028,1)+COUNTIF($Y$2:Y957,Y957))-1,""))</f>
        <v/>
      </c>
      <c r="AA957" s="134" t="str">
        <f t="shared" si="398"/>
        <v/>
      </c>
      <c r="AB957" s="134" t="str">
        <f>IF(AA957="","",IFERROR((RANK(AA957,$AA$2:$AA$2028,1)+COUNTIF($AA$2:AA957,AA957))-1,""))</f>
        <v/>
      </c>
      <c r="AC957" s="134" t="str">
        <f t="shared" si="399"/>
        <v/>
      </c>
      <c r="AD957" s="134" t="str">
        <f>IF(AC957="","",IFERROR((RANK(AC957,$AC$2:$AC$2028,1)+COUNTIF($AC$2:AC957,AC957))-1,""))</f>
        <v/>
      </c>
      <c r="AE957" s="144" t="str">
        <f t="shared" si="391"/>
        <v/>
      </c>
      <c r="AF957" s="144" t="str">
        <f>IF(AE957="","",SUM($AE$2:AE957))</f>
        <v/>
      </c>
    </row>
    <row r="958" spans="14:32" x14ac:dyDescent="0.35">
      <c r="N958" s="134" t="str">
        <f t="shared" si="389"/>
        <v/>
      </c>
      <c r="O958" s="82" t="str">
        <f t="shared" si="392"/>
        <v/>
      </c>
      <c r="P958" s="81" t="str">
        <f t="shared" si="390"/>
        <v/>
      </c>
      <c r="Q958" s="81" t="str">
        <f t="shared" si="393"/>
        <v/>
      </c>
      <c r="R958" s="135" t="str">
        <f t="shared" ca="1" si="394"/>
        <v/>
      </c>
      <c r="S958" s="134" t="str">
        <f t="shared" ca="1" si="395"/>
        <v/>
      </c>
      <c r="T958" s="134" t="str">
        <f ca="1">IF(S958=Dashboard!$D$12,S958,"")</f>
        <v/>
      </c>
      <c r="U958" s="134" t="str">
        <f t="shared" ca="1" si="396"/>
        <v/>
      </c>
      <c r="V958" s="83" t="str">
        <f ca="1">IF(U958="","",IFERROR((RANK(U958,$U$2:$U$2028,1)+COUNTIF($U$2:U958,U958))-1,""))</f>
        <v/>
      </c>
      <c r="W958" s="134" t="str">
        <f t="shared" si="400"/>
        <v/>
      </c>
      <c r="X958" s="134" t="str">
        <f>IF(W958="","",IFERROR((RANK(W958,$W$2:$W$2028,1)+COUNTIF($W$2:W958,W958))-1,""))</f>
        <v/>
      </c>
      <c r="Y958" s="134" t="str">
        <f t="shared" si="397"/>
        <v/>
      </c>
      <c r="Z958" s="134" t="str">
        <f>IF(Y958="","",IFERROR((RANK(Y958,$Y$2:$Y$2028,1)+COUNTIF($Y$2:Y958,Y958))-1,""))</f>
        <v/>
      </c>
      <c r="AA958" s="134" t="str">
        <f t="shared" si="398"/>
        <v/>
      </c>
      <c r="AB958" s="134" t="str">
        <f>IF(AA958="","",IFERROR((RANK(AA958,$AA$2:$AA$2028,1)+COUNTIF($AA$2:AA958,AA958))-1,""))</f>
        <v/>
      </c>
      <c r="AC958" s="134" t="str">
        <f t="shared" si="399"/>
        <v/>
      </c>
      <c r="AD958" s="134" t="str">
        <f>IF(AC958="","",IFERROR((RANK(AC958,$AC$2:$AC$2028,1)+COUNTIF($AC$2:AC958,AC958))-1,""))</f>
        <v/>
      </c>
      <c r="AE958" s="144" t="str">
        <f t="shared" si="391"/>
        <v/>
      </c>
      <c r="AF958" s="144" t="str">
        <f>IF(AE958="","",SUM($AE$2:AE958))</f>
        <v/>
      </c>
    </row>
    <row r="959" spans="14:32" x14ac:dyDescent="0.35">
      <c r="N959" s="134" t="str">
        <f t="shared" si="389"/>
        <v/>
      </c>
      <c r="O959" s="82" t="str">
        <f t="shared" si="392"/>
        <v/>
      </c>
      <c r="P959" s="81" t="str">
        <f t="shared" si="390"/>
        <v/>
      </c>
      <c r="Q959" s="81" t="str">
        <f t="shared" si="393"/>
        <v/>
      </c>
      <c r="R959" s="135" t="str">
        <f t="shared" ca="1" si="394"/>
        <v/>
      </c>
      <c r="S959" s="134" t="str">
        <f t="shared" ca="1" si="395"/>
        <v/>
      </c>
      <c r="T959" s="134" t="str">
        <f ca="1">IF(S959=Dashboard!$D$12,S959,"")</f>
        <v/>
      </c>
      <c r="U959" s="134" t="str">
        <f t="shared" ca="1" si="396"/>
        <v/>
      </c>
      <c r="V959" s="83" t="str">
        <f ca="1">IF(U959="","",IFERROR((RANK(U959,$U$2:$U$2028,1)+COUNTIF($U$2:U959,U959))-1,""))</f>
        <v/>
      </c>
      <c r="W959" s="134" t="str">
        <f t="shared" si="400"/>
        <v/>
      </c>
      <c r="X959" s="134" t="str">
        <f>IF(W959="","",IFERROR((RANK(W959,$W$2:$W$2028,1)+COUNTIF($W$2:W959,W959))-1,""))</f>
        <v/>
      </c>
      <c r="Y959" s="134" t="str">
        <f t="shared" si="397"/>
        <v/>
      </c>
      <c r="Z959" s="134" t="str">
        <f>IF(Y959="","",IFERROR((RANK(Y959,$Y$2:$Y$2028,1)+COUNTIF($Y$2:Y959,Y959))-1,""))</f>
        <v/>
      </c>
      <c r="AA959" s="134" t="str">
        <f t="shared" si="398"/>
        <v/>
      </c>
      <c r="AB959" s="134" t="str">
        <f>IF(AA959="","",IFERROR((RANK(AA959,$AA$2:$AA$2028,1)+COUNTIF($AA$2:AA959,AA959))-1,""))</f>
        <v/>
      </c>
      <c r="AC959" s="134" t="str">
        <f t="shared" si="399"/>
        <v/>
      </c>
      <c r="AD959" s="134" t="str">
        <f>IF(AC959="","",IFERROR((RANK(AC959,$AC$2:$AC$2028,1)+COUNTIF($AC$2:AC959,AC959))-1,""))</f>
        <v/>
      </c>
      <c r="AE959" s="144" t="str">
        <f t="shared" si="391"/>
        <v/>
      </c>
      <c r="AF959" s="144" t="str">
        <f>IF(AE959="","",SUM($AE$2:AE959))</f>
        <v/>
      </c>
    </row>
    <row r="960" spans="14:32" x14ac:dyDescent="0.35">
      <c r="N960" s="134" t="str">
        <f t="shared" si="389"/>
        <v/>
      </c>
      <c r="O960" s="82" t="str">
        <f t="shared" si="392"/>
        <v/>
      </c>
      <c r="P960" s="81" t="str">
        <f t="shared" si="390"/>
        <v/>
      </c>
      <c r="Q960" s="81" t="str">
        <f t="shared" si="393"/>
        <v/>
      </c>
      <c r="R960" s="135" t="str">
        <f t="shared" ca="1" si="394"/>
        <v/>
      </c>
      <c r="S960" s="134" t="str">
        <f t="shared" ca="1" si="395"/>
        <v/>
      </c>
      <c r="T960" s="134" t="str">
        <f ca="1">IF(S960=Dashboard!$D$12,S960,"")</f>
        <v/>
      </c>
      <c r="U960" s="134" t="str">
        <f t="shared" ca="1" si="396"/>
        <v/>
      </c>
      <c r="V960" s="83" t="str">
        <f ca="1">IF(U960="","",IFERROR((RANK(U960,$U$2:$U$2028,1)+COUNTIF($U$2:U960,U960))-1,""))</f>
        <v/>
      </c>
      <c r="W960" s="134" t="str">
        <f t="shared" si="400"/>
        <v/>
      </c>
      <c r="X960" s="134" t="str">
        <f>IF(W960="","",IFERROR((RANK(W960,$W$2:$W$2028,1)+COUNTIF($W$2:W960,W960))-1,""))</f>
        <v/>
      </c>
      <c r="Y960" s="134" t="str">
        <f t="shared" si="397"/>
        <v/>
      </c>
      <c r="Z960" s="134" t="str">
        <f>IF(Y960="","",IFERROR((RANK(Y960,$Y$2:$Y$2028,1)+COUNTIF($Y$2:Y960,Y960))-1,""))</f>
        <v/>
      </c>
      <c r="AA960" s="134" t="str">
        <f t="shared" si="398"/>
        <v/>
      </c>
      <c r="AB960" s="134" t="str">
        <f>IF(AA960="","",IFERROR((RANK(AA960,$AA$2:$AA$2028,1)+COUNTIF($AA$2:AA960,AA960))-1,""))</f>
        <v/>
      </c>
      <c r="AC960" s="134" t="str">
        <f t="shared" si="399"/>
        <v/>
      </c>
      <c r="AD960" s="134" t="str">
        <f>IF(AC960="","",IFERROR((RANK(AC960,$AC$2:$AC$2028,1)+COUNTIF($AC$2:AC960,AC960))-1,""))</f>
        <v/>
      </c>
      <c r="AE960" s="144" t="str">
        <f t="shared" si="391"/>
        <v/>
      </c>
      <c r="AF960" s="144" t="str">
        <f>IF(AE960="","",SUM($AE$2:AE960))</f>
        <v/>
      </c>
    </row>
    <row r="961" spans="14:32" x14ac:dyDescent="0.35">
      <c r="N961" s="134" t="str">
        <f t="shared" si="389"/>
        <v/>
      </c>
      <c r="O961" s="82" t="str">
        <f t="shared" si="392"/>
        <v/>
      </c>
      <c r="P961" s="81" t="str">
        <f t="shared" si="390"/>
        <v/>
      </c>
      <c r="Q961" s="81" t="str">
        <f t="shared" si="393"/>
        <v/>
      </c>
      <c r="R961" s="135" t="str">
        <f t="shared" ca="1" si="394"/>
        <v/>
      </c>
      <c r="S961" s="134" t="str">
        <f t="shared" ca="1" si="395"/>
        <v/>
      </c>
      <c r="T961" s="134" t="str">
        <f ca="1">IF(S961=Dashboard!$D$12,S961,"")</f>
        <v/>
      </c>
      <c r="U961" s="134" t="str">
        <f t="shared" ca="1" si="396"/>
        <v/>
      </c>
      <c r="V961" s="83" t="str">
        <f ca="1">IF(U961="","",IFERROR((RANK(U961,$U$2:$U$2028,1)+COUNTIF($U$2:U961,U961))-1,""))</f>
        <v/>
      </c>
      <c r="W961" s="134" t="str">
        <f t="shared" si="400"/>
        <v/>
      </c>
      <c r="X961" s="134" t="str">
        <f>IF(W961="","",IFERROR((RANK(W961,$W$2:$W$2028,1)+COUNTIF($W$2:W961,W961))-1,""))</f>
        <v/>
      </c>
      <c r="Y961" s="134" t="str">
        <f t="shared" si="397"/>
        <v/>
      </c>
      <c r="Z961" s="134" t="str">
        <f>IF(Y961="","",IFERROR((RANK(Y961,$Y$2:$Y$2028,1)+COUNTIF($Y$2:Y961,Y961))-1,""))</f>
        <v/>
      </c>
      <c r="AA961" s="134" t="str">
        <f t="shared" si="398"/>
        <v/>
      </c>
      <c r="AB961" s="134" t="str">
        <f>IF(AA961="","",IFERROR((RANK(AA961,$AA$2:$AA$2028,1)+COUNTIF($AA$2:AA961,AA961))-1,""))</f>
        <v/>
      </c>
      <c r="AC961" s="134" t="str">
        <f t="shared" si="399"/>
        <v/>
      </c>
      <c r="AD961" s="134" t="str">
        <f>IF(AC961="","",IFERROR((RANK(AC961,$AC$2:$AC$2028,1)+COUNTIF($AC$2:AC961,AC961))-1,""))</f>
        <v/>
      </c>
      <c r="AE961" s="144" t="str">
        <f t="shared" si="391"/>
        <v/>
      </c>
      <c r="AF961" s="144" t="str">
        <f>IF(AE961="","",SUM($AE$2:AE961))</f>
        <v/>
      </c>
    </row>
    <row r="962" spans="14:32" x14ac:dyDescent="0.35">
      <c r="N962" s="134" t="str">
        <f t="shared" ref="N962:N1025" si="401">IF(A962="","",COUNTIFS(M:M,M962,H:H,"&lt;"&amp;H962)+1)</f>
        <v/>
      </c>
      <c r="O962" s="82" t="str">
        <f t="shared" si="392"/>
        <v/>
      </c>
      <c r="P962" s="81" t="str">
        <f t="shared" ref="P962:P1025" si="402">IF(A962="","",COUNTIFS(M:M,M962,H:H,"&gt;"&amp;H962)+1)</f>
        <v/>
      </c>
      <c r="Q962" s="81" t="str">
        <f t="shared" si="393"/>
        <v/>
      </c>
      <c r="R962" s="135" t="str">
        <f t="shared" ca="1" si="394"/>
        <v/>
      </c>
      <c r="S962" s="134" t="str">
        <f t="shared" ca="1" si="395"/>
        <v/>
      </c>
      <c r="T962" s="134" t="str">
        <f ca="1">IF(S962=Dashboard!$D$12,S962,"")</f>
        <v/>
      </c>
      <c r="U962" s="134" t="str">
        <f t="shared" ca="1" si="396"/>
        <v/>
      </c>
      <c r="V962" s="83" t="str">
        <f ca="1">IF(U962="","",IFERROR((RANK(U962,$U$2:$U$2028,1)+COUNTIF($U$2:U962,U962))-1,""))</f>
        <v/>
      </c>
      <c r="W962" s="134" t="str">
        <f t="shared" si="400"/>
        <v/>
      </c>
      <c r="X962" s="134" t="str">
        <f>IF(W962="","",IFERROR((RANK(W962,$W$2:$W$2028,1)+COUNTIF($W$2:W962,W962))-1,""))</f>
        <v/>
      </c>
      <c r="Y962" s="134" t="str">
        <f t="shared" si="397"/>
        <v/>
      </c>
      <c r="Z962" s="134" t="str">
        <f>IF(Y962="","",IFERROR((RANK(Y962,$Y$2:$Y$2028,1)+COUNTIF($Y$2:Y962,Y962))-1,""))</f>
        <v/>
      </c>
      <c r="AA962" s="134" t="str">
        <f t="shared" si="398"/>
        <v/>
      </c>
      <c r="AB962" s="134" t="str">
        <f>IF(AA962="","",IFERROR((RANK(AA962,$AA$2:$AA$2028,1)+COUNTIF($AA$2:AA962,AA962))-1,""))</f>
        <v/>
      </c>
      <c r="AC962" s="134" t="str">
        <f t="shared" si="399"/>
        <v/>
      </c>
      <c r="AD962" s="134" t="str">
        <f>IF(AC962="","",IFERROR((RANK(AC962,$AC$2:$AC$2028,1)+COUNTIF($AC$2:AC962,AC962))-1,""))</f>
        <v/>
      </c>
      <c r="AE962" s="144" t="str">
        <f t="shared" si="391"/>
        <v/>
      </c>
      <c r="AF962" s="144" t="str">
        <f>IF(AE962="","",SUM($AE$2:AE962))</f>
        <v/>
      </c>
    </row>
    <row r="963" spans="14:32" x14ac:dyDescent="0.35">
      <c r="N963" s="134" t="str">
        <f t="shared" si="401"/>
        <v/>
      </c>
      <c r="O963" s="82" t="str">
        <f t="shared" si="392"/>
        <v/>
      </c>
      <c r="P963" s="81" t="str">
        <f t="shared" si="402"/>
        <v/>
      </c>
      <c r="Q963" s="81" t="str">
        <f t="shared" si="393"/>
        <v/>
      </c>
      <c r="R963" s="135" t="str">
        <f t="shared" ca="1" si="394"/>
        <v/>
      </c>
      <c r="S963" s="134" t="str">
        <f t="shared" ca="1" si="395"/>
        <v/>
      </c>
      <c r="T963" s="134" t="str">
        <f ca="1">IF(S963=Dashboard!$D$12,S963,"")</f>
        <v/>
      </c>
      <c r="U963" s="134" t="str">
        <f t="shared" ca="1" si="396"/>
        <v/>
      </c>
      <c r="V963" s="83" t="str">
        <f ca="1">IF(U963="","",IFERROR((RANK(U963,$U$2:$U$2028,1)+COUNTIF($U$2:U963,U963))-1,""))</f>
        <v/>
      </c>
      <c r="W963" s="134" t="str">
        <f t="shared" si="400"/>
        <v/>
      </c>
      <c r="X963" s="134" t="str">
        <f>IF(W963="","",IFERROR((RANK(W963,$W$2:$W$2028,1)+COUNTIF($W$2:W963,W963))-1,""))</f>
        <v/>
      </c>
      <c r="Y963" s="134" t="str">
        <f t="shared" si="397"/>
        <v/>
      </c>
      <c r="Z963" s="134" t="str">
        <f>IF(Y963="","",IFERROR((RANK(Y963,$Y$2:$Y$2028,1)+COUNTIF($Y$2:Y963,Y963))-1,""))</f>
        <v/>
      </c>
      <c r="AA963" s="134" t="str">
        <f t="shared" si="398"/>
        <v/>
      </c>
      <c r="AB963" s="134" t="str">
        <f>IF(AA963="","",IFERROR((RANK(AA963,$AA$2:$AA$2028,1)+COUNTIF($AA$2:AA963,AA963))-1,""))</f>
        <v/>
      </c>
      <c r="AC963" s="134" t="str">
        <f t="shared" si="399"/>
        <v/>
      </c>
      <c r="AD963" s="134" t="str">
        <f>IF(AC963="","",IFERROR((RANK(AC963,$AC$2:$AC$2028,1)+COUNTIF($AC$2:AC963,AC963))-1,""))</f>
        <v/>
      </c>
      <c r="AE963" s="144" t="str">
        <f t="shared" si="391"/>
        <v/>
      </c>
      <c r="AF963" s="144" t="str">
        <f>IF(AE963="","",SUM($AE$2:AE963))</f>
        <v/>
      </c>
    </row>
    <row r="964" spans="14:32" x14ac:dyDescent="0.35">
      <c r="N964" s="134" t="str">
        <f t="shared" si="401"/>
        <v/>
      </c>
      <c r="O964" s="82" t="str">
        <f t="shared" si="392"/>
        <v/>
      </c>
      <c r="P964" s="81" t="str">
        <f t="shared" si="402"/>
        <v/>
      </c>
      <c r="Q964" s="81" t="str">
        <f t="shared" si="393"/>
        <v/>
      </c>
      <c r="R964" s="135" t="str">
        <f t="shared" ca="1" si="394"/>
        <v/>
      </c>
      <c r="S964" s="134" t="str">
        <f t="shared" ca="1" si="395"/>
        <v/>
      </c>
      <c r="T964" s="134" t="str">
        <f ca="1">IF(S964=Dashboard!$D$12,S964,"")</f>
        <v/>
      </c>
      <c r="U964" s="134" t="str">
        <f t="shared" ca="1" si="396"/>
        <v/>
      </c>
      <c r="V964" s="83" t="str">
        <f ca="1">IF(U964="","",IFERROR((RANK(U964,$U$2:$U$2028,1)+COUNTIF($U$2:U964,U964))-1,""))</f>
        <v/>
      </c>
      <c r="W964" s="134" t="str">
        <f t="shared" si="400"/>
        <v/>
      </c>
      <c r="X964" s="134" t="str">
        <f>IF(W964="","",IFERROR((RANK(W964,$W$2:$W$2028,1)+COUNTIF($W$2:W964,W964))-1,""))</f>
        <v/>
      </c>
      <c r="Y964" s="134" t="str">
        <f t="shared" si="397"/>
        <v/>
      </c>
      <c r="Z964" s="134" t="str">
        <f>IF(Y964="","",IFERROR((RANK(Y964,$Y$2:$Y$2028,1)+COUNTIF($Y$2:Y964,Y964))-1,""))</f>
        <v/>
      </c>
      <c r="AA964" s="134" t="str">
        <f t="shared" si="398"/>
        <v/>
      </c>
      <c r="AB964" s="134" t="str">
        <f>IF(AA964="","",IFERROR((RANK(AA964,$AA$2:$AA$2028,1)+COUNTIF($AA$2:AA964,AA964))-1,""))</f>
        <v/>
      </c>
      <c r="AC964" s="134" t="str">
        <f t="shared" si="399"/>
        <v/>
      </c>
      <c r="AD964" s="134" t="str">
        <f>IF(AC964="","",IFERROR((RANK(AC964,$AC$2:$AC$2028,1)+COUNTIF($AC$2:AC964,AC964))-1,""))</f>
        <v/>
      </c>
      <c r="AE964" s="144" t="str">
        <f t="shared" si="391"/>
        <v/>
      </c>
      <c r="AF964" s="144" t="str">
        <f>IF(AE964="","",SUM($AE$2:AE964))</f>
        <v/>
      </c>
    </row>
    <row r="965" spans="14:32" x14ac:dyDescent="0.35">
      <c r="N965" s="134" t="str">
        <f t="shared" si="401"/>
        <v/>
      </c>
      <c r="O965" s="82" t="str">
        <f t="shared" si="392"/>
        <v/>
      </c>
      <c r="P965" s="81" t="str">
        <f t="shared" si="402"/>
        <v/>
      </c>
      <c r="Q965" s="81" t="str">
        <f t="shared" si="393"/>
        <v/>
      </c>
      <c r="R965" s="135" t="str">
        <f t="shared" ca="1" si="394"/>
        <v/>
      </c>
      <c r="S965" s="134" t="str">
        <f t="shared" ca="1" si="395"/>
        <v/>
      </c>
      <c r="T965" s="134" t="str">
        <f ca="1">IF(S965=Dashboard!$D$12,S965,"")</f>
        <v/>
      </c>
      <c r="U965" s="134" t="str">
        <f t="shared" ca="1" si="396"/>
        <v/>
      </c>
      <c r="V965" s="83" t="str">
        <f ca="1">IF(U965="","",IFERROR((RANK(U965,$U$2:$U$2028,1)+COUNTIF($U$2:U965,U965))-1,""))</f>
        <v/>
      </c>
      <c r="W965" s="134" t="str">
        <f t="shared" si="400"/>
        <v/>
      </c>
      <c r="X965" s="134" t="str">
        <f>IF(W965="","",IFERROR((RANK(W965,$W$2:$W$2028,1)+COUNTIF($W$2:W965,W965))-1,""))</f>
        <v/>
      </c>
      <c r="Y965" s="134" t="str">
        <f t="shared" si="397"/>
        <v/>
      </c>
      <c r="Z965" s="134" t="str">
        <f>IF(Y965="","",IFERROR((RANK(Y965,$Y$2:$Y$2028,1)+COUNTIF($Y$2:Y965,Y965))-1,""))</f>
        <v/>
      </c>
      <c r="AA965" s="134" t="str">
        <f t="shared" si="398"/>
        <v/>
      </c>
      <c r="AB965" s="134" t="str">
        <f>IF(AA965="","",IFERROR((RANK(AA965,$AA$2:$AA$2028,1)+COUNTIF($AA$2:AA965,AA965))-1,""))</f>
        <v/>
      </c>
      <c r="AC965" s="134" t="str">
        <f t="shared" si="399"/>
        <v/>
      </c>
      <c r="AD965" s="134" t="str">
        <f>IF(AC965="","",IFERROR((RANK(AC965,$AC$2:$AC$2028,1)+COUNTIF($AC$2:AC965,AC965))-1,""))</f>
        <v/>
      </c>
      <c r="AE965" s="144" t="str">
        <f t="shared" si="391"/>
        <v/>
      </c>
      <c r="AF965" s="144" t="str">
        <f>IF(AE965="","",SUM($AE$2:AE965))</f>
        <v/>
      </c>
    </row>
    <row r="966" spans="14:32" x14ac:dyDescent="0.35">
      <c r="N966" s="134" t="str">
        <f t="shared" si="401"/>
        <v/>
      </c>
      <c r="O966" s="82" t="str">
        <f t="shared" si="392"/>
        <v/>
      </c>
      <c r="P966" s="81" t="str">
        <f t="shared" si="402"/>
        <v/>
      </c>
      <c r="Q966" s="81" t="str">
        <f t="shared" si="393"/>
        <v/>
      </c>
      <c r="R966" s="135" t="str">
        <f t="shared" ca="1" si="394"/>
        <v/>
      </c>
      <c r="S966" s="134" t="str">
        <f t="shared" ca="1" si="395"/>
        <v/>
      </c>
      <c r="T966" s="134" t="str">
        <f ca="1">IF(S966=Dashboard!$D$12,S966,"")</f>
        <v/>
      </c>
      <c r="U966" s="134" t="str">
        <f t="shared" ca="1" si="396"/>
        <v/>
      </c>
      <c r="V966" s="83" t="str">
        <f ca="1">IF(U966="","",IFERROR((RANK(U966,$U$2:$U$2028,1)+COUNTIF($U$2:U966,U966))-1,""))</f>
        <v/>
      </c>
      <c r="W966" s="134" t="str">
        <f t="shared" si="400"/>
        <v/>
      </c>
      <c r="X966" s="134" t="str">
        <f>IF(W966="","",IFERROR((RANK(W966,$W$2:$W$2028,1)+COUNTIF($W$2:W966,W966))-1,""))</f>
        <v/>
      </c>
      <c r="Y966" s="134" t="str">
        <f t="shared" si="397"/>
        <v/>
      </c>
      <c r="Z966" s="134" t="str">
        <f>IF(Y966="","",IFERROR((RANK(Y966,$Y$2:$Y$2028,1)+COUNTIF($Y$2:Y966,Y966))-1,""))</f>
        <v/>
      </c>
      <c r="AA966" s="134" t="str">
        <f t="shared" si="398"/>
        <v/>
      </c>
      <c r="AB966" s="134" t="str">
        <f>IF(AA966="","",IFERROR((RANK(AA966,$AA$2:$AA$2028,1)+COUNTIF($AA$2:AA966,AA966))-1,""))</f>
        <v/>
      </c>
      <c r="AC966" s="134" t="str">
        <f t="shared" si="399"/>
        <v/>
      </c>
      <c r="AD966" s="134" t="str">
        <f>IF(AC966="","",IFERROR((RANK(AC966,$AC$2:$AC$2028,1)+COUNTIF($AC$2:AC966,AC966))-1,""))</f>
        <v/>
      </c>
      <c r="AE966" s="144" t="str">
        <f t="shared" si="391"/>
        <v/>
      </c>
      <c r="AF966" s="144" t="str">
        <f>IF(AE966="","",SUM($AE$2:AE966))</f>
        <v/>
      </c>
    </row>
    <row r="967" spans="14:32" x14ac:dyDescent="0.35">
      <c r="N967" s="134" t="str">
        <f t="shared" si="401"/>
        <v/>
      </c>
      <c r="O967" s="82" t="str">
        <f t="shared" si="392"/>
        <v/>
      </c>
      <c r="P967" s="81" t="str">
        <f t="shared" si="402"/>
        <v/>
      </c>
      <c r="Q967" s="81" t="str">
        <f t="shared" si="393"/>
        <v/>
      </c>
      <c r="R967" s="135" t="str">
        <f t="shared" ca="1" si="394"/>
        <v/>
      </c>
      <c r="S967" s="134" t="str">
        <f t="shared" ca="1" si="395"/>
        <v/>
      </c>
      <c r="T967" s="134" t="str">
        <f ca="1">IF(S967=Dashboard!$D$12,S967,"")</f>
        <v/>
      </c>
      <c r="U967" s="134" t="str">
        <f t="shared" ca="1" si="396"/>
        <v/>
      </c>
      <c r="V967" s="83" t="str">
        <f ca="1">IF(U967="","",IFERROR((RANK(U967,$U$2:$U$2028,1)+COUNTIF($U$2:U967,U967))-1,""))</f>
        <v/>
      </c>
      <c r="W967" s="134" t="str">
        <f t="shared" si="400"/>
        <v/>
      </c>
      <c r="X967" s="134" t="str">
        <f>IF(W967="","",IFERROR((RANK(W967,$W$2:$W$2028,1)+COUNTIF($W$2:W967,W967))-1,""))</f>
        <v/>
      </c>
      <c r="Y967" s="134" t="str">
        <f t="shared" si="397"/>
        <v/>
      </c>
      <c r="Z967" s="134" t="str">
        <f>IF(Y967="","",IFERROR((RANK(Y967,$Y$2:$Y$2028,1)+COUNTIF($Y$2:Y967,Y967))-1,""))</f>
        <v/>
      </c>
      <c r="AA967" s="134" t="str">
        <f t="shared" si="398"/>
        <v/>
      </c>
      <c r="AB967" s="134" t="str">
        <f>IF(AA967="","",IFERROR((RANK(AA967,$AA$2:$AA$2028,1)+COUNTIF($AA$2:AA967,AA967))-1,""))</f>
        <v/>
      </c>
      <c r="AC967" s="134" t="str">
        <f t="shared" si="399"/>
        <v/>
      </c>
      <c r="AD967" s="134" t="str">
        <f>IF(AC967="","",IFERROR((RANK(AC967,$AC$2:$AC$2028,1)+COUNTIF($AC$2:AC967,AC967))-1,""))</f>
        <v/>
      </c>
      <c r="AE967" s="144" t="str">
        <f t="shared" ref="AE967:AE1030" si="403">IF(P967=1,P967,"")</f>
        <v/>
      </c>
      <c r="AF967" s="144" t="str">
        <f>IF(AE967="","",SUM($AE$2:AE967))</f>
        <v/>
      </c>
    </row>
    <row r="968" spans="14:32" x14ac:dyDescent="0.35">
      <c r="N968" s="134" t="str">
        <f t="shared" si="401"/>
        <v/>
      </c>
      <c r="O968" s="82" t="str">
        <f t="shared" si="392"/>
        <v/>
      </c>
      <c r="P968" s="81" t="str">
        <f t="shared" si="402"/>
        <v/>
      </c>
      <c r="Q968" s="81" t="str">
        <f t="shared" si="393"/>
        <v/>
      </c>
      <c r="R968" s="135" t="str">
        <f t="shared" ca="1" si="394"/>
        <v/>
      </c>
      <c r="S968" s="134" t="str">
        <f t="shared" ca="1" si="395"/>
        <v/>
      </c>
      <c r="T968" s="134" t="str">
        <f ca="1">IF(S968=Dashboard!$D$12,S968,"")</f>
        <v/>
      </c>
      <c r="U968" s="134" t="str">
        <f t="shared" ca="1" si="396"/>
        <v/>
      </c>
      <c r="V968" s="83" t="str">
        <f ca="1">IF(U968="","",IFERROR((RANK(U968,$U$2:$U$2028,1)+COUNTIF($U$2:U968,U968))-1,""))</f>
        <v/>
      </c>
      <c r="W968" s="134" t="str">
        <f t="shared" si="400"/>
        <v/>
      </c>
      <c r="X968" s="134" t="str">
        <f>IF(W968="","",IFERROR((RANK(W968,$W$2:$W$2028,1)+COUNTIF($W$2:W968,W968))-1,""))</f>
        <v/>
      </c>
      <c r="Y968" s="134" t="str">
        <f t="shared" si="397"/>
        <v/>
      </c>
      <c r="Z968" s="134" t="str">
        <f>IF(Y968="","",IFERROR((RANK(Y968,$Y$2:$Y$2028,1)+COUNTIF($Y$2:Y968,Y968))-1,""))</f>
        <v/>
      </c>
      <c r="AA968" s="134" t="str">
        <f t="shared" si="398"/>
        <v/>
      </c>
      <c r="AB968" s="134" t="str">
        <f>IF(AA968="","",IFERROR((RANK(AA968,$AA$2:$AA$2028,1)+COUNTIF($AA$2:AA968,AA968))-1,""))</f>
        <v/>
      </c>
      <c r="AC968" s="134" t="str">
        <f t="shared" si="399"/>
        <v/>
      </c>
      <c r="AD968" s="134" t="str">
        <f>IF(AC968="","",IFERROR((RANK(AC968,$AC$2:$AC$2028,1)+COUNTIF($AC$2:AC968,AC968))-1,""))</f>
        <v/>
      </c>
      <c r="AE968" s="144" t="str">
        <f t="shared" si="403"/>
        <v/>
      </c>
      <c r="AF968" s="144" t="str">
        <f>IF(AE968="","",SUM($AE$2:AE968))</f>
        <v/>
      </c>
    </row>
    <row r="969" spans="14:32" x14ac:dyDescent="0.35">
      <c r="N969" s="134" t="str">
        <f t="shared" si="401"/>
        <v/>
      </c>
      <c r="O969" s="82" t="str">
        <f t="shared" si="392"/>
        <v/>
      </c>
      <c r="P969" s="81" t="str">
        <f t="shared" si="402"/>
        <v/>
      </c>
      <c r="Q969" s="81" t="str">
        <f t="shared" si="393"/>
        <v/>
      </c>
      <c r="R969" s="135" t="str">
        <f t="shared" ca="1" si="394"/>
        <v/>
      </c>
      <c r="S969" s="134" t="str">
        <f t="shared" ca="1" si="395"/>
        <v/>
      </c>
      <c r="T969" s="134" t="str">
        <f ca="1">IF(S969=Dashboard!$D$12,S969,"")</f>
        <v/>
      </c>
      <c r="U969" s="134" t="str">
        <f t="shared" ca="1" si="396"/>
        <v/>
      </c>
      <c r="V969" s="83" t="str">
        <f ca="1">IF(U969="","",IFERROR((RANK(U969,$U$2:$U$2028,1)+COUNTIF($U$2:U969,U969))-1,""))</f>
        <v/>
      </c>
      <c r="W969" s="134" t="str">
        <f t="shared" si="400"/>
        <v/>
      </c>
      <c r="X969" s="134" t="str">
        <f>IF(W969="","",IFERROR((RANK(W969,$W$2:$W$2028,1)+COUNTIF($W$2:W969,W969))-1,""))</f>
        <v/>
      </c>
      <c r="Y969" s="134" t="str">
        <f t="shared" si="397"/>
        <v/>
      </c>
      <c r="Z969" s="134" t="str">
        <f>IF(Y969="","",IFERROR((RANK(Y969,$Y$2:$Y$2028,1)+COUNTIF($Y$2:Y969,Y969))-1,""))</f>
        <v/>
      </c>
      <c r="AA969" s="134" t="str">
        <f t="shared" si="398"/>
        <v/>
      </c>
      <c r="AB969" s="134" t="str">
        <f>IF(AA969="","",IFERROR((RANK(AA969,$AA$2:$AA$2028,1)+COUNTIF($AA$2:AA969,AA969))-1,""))</f>
        <v/>
      </c>
      <c r="AC969" s="134" t="str">
        <f t="shared" si="399"/>
        <v/>
      </c>
      <c r="AD969" s="134" t="str">
        <f>IF(AC969="","",IFERROR((RANK(AC969,$AC$2:$AC$2028,1)+COUNTIF($AC$2:AC969,AC969))-1,""))</f>
        <v/>
      </c>
      <c r="AE969" s="144" t="str">
        <f t="shared" si="403"/>
        <v/>
      </c>
      <c r="AF969" s="144" t="str">
        <f>IF(AE969="","",SUM($AE$2:AE969))</f>
        <v/>
      </c>
    </row>
    <row r="970" spans="14:32" x14ac:dyDescent="0.35">
      <c r="N970" s="134" t="str">
        <f t="shared" si="401"/>
        <v/>
      </c>
      <c r="O970" s="82" t="str">
        <f t="shared" si="392"/>
        <v/>
      </c>
      <c r="P970" s="81" t="str">
        <f t="shared" si="402"/>
        <v/>
      </c>
      <c r="Q970" s="81" t="str">
        <f t="shared" si="393"/>
        <v/>
      </c>
      <c r="R970" s="135" t="str">
        <f t="shared" ca="1" si="394"/>
        <v/>
      </c>
      <c r="S970" s="134" t="str">
        <f t="shared" ca="1" si="395"/>
        <v/>
      </c>
      <c r="T970" s="134" t="str">
        <f ca="1">IF(S970=Dashboard!$D$12,S970,"")</f>
        <v/>
      </c>
      <c r="U970" s="134" t="str">
        <f t="shared" ca="1" si="396"/>
        <v/>
      </c>
      <c r="V970" s="83" t="str">
        <f ca="1">IF(U970="","",IFERROR((RANK(U970,$U$2:$U$2028,1)+COUNTIF($U$2:U970,U970))-1,""))</f>
        <v/>
      </c>
      <c r="W970" s="134" t="str">
        <f t="shared" si="400"/>
        <v/>
      </c>
      <c r="X970" s="134" t="str">
        <f>IF(W970="","",IFERROR((RANK(W970,$W$2:$W$2028,1)+COUNTIF($W$2:W970,W970))-1,""))</f>
        <v/>
      </c>
      <c r="Y970" s="134" t="str">
        <f t="shared" si="397"/>
        <v/>
      </c>
      <c r="Z970" s="134" t="str">
        <f>IF(Y970="","",IFERROR((RANK(Y970,$Y$2:$Y$2028,1)+COUNTIF($Y$2:Y970,Y970))-1,""))</f>
        <v/>
      </c>
      <c r="AA970" s="134" t="str">
        <f t="shared" si="398"/>
        <v/>
      </c>
      <c r="AB970" s="134" t="str">
        <f>IF(AA970="","",IFERROR((RANK(AA970,$AA$2:$AA$2028,1)+COUNTIF($AA$2:AA970,AA970))-1,""))</f>
        <v/>
      </c>
      <c r="AC970" s="134" t="str">
        <f t="shared" si="399"/>
        <v/>
      </c>
      <c r="AD970" s="134" t="str">
        <f>IF(AC970="","",IFERROR((RANK(AC970,$AC$2:$AC$2028,1)+COUNTIF($AC$2:AC970,AC970))-1,""))</f>
        <v/>
      </c>
      <c r="AE970" s="144" t="str">
        <f t="shared" si="403"/>
        <v/>
      </c>
      <c r="AF970" s="144" t="str">
        <f>IF(AE970="","",SUM($AE$2:AE970))</f>
        <v/>
      </c>
    </row>
    <row r="971" spans="14:32" x14ac:dyDescent="0.35">
      <c r="N971" s="134" t="str">
        <f t="shared" si="401"/>
        <v/>
      </c>
      <c r="O971" s="82" t="str">
        <f t="shared" si="392"/>
        <v/>
      </c>
      <c r="P971" s="81" t="str">
        <f t="shared" si="402"/>
        <v/>
      </c>
      <c r="Q971" s="81" t="str">
        <f t="shared" si="393"/>
        <v/>
      </c>
      <c r="R971" s="135" t="str">
        <f t="shared" ca="1" si="394"/>
        <v/>
      </c>
      <c r="S971" s="134" t="str">
        <f t="shared" ca="1" si="395"/>
        <v/>
      </c>
      <c r="T971" s="134" t="str">
        <f ca="1">IF(S971=Dashboard!$D$12,S971,"")</f>
        <v/>
      </c>
      <c r="U971" s="134" t="str">
        <f t="shared" ca="1" si="396"/>
        <v/>
      </c>
      <c r="V971" s="83" t="str">
        <f ca="1">IF(U971="","",IFERROR((RANK(U971,$U$2:$U$2028,1)+COUNTIF($U$2:U971,U971))-1,""))</f>
        <v/>
      </c>
      <c r="W971" s="134" t="str">
        <f t="shared" si="400"/>
        <v/>
      </c>
      <c r="X971" s="134" t="str">
        <f>IF(W971="","",IFERROR((RANK(W971,$W$2:$W$2028,1)+COUNTIF($W$2:W971,W971))-1,""))</f>
        <v/>
      </c>
      <c r="Y971" s="134" t="str">
        <f t="shared" si="397"/>
        <v/>
      </c>
      <c r="Z971" s="134" t="str">
        <f>IF(Y971="","",IFERROR((RANK(Y971,$Y$2:$Y$2028,1)+COUNTIF($Y$2:Y971,Y971))-1,""))</f>
        <v/>
      </c>
      <c r="AA971" s="134" t="str">
        <f t="shared" si="398"/>
        <v/>
      </c>
      <c r="AB971" s="134" t="str">
        <f>IF(AA971="","",IFERROR((RANK(AA971,$AA$2:$AA$2028,1)+COUNTIF($AA$2:AA971,AA971))-1,""))</f>
        <v/>
      </c>
      <c r="AC971" s="134" t="str">
        <f t="shared" si="399"/>
        <v/>
      </c>
      <c r="AD971" s="134" t="str">
        <f>IF(AC971="","",IFERROR((RANK(AC971,$AC$2:$AC$2028,1)+COUNTIF($AC$2:AC971,AC971))-1,""))</f>
        <v/>
      </c>
      <c r="AE971" s="144" t="str">
        <f t="shared" si="403"/>
        <v/>
      </c>
      <c r="AF971" s="144" t="str">
        <f>IF(AE971="","",SUM($AE$2:AE971))</f>
        <v/>
      </c>
    </row>
    <row r="972" spans="14:32" x14ac:dyDescent="0.35">
      <c r="N972" s="134" t="str">
        <f t="shared" si="401"/>
        <v/>
      </c>
      <c r="O972" s="82" t="str">
        <f t="shared" si="392"/>
        <v/>
      </c>
      <c r="P972" s="81" t="str">
        <f t="shared" si="402"/>
        <v/>
      </c>
      <c r="Q972" s="81" t="str">
        <f t="shared" si="393"/>
        <v/>
      </c>
      <c r="R972" s="135" t="str">
        <f t="shared" ca="1" si="394"/>
        <v/>
      </c>
      <c r="S972" s="134" t="str">
        <f t="shared" ca="1" si="395"/>
        <v/>
      </c>
      <c r="T972" s="134" t="str">
        <f ca="1">IF(S972=Dashboard!$D$12,S972,"")</f>
        <v/>
      </c>
      <c r="U972" s="134" t="str">
        <f t="shared" ca="1" si="396"/>
        <v/>
      </c>
      <c r="V972" s="83" t="str">
        <f ca="1">IF(U972="","",IFERROR((RANK(U972,$U$2:$U$2028,1)+COUNTIF($U$2:U972,U972))-1,""))</f>
        <v/>
      </c>
      <c r="W972" s="134" t="str">
        <f t="shared" si="400"/>
        <v/>
      </c>
      <c r="X972" s="134" t="str">
        <f>IF(W972="","",IFERROR((RANK(W972,$W$2:$W$2028,1)+COUNTIF($W$2:W972,W972))-1,""))</f>
        <v/>
      </c>
      <c r="Y972" s="134" t="str">
        <f t="shared" si="397"/>
        <v/>
      </c>
      <c r="Z972" s="134" t="str">
        <f>IF(Y972="","",IFERROR((RANK(Y972,$Y$2:$Y$2028,1)+COUNTIF($Y$2:Y972,Y972))-1,""))</f>
        <v/>
      </c>
      <c r="AA972" s="134" t="str">
        <f t="shared" si="398"/>
        <v/>
      </c>
      <c r="AB972" s="134" t="str">
        <f>IF(AA972="","",IFERROR((RANK(AA972,$AA$2:$AA$2028,1)+COUNTIF($AA$2:AA972,AA972))-1,""))</f>
        <v/>
      </c>
      <c r="AC972" s="134" t="str">
        <f t="shared" si="399"/>
        <v/>
      </c>
      <c r="AD972" s="134" t="str">
        <f>IF(AC972="","",IFERROR((RANK(AC972,$AC$2:$AC$2028,1)+COUNTIF($AC$2:AC972,AC972))-1,""))</f>
        <v/>
      </c>
      <c r="AE972" s="144" t="str">
        <f t="shared" si="403"/>
        <v/>
      </c>
      <c r="AF972" s="144" t="str">
        <f>IF(AE972="","",SUM($AE$2:AE972))</f>
        <v/>
      </c>
    </row>
    <row r="973" spans="14:32" x14ac:dyDescent="0.35">
      <c r="N973" s="134" t="str">
        <f t="shared" si="401"/>
        <v/>
      </c>
      <c r="O973" s="82" t="str">
        <f t="shared" si="392"/>
        <v/>
      </c>
      <c r="P973" s="81" t="str">
        <f t="shared" si="402"/>
        <v/>
      </c>
      <c r="Q973" s="81" t="str">
        <f t="shared" si="393"/>
        <v/>
      </c>
      <c r="R973" s="135" t="str">
        <f t="shared" ca="1" si="394"/>
        <v/>
      </c>
      <c r="S973" s="134" t="str">
        <f t="shared" ca="1" si="395"/>
        <v/>
      </c>
      <c r="T973" s="134" t="str">
        <f ca="1">IF(S973=Dashboard!$D$12,S973,"")</f>
        <v/>
      </c>
      <c r="U973" s="134" t="str">
        <f t="shared" ca="1" si="396"/>
        <v/>
      </c>
      <c r="V973" s="83" t="str">
        <f ca="1">IF(U973="","",IFERROR((RANK(U973,$U$2:$U$2028,1)+COUNTIF($U$2:U973,U973))-1,""))</f>
        <v/>
      </c>
      <c r="W973" s="134" t="str">
        <f t="shared" si="400"/>
        <v/>
      </c>
      <c r="X973" s="134" t="str">
        <f>IF(W973="","",IFERROR((RANK(W973,$W$2:$W$2028,1)+COUNTIF($W$2:W973,W973))-1,""))</f>
        <v/>
      </c>
      <c r="Y973" s="134" t="str">
        <f t="shared" si="397"/>
        <v/>
      </c>
      <c r="Z973" s="134" t="str">
        <f>IF(Y973="","",IFERROR((RANK(Y973,$Y$2:$Y$2028,1)+COUNTIF($Y$2:Y973,Y973))-1,""))</f>
        <v/>
      </c>
      <c r="AA973" s="134" t="str">
        <f t="shared" si="398"/>
        <v/>
      </c>
      <c r="AB973" s="134" t="str">
        <f>IF(AA973="","",IFERROR((RANK(AA973,$AA$2:$AA$2028,1)+COUNTIF($AA$2:AA973,AA973))-1,""))</f>
        <v/>
      </c>
      <c r="AC973" s="134" t="str">
        <f t="shared" si="399"/>
        <v/>
      </c>
      <c r="AD973" s="134" t="str">
        <f>IF(AC973="","",IFERROR((RANK(AC973,$AC$2:$AC$2028,1)+COUNTIF($AC$2:AC973,AC973))-1,""))</f>
        <v/>
      </c>
      <c r="AE973" s="144" t="str">
        <f t="shared" si="403"/>
        <v/>
      </c>
      <c r="AF973" s="144" t="str">
        <f>IF(AE973="","",SUM($AE$2:AE973))</f>
        <v/>
      </c>
    </row>
    <row r="974" spans="14:32" x14ac:dyDescent="0.35">
      <c r="N974" s="134" t="str">
        <f t="shared" si="401"/>
        <v/>
      </c>
      <c r="O974" s="82" t="str">
        <f t="shared" si="392"/>
        <v/>
      </c>
      <c r="P974" s="81" t="str">
        <f t="shared" si="402"/>
        <v/>
      </c>
      <c r="Q974" s="81" t="str">
        <f t="shared" si="393"/>
        <v/>
      </c>
      <c r="R974" s="135" t="str">
        <f t="shared" ca="1" si="394"/>
        <v/>
      </c>
      <c r="S974" s="134" t="str">
        <f t="shared" ca="1" si="395"/>
        <v/>
      </c>
      <c r="T974" s="134" t="str">
        <f ca="1">IF(S974=Dashboard!$D$12,S974,"")</f>
        <v/>
      </c>
      <c r="U974" s="134" t="str">
        <f t="shared" ca="1" si="396"/>
        <v/>
      </c>
      <c r="V974" s="83" t="str">
        <f ca="1">IF(U974="","",IFERROR((RANK(U974,$U$2:$U$2028,1)+COUNTIF($U$2:U974,U974))-1,""))</f>
        <v/>
      </c>
      <c r="W974" s="134" t="str">
        <f t="shared" si="400"/>
        <v/>
      </c>
      <c r="X974" s="134" t="str">
        <f>IF(W974="","",IFERROR((RANK(W974,$W$2:$W$2028,1)+COUNTIF($W$2:W974,W974))-1,""))</f>
        <v/>
      </c>
      <c r="Y974" s="134" t="str">
        <f t="shared" si="397"/>
        <v/>
      </c>
      <c r="Z974" s="134" t="str">
        <f>IF(Y974="","",IFERROR((RANK(Y974,$Y$2:$Y$2028,1)+COUNTIF($Y$2:Y974,Y974))-1,""))</f>
        <v/>
      </c>
      <c r="AA974" s="134" t="str">
        <f t="shared" si="398"/>
        <v/>
      </c>
      <c r="AB974" s="134" t="str">
        <f>IF(AA974="","",IFERROR((RANK(AA974,$AA$2:$AA$2028,1)+COUNTIF($AA$2:AA974,AA974))-1,""))</f>
        <v/>
      </c>
      <c r="AC974" s="134" t="str">
        <f t="shared" si="399"/>
        <v/>
      </c>
      <c r="AD974" s="134" t="str">
        <f>IF(AC974="","",IFERROR((RANK(AC974,$AC$2:$AC$2028,1)+COUNTIF($AC$2:AC974,AC974))-1,""))</f>
        <v/>
      </c>
      <c r="AE974" s="144" t="str">
        <f t="shared" si="403"/>
        <v/>
      </c>
      <c r="AF974" s="144" t="str">
        <f>IF(AE974="","",SUM($AE$2:AE974))</f>
        <v/>
      </c>
    </row>
    <row r="975" spans="14:32" x14ac:dyDescent="0.35">
      <c r="N975" s="134" t="str">
        <f t="shared" si="401"/>
        <v/>
      </c>
      <c r="O975" s="82" t="str">
        <f t="shared" si="392"/>
        <v/>
      </c>
      <c r="P975" s="81" t="str">
        <f t="shared" si="402"/>
        <v/>
      </c>
      <c r="Q975" s="81" t="str">
        <f t="shared" si="393"/>
        <v/>
      </c>
      <c r="R975" s="135" t="str">
        <f t="shared" ca="1" si="394"/>
        <v/>
      </c>
      <c r="S975" s="134" t="str">
        <f t="shared" ca="1" si="395"/>
        <v/>
      </c>
      <c r="T975" s="134" t="str">
        <f ca="1">IF(S975=Dashboard!$D$12,S975,"")</f>
        <v/>
      </c>
      <c r="U975" s="134" t="str">
        <f t="shared" ca="1" si="396"/>
        <v/>
      </c>
      <c r="V975" s="83" t="str">
        <f ca="1">IF(U975="","",IFERROR((RANK(U975,$U$2:$U$2028,1)+COUNTIF($U$2:U975,U975))-1,""))</f>
        <v/>
      </c>
      <c r="W975" s="134" t="str">
        <f t="shared" si="400"/>
        <v/>
      </c>
      <c r="X975" s="134" t="str">
        <f>IF(W975="","",IFERROR((RANK(W975,$W$2:$W$2028,1)+COUNTIF($W$2:W975,W975))-1,""))</f>
        <v/>
      </c>
      <c r="Y975" s="134" t="str">
        <f t="shared" si="397"/>
        <v/>
      </c>
      <c r="Z975" s="134" t="str">
        <f>IF(Y975="","",IFERROR((RANK(Y975,$Y$2:$Y$2028,1)+COUNTIF($Y$2:Y975,Y975))-1,""))</f>
        <v/>
      </c>
      <c r="AA975" s="134" t="str">
        <f t="shared" si="398"/>
        <v/>
      </c>
      <c r="AB975" s="134" t="str">
        <f>IF(AA975="","",IFERROR((RANK(AA975,$AA$2:$AA$2028,1)+COUNTIF($AA$2:AA975,AA975))-1,""))</f>
        <v/>
      </c>
      <c r="AC975" s="134" t="str">
        <f t="shared" si="399"/>
        <v/>
      </c>
      <c r="AD975" s="134" t="str">
        <f>IF(AC975="","",IFERROR((RANK(AC975,$AC$2:$AC$2028,1)+COUNTIF($AC$2:AC975,AC975))-1,""))</f>
        <v/>
      </c>
      <c r="AE975" s="144" t="str">
        <f t="shared" si="403"/>
        <v/>
      </c>
      <c r="AF975" s="144" t="str">
        <f>IF(AE975="","",SUM($AE$2:AE975))</f>
        <v/>
      </c>
    </row>
    <row r="976" spans="14:32" x14ac:dyDescent="0.35">
      <c r="N976" s="134" t="str">
        <f t="shared" si="401"/>
        <v/>
      </c>
      <c r="O976" s="82" t="str">
        <f t="shared" si="392"/>
        <v/>
      </c>
      <c r="P976" s="81" t="str">
        <f t="shared" si="402"/>
        <v/>
      </c>
      <c r="Q976" s="81" t="str">
        <f t="shared" si="393"/>
        <v/>
      </c>
      <c r="R976" s="135" t="str">
        <f t="shared" ca="1" si="394"/>
        <v/>
      </c>
      <c r="S976" s="134" t="str">
        <f t="shared" ca="1" si="395"/>
        <v/>
      </c>
      <c r="T976" s="134" t="str">
        <f ca="1">IF(S976=Dashboard!$D$12,S976,"")</f>
        <v/>
      </c>
      <c r="U976" s="134" t="str">
        <f t="shared" ca="1" si="396"/>
        <v/>
      </c>
      <c r="V976" s="83" t="str">
        <f ca="1">IF(U976="","",IFERROR((RANK(U976,$U$2:$U$2028,1)+COUNTIF($U$2:U976,U976))-1,""))</f>
        <v/>
      </c>
      <c r="W976" s="134" t="str">
        <f t="shared" si="400"/>
        <v/>
      </c>
      <c r="X976" s="134" t="str">
        <f>IF(W976="","",IFERROR((RANK(W976,$W$2:$W$2028,1)+COUNTIF($W$2:W976,W976))-1,""))</f>
        <v/>
      </c>
      <c r="Y976" s="134" t="str">
        <f t="shared" si="397"/>
        <v/>
      </c>
      <c r="Z976" s="134" t="str">
        <f>IF(Y976="","",IFERROR((RANK(Y976,$Y$2:$Y$2028,1)+COUNTIF($Y$2:Y976,Y976))-1,""))</f>
        <v/>
      </c>
      <c r="AA976" s="134" t="str">
        <f t="shared" si="398"/>
        <v/>
      </c>
      <c r="AB976" s="134" t="str">
        <f>IF(AA976="","",IFERROR((RANK(AA976,$AA$2:$AA$2028,1)+COUNTIF($AA$2:AA976,AA976))-1,""))</f>
        <v/>
      </c>
      <c r="AC976" s="134" t="str">
        <f t="shared" si="399"/>
        <v/>
      </c>
      <c r="AD976" s="134" t="str">
        <f>IF(AC976="","",IFERROR((RANK(AC976,$AC$2:$AC$2028,1)+COUNTIF($AC$2:AC976,AC976))-1,""))</f>
        <v/>
      </c>
      <c r="AE976" s="144" t="str">
        <f t="shared" si="403"/>
        <v/>
      </c>
      <c r="AF976" s="144" t="str">
        <f>IF(AE976="","",SUM($AE$2:AE976))</f>
        <v/>
      </c>
    </row>
    <row r="977" spans="14:32" x14ac:dyDescent="0.35">
      <c r="N977" s="134" t="str">
        <f t="shared" si="401"/>
        <v/>
      </c>
      <c r="O977" s="82" t="str">
        <f t="shared" si="392"/>
        <v/>
      </c>
      <c r="P977" s="81" t="str">
        <f t="shared" si="402"/>
        <v/>
      </c>
      <c r="Q977" s="81" t="str">
        <f t="shared" si="393"/>
        <v/>
      </c>
      <c r="R977" s="135" t="str">
        <f t="shared" ca="1" si="394"/>
        <v/>
      </c>
      <c r="S977" s="134" t="str">
        <f t="shared" ca="1" si="395"/>
        <v/>
      </c>
      <c r="T977" s="134" t="str">
        <f ca="1">IF(S977=Dashboard!$D$12,S977,"")</f>
        <v/>
      </c>
      <c r="U977" s="134" t="str">
        <f t="shared" ca="1" si="396"/>
        <v/>
      </c>
      <c r="V977" s="83" t="str">
        <f ca="1">IF(U977="","",IFERROR((RANK(U977,$U$2:$U$2028,1)+COUNTIF($U$2:U977,U977))-1,""))</f>
        <v/>
      </c>
      <c r="W977" s="134" t="str">
        <f t="shared" si="400"/>
        <v/>
      </c>
      <c r="X977" s="134" t="str">
        <f>IF(W977="","",IFERROR((RANK(W977,$W$2:$W$2028,1)+COUNTIF($W$2:W977,W977))-1,""))</f>
        <v/>
      </c>
      <c r="Y977" s="134" t="str">
        <f t="shared" si="397"/>
        <v/>
      </c>
      <c r="Z977" s="134" t="str">
        <f>IF(Y977="","",IFERROR((RANK(Y977,$Y$2:$Y$2028,1)+COUNTIF($Y$2:Y977,Y977))-1,""))</f>
        <v/>
      </c>
      <c r="AA977" s="134" t="str">
        <f t="shared" si="398"/>
        <v/>
      </c>
      <c r="AB977" s="134" t="str">
        <f>IF(AA977="","",IFERROR((RANK(AA977,$AA$2:$AA$2028,1)+COUNTIF($AA$2:AA977,AA977))-1,""))</f>
        <v/>
      </c>
      <c r="AC977" s="134" t="str">
        <f t="shared" si="399"/>
        <v/>
      </c>
      <c r="AD977" s="134" t="str">
        <f>IF(AC977="","",IFERROR((RANK(AC977,$AC$2:$AC$2028,1)+COUNTIF($AC$2:AC977,AC977))-1,""))</f>
        <v/>
      </c>
      <c r="AE977" s="144" t="str">
        <f t="shared" si="403"/>
        <v/>
      </c>
      <c r="AF977" s="144" t="str">
        <f>IF(AE977="","",SUM($AE$2:AE977))</f>
        <v/>
      </c>
    </row>
    <row r="978" spans="14:32" x14ac:dyDescent="0.35">
      <c r="N978" s="134" t="str">
        <f t="shared" si="401"/>
        <v/>
      </c>
      <c r="O978" s="82" t="str">
        <f t="shared" si="392"/>
        <v/>
      </c>
      <c r="P978" s="81" t="str">
        <f t="shared" si="402"/>
        <v/>
      </c>
      <c r="Q978" s="81" t="str">
        <f t="shared" si="393"/>
        <v/>
      </c>
      <c r="R978" s="135" t="str">
        <f t="shared" ca="1" si="394"/>
        <v/>
      </c>
      <c r="S978" s="134" t="str">
        <f t="shared" ca="1" si="395"/>
        <v/>
      </c>
      <c r="T978" s="134" t="str">
        <f ca="1">IF(S978=Dashboard!$D$12,S978,"")</f>
        <v/>
      </c>
      <c r="U978" s="134" t="str">
        <f t="shared" ca="1" si="396"/>
        <v/>
      </c>
      <c r="V978" s="83" t="str">
        <f ca="1">IF(U978="","",IFERROR((RANK(U978,$U$2:$U$2028,1)+COUNTIF($U$2:U978,U978))-1,""))</f>
        <v/>
      </c>
      <c r="W978" s="134" t="str">
        <f t="shared" si="400"/>
        <v/>
      </c>
      <c r="X978" s="134" t="str">
        <f>IF(W978="","",IFERROR((RANK(W978,$W$2:$W$2028,1)+COUNTIF($W$2:W978,W978))-1,""))</f>
        <v/>
      </c>
      <c r="Y978" s="134" t="str">
        <f t="shared" si="397"/>
        <v/>
      </c>
      <c r="Z978" s="134" t="str">
        <f>IF(Y978="","",IFERROR((RANK(Y978,$Y$2:$Y$2028,1)+COUNTIF($Y$2:Y978,Y978))-1,""))</f>
        <v/>
      </c>
      <c r="AA978" s="134" t="str">
        <f t="shared" si="398"/>
        <v/>
      </c>
      <c r="AB978" s="134" t="str">
        <f>IF(AA978="","",IFERROR((RANK(AA978,$AA$2:$AA$2028,1)+COUNTIF($AA$2:AA978,AA978))-1,""))</f>
        <v/>
      </c>
      <c r="AC978" s="134" t="str">
        <f t="shared" si="399"/>
        <v/>
      </c>
      <c r="AD978" s="134" t="str">
        <f>IF(AC978="","",IFERROR((RANK(AC978,$AC$2:$AC$2028,1)+COUNTIF($AC$2:AC978,AC978))-1,""))</f>
        <v/>
      </c>
      <c r="AE978" s="144" t="str">
        <f t="shared" si="403"/>
        <v/>
      </c>
      <c r="AF978" s="144" t="str">
        <f>IF(AE978="","",SUM($AE$2:AE978))</f>
        <v/>
      </c>
    </row>
    <row r="979" spans="14:32" x14ac:dyDescent="0.35">
      <c r="N979" s="134" t="str">
        <f t="shared" si="401"/>
        <v/>
      </c>
      <c r="O979" s="82" t="str">
        <f t="shared" si="392"/>
        <v/>
      </c>
      <c r="P979" s="81" t="str">
        <f t="shared" si="402"/>
        <v/>
      </c>
      <c r="Q979" s="81" t="str">
        <f t="shared" si="393"/>
        <v/>
      </c>
      <c r="R979" s="135" t="str">
        <f t="shared" ca="1" si="394"/>
        <v/>
      </c>
      <c r="S979" s="134" t="str">
        <f t="shared" ca="1" si="395"/>
        <v/>
      </c>
      <c r="T979" s="134" t="str">
        <f ca="1">IF(S979=Dashboard!$D$12,S979,"")</f>
        <v/>
      </c>
      <c r="U979" s="134" t="str">
        <f t="shared" ca="1" si="396"/>
        <v/>
      </c>
      <c r="V979" s="83" t="str">
        <f ca="1">IF(U979="","",IFERROR((RANK(U979,$U$2:$U$2028,1)+COUNTIF($U$2:U979,U979))-1,""))</f>
        <v/>
      </c>
      <c r="W979" s="134" t="str">
        <f t="shared" si="400"/>
        <v/>
      </c>
      <c r="X979" s="134" t="str">
        <f>IF(W979="","",IFERROR((RANK(W979,$W$2:$W$2028,1)+COUNTIF($W$2:W979,W979))-1,""))</f>
        <v/>
      </c>
      <c r="Y979" s="134" t="str">
        <f t="shared" si="397"/>
        <v/>
      </c>
      <c r="Z979" s="134" t="str">
        <f>IF(Y979="","",IFERROR((RANK(Y979,$Y$2:$Y$2028,1)+COUNTIF($Y$2:Y979,Y979))-1,""))</f>
        <v/>
      </c>
      <c r="AA979" s="134" t="str">
        <f t="shared" si="398"/>
        <v/>
      </c>
      <c r="AB979" s="134" t="str">
        <f>IF(AA979="","",IFERROR((RANK(AA979,$AA$2:$AA$2028,1)+COUNTIF($AA$2:AA979,AA979))-1,""))</f>
        <v/>
      </c>
      <c r="AC979" s="134" t="str">
        <f t="shared" si="399"/>
        <v/>
      </c>
      <c r="AD979" s="134" t="str">
        <f>IF(AC979="","",IFERROR((RANK(AC979,$AC$2:$AC$2028,1)+COUNTIF($AC$2:AC979,AC979))-1,""))</f>
        <v/>
      </c>
      <c r="AE979" s="144" t="str">
        <f t="shared" si="403"/>
        <v/>
      </c>
      <c r="AF979" s="144" t="str">
        <f>IF(AE979="","",SUM($AE$2:AE979))</f>
        <v/>
      </c>
    </row>
    <row r="980" spans="14:32" x14ac:dyDescent="0.35">
      <c r="N980" s="134" t="str">
        <f t="shared" si="401"/>
        <v/>
      </c>
      <c r="O980" s="82" t="str">
        <f t="shared" si="392"/>
        <v/>
      </c>
      <c r="P980" s="81" t="str">
        <f t="shared" si="402"/>
        <v/>
      </c>
      <c r="Q980" s="81" t="str">
        <f t="shared" si="393"/>
        <v/>
      </c>
      <c r="R980" s="135" t="str">
        <f t="shared" ca="1" si="394"/>
        <v/>
      </c>
      <c r="S980" s="134" t="str">
        <f t="shared" ca="1" si="395"/>
        <v/>
      </c>
      <c r="T980" s="134" t="str">
        <f ca="1">IF(S980=Dashboard!$D$12,S980,"")</f>
        <v/>
      </c>
      <c r="U980" s="134" t="str">
        <f t="shared" ca="1" si="396"/>
        <v/>
      </c>
      <c r="V980" s="83" t="str">
        <f ca="1">IF(U980="","",IFERROR((RANK(U980,$U$2:$U$2028,1)+COUNTIF($U$2:U980,U980))-1,""))</f>
        <v/>
      </c>
      <c r="W980" s="134" t="str">
        <f t="shared" si="400"/>
        <v/>
      </c>
      <c r="X980" s="134" t="str">
        <f>IF(W980="","",IFERROR((RANK(W980,$W$2:$W$2028,1)+COUNTIF($W$2:W980,W980))-1,""))</f>
        <v/>
      </c>
      <c r="Y980" s="134" t="str">
        <f t="shared" si="397"/>
        <v/>
      </c>
      <c r="Z980" s="134" t="str">
        <f>IF(Y980="","",IFERROR((RANK(Y980,$Y$2:$Y$2028,1)+COUNTIF($Y$2:Y980,Y980))-1,""))</f>
        <v/>
      </c>
      <c r="AA980" s="134" t="str">
        <f t="shared" si="398"/>
        <v/>
      </c>
      <c r="AB980" s="134" t="str">
        <f>IF(AA980="","",IFERROR((RANK(AA980,$AA$2:$AA$2028,1)+COUNTIF($AA$2:AA980,AA980))-1,""))</f>
        <v/>
      </c>
      <c r="AC980" s="134" t="str">
        <f t="shared" si="399"/>
        <v/>
      </c>
      <c r="AD980" s="134" t="str">
        <f>IF(AC980="","",IFERROR((RANK(AC980,$AC$2:$AC$2028,1)+COUNTIF($AC$2:AC980,AC980))-1,""))</f>
        <v/>
      </c>
      <c r="AE980" s="144" t="str">
        <f t="shared" si="403"/>
        <v/>
      </c>
      <c r="AF980" s="144" t="str">
        <f>IF(AE980="","",SUM($AE$2:AE980))</f>
        <v/>
      </c>
    </row>
    <row r="981" spans="14:32" x14ac:dyDescent="0.35">
      <c r="N981" s="134" t="str">
        <f t="shared" si="401"/>
        <v/>
      </c>
      <c r="O981" s="82" t="str">
        <f t="shared" si="392"/>
        <v/>
      </c>
      <c r="P981" s="81" t="str">
        <f t="shared" si="402"/>
        <v/>
      </c>
      <c r="Q981" s="81" t="str">
        <f t="shared" si="393"/>
        <v/>
      </c>
      <c r="R981" s="135" t="str">
        <f t="shared" ca="1" si="394"/>
        <v/>
      </c>
      <c r="S981" s="134" t="str">
        <f t="shared" ca="1" si="395"/>
        <v/>
      </c>
      <c r="T981" s="134" t="str">
        <f ca="1">IF(S981=Dashboard!$D$12,S981,"")</f>
        <v/>
      </c>
      <c r="U981" s="134" t="str">
        <f t="shared" ca="1" si="396"/>
        <v/>
      </c>
      <c r="V981" s="83" t="str">
        <f ca="1">IF(U981="","",IFERROR((RANK(U981,$U$2:$U$2028,1)+COUNTIF($U$2:U981,U981))-1,""))</f>
        <v/>
      </c>
      <c r="W981" s="134" t="str">
        <f t="shared" si="400"/>
        <v/>
      </c>
      <c r="X981" s="134" t="str">
        <f>IF(W981="","",IFERROR((RANK(W981,$W$2:$W$2028,1)+COUNTIF($W$2:W981,W981))-1,""))</f>
        <v/>
      </c>
      <c r="Y981" s="134" t="str">
        <f t="shared" si="397"/>
        <v/>
      </c>
      <c r="Z981" s="134" t="str">
        <f>IF(Y981="","",IFERROR((RANK(Y981,$Y$2:$Y$2028,1)+COUNTIF($Y$2:Y981,Y981))-1,""))</f>
        <v/>
      </c>
      <c r="AA981" s="134" t="str">
        <f t="shared" si="398"/>
        <v/>
      </c>
      <c r="AB981" s="134" t="str">
        <f>IF(AA981="","",IFERROR((RANK(AA981,$AA$2:$AA$2028,1)+COUNTIF($AA$2:AA981,AA981))-1,""))</f>
        <v/>
      </c>
      <c r="AC981" s="134" t="str">
        <f t="shared" si="399"/>
        <v/>
      </c>
      <c r="AD981" s="134" t="str">
        <f>IF(AC981="","",IFERROR((RANK(AC981,$AC$2:$AC$2028,1)+COUNTIF($AC$2:AC981,AC981))-1,""))</f>
        <v/>
      </c>
      <c r="AE981" s="144" t="str">
        <f t="shared" si="403"/>
        <v/>
      </c>
      <c r="AF981" s="144" t="str">
        <f>IF(AE981="","",SUM($AE$2:AE981))</f>
        <v/>
      </c>
    </row>
    <row r="982" spans="14:32" x14ac:dyDescent="0.35">
      <c r="N982" s="134" t="str">
        <f t="shared" si="401"/>
        <v/>
      </c>
      <c r="O982" s="82" t="str">
        <f t="shared" si="392"/>
        <v/>
      </c>
      <c r="P982" s="81" t="str">
        <f t="shared" si="402"/>
        <v/>
      </c>
      <c r="Q982" s="81" t="str">
        <f t="shared" si="393"/>
        <v/>
      </c>
      <c r="R982" s="135" t="str">
        <f t="shared" ca="1" si="394"/>
        <v/>
      </c>
      <c r="S982" s="134" t="str">
        <f t="shared" ca="1" si="395"/>
        <v/>
      </c>
      <c r="T982" s="134" t="str">
        <f ca="1">IF(S982=Dashboard!$D$12,S982,"")</f>
        <v/>
      </c>
      <c r="U982" s="134" t="str">
        <f t="shared" ca="1" si="396"/>
        <v/>
      </c>
      <c r="V982" s="83" t="str">
        <f ca="1">IF(U982="","",IFERROR((RANK(U982,$U$2:$U$2028,1)+COUNTIF($U$2:U982,U982))-1,""))</f>
        <v/>
      </c>
      <c r="W982" s="134" t="str">
        <f t="shared" si="400"/>
        <v/>
      </c>
      <c r="X982" s="134" t="str">
        <f>IF(W982="","",IFERROR((RANK(W982,$W$2:$W$2028,1)+COUNTIF($W$2:W982,W982))-1,""))</f>
        <v/>
      </c>
      <c r="Y982" s="134" t="str">
        <f t="shared" si="397"/>
        <v/>
      </c>
      <c r="Z982" s="134" t="str">
        <f>IF(Y982="","",IFERROR((RANK(Y982,$Y$2:$Y$2028,1)+COUNTIF($Y$2:Y982,Y982))-1,""))</f>
        <v/>
      </c>
      <c r="AA982" s="134" t="str">
        <f t="shared" si="398"/>
        <v/>
      </c>
      <c r="AB982" s="134" t="str">
        <f>IF(AA982="","",IFERROR((RANK(AA982,$AA$2:$AA$2028,1)+COUNTIF($AA$2:AA982,AA982))-1,""))</f>
        <v/>
      </c>
      <c r="AC982" s="134" t="str">
        <f t="shared" si="399"/>
        <v/>
      </c>
      <c r="AD982" s="134" t="str">
        <f>IF(AC982="","",IFERROR((RANK(AC982,$AC$2:$AC$2028,1)+COUNTIF($AC$2:AC982,AC982))-1,""))</f>
        <v/>
      </c>
      <c r="AE982" s="144" t="str">
        <f t="shared" si="403"/>
        <v/>
      </c>
      <c r="AF982" s="144" t="str">
        <f>IF(AE982="","",SUM($AE$2:AE982))</f>
        <v/>
      </c>
    </row>
    <row r="983" spans="14:32" x14ac:dyDescent="0.35">
      <c r="N983" s="134" t="str">
        <f t="shared" si="401"/>
        <v/>
      </c>
      <c r="O983" s="82" t="str">
        <f t="shared" si="392"/>
        <v/>
      </c>
      <c r="P983" s="81" t="str">
        <f t="shared" si="402"/>
        <v/>
      </c>
      <c r="Q983" s="81" t="str">
        <f t="shared" si="393"/>
        <v/>
      </c>
      <c r="R983" s="135" t="str">
        <f t="shared" ca="1" si="394"/>
        <v/>
      </c>
      <c r="S983" s="134" t="str">
        <f t="shared" ca="1" si="395"/>
        <v/>
      </c>
      <c r="T983" s="134" t="str">
        <f ca="1">IF(S983=Dashboard!$D$12,S983,"")</f>
        <v/>
      </c>
      <c r="U983" s="134" t="str">
        <f t="shared" ca="1" si="396"/>
        <v/>
      </c>
      <c r="V983" s="83" t="str">
        <f ca="1">IF(U983="","",IFERROR((RANK(U983,$U$2:$U$2028,1)+COUNTIF($U$2:U983,U983))-1,""))</f>
        <v/>
      </c>
      <c r="W983" s="134" t="str">
        <f t="shared" si="400"/>
        <v/>
      </c>
      <c r="X983" s="134" t="str">
        <f>IF(W983="","",IFERROR((RANK(W983,$W$2:$W$2028,1)+COUNTIF($W$2:W983,W983))-1,""))</f>
        <v/>
      </c>
      <c r="Y983" s="134" t="str">
        <f t="shared" si="397"/>
        <v/>
      </c>
      <c r="Z983" s="134" t="str">
        <f>IF(Y983="","",IFERROR((RANK(Y983,$Y$2:$Y$2028,1)+COUNTIF($Y$2:Y983,Y983))-1,""))</f>
        <v/>
      </c>
      <c r="AA983" s="134" t="str">
        <f t="shared" si="398"/>
        <v/>
      </c>
      <c r="AB983" s="134" t="str">
        <f>IF(AA983="","",IFERROR((RANK(AA983,$AA$2:$AA$2028,1)+COUNTIF($AA$2:AA983,AA983))-1,""))</f>
        <v/>
      </c>
      <c r="AC983" s="134" t="str">
        <f t="shared" si="399"/>
        <v/>
      </c>
      <c r="AD983" s="134" t="str">
        <f>IF(AC983="","",IFERROR((RANK(AC983,$AC$2:$AC$2028,1)+COUNTIF($AC$2:AC983,AC983))-1,""))</f>
        <v/>
      </c>
      <c r="AE983" s="144" t="str">
        <f t="shared" si="403"/>
        <v/>
      </c>
      <c r="AF983" s="144" t="str">
        <f>IF(AE983="","",SUM($AE$2:AE983))</f>
        <v/>
      </c>
    </row>
    <row r="984" spans="14:32" x14ac:dyDescent="0.35">
      <c r="N984" s="134" t="str">
        <f t="shared" si="401"/>
        <v/>
      </c>
      <c r="O984" s="82" t="str">
        <f t="shared" si="392"/>
        <v/>
      </c>
      <c r="P984" s="81" t="str">
        <f t="shared" si="402"/>
        <v/>
      </c>
      <c r="Q984" s="81" t="str">
        <f t="shared" si="393"/>
        <v/>
      </c>
      <c r="R984" s="135" t="str">
        <f t="shared" ca="1" si="394"/>
        <v/>
      </c>
      <c r="S984" s="134" t="str">
        <f t="shared" ca="1" si="395"/>
        <v/>
      </c>
      <c r="T984" s="134" t="str">
        <f ca="1">IF(S984=Dashboard!$D$12,S984,"")</f>
        <v/>
      </c>
      <c r="U984" s="134" t="str">
        <f t="shared" ca="1" si="396"/>
        <v/>
      </c>
      <c r="V984" s="83" t="str">
        <f ca="1">IF(U984="","",IFERROR((RANK(U984,$U$2:$U$2028,1)+COUNTIF($U$2:U984,U984))-1,""))</f>
        <v/>
      </c>
      <c r="W984" s="134" t="str">
        <f t="shared" si="400"/>
        <v/>
      </c>
      <c r="X984" s="134" t="str">
        <f>IF(W984="","",IFERROR((RANK(W984,$W$2:$W$2028,1)+COUNTIF($W$2:W984,W984))-1,""))</f>
        <v/>
      </c>
      <c r="Y984" s="134" t="str">
        <f t="shared" si="397"/>
        <v/>
      </c>
      <c r="Z984" s="134" t="str">
        <f>IF(Y984="","",IFERROR((RANK(Y984,$Y$2:$Y$2028,1)+COUNTIF($Y$2:Y984,Y984))-1,""))</f>
        <v/>
      </c>
      <c r="AA984" s="134" t="str">
        <f t="shared" si="398"/>
        <v/>
      </c>
      <c r="AB984" s="134" t="str">
        <f>IF(AA984="","",IFERROR((RANK(AA984,$AA$2:$AA$2028,1)+COUNTIF($AA$2:AA984,AA984))-1,""))</f>
        <v/>
      </c>
      <c r="AC984" s="134" t="str">
        <f t="shared" si="399"/>
        <v/>
      </c>
      <c r="AD984" s="134" t="str">
        <f>IF(AC984="","",IFERROR((RANK(AC984,$AC$2:$AC$2028,1)+COUNTIF($AC$2:AC984,AC984))-1,""))</f>
        <v/>
      </c>
      <c r="AE984" s="144" t="str">
        <f t="shared" si="403"/>
        <v/>
      </c>
      <c r="AF984" s="144" t="str">
        <f>IF(AE984="","",SUM($AE$2:AE984))</f>
        <v/>
      </c>
    </row>
    <row r="985" spans="14:32" x14ac:dyDescent="0.35">
      <c r="N985" s="134" t="str">
        <f t="shared" si="401"/>
        <v/>
      </c>
      <c r="O985" s="82" t="str">
        <f t="shared" si="392"/>
        <v/>
      </c>
      <c r="P985" s="81" t="str">
        <f t="shared" si="402"/>
        <v/>
      </c>
      <c r="Q985" s="81" t="str">
        <f t="shared" si="393"/>
        <v/>
      </c>
      <c r="R985" s="135" t="str">
        <f t="shared" ca="1" si="394"/>
        <v/>
      </c>
      <c r="S985" s="134" t="str">
        <f t="shared" ca="1" si="395"/>
        <v/>
      </c>
      <c r="T985" s="134" t="str">
        <f ca="1">IF(S985=Dashboard!$D$12,S985,"")</f>
        <v/>
      </c>
      <c r="U985" s="134" t="str">
        <f t="shared" ca="1" si="396"/>
        <v/>
      </c>
      <c r="V985" s="83" t="str">
        <f ca="1">IF(U985="","",IFERROR((RANK(U985,$U$2:$U$2028,1)+COUNTIF($U$2:U985,U985))-1,""))</f>
        <v/>
      </c>
      <c r="W985" s="134" t="str">
        <f t="shared" si="400"/>
        <v/>
      </c>
      <c r="X985" s="134" t="str">
        <f>IF(W985="","",IFERROR((RANK(W985,$W$2:$W$2028,1)+COUNTIF($W$2:W985,W985))-1,""))</f>
        <v/>
      </c>
      <c r="Y985" s="134" t="str">
        <f t="shared" si="397"/>
        <v/>
      </c>
      <c r="Z985" s="134" t="str">
        <f>IF(Y985="","",IFERROR((RANK(Y985,$Y$2:$Y$2028,1)+COUNTIF($Y$2:Y985,Y985))-1,""))</f>
        <v/>
      </c>
      <c r="AA985" s="134" t="str">
        <f t="shared" si="398"/>
        <v/>
      </c>
      <c r="AB985" s="134" t="str">
        <f>IF(AA985="","",IFERROR((RANK(AA985,$AA$2:$AA$2028,1)+COUNTIF($AA$2:AA985,AA985))-1,""))</f>
        <v/>
      </c>
      <c r="AC985" s="134" t="str">
        <f t="shared" si="399"/>
        <v/>
      </c>
      <c r="AD985" s="134" t="str">
        <f>IF(AC985="","",IFERROR((RANK(AC985,$AC$2:$AC$2028,1)+COUNTIF($AC$2:AC985,AC985))-1,""))</f>
        <v/>
      </c>
      <c r="AE985" s="144" t="str">
        <f t="shared" si="403"/>
        <v/>
      </c>
      <c r="AF985" s="144" t="str">
        <f>IF(AE985="","",SUM($AE$2:AE985))</f>
        <v/>
      </c>
    </row>
    <row r="986" spans="14:32" x14ac:dyDescent="0.35">
      <c r="N986" s="134" t="str">
        <f t="shared" si="401"/>
        <v/>
      </c>
      <c r="O986" s="82" t="str">
        <f t="shared" si="392"/>
        <v/>
      </c>
      <c r="P986" s="81" t="str">
        <f t="shared" si="402"/>
        <v/>
      </c>
      <c r="Q986" s="81" t="str">
        <f t="shared" si="393"/>
        <v/>
      </c>
      <c r="R986" s="135" t="str">
        <f t="shared" ca="1" si="394"/>
        <v/>
      </c>
      <c r="S986" s="134" t="str">
        <f t="shared" ca="1" si="395"/>
        <v/>
      </c>
      <c r="T986" s="134" t="str">
        <f ca="1">IF(S986=Dashboard!$D$12,S986,"")</f>
        <v/>
      </c>
      <c r="U986" s="134" t="str">
        <f t="shared" ca="1" si="396"/>
        <v/>
      </c>
      <c r="V986" s="83" t="str">
        <f ca="1">IF(U986="","",IFERROR((RANK(U986,$U$2:$U$2028,1)+COUNTIF($U$2:U986,U986))-1,""))</f>
        <v/>
      </c>
      <c r="W986" s="134" t="str">
        <f t="shared" si="400"/>
        <v/>
      </c>
      <c r="X986" s="134" t="str">
        <f>IF(W986="","",IFERROR((RANK(W986,$W$2:$W$2028,1)+COUNTIF($W$2:W986,W986))-1,""))</f>
        <v/>
      </c>
      <c r="Y986" s="134" t="str">
        <f t="shared" si="397"/>
        <v/>
      </c>
      <c r="Z986" s="134" t="str">
        <f>IF(Y986="","",IFERROR((RANK(Y986,$Y$2:$Y$2028,1)+COUNTIF($Y$2:Y986,Y986))-1,""))</f>
        <v/>
      </c>
      <c r="AA986" s="134" t="str">
        <f t="shared" si="398"/>
        <v/>
      </c>
      <c r="AB986" s="134" t="str">
        <f>IF(AA986="","",IFERROR((RANK(AA986,$AA$2:$AA$2028,1)+COUNTIF($AA$2:AA986,AA986))-1,""))</f>
        <v/>
      </c>
      <c r="AC986" s="134" t="str">
        <f t="shared" si="399"/>
        <v/>
      </c>
      <c r="AD986" s="134" t="str">
        <f>IF(AC986="","",IFERROR((RANK(AC986,$AC$2:$AC$2028,1)+COUNTIF($AC$2:AC986,AC986))-1,""))</f>
        <v/>
      </c>
      <c r="AE986" s="144" t="str">
        <f t="shared" si="403"/>
        <v/>
      </c>
      <c r="AF986" s="144" t="str">
        <f>IF(AE986="","",SUM($AE$2:AE986))</f>
        <v/>
      </c>
    </row>
    <row r="987" spans="14:32" x14ac:dyDescent="0.35">
      <c r="N987" s="134" t="str">
        <f t="shared" si="401"/>
        <v/>
      </c>
      <c r="O987" s="82" t="str">
        <f t="shared" si="392"/>
        <v/>
      </c>
      <c r="P987" s="81" t="str">
        <f t="shared" si="402"/>
        <v/>
      </c>
      <c r="Q987" s="81" t="str">
        <f t="shared" si="393"/>
        <v/>
      </c>
      <c r="R987" s="135" t="str">
        <f t="shared" ca="1" si="394"/>
        <v/>
      </c>
      <c r="S987" s="134" t="str">
        <f t="shared" ca="1" si="395"/>
        <v/>
      </c>
      <c r="T987" s="134" t="str">
        <f ca="1">IF(S987=Dashboard!$D$12,S987,"")</f>
        <v/>
      </c>
      <c r="U987" s="134" t="str">
        <f t="shared" ca="1" si="396"/>
        <v/>
      </c>
      <c r="V987" s="83" t="str">
        <f ca="1">IF(U987="","",IFERROR((RANK(U987,$U$2:$U$2028,1)+COUNTIF($U$2:U987,U987))-1,""))</f>
        <v/>
      </c>
      <c r="W987" s="134" t="str">
        <f t="shared" si="400"/>
        <v/>
      </c>
      <c r="X987" s="134" t="str">
        <f>IF(W987="","",IFERROR((RANK(W987,$W$2:$W$2028,1)+COUNTIF($W$2:W987,W987))-1,""))</f>
        <v/>
      </c>
      <c r="Y987" s="134" t="str">
        <f t="shared" si="397"/>
        <v/>
      </c>
      <c r="Z987" s="134" t="str">
        <f>IF(Y987="","",IFERROR((RANK(Y987,$Y$2:$Y$2028,1)+COUNTIF($Y$2:Y987,Y987))-1,""))</f>
        <v/>
      </c>
      <c r="AA987" s="134" t="str">
        <f t="shared" si="398"/>
        <v/>
      </c>
      <c r="AB987" s="134" t="str">
        <f>IF(AA987="","",IFERROR((RANK(AA987,$AA$2:$AA$2028,1)+COUNTIF($AA$2:AA987,AA987))-1,""))</f>
        <v/>
      </c>
      <c r="AC987" s="134" t="str">
        <f t="shared" si="399"/>
        <v/>
      </c>
      <c r="AD987" s="134" t="str">
        <f>IF(AC987="","",IFERROR((RANK(AC987,$AC$2:$AC$2028,1)+COUNTIF($AC$2:AC987,AC987))-1,""))</f>
        <v/>
      </c>
      <c r="AE987" s="144" t="str">
        <f t="shared" si="403"/>
        <v/>
      </c>
      <c r="AF987" s="144" t="str">
        <f>IF(AE987="","",SUM($AE$2:AE987))</f>
        <v/>
      </c>
    </row>
    <row r="988" spans="14:32" x14ac:dyDescent="0.35">
      <c r="N988" s="134" t="str">
        <f t="shared" si="401"/>
        <v/>
      </c>
      <c r="O988" s="82" t="str">
        <f t="shared" si="392"/>
        <v/>
      </c>
      <c r="P988" s="81" t="str">
        <f t="shared" si="402"/>
        <v/>
      </c>
      <c r="Q988" s="81" t="str">
        <f t="shared" si="393"/>
        <v/>
      </c>
      <c r="R988" s="135" t="str">
        <f t="shared" ca="1" si="394"/>
        <v/>
      </c>
      <c r="S988" s="134" t="str">
        <f t="shared" ca="1" si="395"/>
        <v/>
      </c>
      <c r="T988" s="134" t="str">
        <f ca="1">IF(S988=Dashboard!$D$12,S988,"")</f>
        <v/>
      </c>
      <c r="U988" s="134" t="str">
        <f t="shared" ca="1" si="396"/>
        <v/>
      </c>
      <c r="V988" s="83" t="str">
        <f ca="1">IF(U988="","",IFERROR((RANK(U988,$U$2:$U$2028,1)+COUNTIF($U$2:U988,U988))-1,""))</f>
        <v/>
      </c>
      <c r="W988" s="134" t="str">
        <f t="shared" si="400"/>
        <v/>
      </c>
      <c r="X988" s="134" t="str">
        <f>IF(W988="","",IFERROR((RANK(W988,$W$2:$W$2028,1)+COUNTIF($W$2:W988,W988))-1,""))</f>
        <v/>
      </c>
      <c r="Y988" s="134" t="str">
        <f t="shared" si="397"/>
        <v/>
      </c>
      <c r="Z988" s="134" t="str">
        <f>IF(Y988="","",IFERROR((RANK(Y988,$Y$2:$Y$2028,1)+COUNTIF($Y$2:Y988,Y988))-1,""))</f>
        <v/>
      </c>
      <c r="AA988" s="134" t="str">
        <f t="shared" si="398"/>
        <v/>
      </c>
      <c r="AB988" s="134" t="str">
        <f>IF(AA988="","",IFERROR((RANK(AA988,$AA$2:$AA$2028,1)+COUNTIF($AA$2:AA988,AA988))-1,""))</f>
        <v/>
      </c>
      <c r="AC988" s="134" t="str">
        <f t="shared" si="399"/>
        <v/>
      </c>
      <c r="AD988" s="134" t="str">
        <f>IF(AC988="","",IFERROR((RANK(AC988,$AC$2:$AC$2028,1)+COUNTIF($AC$2:AC988,AC988))-1,""))</f>
        <v/>
      </c>
      <c r="AE988" s="144" t="str">
        <f t="shared" si="403"/>
        <v/>
      </c>
      <c r="AF988" s="144" t="str">
        <f>IF(AE988="","",SUM($AE$2:AE988))</f>
        <v/>
      </c>
    </row>
    <row r="989" spans="14:32" x14ac:dyDescent="0.35">
      <c r="N989" s="134" t="str">
        <f t="shared" si="401"/>
        <v/>
      </c>
      <c r="O989" s="82" t="str">
        <f t="shared" si="392"/>
        <v/>
      </c>
      <c r="P989" s="81" t="str">
        <f t="shared" si="402"/>
        <v/>
      </c>
      <c r="Q989" s="81" t="str">
        <f t="shared" si="393"/>
        <v/>
      </c>
      <c r="R989" s="135" t="str">
        <f t="shared" ca="1" si="394"/>
        <v/>
      </c>
      <c r="S989" s="134" t="str">
        <f t="shared" ca="1" si="395"/>
        <v/>
      </c>
      <c r="T989" s="134" t="str">
        <f ca="1">IF(S989=Dashboard!$D$12,S989,"")</f>
        <v/>
      </c>
      <c r="U989" s="134" t="str">
        <f t="shared" ca="1" si="396"/>
        <v/>
      </c>
      <c r="V989" s="83" t="str">
        <f ca="1">IF(U989="","",IFERROR((RANK(U989,$U$2:$U$2028,1)+COUNTIF($U$2:U989,U989))-1,""))</f>
        <v/>
      </c>
      <c r="W989" s="134" t="str">
        <f t="shared" si="400"/>
        <v/>
      </c>
      <c r="X989" s="134" t="str">
        <f>IF(W989="","",IFERROR((RANK(W989,$W$2:$W$2028,1)+COUNTIF($W$2:W989,W989))-1,""))</f>
        <v/>
      </c>
      <c r="Y989" s="134" t="str">
        <f t="shared" si="397"/>
        <v/>
      </c>
      <c r="Z989" s="134" t="str">
        <f>IF(Y989="","",IFERROR((RANK(Y989,$Y$2:$Y$2028,1)+COUNTIF($Y$2:Y989,Y989))-1,""))</f>
        <v/>
      </c>
      <c r="AA989" s="134" t="str">
        <f t="shared" si="398"/>
        <v/>
      </c>
      <c r="AB989" s="134" t="str">
        <f>IF(AA989="","",IFERROR((RANK(AA989,$AA$2:$AA$2028,1)+COUNTIF($AA$2:AA989,AA989))-1,""))</f>
        <v/>
      </c>
      <c r="AC989" s="134" t="str">
        <f t="shared" si="399"/>
        <v/>
      </c>
      <c r="AD989" s="134" t="str">
        <f>IF(AC989="","",IFERROR((RANK(AC989,$AC$2:$AC$2028,1)+COUNTIF($AC$2:AC989,AC989))-1,""))</f>
        <v/>
      </c>
      <c r="AE989" s="144" t="str">
        <f t="shared" si="403"/>
        <v/>
      </c>
      <c r="AF989" s="144" t="str">
        <f>IF(AE989="","",SUM($AE$2:AE989))</f>
        <v/>
      </c>
    </row>
    <row r="990" spans="14:32" x14ac:dyDescent="0.35">
      <c r="N990" s="134" t="str">
        <f t="shared" si="401"/>
        <v/>
      </c>
      <c r="O990" s="82" t="str">
        <f t="shared" ref="O990:O1053" si="404">IF(A990="","",N990&amp;"-"&amp;M990)</f>
        <v/>
      </c>
      <c r="P990" s="81" t="str">
        <f t="shared" si="402"/>
        <v/>
      </c>
      <c r="Q990" s="81" t="str">
        <f t="shared" ref="Q990:Q1053" si="405">IF(A990="","",IF(P990=1,M990,""))</f>
        <v/>
      </c>
      <c r="R990" s="135" t="str">
        <f t="shared" ref="R990:R1053" ca="1" si="406">IF(Q990="","",I990-TODAY())</f>
        <v/>
      </c>
      <c r="S990" s="134" t="str">
        <f t="shared" ref="S990:S1053" ca="1" si="407">IF(R990="","",
IF(R990&lt;-90,"Pass&gt;90",IF(R990&lt;-60,"Pass 61-90",IF(R990&lt;-30,"Pass 31-60",IF(R990&lt;0,"Pass 0-30",IF(R990&lt;31,"Run 0-30",IF(R990&lt;61,"Run 31-60",IF(R990&lt;91,"Run 60-90","Run &gt;90"))))))))</f>
        <v/>
      </c>
      <c r="T990" s="134" t="str">
        <f ca="1">IF(S990=Dashboard!$D$12,S990,"")</f>
        <v/>
      </c>
      <c r="U990" s="134" t="str">
        <f t="shared" ref="U990:U1053" ca="1" si="408">IF(T990="","",R990)</f>
        <v/>
      </c>
      <c r="V990" s="83" t="str">
        <f ca="1">IF(U990="","",IFERROR((RANK(U990,$U$2:$U$2028,1)+COUNTIF($U$2:U990,U990))-1,""))</f>
        <v/>
      </c>
      <c r="W990" s="134" t="str">
        <f t="shared" si="400"/>
        <v/>
      </c>
      <c r="X990" s="134" t="str">
        <f>IF(W990="","",IFERROR((RANK(W990,$W$2:$W$2028,1)+COUNTIF($W$2:W990,W990))-1,""))</f>
        <v/>
      </c>
      <c r="Y990" s="134" t="str">
        <f t="shared" ref="Y990:Y1053" si="409">IF($J990=Y$1,$U990,"")</f>
        <v/>
      </c>
      <c r="Z990" s="134" t="str">
        <f>IF(Y990="","",IFERROR((RANK(Y990,$Y$2:$Y$2028,1)+COUNTIF($Y$2:Y990,Y990))-1,""))</f>
        <v/>
      </c>
      <c r="AA990" s="134" t="str">
        <f t="shared" ref="AA990:AA1053" si="410">IF($J990=AA$1,$U990,"")</f>
        <v/>
      </c>
      <c r="AB990" s="134" t="str">
        <f>IF(AA990="","",IFERROR((RANK(AA990,$AA$2:$AA$2028,1)+COUNTIF($AA$2:AA990,AA990))-1,""))</f>
        <v/>
      </c>
      <c r="AC990" s="134" t="str">
        <f t="shared" ref="AC990:AC1053" si="411">IF($J990=AC$1,$U990,"")</f>
        <v/>
      </c>
      <c r="AD990" s="134" t="str">
        <f>IF(AC990="","",IFERROR((RANK(AC990,$AC$2:$AC$2028,1)+COUNTIF($AC$2:AC990,AC990))-1,""))</f>
        <v/>
      </c>
      <c r="AE990" s="144" t="str">
        <f t="shared" si="403"/>
        <v/>
      </c>
      <c r="AF990" s="144" t="str">
        <f>IF(AE990="","",SUM($AE$2:AE990))</f>
        <v/>
      </c>
    </row>
    <row r="991" spans="14:32" x14ac:dyDescent="0.35">
      <c r="N991" s="134" t="str">
        <f t="shared" si="401"/>
        <v/>
      </c>
      <c r="O991" s="82" t="str">
        <f t="shared" si="404"/>
        <v/>
      </c>
      <c r="P991" s="81" t="str">
        <f t="shared" si="402"/>
        <v/>
      </c>
      <c r="Q991" s="81" t="str">
        <f t="shared" si="405"/>
        <v/>
      </c>
      <c r="R991" s="135" t="str">
        <f t="shared" ca="1" si="406"/>
        <v/>
      </c>
      <c r="S991" s="134" t="str">
        <f t="shared" ca="1" si="407"/>
        <v/>
      </c>
      <c r="T991" s="134" t="str">
        <f ca="1">IF(S991=Dashboard!$D$12,S991,"")</f>
        <v/>
      </c>
      <c r="U991" s="134" t="str">
        <f t="shared" ca="1" si="408"/>
        <v/>
      </c>
      <c r="V991" s="83" t="str">
        <f ca="1">IF(U991="","",IFERROR((RANK(U991,$U$2:$U$2028,1)+COUNTIF($U$2:U991,U991))-1,""))</f>
        <v/>
      </c>
      <c r="W991" s="134" t="str">
        <f t="shared" ref="W991:W1054" si="412">IF($J991=$W$1,U991,"")</f>
        <v/>
      </c>
      <c r="X991" s="134" t="str">
        <f>IF(W991="","",IFERROR((RANK(W991,$W$2:$W$2028,1)+COUNTIF($W$2:W991,W991))-1,""))</f>
        <v/>
      </c>
      <c r="Y991" s="134" t="str">
        <f t="shared" si="409"/>
        <v/>
      </c>
      <c r="Z991" s="134" t="str">
        <f>IF(Y991="","",IFERROR((RANK(Y991,$Y$2:$Y$2028,1)+COUNTIF($Y$2:Y991,Y991))-1,""))</f>
        <v/>
      </c>
      <c r="AA991" s="134" t="str">
        <f t="shared" si="410"/>
        <v/>
      </c>
      <c r="AB991" s="134" t="str">
        <f>IF(AA991="","",IFERROR((RANK(AA991,$AA$2:$AA$2028,1)+COUNTIF($AA$2:AA991,AA991))-1,""))</f>
        <v/>
      </c>
      <c r="AC991" s="134" t="str">
        <f t="shared" si="411"/>
        <v/>
      </c>
      <c r="AD991" s="134" t="str">
        <f>IF(AC991="","",IFERROR((RANK(AC991,$AC$2:$AC$2028,1)+COUNTIF($AC$2:AC991,AC991))-1,""))</f>
        <v/>
      </c>
      <c r="AE991" s="144" t="str">
        <f t="shared" si="403"/>
        <v/>
      </c>
      <c r="AF991" s="144" t="str">
        <f>IF(AE991="","",SUM($AE$2:AE991))</f>
        <v/>
      </c>
    </row>
    <row r="992" spans="14:32" x14ac:dyDescent="0.35">
      <c r="N992" s="134" t="str">
        <f t="shared" si="401"/>
        <v/>
      </c>
      <c r="O992" s="82" t="str">
        <f t="shared" si="404"/>
        <v/>
      </c>
      <c r="P992" s="81" t="str">
        <f t="shared" si="402"/>
        <v/>
      </c>
      <c r="Q992" s="81" t="str">
        <f t="shared" si="405"/>
        <v/>
      </c>
      <c r="R992" s="135" t="str">
        <f t="shared" ca="1" si="406"/>
        <v/>
      </c>
      <c r="S992" s="134" t="str">
        <f t="shared" ca="1" si="407"/>
        <v/>
      </c>
      <c r="T992" s="134" t="str">
        <f ca="1">IF(S992=Dashboard!$D$12,S992,"")</f>
        <v/>
      </c>
      <c r="U992" s="134" t="str">
        <f t="shared" ca="1" si="408"/>
        <v/>
      </c>
      <c r="V992" s="83" t="str">
        <f ca="1">IF(U992="","",IFERROR((RANK(U992,$U$2:$U$2028,1)+COUNTIF($U$2:U992,U992))-1,""))</f>
        <v/>
      </c>
      <c r="W992" s="134" t="str">
        <f t="shared" si="412"/>
        <v/>
      </c>
      <c r="X992" s="134" t="str">
        <f>IF(W992="","",IFERROR((RANK(W992,$W$2:$W$2028,1)+COUNTIF($W$2:W992,W992))-1,""))</f>
        <v/>
      </c>
      <c r="Y992" s="134" t="str">
        <f t="shared" si="409"/>
        <v/>
      </c>
      <c r="Z992" s="134" t="str">
        <f>IF(Y992="","",IFERROR((RANK(Y992,$Y$2:$Y$2028,1)+COUNTIF($Y$2:Y992,Y992))-1,""))</f>
        <v/>
      </c>
      <c r="AA992" s="134" t="str">
        <f t="shared" si="410"/>
        <v/>
      </c>
      <c r="AB992" s="134" t="str">
        <f>IF(AA992="","",IFERROR((RANK(AA992,$AA$2:$AA$2028,1)+COUNTIF($AA$2:AA992,AA992))-1,""))</f>
        <v/>
      </c>
      <c r="AC992" s="134" t="str">
        <f t="shared" si="411"/>
        <v/>
      </c>
      <c r="AD992" s="134" t="str">
        <f>IF(AC992="","",IFERROR((RANK(AC992,$AC$2:$AC$2028,1)+COUNTIF($AC$2:AC992,AC992))-1,""))</f>
        <v/>
      </c>
      <c r="AE992" s="144" t="str">
        <f t="shared" si="403"/>
        <v/>
      </c>
      <c r="AF992" s="144" t="str">
        <f>IF(AE992="","",SUM($AE$2:AE992))</f>
        <v/>
      </c>
    </row>
    <row r="993" spans="14:32" x14ac:dyDescent="0.35">
      <c r="N993" s="134" t="str">
        <f t="shared" si="401"/>
        <v/>
      </c>
      <c r="O993" s="82" t="str">
        <f t="shared" si="404"/>
        <v/>
      </c>
      <c r="P993" s="81" t="str">
        <f t="shared" si="402"/>
        <v/>
      </c>
      <c r="Q993" s="81" t="str">
        <f t="shared" si="405"/>
        <v/>
      </c>
      <c r="R993" s="135" t="str">
        <f t="shared" ca="1" si="406"/>
        <v/>
      </c>
      <c r="S993" s="134" t="str">
        <f t="shared" ca="1" si="407"/>
        <v/>
      </c>
      <c r="T993" s="134" t="str">
        <f ca="1">IF(S993=Dashboard!$D$12,S993,"")</f>
        <v/>
      </c>
      <c r="U993" s="134" t="str">
        <f t="shared" ca="1" si="408"/>
        <v/>
      </c>
      <c r="V993" s="83" t="str">
        <f ca="1">IF(U993="","",IFERROR((RANK(U993,$U$2:$U$2028,1)+COUNTIF($U$2:U993,U993))-1,""))</f>
        <v/>
      </c>
      <c r="W993" s="134" t="str">
        <f t="shared" si="412"/>
        <v/>
      </c>
      <c r="X993" s="134" t="str">
        <f>IF(W993="","",IFERROR((RANK(W993,$W$2:$W$2028,1)+COUNTIF($W$2:W993,W993))-1,""))</f>
        <v/>
      </c>
      <c r="Y993" s="134" t="str">
        <f t="shared" si="409"/>
        <v/>
      </c>
      <c r="Z993" s="134" t="str">
        <f>IF(Y993="","",IFERROR((RANK(Y993,$Y$2:$Y$2028,1)+COUNTIF($Y$2:Y993,Y993))-1,""))</f>
        <v/>
      </c>
      <c r="AA993" s="134" t="str">
        <f t="shared" si="410"/>
        <v/>
      </c>
      <c r="AB993" s="134" t="str">
        <f>IF(AA993="","",IFERROR((RANK(AA993,$AA$2:$AA$2028,1)+COUNTIF($AA$2:AA993,AA993))-1,""))</f>
        <v/>
      </c>
      <c r="AC993" s="134" t="str">
        <f t="shared" si="411"/>
        <v/>
      </c>
      <c r="AD993" s="134" t="str">
        <f>IF(AC993="","",IFERROR((RANK(AC993,$AC$2:$AC$2028,1)+COUNTIF($AC$2:AC993,AC993))-1,""))</f>
        <v/>
      </c>
      <c r="AE993" s="144" t="str">
        <f t="shared" si="403"/>
        <v/>
      </c>
      <c r="AF993" s="144" t="str">
        <f>IF(AE993="","",SUM($AE$2:AE993))</f>
        <v/>
      </c>
    </row>
    <row r="994" spans="14:32" x14ac:dyDescent="0.35">
      <c r="N994" s="134" t="str">
        <f t="shared" si="401"/>
        <v/>
      </c>
      <c r="O994" s="82" t="str">
        <f t="shared" si="404"/>
        <v/>
      </c>
      <c r="P994" s="81" t="str">
        <f t="shared" si="402"/>
        <v/>
      </c>
      <c r="Q994" s="81" t="str">
        <f t="shared" si="405"/>
        <v/>
      </c>
      <c r="R994" s="135" t="str">
        <f t="shared" ca="1" si="406"/>
        <v/>
      </c>
      <c r="S994" s="134" t="str">
        <f t="shared" ca="1" si="407"/>
        <v/>
      </c>
      <c r="T994" s="134" t="str">
        <f ca="1">IF(S994=Dashboard!$D$12,S994,"")</f>
        <v/>
      </c>
      <c r="U994" s="134" t="str">
        <f t="shared" ca="1" si="408"/>
        <v/>
      </c>
      <c r="V994" s="83" t="str">
        <f ca="1">IF(U994="","",IFERROR((RANK(U994,$U$2:$U$2028,1)+COUNTIF($U$2:U994,U994))-1,""))</f>
        <v/>
      </c>
      <c r="W994" s="134" t="str">
        <f t="shared" si="412"/>
        <v/>
      </c>
      <c r="X994" s="134" t="str">
        <f>IF(W994="","",IFERROR((RANK(W994,$W$2:$W$2028,1)+COUNTIF($W$2:W994,W994))-1,""))</f>
        <v/>
      </c>
      <c r="Y994" s="134" t="str">
        <f t="shared" si="409"/>
        <v/>
      </c>
      <c r="Z994" s="134" t="str">
        <f>IF(Y994="","",IFERROR((RANK(Y994,$Y$2:$Y$2028,1)+COUNTIF($Y$2:Y994,Y994))-1,""))</f>
        <v/>
      </c>
      <c r="AA994" s="134" t="str">
        <f t="shared" si="410"/>
        <v/>
      </c>
      <c r="AB994" s="134" t="str">
        <f>IF(AA994="","",IFERROR((RANK(AA994,$AA$2:$AA$2028,1)+COUNTIF($AA$2:AA994,AA994))-1,""))</f>
        <v/>
      </c>
      <c r="AC994" s="134" t="str">
        <f t="shared" si="411"/>
        <v/>
      </c>
      <c r="AD994" s="134" t="str">
        <f>IF(AC994="","",IFERROR((RANK(AC994,$AC$2:$AC$2028,1)+COUNTIF($AC$2:AC994,AC994))-1,""))</f>
        <v/>
      </c>
      <c r="AE994" s="144" t="str">
        <f t="shared" si="403"/>
        <v/>
      </c>
      <c r="AF994" s="144" t="str">
        <f>IF(AE994="","",SUM($AE$2:AE994))</f>
        <v/>
      </c>
    </row>
    <row r="995" spans="14:32" x14ac:dyDescent="0.35">
      <c r="N995" s="134" t="str">
        <f t="shared" si="401"/>
        <v/>
      </c>
      <c r="O995" s="82" t="str">
        <f t="shared" si="404"/>
        <v/>
      </c>
      <c r="P995" s="81" t="str">
        <f t="shared" si="402"/>
        <v/>
      </c>
      <c r="Q995" s="81" t="str">
        <f t="shared" si="405"/>
        <v/>
      </c>
      <c r="R995" s="135" t="str">
        <f t="shared" ca="1" si="406"/>
        <v/>
      </c>
      <c r="S995" s="134" t="str">
        <f t="shared" ca="1" si="407"/>
        <v/>
      </c>
      <c r="T995" s="134" t="str">
        <f ca="1">IF(S995=Dashboard!$D$12,S995,"")</f>
        <v/>
      </c>
      <c r="U995" s="134" t="str">
        <f t="shared" ca="1" si="408"/>
        <v/>
      </c>
      <c r="V995" s="83" t="str">
        <f ca="1">IF(U995="","",IFERROR((RANK(U995,$U$2:$U$2028,1)+COUNTIF($U$2:U995,U995))-1,""))</f>
        <v/>
      </c>
      <c r="W995" s="134" t="str">
        <f t="shared" si="412"/>
        <v/>
      </c>
      <c r="X995" s="134" t="str">
        <f>IF(W995="","",IFERROR((RANK(W995,$W$2:$W$2028,1)+COUNTIF($W$2:W995,W995))-1,""))</f>
        <v/>
      </c>
      <c r="Y995" s="134" t="str">
        <f t="shared" si="409"/>
        <v/>
      </c>
      <c r="Z995" s="134" t="str">
        <f>IF(Y995="","",IFERROR((RANK(Y995,$Y$2:$Y$2028,1)+COUNTIF($Y$2:Y995,Y995))-1,""))</f>
        <v/>
      </c>
      <c r="AA995" s="134" t="str">
        <f t="shared" si="410"/>
        <v/>
      </c>
      <c r="AB995" s="134" t="str">
        <f>IF(AA995="","",IFERROR((RANK(AA995,$AA$2:$AA$2028,1)+COUNTIF($AA$2:AA995,AA995))-1,""))</f>
        <v/>
      </c>
      <c r="AC995" s="134" t="str">
        <f t="shared" si="411"/>
        <v/>
      </c>
      <c r="AD995" s="134" t="str">
        <f>IF(AC995="","",IFERROR((RANK(AC995,$AC$2:$AC$2028,1)+COUNTIF($AC$2:AC995,AC995))-1,""))</f>
        <v/>
      </c>
      <c r="AE995" s="144" t="str">
        <f t="shared" si="403"/>
        <v/>
      </c>
      <c r="AF995" s="144" t="str">
        <f>IF(AE995="","",SUM($AE$2:AE995))</f>
        <v/>
      </c>
    </row>
    <row r="996" spans="14:32" x14ac:dyDescent="0.35">
      <c r="N996" s="134" t="str">
        <f t="shared" si="401"/>
        <v/>
      </c>
      <c r="O996" s="82" t="str">
        <f t="shared" si="404"/>
        <v/>
      </c>
      <c r="P996" s="81" t="str">
        <f t="shared" si="402"/>
        <v/>
      </c>
      <c r="Q996" s="81" t="str">
        <f t="shared" si="405"/>
        <v/>
      </c>
      <c r="R996" s="135" t="str">
        <f t="shared" ca="1" si="406"/>
        <v/>
      </c>
      <c r="S996" s="134" t="str">
        <f t="shared" ca="1" si="407"/>
        <v/>
      </c>
      <c r="T996" s="134" t="str">
        <f ca="1">IF(S996=Dashboard!$D$12,S996,"")</f>
        <v/>
      </c>
      <c r="U996" s="134" t="str">
        <f t="shared" ca="1" si="408"/>
        <v/>
      </c>
      <c r="V996" s="83" t="str">
        <f ca="1">IF(U996="","",IFERROR((RANK(U996,$U$2:$U$2028,1)+COUNTIF($U$2:U996,U996))-1,""))</f>
        <v/>
      </c>
      <c r="W996" s="134" t="str">
        <f t="shared" si="412"/>
        <v/>
      </c>
      <c r="X996" s="134" t="str">
        <f>IF(W996="","",IFERROR((RANK(W996,$W$2:$W$2028,1)+COUNTIF($W$2:W996,W996))-1,""))</f>
        <v/>
      </c>
      <c r="Y996" s="134" t="str">
        <f t="shared" si="409"/>
        <v/>
      </c>
      <c r="Z996" s="134" t="str">
        <f>IF(Y996="","",IFERROR((RANK(Y996,$Y$2:$Y$2028,1)+COUNTIF($Y$2:Y996,Y996))-1,""))</f>
        <v/>
      </c>
      <c r="AA996" s="134" t="str">
        <f t="shared" si="410"/>
        <v/>
      </c>
      <c r="AB996" s="134" t="str">
        <f>IF(AA996="","",IFERROR((RANK(AA996,$AA$2:$AA$2028,1)+COUNTIF($AA$2:AA996,AA996))-1,""))</f>
        <v/>
      </c>
      <c r="AC996" s="134" t="str">
        <f t="shared" si="411"/>
        <v/>
      </c>
      <c r="AD996" s="134" t="str">
        <f>IF(AC996="","",IFERROR((RANK(AC996,$AC$2:$AC$2028,1)+COUNTIF($AC$2:AC996,AC996))-1,""))</f>
        <v/>
      </c>
      <c r="AE996" s="144" t="str">
        <f t="shared" si="403"/>
        <v/>
      </c>
      <c r="AF996" s="144" t="str">
        <f>IF(AE996="","",SUM($AE$2:AE996))</f>
        <v/>
      </c>
    </row>
    <row r="997" spans="14:32" x14ac:dyDescent="0.35">
      <c r="N997" s="134" t="str">
        <f t="shared" si="401"/>
        <v/>
      </c>
      <c r="O997" s="82" t="str">
        <f t="shared" si="404"/>
        <v/>
      </c>
      <c r="P997" s="81" t="str">
        <f t="shared" si="402"/>
        <v/>
      </c>
      <c r="Q997" s="81" t="str">
        <f t="shared" si="405"/>
        <v/>
      </c>
      <c r="R997" s="135" t="str">
        <f t="shared" ca="1" si="406"/>
        <v/>
      </c>
      <c r="S997" s="134" t="str">
        <f t="shared" ca="1" si="407"/>
        <v/>
      </c>
      <c r="T997" s="134" t="str">
        <f ca="1">IF(S997=Dashboard!$D$12,S997,"")</f>
        <v/>
      </c>
      <c r="U997" s="134" t="str">
        <f t="shared" ca="1" si="408"/>
        <v/>
      </c>
      <c r="V997" s="83" t="str">
        <f ca="1">IF(U997="","",IFERROR((RANK(U997,$U$2:$U$2028,1)+COUNTIF($U$2:U997,U997))-1,""))</f>
        <v/>
      </c>
      <c r="W997" s="134" t="str">
        <f t="shared" si="412"/>
        <v/>
      </c>
      <c r="X997" s="134" t="str">
        <f>IF(W997="","",IFERROR((RANK(W997,$W$2:$W$2028,1)+COUNTIF($W$2:W997,W997))-1,""))</f>
        <v/>
      </c>
      <c r="Y997" s="134" t="str">
        <f t="shared" si="409"/>
        <v/>
      </c>
      <c r="Z997" s="134" t="str">
        <f>IF(Y997="","",IFERROR((RANK(Y997,$Y$2:$Y$2028,1)+COUNTIF($Y$2:Y997,Y997))-1,""))</f>
        <v/>
      </c>
      <c r="AA997" s="134" t="str">
        <f t="shared" si="410"/>
        <v/>
      </c>
      <c r="AB997" s="134" t="str">
        <f>IF(AA997="","",IFERROR((RANK(AA997,$AA$2:$AA$2028,1)+COUNTIF($AA$2:AA997,AA997))-1,""))</f>
        <v/>
      </c>
      <c r="AC997" s="134" t="str">
        <f t="shared" si="411"/>
        <v/>
      </c>
      <c r="AD997" s="134" t="str">
        <f>IF(AC997="","",IFERROR((RANK(AC997,$AC$2:$AC$2028,1)+COUNTIF($AC$2:AC997,AC997))-1,""))</f>
        <v/>
      </c>
      <c r="AE997" s="144" t="str">
        <f t="shared" si="403"/>
        <v/>
      </c>
      <c r="AF997" s="144" t="str">
        <f>IF(AE997="","",SUM($AE$2:AE997))</f>
        <v/>
      </c>
    </row>
    <row r="998" spans="14:32" x14ac:dyDescent="0.35">
      <c r="N998" s="134" t="str">
        <f t="shared" si="401"/>
        <v/>
      </c>
      <c r="O998" s="82" t="str">
        <f t="shared" si="404"/>
        <v/>
      </c>
      <c r="P998" s="81" t="str">
        <f t="shared" si="402"/>
        <v/>
      </c>
      <c r="Q998" s="81" t="str">
        <f t="shared" si="405"/>
        <v/>
      </c>
      <c r="R998" s="135" t="str">
        <f t="shared" ca="1" si="406"/>
        <v/>
      </c>
      <c r="S998" s="134" t="str">
        <f t="shared" ca="1" si="407"/>
        <v/>
      </c>
      <c r="T998" s="134" t="str">
        <f ca="1">IF(S998=Dashboard!$D$12,S998,"")</f>
        <v/>
      </c>
      <c r="U998" s="134" t="str">
        <f t="shared" ca="1" si="408"/>
        <v/>
      </c>
      <c r="V998" s="83" t="str">
        <f ca="1">IF(U998="","",IFERROR((RANK(U998,$U$2:$U$2028,1)+COUNTIF($U$2:U998,U998))-1,""))</f>
        <v/>
      </c>
      <c r="W998" s="134" t="str">
        <f t="shared" si="412"/>
        <v/>
      </c>
      <c r="X998" s="134" t="str">
        <f>IF(W998="","",IFERROR((RANK(W998,$W$2:$W$2028,1)+COUNTIF($W$2:W998,W998))-1,""))</f>
        <v/>
      </c>
      <c r="Y998" s="134" t="str">
        <f t="shared" si="409"/>
        <v/>
      </c>
      <c r="Z998" s="134" t="str">
        <f>IF(Y998="","",IFERROR((RANK(Y998,$Y$2:$Y$2028,1)+COUNTIF($Y$2:Y998,Y998))-1,""))</f>
        <v/>
      </c>
      <c r="AA998" s="134" t="str">
        <f t="shared" si="410"/>
        <v/>
      </c>
      <c r="AB998" s="134" t="str">
        <f>IF(AA998="","",IFERROR((RANK(AA998,$AA$2:$AA$2028,1)+COUNTIF($AA$2:AA998,AA998))-1,""))</f>
        <v/>
      </c>
      <c r="AC998" s="134" t="str">
        <f t="shared" si="411"/>
        <v/>
      </c>
      <c r="AD998" s="134" t="str">
        <f>IF(AC998="","",IFERROR((RANK(AC998,$AC$2:$AC$2028,1)+COUNTIF($AC$2:AC998,AC998))-1,""))</f>
        <v/>
      </c>
      <c r="AE998" s="144" t="str">
        <f t="shared" si="403"/>
        <v/>
      </c>
      <c r="AF998" s="144" t="str">
        <f>IF(AE998="","",SUM($AE$2:AE998))</f>
        <v/>
      </c>
    </row>
    <row r="999" spans="14:32" x14ac:dyDescent="0.35">
      <c r="N999" s="134" t="str">
        <f t="shared" si="401"/>
        <v/>
      </c>
      <c r="O999" s="82" t="str">
        <f t="shared" si="404"/>
        <v/>
      </c>
      <c r="P999" s="81" t="str">
        <f t="shared" si="402"/>
        <v/>
      </c>
      <c r="Q999" s="81" t="str">
        <f t="shared" si="405"/>
        <v/>
      </c>
      <c r="R999" s="135" t="str">
        <f t="shared" ca="1" si="406"/>
        <v/>
      </c>
      <c r="S999" s="134" t="str">
        <f t="shared" ca="1" si="407"/>
        <v/>
      </c>
      <c r="T999" s="134" t="str">
        <f ca="1">IF(S999=Dashboard!$D$12,S999,"")</f>
        <v/>
      </c>
      <c r="U999" s="134" t="str">
        <f t="shared" ca="1" si="408"/>
        <v/>
      </c>
      <c r="V999" s="83" t="str">
        <f ca="1">IF(U999="","",IFERROR((RANK(U999,$U$2:$U$2028,1)+COUNTIF($U$2:U999,U999))-1,""))</f>
        <v/>
      </c>
      <c r="W999" s="134" t="str">
        <f t="shared" si="412"/>
        <v/>
      </c>
      <c r="X999" s="134" t="str">
        <f>IF(W999="","",IFERROR((RANK(W999,$W$2:$W$2028,1)+COUNTIF($W$2:W999,W999))-1,""))</f>
        <v/>
      </c>
      <c r="Y999" s="134" t="str">
        <f t="shared" si="409"/>
        <v/>
      </c>
      <c r="Z999" s="134" t="str">
        <f>IF(Y999="","",IFERROR((RANK(Y999,$Y$2:$Y$2028,1)+COUNTIF($Y$2:Y999,Y999))-1,""))</f>
        <v/>
      </c>
      <c r="AA999" s="134" t="str">
        <f t="shared" si="410"/>
        <v/>
      </c>
      <c r="AB999" s="134" t="str">
        <f>IF(AA999="","",IFERROR((RANK(AA999,$AA$2:$AA$2028,1)+COUNTIF($AA$2:AA999,AA999))-1,""))</f>
        <v/>
      </c>
      <c r="AC999" s="134" t="str">
        <f t="shared" si="411"/>
        <v/>
      </c>
      <c r="AD999" s="134" t="str">
        <f>IF(AC999="","",IFERROR((RANK(AC999,$AC$2:$AC$2028,1)+COUNTIF($AC$2:AC999,AC999))-1,""))</f>
        <v/>
      </c>
      <c r="AE999" s="144" t="str">
        <f t="shared" si="403"/>
        <v/>
      </c>
      <c r="AF999" s="144" t="str">
        <f>IF(AE999="","",SUM($AE$2:AE999))</f>
        <v/>
      </c>
    </row>
    <row r="1000" spans="14:32" x14ac:dyDescent="0.35">
      <c r="N1000" s="134" t="str">
        <f t="shared" si="401"/>
        <v/>
      </c>
      <c r="O1000" s="82" t="str">
        <f t="shared" si="404"/>
        <v/>
      </c>
      <c r="P1000" s="81" t="str">
        <f t="shared" si="402"/>
        <v/>
      </c>
      <c r="Q1000" s="81" t="str">
        <f t="shared" si="405"/>
        <v/>
      </c>
      <c r="R1000" s="135" t="str">
        <f t="shared" ca="1" si="406"/>
        <v/>
      </c>
      <c r="S1000" s="134" t="str">
        <f t="shared" ca="1" si="407"/>
        <v/>
      </c>
      <c r="T1000" s="134" t="str">
        <f ca="1">IF(S1000=Dashboard!$D$12,S1000,"")</f>
        <v/>
      </c>
      <c r="U1000" s="134" t="str">
        <f t="shared" ca="1" si="408"/>
        <v/>
      </c>
      <c r="V1000" s="83" t="str">
        <f ca="1">IF(U1000="","",IFERROR((RANK(U1000,$U$2:$U$2028,1)+COUNTIF($U$2:U1000,U1000))-1,""))</f>
        <v/>
      </c>
      <c r="W1000" s="134" t="str">
        <f t="shared" si="412"/>
        <v/>
      </c>
      <c r="X1000" s="134" t="str">
        <f>IF(W1000="","",IFERROR((RANK(W1000,$W$2:$W$2028,1)+COUNTIF($W$2:W1000,W1000))-1,""))</f>
        <v/>
      </c>
      <c r="Y1000" s="134" t="str">
        <f t="shared" si="409"/>
        <v/>
      </c>
      <c r="Z1000" s="134" t="str">
        <f>IF(Y1000="","",IFERROR((RANK(Y1000,$Y$2:$Y$2028,1)+COUNTIF($Y$2:Y1000,Y1000))-1,""))</f>
        <v/>
      </c>
      <c r="AA1000" s="134" t="str">
        <f t="shared" si="410"/>
        <v/>
      </c>
      <c r="AB1000" s="134" t="str">
        <f>IF(AA1000="","",IFERROR((RANK(AA1000,$AA$2:$AA$2028,1)+COUNTIF($AA$2:AA1000,AA1000))-1,""))</f>
        <v/>
      </c>
      <c r="AC1000" s="134" t="str">
        <f t="shared" si="411"/>
        <v/>
      </c>
      <c r="AD1000" s="134" t="str">
        <f>IF(AC1000="","",IFERROR((RANK(AC1000,$AC$2:$AC$2028,1)+COUNTIF($AC$2:AC1000,AC1000))-1,""))</f>
        <v/>
      </c>
      <c r="AE1000" s="144" t="str">
        <f t="shared" si="403"/>
        <v/>
      </c>
      <c r="AF1000" s="144" t="str">
        <f>IF(AE1000="","",SUM($AE$2:AE1000))</f>
        <v/>
      </c>
    </row>
    <row r="1001" spans="14:32" x14ac:dyDescent="0.35">
      <c r="N1001" s="134" t="str">
        <f t="shared" si="401"/>
        <v/>
      </c>
      <c r="O1001" s="82" t="str">
        <f t="shared" si="404"/>
        <v/>
      </c>
      <c r="P1001" s="81" t="str">
        <f t="shared" si="402"/>
        <v/>
      </c>
      <c r="Q1001" s="81" t="str">
        <f t="shared" si="405"/>
        <v/>
      </c>
      <c r="R1001" s="135" t="str">
        <f t="shared" ca="1" si="406"/>
        <v/>
      </c>
      <c r="S1001" s="134" t="str">
        <f t="shared" ca="1" si="407"/>
        <v/>
      </c>
      <c r="T1001" s="134" t="str">
        <f ca="1">IF(S1001=Dashboard!$D$12,S1001,"")</f>
        <v/>
      </c>
      <c r="U1001" s="134" t="str">
        <f t="shared" ca="1" si="408"/>
        <v/>
      </c>
      <c r="V1001" s="83" t="str">
        <f ca="1">IF(U1001="","",IFERROR((RANK(U1001,$U$2:$U$2028,1)+COUNTIF($U$2:U1001,U1001))-1,""))</f>
        <v/>
      </c>
      <c r="W1001" s="134" t="str">
        <f t="shared" si="412"/>
        <v/>
      </c>
      <c r="X1001" s="134" t="str">
        <f>IF(W1001="","",IFERROR((RANK(W1001,$W$2:$W$2028,1)+COUNTIF($W$2:W1001,W1001))-1,""))</f>
        <v/>
      </c>
      <c r="Y1001" s="134" t="str">
        <f t="shared" si="409"/>
        <v/>
      </c>
      <c r="Z1001" s="134" t="str">
        <f>IF(Y1001="","",IFERROR((RANK(Y1001,$Y$2:$Y$2028,1)+COUNTIF($Y$2:Y1001,Y1001))-1,""))</f>
        <v/>
      </c>
      <c r="AA1001" s="134" t="str">
        <f t="shared" si="410"/>
        <v/>
      </c>
      <c r="AB1001" s="134" t="str">
        <f>IF(AA1001="","",IFERROR((RANK(AA1001,$AA$2:$AA$2028,1)+COUNTIF($AA$2:AA1001,AA1001))-1,""))</f>
        <v/>
      </c>
      <c r="AC1001" s="134" t="str">
        <f t="shared" si="411"/>
        <v/>
      </c>
      <c r="AD1001" s="134" t="str">
        <f>IF(AC1001="","",IFERROR((RANK(AC1001,$AC$2:$AC$2028,1)+COUNTIF($AC$2:AC1001,AC1001))-1,""))</f>
        <v/>
      </c>
      <c r="AE1001" s="144" t="str">
        <f t="shared" si="403"/>
        <v/>
      </c>
      <c r="AF1001" s="144" t="str">
        <f>IF(AE1001="","",SUM($AE$2:AE1001))</f>
        <v/>
      </c>
    </row>
    <row r="1002" spans="14:32" x14ac:dyDescent="0.35">
      <c r="N1002" s="134" t="str">
        <f t="shared" si="401"/>
        <v/>
      </c>
      <c r="O1002" s="82" t="str">
        <f t="shared" si="404"/>
        <v/>
      </c>
      <c r="P1002" s="81" t="str">
        <f t="shared" si="402"/>
        <v/>
      </c>
      <c r="Q1002" s="81" t="str">
        <f t="shared" si="405"/>
        <v/>
      </c>
      <c r="R1002" s="135" t="str">
        <f t="shared" ca="1" si="406"/>
        <v/>
      </c>
      <c r="S1002" s="134" t="str">
        <f t="shared" ca="1" si="407"/>
        <v/>
      </c>
      <c r="T1002" s="134" t="str">
        <f ca="1">IF(S1002=Dashboard!$D$12,S1002,"")</f>
        <v/>
      </c>
      <c r="U1002" s="134" t="str">
        <f t="shared" ca="1" si="408"/>
        <v/>
      </c>
      <c r="V1002" s="83" t="str">
        <f ca="1">IF(U1002="","",IFERROR((RANK(U1002,$U$2:$U$2028,1)+COUNTIF($U$2:U1002,U1002))-1,""))</f>
        <v/>
      </c>
      <c r="W1002" s="134" t="str">
        <f t="shared" si="412"/>
        <v/>
      </c>
      <c r="X1002" s="134" t="str">
        <f>IF(W1002="","",IFERROR((RANK(W1002,$W$2:$W$2028,1)+COUNTIF($W$2:W1002,W1002))-1,""))</f>
        <v/>
      </c>
      <c r="Y1002" s="134" t="str">
        <f t="shared" si="409"/>
        <v/>
      </c>
      <c r="Z1002" s="134" t="str">
        <f>IF(Y1002="","",IFERROR((RANK(Y1002,$Y$2:$Y$2028,1)+COUNTIF($Y$2:Y1002,Y1002))-1,""))</f>
        <v/>
      </c>
      <c r="AA1002" s="134" t="str">
        <f t="shared" si="410"/>
        <v/>
      </c>
      <c r="AB1002" s="134" t="str">
        <f>IF(AA1002="","",IFERROR((RANK(AA1002,$AA$2:$AA$2028,1)+COUNTIF($AA$2:AA1002,AA1002))-1,""))</f>
        <v/>
      </c>
      <c r="AC1002" s="134" t="str">
        <f t="shared" si="411"/>
        <v/>
      </c>
      <c r="AD1002" s="134" t="str">
        <f>IF(AC1002="","",IFERROR((RANK(AC1002,$AC$2:$AC$2028,1)+COUNTIF($AC$2:AC1002,AC1002))-1,""))</f>
        <v/>
      </c>
      <c r="AE1002" s="144" t="str">
        <f t="shared" si="403"/>
        <v/>
      </c>
      <c r="AF1002" s="144" t="str">
        <f>IF(AE1002="","",SUM($AE$2:AE1002))</f>
        <v/>
      </c>
    </row>
    <row r="1003" spans="14:32" x14ac:dyDescent="0.35">
      <c r="N1003" s="134" t="str">
        <f t="shared" si="401"/>
        <v/>
      </c>
      <c r="O1003" s="82" t="str">
        <f t="shared" si="404"/>
        <v/>
      </c>
      <c r="P1003" s="81" t="str">
        <f t="shared" si="402"/>
        <v/>
      </c>
      <c r="Q1003" s="81" t="str">
        <f t="shared" si="405"/>
        <v/>
      </c>
      <c r="R1003" s="135" t="str">
        <f t="shared" ca="1" si="406"/>
        <v/>
      </c>
      <c r="S1003" s="134" t="str">
        <f t="shared" ca="1" si="407"/>
        <v/>
      </c>
      <c r="T1003" s="134" t="str">
        <f ca="1">IF(S1003=Dashboard!$D$12,S1003,"")</f>
        <v/>
      </c>
      <c r="U1003" s="134" t="str">
        <f t="shared" ca="1" si="408"/>
        <v/>
      </c>
      <c r="V1003" s="83" t="str">
        <f ca="1">IF(U1003="","",IFERROR((RANK(U1003,$U$2:$U$2028,1)+COUNTIF($U$2:U1003,U1003))-1,""))</f>
        <v/>
      </c>
      <c r="W1003" s="134" t="str">
        <f t="shared" si="412"/>
        <v/>
      </c>
      <c r="X1003" s="134" t="str">
        <f>IF(W1003="","",IFERROR((RANK(W1003,$W$2:$W$2028,1)+COUNTIF($W$2:W1003,W1003))-1,""))</f>
        <v/>
      </c>
      <c r="Y1003" s="134" t="str">
        <f t="shared" si="409"/>
        <v/>
      </c>
      <c r="Z1003" s="134" t="str">
        <f>IF(Y1003="","",IFERROR((RANK(Y1003,$Y$2:$Y$2028,1)+COUNTIF($Y$2:Y1003,Y1003))-1,""))</f>
        <v/>
      </c>
      <c r="AA1003" s="134" t="str">
        <f t="shared" si="410"/>
        <v/>
      </c>
      <c r="AB1003" s="134" t="str">
        <f>IF(AA1003="","",IFERROR((RANK(AA1003,$AA$2:$AA$2028,1)+COUNTIF($AA$2:AA1003,AA1003))-1,""))</f>
        <v/>
      </c>
      <c r="AC1003" s="134" t="str">
        <f t="shared" si="411"/>
        <v/>
      </c>
      <c r="AD1003" s="134" t="str">
        <f>IF(AC1003="","",IFERROR((RANK(AC1003,$AC$2:$AC$2028,1)+COUNTIF($AC$2:AC1003,AC1003))-1,""))</f>
        <v/>
      </c>
      <c r="AE1003" s="144" t="str">
        <f t="shared" si="403"/>
        <v/>
      </c>
      <c r="AF1003" s="144" t="str">
        <f>IF(AE1003="","",SUM($AE$2:AE1003))</f>
        <v/>
      </c>
    </row>
    <row r="1004" spans="14:32" x14ac:dyDescent="0.35">
      <c r="N1004" s="134" t="str">
        <f t="shared" si="401"/>
        <v/>
      </c>
      <c r="O1004" s="82" t="str">
        <f t="shared" si="404"/>
        <v/>
      </c>
      <c r="P1004" s="81" t="str">
        <f t="shared" si="402"/>
        <v/>
      </c>
      <c r="Q1004" s="81" t="str">
        <f t="shared" si="405"/>
        <v/>
      </c>
      <c r="R1004" s="135" t="str">
        <f t="shared" ca="1" si="406"/>
        <v/>
      </c>
      <c r="S1004" s="134" t="str">
        <f t="shared" ca="1" si="407"/>
        <v/>
      </c>
      <c r="T1004" s="134" t="str">
        <f ca="1">IF(S1004=Dashboard!$D$12,S1004,"")</f>
        <v/>
      </c>
      <c r="U1004" s="134" t="str">
        <f t="shared" ca="1" si="408"/>
        <v/>
      </c>
      <c r="V1004" s="83" t="str">
        <f ca="1">IF(U1004="","",IFERROR((RANK(U1004,$U$2:$U$2028,1)+COUNTIF($U$2:U1004,U1004))-1,""))</f>
        <v/>
      </c>
      <c r="W1004" s="134" t="str">
        <f t="shared" si="412"/>
        <v/>
      </c>
      <c r="X1004" s="134" t="str">
        <f>IF(W1004="","",IFERROR((RANK(W1004,$W$2:$W$2028,1)+COUNTIF($W$2:W1004,W1004))-1,""))</f>
        <v/>
      </c>
      <c r="Y1004" s="134" t="str">
        <f t="shared" si="409"/>
        <v/>
      </c>
      <c r="Z1004" s="134" t="str">
        <f>IF(Y1004="","",IFERROR((RANK(Y1004,$Y$2:$Y$2028,1)+COUNTIF($Y$2:Y1004,Y1004))-1,""))</f>
        <v/>
      </c>
      <c r="AA1004" s="134" t="str">
        <f t="shared" si="410"/>
        <v/>
      </c>
      <c r="AB1004" s="134" t="str">
        <f>IF(AA1004="","",IFERROR((RANK(AA1004,$AA$2:$AA$2028,1)+COUNTIF($AA$2:AA1004,AA1004))-1,""))</f>
        <v/>
      </c>
      <c r="AC1004" s="134" t="str">
        <f t="shared" si="411"/>
        <v/>
      </c>
      <c r="AD1004" s="134" t="str">
        <f>IF(AC1004="","",IFERROR((RANK(AC1004,$AC$2:$AC$2028,1)+COUNTIF($AC$2:AC1004,AC1004))-1,""))</f>
        <v/>
      </c>
      <c r="AE1004" s="144" t="str">
        <f t="shared" si="403"/>
        <v/>
      </c>
      <c r="AF1004" s="144" t="str">
        <f>IF(AE1004="","",SUM($AE$2:AE1004))</f>
        <v/>
      </c>
    </row>
    <row r="1005" spans="14:32" x14ac:dyDescent="0.35">
      <c r="N1005" s="134" t="str">
        <f t="shared" si="401"/>
        <v/>
      </c>
      <c r="O1005" s="82" t="str">
        <f t="shared" si="404"/>
        <v/>
      </c>
      <c r="P1005" s="81" t="str">
        <f t="shared" si="402"/>
        <v/>
      </c>
      <c r="Q1005" s="81" t="str">
        <f t="shared" si="405"/>
        <v/>
      </c>
      <c r="R1005" s="135" t="str">
        <f t="shared" ca="1" si="406"/>
        <v/>
      </c>
      <c r="S1005" s="134" t="str">
        <f t="shared" ca="1" si="407"/>
        <v/>
      </c>
      <c r="T1005" s="134" t="str">
        <f ca="1">IF(S1005=Dashboard!$D$12,S1005,"")</f>
        <v/>
      </c>
      <c r="U1005" s="134" t="str">
        <f t="shared" ca="1" si="408"/>
        <v/>
      </c>
      <c r="V1005" s="83" t="str">
        <f ca="1">IF(U1005="","",IFERROR((RANK(U1005,$U$2:$U$2028,1)+COUNTIF($U$2:U1005,U1005))-1,""))</f>
        <v/>
      </c>
      <c r="W1005" s="134" t="str">
        <f t="shared" si="412"/>
        <v/>
      </c>
      <c r="X1005" s="134" t="str">
        <f>IF(W1005="","",IFERROR((RANK(W1005,$W$2:$W$2028,1)+COUNTIF($W$2:W1005,W1005))-1,""))</f>
        <v/>
      </c>
      <c r="Y1005" s="134" t="str">
        <f t="shared" si="409"/>
        <v/>
      </c>
      <c r="Z1005" s="134" t="str">
        <f>IF(Y1005="","",IFERROR((RANK(Y1005,$Y$2:$Y$2028,1)+COUNTIF($Y$2:Y1005,Y1005))-1,""))</f>
        <v/>
      </c>
      <c r="AA1005" s="134" t="str">
        <f t="shared" si="410"/>
        <v/>
      </c>
      <c r="AB1005" s="134" t="str">
        <f>IF(AA1005="","",IFERROR((RANK(AA1005,$AA$2:$AA$2028,1)+COUNTIF($AA$2:AA1005,AA1005))-1,""))</f>
        <v/>
      </c>
      <c r="AC1005" s="134" t="str">
        <f t="shared" si="411"/>
        <v/>
      </c>
      <c r="AD1005" s="134" t="str">
        <f>IF(AC1005="","",IFERROR((RANK(AC1005,$AC$2:$AC$2028,1)+COUNTIF($AC$2:AC1005,AC1005))-1,""))</f>
        <v/>
      </c>
      <c r="AE1005" s="144" t="str">
        <f t="shared" si="403"/>
        <v/>
      </c>
      <c r="AF1005" s="144" t="str">
        <f>IF(AE1005="","",SUM($AE$2:AE1005))</f>
        <v/>
      </c>
    </row>
    <row r="1006" spans="14:32" x14ac:dyDescent="0.35">
      <c r="N1006" s="134" t="str">
        <f t="shared" si="401"/>
        <v/>
      </c>
      <c r="O1006" s="82" t="str">
        <f t="shared" si="404"/>
        <v/>
      </c>
      <c r="P1006" s="81" t="str">
        <f t="shared" si="402"/>
        <v/>
      </c>
      <c r="Q1006" s="81" t="str">
        <f t="shared" si="405"/>
        <v/>
      </c>
      <c r="R1006" s="135" t="str">
        <f t="shared" ca="1" si="406"/>
        <v/>
      </c>
      <c r="S1006" s="134" t="str">
        <f t="shared" ca="1" si="407"/>
        <v/>
      </c>
      <c r="T1006" s="134" t="str">
        <f ca="1">IF(S1006=Dashboard!$D$12,S1006,"")</f>
        <v/>
      </c>
      <c r="U1006" s="134" t="str">
        <f t="shared" ca="1" si="408"/>
        <v/>
      </c>
      <c r="V1006" s="83" t="str">
        <f ca="1">IF(U1006="","",IFERROR((RANK(U1006,$U$2:$U$2028,1)+COUNTIF($U$2:U1006,U1006))-1,""))</f>
        <v/>
      </c>
      <c r="W1006" s="134" t="str">
        <f t="shared" si="412"/>
        <v/>
      </c>
      <c r="X1006" s="134" t="str">
        <f>IF(W1006="","",IFERROR((RANK(W1006,$W$2:$W$2028,1)+COUNTIF($W$2:W1006,W1006))-1,""))</f>
        <v/>
      </c>
      <c r="Y1006" s="134" t="str">
        <f t="shared" si="409"/>
        <v/>
      </c>
      <c r="Z1006" s="134" t="str">
        <f>IF(Y1006="","",IFERROR((RANK(Y1006,$Y$2:$Y$2028,1)+COUNTIF($Y$2:Y1006,Y1006))-1,""))</f>
        <v/>
      </c>
      <c r="AA1006" s="134" t="str">
        <f t="shared" si="410"/>
        <v/>
      </c>
      <c r="AB1006" s="134" t="str">
        <f>IF(AA1006="","",IFERROR((RANK(AA1006,$AA$2:$AA$2028,1)+COUNTIF($AA$2:AA1006,AA1006))-1,""))</f>
        <v/>
      </c>
      <c r="AC1006" s="134" t="str">
        <f t="shared" si="411"/>
        <v/>
      </c>
      <c r="AD1006" s="134" t="str">
        <f>IF(AC1006="","",IFERROR((RANK(AC1006,$AC$2:$AC$2028,1)+COUNTIF($AC$2:AC1006,AC1006))-1,""))</f>
        <v/>
      </c>
      <c r="AE1006" s="144" t="str">
        <f t="shared" si="403"/>
        <v/>
      </c>
      <c r="AF1006" s="144" t="str">
        <f>IF(AE1006="","",SUM($AE$2:AE1006))</f>
        <v/>
      </c>
    </row>
    <row r="1007" spans="14:32" x14ac:dyDescent="0.35">
      <c r="N1007" s="134" t="str">
        <f t="shared" si="401"/>
        <v/>
      </c>
      <c r="O1007" s="82" t="str">
        <f t="shared" si="404"/>
        <v/>
      </c>
      <c r="P1007" s="81" t="str">
        <f t="shared" si="402"/>
        <v/>
      </c>
      <c r="Q1007" s="81" t="str">
        <f t="shared" si="405"/>
        <v/>
      </c>
      <c r="R1007" s="135" t="str">
        <f t="shared" ca="1" si="406"/>
        <v/>
      </c>
      <c r="S1007" s="134" t="str">
        <f t="shared" ca="1" si="407"/>
        <v/>
      </c>
      <c r="T1007" s="134" t="str">
        <f ca="1">IF(S1007=Dashboard!$D$12,S1007,"")</f>
        <v/>
      </c>
      <c r="U1007" s="134" t="str">
        <f t="shared" ca="1" si="408"/>
        <v/>
      </c>
      <c r="V1007" s="83" t="str">
        <f ca="1">IF(U1007="","",IFERROR((RANK(U1007,$U$2:$U$2028,1)+COUNTIF($U$2:U1007,U1007))-1,""))</f>
        <v/>
      </c>
      <c r="W1007" s="134" t="str">
        <f t="shared" si="412"/>
        <v/>
      </c>
      <c r="X1007" s="134" t="str">
        <f>IF(W1007="","",IFERROR((RANK(W1007,$W$2:$W$2028,1)+COUNTIF($W$2:W1007,W1007))-1,""))</f>
        <v/>
      </c>
      <c r="Y1007" s="134" t="str">
        <f t="shared" si="409"/>
        <v/>
      </c>
      <c r="Z1007" s="134" t="str">
        <f>IF(Y1007="","",IFERROR((RANK(Y1007,$Y$2:$Y$2028,1)+COUNTIF($Y$2:Y1007,Y1007))-1,""))</f>
        <v/>
      </c>
      <c r="AA1007" s="134" t="str">
        <f t="shared" si="410"/>
        <v/>
      </c>
      <c r="AB1007" s="134" t="str">
        <f>IF(AA1007="","",IFERROR((RANK(AA1007,$AA$2:$AA$2028,1)+COUNTIF($AA$2:AA1007,AA1007))-1,""))</f>
        <v/>
      </c>
      <c r="AC1007" s="134" t="str">
        <f t="shared" si="411"/>
        <v/>
      </c>
      <c r="AD1007" s="134" t="str">
        <f>IF(AC1007="","",IFERROR((RANK(AC1007,$AC$2:$AC$2028,1)+COUNTIF($AC$2:AC1007,AC1007))-1,""))</f>
        <v/>
      </c>
      <c r="AE1007" s="144" t="str">
        <f t="shared" si="403"/>
        <v/>
      </c>
      <c r="AF1007" s="144" t="str">
        <f>IF(AE1007="","",SUM($AE$2:AE1007))</f>
        <v/>
      </c>
    </row>
    <row r="1008" spans="14:32" x14ac:dyDescent="0.35">
      <c r="N1008" s="134" t="str">
        <f t="shared" si="401"/>
        <v/>
      </c>
      <c r="O1008" s="82" t="str">
        <f t="shared" si="404"/>
        <v/>
      </c>
      <c r="P1008" s="81" t="str">
        <f t="shared" si="402"/>
        <v/>
      </c>
      <c r="Q1008" s="81" t="str">
        <f t="shared" si="405"/>
        <v/>
      </c>
      <c r="R1008" s="135" t="str">
        <f t="shared" ca="1" si="406"/>
        <v/>
      </c>
      <c r="S1008" s="134" t="str">
        <f t="shared" ca="1" si="407"/>
        <v/>
      </c>
      <c r="T1008" s="134" t="str">
        <f ca="1">IF(S1008=Dashboard!$D$12,S1008,"")</f>
        <v/>
      </c>
      <c r="U1008" s="134" t="str">
        <f t="shared" ca="1" si="408"/>
        <v/>
      </c>
      <c r="V1008" s="83" t="str">
        <f ca="1">IF(U1008="","",IFERROR((RANK(U1008,$U$2:$U$2028,1)+COUNTIF($U$2:U1008,U1008))-1,""))</f>
        <v/>
      </c>
      <c r="W1008" s="134" t="str">
        <f t="shared" si="412"/>
        <v/>
      </c>
      <c r="X1008" s="134" t="str">
        <f>IF(W1008="","",IFERROR((RANK(W1008,$W$2:$W$2028,1)+COUNTIF($W$2:W1008,W1008))-1,""))</f>
        <v/>
      </c>
      <c r="Y1008" s="134" t="str">
        <f t="shared" si="409"/>
        <v/>
      </c>
      <c r="Z1008" s="134" t="str">
        <f>IF(Y1008="","",IFERROR((RANK(Y1008,$Y$2:$Y$2028,1)+COUNTIF($Y$2:Y1008,Y1008))-1,""))</f>
        <v/>
      </c>
      <c r="AA1008" s="134" t="str">
        <f t="shared" si="410"/>
        <v/>
      </c>
      <c r="AB1008" s="134" t="str">
        <f>IF(AA1008="","",IFERROR((RANK(AA1008,$AA$2:$AA$2028,1)+COUNTIF($AA$2:AA1008,AA1008))-1,""))</f>
        <v/>
      </c>
      <c r="AC1008" s="134" t="str">
        <f t="shared" si="411"/>
        <v/>
      </c>
      <c r="AD1008" s="134" t="str">
        <f>IF(AC1008="","",IFERROR((RANK(AC1008,$AC$2:$AC$2028,1)+COUNTIF($AC$2:AC1008,AC1008))-1,""))</f>
        <v/>
      </c>
      <c r="AE1008" s="144" t="str">
        <f t="shared" si="403"/>
        <v/>
      </c>
      <c r="AF1008" s="144" t="str">
        <f>IF(AE1008="","",SUM($AE$2:AE1008))</f>
        <v/>
      </c>
    </row>
    <row r="1009" spans="14:32" x14ac:dyDescent="0.35">
      <c r="N1009" s="134" t="str">
        <f t="shared" si="401"/>
        <v/>
      </c>
      <c r="O1009" s="82" t="str">
        <f t="shared" si="404"/>
        <v/>
      </c>
      <c r="P1009" s="81" t="str">
        <f t="shared" si="402"/>
        <v/>
      </c>
      <c r="Q1009" s="81" t="str">
        <f t="shared" si="405"/>
        <v/>
      </c>
      <c r="R1009" s="135" t="str">
        <f t="shared" ca="1" si="406"/>
        <v/>
      </c>
      <c r="S1009" s="134" t="str">
        <f t="shared" ca="1" si="407"/>
        <v/>
      </c>
      <c r="T1009" s="134" t="str">
        <f ca="1">IF(S1009=Dashboard!$D$12,S1009,"")</f>
        <v/>
      </c>
      <c r="U1009" s="134" t="str">
        <f t="shared" ca="1" si="408"/>
        <v/>
      </c>
      <c r="V1009" s="83" t="str">
        <f ca="1">IF(U1009="","",IFERROR((RANK(U1009,$U$2:$U$2028,1)+COUNTIF($U$2:U1009,U1009))-1,""))</f>
        <v/>
      </c>
      <c r="W1009" s="134" t="str">
        <f t="shared" si="412"/>
        <v/>
      </c>
      <c r="X1009" s="134" t="str">
        <f>IF(W1009="","",IFERROR((RANK(W1009,$W$2:$W$2028,1)+COUNTIF($W$2:W1009,W1009))-1,""))</f>
        <v/>
      </c>
      <c r="Y1009" s="134" t="str">
        <f t="shared" si="409"/>
        <v/>
      </c>
      <c r="Z1009" s="134" t="str">
        <f>IF(Y1009="","",IFERROR((RANK(Y1009,$Y$2:$Y$2028,1)+COUNTIF($Y$2:Y1009,Y1009))-1,""))</f>
        <v/>
      </c>
      <c r="AA1009" s="134" t="str">
        <f t="shared" si="410"/>
        <v/>
      </c>
      <c r="AB1009" s="134" t="str">
        <f>IF(AA1009="","",IFERROR((RANK(AA1009,$AA$2:$AA$2028,1)+COUNTIF($AA$2:AA1009,AA1009))-1,""))</f>
        <v/>
      </c>
      <c r="AC1009" s="134" t="str">
        <f t="shared" si="411"/>
        <v/>
      </c>
      <c r="AD1009" s="134" t="str">
        <f>IF(AC1009="","",IFERROR((RANK(AC1009,$AC$2:$AC$2028,1)+COUNTIF($AC$2:AC1009,AC1009))-1,""))</f>
        <v/>
      </c>
      <c r="AE1009" s="144" t="str">
        <f t="shared" si="403"/>
        <v/>
      </c>
      <c r="AF1009" s="144" t="str">
        <f>IF(AE1009="","",SUM($AE$2:AE1009))</f>
        <v/>
      </c>
    </row>
    <row r="1010" spans="14:32" x14ac:dyDescent="0.35">
      <c r="N1010" s="134" t="str">
        <f t="shared" si="401"/>
        <v/>
      </c>
      <c r="O1010" s="82" t="str">
        <f t="shared" si="404"/>
        <v/>
      </c>
      <c r="P1010" s="81" t="str">
        <f t="shared" si="402"/>
        <v/>
      </c>
      <c r="Q1010" s="81" t="str">
        <f t="shared" si="405"/>
        <v/>
      </c>
      <c r="R1010" s="135" t="str">
        <f t="shared" ca="1" si="406"/>
        <v/>
      </c>
      <c r="S1010" s="134" t="str">
        <f t="shared" ca="1" si="407"/>
        <v/>
      </c>
      <c r="T1010" s="134" t="str">
        <f ca="1">IF(S1010=Dashboard!$D$12,S1010,"")</f>
        <v/>
      </c>
      <c r="U1010" s="134" t="str">
        <f t="shared" ca="1" si="408"/>
        <v/>
      </c>
      <c r="V1010" s="83" t="str">
        <f ca="1">IF(U1010="","",IFERROR((RANK(U1010,$U$2:$U$2028,1)+COUNTIF($U$2:U1010,U1010))-1,""))</f>
        <v/>
      </c>
      <c r="W1010" s="134" t="str">
        <f t="shared" si="412"/>
        <v/>
      </c>
      <c r="X1010" s="134" t="str">
        <f>IF(W1010="","",IFERROR((RANK(W1010,$W$2:$W$2028,1)+COUNTIF($W$2:W1010,W1010))-1,""))</f>
        <v/>
      </c>
      <c r="Y1010" s="134" t="str">
        <f t="shared" si="409"/>
        <v/>
      </c>
      <c r="Z1010" s="134" t="str">
        <f>IF(Y1010="","",IFERROR((RANK(Y1010,$Y$2:$Y$2028,1)+COUNTIF($Y$2:Y1010,Y1010))-1,""))</f>
        <v/>
      </c>
      <c r="AA1010" s="134" t="str">
        <f t="shared" si="410"/>
        <v/>
      </c>
      <c r="AB1010" s="134" t="str">
        <f>IF(AA1010="","",IFERROR((RANK(AA1010,$AA$2:$AA$2028,1)+COUNTIF($AA$2:AA1010,AA1010))-1,""))</f>
        <v/>
      </c>
      <c r="AC1010" s="134" t="str">
        <f t="shared" si="411"/>
        <v/>
      </c>
      <c r="AD1010" s="134" t="str">
        <f>IF(AC1010="","",IFERROR((RANK(AC1010,$AC$2:$AC$2028,1)+COUNTIF($AC$2:AC1010,AC1010))-1,""))</f>
        <v/>
      </c>
      <c r="AE1010" s="144" t="str">
        <f t="shared" si="403"/>
        <v/>
      </c>
      <c r="AF1010" s="144" t="str">
        <f>IF(AE1010="","",SUM($AE$2:AE1010))</f>
        <v/>
      </c>
    </row>
    <row r="1011" spans="14:32" x14ac:dyDescent="0.35">
      <c r="N1011" s="134" t="str">
        <f t="shared" si="401"/>
        <v/>
      </c>
      <c r="O1011" s="82" t="str">
        <f t="shared" si="404"/>
        <v/>
      </c>
      <c r="P1011" s="81" t="str">
        <f t="shared" si="402"/>
        <v/>
      </c>
      <c r="Q1011" s="81" t="str">
        <f t="shared" si="405"/>
        <v/>
      </c>
      <c r="R1011" s="135" t="str">
        <f t="shared" ca="1" si="406"/>
        <v/>
      </c>
      <c r="S1011" s="134" t="str">
        <f t="shared" ca="1" si="407"/>
        <v/>
      </c>
      <c r="T1011" s="134" t="str">
        <f ca="1">IF(S1011=Dashboard!$D$12,S1011,"")</f>
        <v/>
      </c>
      <c r="U1011" s="134" t="str">
        <f t="shared" ca="1" si="408"/>
        <v/>
      </c>
      <c r="V1011" s="83" t="str">
        <f ca="1">IF(U1011="","",IFERROR((RANK(U1011,$U$2:$U$2028,1)+COUNTIF($U$2:U1011,U1011))-1,""))</f>
        <v/>
      </c>
      <c r="W1011" s="134" t="str">
        <f t="shared" si="412"/>
        <v/>
      </c>
      <c r="X1011" s="134" t="str">
        <f>IF(W1011="","",IFERROR((RANK(W1011,$W$2:$W$2028,1)+COUNTIF($W$2:W1011,W1011))-1,""))</f>
        <v/>
      </c>
      <c r="Y1011" s="134" t="str">
        <f t="shared" si="409"/>
        <v/>
      </c>
      <c r="Z1011" s="134" t="str">
        <f>IF(Y1011="","",IFERROR((RANK(Y1011,$Y$2:$Y$2028,1)+COUNTIF($Y$2:Y1011,Y1011))-1,""))</f>
        <v/>
      </c>
      <c r="AA1011" s="134" t="str">
        <f t="shared" si="410"/>
        <v/>
      </c>
      <c r="AB1011" s="134" t="str">
        <f>IF(AA1011="","",IFERROR((RANK(AA1011,$AA$2:$AA$2028,1)+COUNTIF($AA$2:AA1011,AA1011))-1,""))</f>
        <v/>
      </c>
      <c r="AC1011" s="134" t="str">
        <f t="shared" si="411"/>
        <v/>
      </c>
      <c r="AD1011" s="134" t="str">
        <f>IF(AC1011="","",IFERROR((RANK(AC1011,$AC$2:$AC$2028,1)+COUNTIF($AC$2:AC1011,AC1011))-1,""))</f>
        <v/>
      </c>
      <c r="AE1011" s="144" t="str">
        <f t="shared" si="403"/>
        <v/>
      </c>
      <c r="AF1011" s="144" t="str">
        <f>IF(AE1011="","",SUM($AE$2:AE1011))</f>
        <v/>
      </c>
    </row>
    <row r="1012" spans="14:32" x14ac:dyDescent="0.35">
      <c r="N1012" s="134" t="str">
        <f t="shared" si="401"/>
        <v/>
      </c>
      <c r="O1012" s="82" t="str">
        <f t="shared" si="404"/>
        <v/>
      </c>
      <c r="P1012" s="81" t="str">
        <f t="shared" si="402"/>
        <v/>
      </c>
      <c r="Q1012" s="81" t="str">
        <f t="shared" si="405"/>
        <v/>
      </c>
      <c r="R1012" s="135" t="str">
        <f t="shared" ca="1" si="406"/>
        <v/>
      </c>
      <c r="S1012" s="134" t="str">
        <f t="shared" ca="1" si="407"/>
        <v/>
      </c>
      <c r="T1012" s="134" t="str">
        <f ca="1">IF(S1012=Dashboard!$D$12,S1012,"")</f>
        <v/>
      </c>
      <c r="U1012" s="134" t="str">
        <f t="shared" ca="1" si="408"/>
        <v/>
      </c>
      <c r="V1012" s="83" t="str">
        <f ca="1">IF(U1012="","",IFERROR((RANK(U1012,$U$2:$U$2028,1)+COUNTIF($U$2:U1012,U1012))-1,""))</f>
        <v/>
      </c>
      <c r="W1012" s="134" t="str">
        <f t="shared" si="412"/>
        <v/>
      </c>
      <c r="X1012" s="134" t="str">
        <f>IF(W1012="","",IFERROR((RANK(W1012,$W$2:$W$2028,1)+COUNTIF($W$2:W1012,W1012))-1,""))</f>
        <v/>
      </c>
      <c r="Y1012" s="134" t="str">
        <f t="shared" si="409"/>
        <v/>
      </c>
      <c r="Z1012" s="134" t="str">
        <f>IF(Y1012="","",IFERROR((RANK(Y1012,$Y$2:$Y$2028,1)+COUNTIF($Y$2:Y1012,Y1012))-1,""))</f>
        <v/>
      </c>
      <c r="AA1012" s="134" t="str">
        <f t="shared" si="410"/>
        <v/>
      </c>
      <c r="AB1012" s="134" t="str">
        <f>IF(AA1012="","",IFERROR((RANK(AA1012,$AA$2:$AA$2028,1)+COUNTIF($AA$2:AA1012,AA1012))-1,""))</f>
        <v/>
      </c>
      <c r="AC1012" s="134" t="str">
        <f t="shared" si="411"/>
        <v/>
      </c>
      <c r="AD1012" s="134" t="str">
        <f>IF(AC1012="","",IFERROR((RANK(AC1012,$AC$2:$AC$2028,1)+COUNTIF($AC$2:AC1012,AC1012))-1,""))</f>
        <v/>
      </c>
      <c r="AE1012" s="144" t="str">
        <f t="shared" si="403"/>
        <v/>
      </c>
      <c r="AF1012" s="144" t="str">
        <f>IF(AE1012="","",SUM($AE$2:AE1012))</f>
        <v/>
      </c>
    </row>
    <row r="1013" spans="14:32" x14ac:dyDescent="0.35">
      <c r="N1013" s="134" t="str">
        <f t="shared" si="401"/>
        <v/>
      </c>
      <c r="O1013" s="82" t="str">
        <f t="shared" si="404"/>
        <v/>
      </c>
      <c r="P1013" s="81" t="str">
        <f t="shared" si="402"/>
        <v/>
      </c>
      <c r="Q1013" s="81" t="str">
        <f t="shared" si="405"/>
        <v/>
      </c>
      <c r="R1013" s="135" t="str">
        <f t="shared" ca="1" si="406"/>
        <v/>
      </c>
      <c r="S1013" s="134" t="str">
        <f t="shared" ca="1" si="407"/>
        <v/>
      </c>
      <c r="T1013" s="134" t="str">
        <f ca="1">IF(S1013=Dashboard!$D$12,S1013,"")</f>
        <v/>
      </c>
      <c r="U1013" s="134" t="str">
        <f t="shared" ca="1" si="408"/>
        <v/>
      </c>
      <c r="V1013" s="83" t="str">
        <f ca="1">IF(U1013="","",IFERROR((RANK(U1013,$U$2:$U$2028,1)+COUNTIF($U$2:U1013,U1013))-1,""))</f>
        <v/>
      </c>
      <c r="W1013" s="134" t="str">
        <f t="shared" si="412"/>
        <v/>
      </c>
      <c r="X1013" s="134" t="str">
        <f>IF(W1013="","",IFERROR((RANK(W1013,$W$2:$W$2028,1)+COUNTIF($W$2:W1013,W1013))-1,""))</f>
        <v/>
      </c>
      <c r="Y1013" s="134" t="str">
        <f t="shared" si="409"/>
        <v/>
      </c>
      <c r="Z1013" s="134" t="str">
        <f>IF(Y1013="","",IFERROR((RANK(Y1013,$Y$2:$Y$2028,1)+COUNTIF($Y$2:Y1013,Y1013))-1,""))</f>
        <v/>
      </c>
      <c r="AA1013" s="134" t="str">
        <f t="shared" si="410"/>
        <v/>
      </c>
      <c r="AB1013" s="134" t="str">
        <f>IF(AA1013="","",IFERROR((RANK(AA1013,$AA$2:$AA$2028,1)+COUNTIF($AA$2:AA1013,AA1013))-1,""))</f>
        <v/>
      </c>
      <c r="AC1013" s="134" t="str">
        <f t="shared" si="411"/>
        <v/>
      </c>
      <c r="AD1013" s="134" t="str">
        <f>IF(AC1013="","",IFERROR((RANK(AC1013,$AC$2:$AC$2028,1)+COUNTIF($AC$2:AC1013,AC1013))-1,""))</f>
        <v/>
      </c>
      <c r="AE1013" s="144" t="str">
        <f t="shared" si="403"/>
        <v/>
      </c>
      <c r="AF1013" s="144" t="str">
        <f>IF(AE1013="","",SUM($AE$2:AE1013))</f>
        <v/>
      </c>
    </row>
    <row r="1014" spans="14:32" x14ac:dyDescent="0.35">
      <c r="N1014" s="134" t="str">
        <f t="shared" si="401"/>
        <v/>
      </c>
      <c r="O1014" s="82" t="str">
        <f t="shared" si="404"/>
        <v/>
      </c>
      <c r="P1014" s="81" t="str">
        <f t="shared" si="402"/>
        <v/>
      </c>
      <c r="Q1014" s="81" t="str">
        <f t="shared" si="405"/>
        <v/>
      </c>
      <c r="R1014" s="135" t="str">
        <f t="shared" ca="1" si="406"/>
        <v/>
      </c>
      <c r="S1014" s="134" t="str">
        <f t="shared" ca="1" si="407"/>
        <v/>
      </c>
      <c r="T1014" s="134" t="str">
        <f ca="1">IF(S1014=Dashboard!$D$12,S1014,"")</f>
        <v/>
      </c>
      <c r="U1014" s="134" t="str">
        <f t="shared" ca="1" si="408"/>
        <v/>
      </c>
      <c r="V1014" s="83" t="str">
        <f ca="1">IF(U1014="","",IFERROR((RANK(U1014,$U$2:$U$2028,1)+COUNTIF($U$2:U1014,U1014))-1,""))</f>
        <v/>
      </c>
      <c r="W1014" s="134" t="str">
        <f t="shared" si="412"/>
        <v/>
      </c>
      <c r="X1014" s="134" t="str">
        <f>IF(W1014="","",IFERROR((RANK(W1014,$W$2:$W$2028,1)+COUNTIF($W$2:W1014,W1014))-1,""))</f>
        <v/>
      </c>
      <c r="Y1014" s="134" t="str">
        <f t="shared" si="409"/>
        <v/>
      </c>
      <c r="Z1014" s="134" t="str">
        <f>IF(Y1014="","",IFERROR((RANK(Y1014,$Y$2:$Y$2028,1)+COUNTIF($Y$2:Y1014,Y1014))-1,""))</f>
        <v/>
      </c>
      <c r="AA1014" s="134" t="str">
        <f t="shared" si="410"/>
        <v/>
      </c>
      <c r="AB1014" s="134" t="str">
        <f>IF(AA1014="","",IFERROR((RANK(AA1014,$AA$2:$AA$2028,1)+COUNTIF($AA$2:AA1014,AA1014))-1,""))</f>
        <v/>
      </c>
      <c r="AC1014" s="134" t="str">
        <f t="shared" si="411"/>
        <v/>
      </c>
      <c r="AD1014" s="134" t="str">
        <f>IF(AC1014="","",IFERROR((RANK(AC1014,$AC$2:$AC$2028,1)+COUNTIF($AC$2:AC1014,AC1014))-1,""))</f>
        <v/>
      </c>
      <c r="AE1014" s="144" t="str">
        <f t="shared" si="403"/>
        <v/>
      </c>
      <c r="AF1014" s="144" t="str">
        <f>IF(AE1014="","",SUM($AE$2:AE1014))</f>
        <v/>
      </c>
    </row>
    <row r="1015" spans="14:32" x14ac:dyDescent="0.35">
      <c r="N1015" s="134" t="str">
        <f t="shared" si="401"/>
        <v/>
      </c>
      <c r="O1015" s="82" t="str">
        <f t="shared" si="404"/>
        <v/>
      </c>
      <c r="P1015" s="81" t="str">
        <f t="shared" si="402"/>
        <v/>
      </c>
      <c r="Q1015" s="81" t="str">
        <f t="shared" si="405"/>
        <v/>
      </c>
      <c r="R1015" s="135" t="str">
        <f t="shared" ca="1" si="406"/>
        <v/>
      </c>
      <c r="S1015" s="134" t="str">
        <f t="shared" ca="1" si="407"/>
        <v/>
      </c>
      <c r="T1015" s="134" t="str">
        <f ca="1">IF(S1015=Dashboard!$D$12,S1015,"")</f>
        <v/>
      </c>
      <c r="U1015" s="134" t="str">
        <f t="shared" ca="1" si="408"/>
        <v/>
      </c>
      <c r="V1015" s="83" t="str">
        <f ca="1">IF(U1015="","",IFERROR((RANK(U1015,$U$2:$U$2028,1)+COUNTIF($U$2:U1015,U1015))-1,""))</f>
        <v/>
      </c>
      <c r="W1015" s="134" t="str">
        <f t="shared" si="412"/>
        <v/>
      </c>
      <c r="X1015" s="134" t="str">
        <f>IF(W1015="","",IFERROR((RANK(W1015,$W$2:$W$2028,1)+COUNTIF($W$2:W1015,W1015))-1,""))</f>
        <v/>
      </c>
      <c r="Y1015" s="134" t="str">
        <f t="shared" si="409"/>
        <v/>
      </c>
      <c r="Z1015" s="134" t="str">
        <f>IF(Y1015="","",IFERROR((RANK(Y1015,$Y$2:$Y$2028,1)+COUNTIF($Y$2:Y1015,Y1015))-1,""))</f>
        <v/>
      </c>
      <c r="AA1015" s="134" t="str">
        <f t="shared" si="410"/>
        <v/>
      </c>
      <c r="AB1015" s="134" t="str">
        <f>IF(AA1015="","",IFERROR((RANK(AA1015,$AA$2:$AA$2028,1)+COUNTIF($AA$2:AA1015,AA1015))-1,""))</f>
        <v/>
      </c>
      <c r="AC1015" s="134" t="str">
        <f t="shared" si="411"/>
        <v/>
      </c>
      <c r="AD1015" s="134" t="str">
        <f>IF(AC1015="","",IFERROR((RANK(AC1015,$AC$2:$AC$2028,1)+COUNTIF($AC$2:AC1015,AC1015))-1,""))</f>
        <v/>
      </c>
      <c r="AE1015" s="144" t="str">
        <f t="shared" si="403"/>
        <v/>
      </c>
      <c r="AF1015" s="144" t="str">
        <f>IF(AE1015="","",SUM($AE$2:AE1015))</f>
        <v/>
      </c>
    </row>
    <row r="1016" spans="14:32" x14ac:dyDescent="0.35">
      <c r="N1016" s="134" t="str">
        <f t="shared" si="401"/>
        <v/>
      </c>
      <c r="O1016" s="82" t="str">
        <f t="shared" si="404"/>
        <v/>
      </c>
      <c r="P1016" s="81" t="str">
        <f t="shared" si="402"/>
        <v/>
      </c>
      <c r="Q1016" s="81" t="str">
        <f t="shared" si="405"/>
        <v/>
      </c>
      <c r="R1016" s="135" t="str">
        <f t="shared" ca="1" si="406"/>
        <v/>
      </c>
      <c r="S1016" s="134" t="str">
        <f t="shared" ca="1" si="407"/>
        <v/>
      </c>
      <c r="T1016" s="134" t="str">
        <f ca="1">IF(S1016=Dashboard!$D$12,S1016,"")</f>
        <v/>
      </c>
      <c r="U1016" s="134" t="str">
        <f t="shared" ca="1" si="408"/>
        <v/>
      </c>
      <c r="V1016" s="83" t="str">
        <f ca="1">IF(U1016="","",IFERROR((RANK(U1016,$U$2:$U$2028,1)+COUNTIF($U$2:U1016,U1016))-1,""))</f>
        <v/>
      </c>
      <c r="W1016" s="134" t="str">
        <f t="shared" si="412"/>
        <v/>
      </c>
      <c r="X1016" s="134" t="str">
        <f>IF(W1016="","",IFERROR((RANK(W1016,$W$2:$W$2028,1)+COUNTIF($W$2:W1016,W1016))-1,""))</f>
        <v/>
      </c>
      <c r="Y1016" s="134" t="str">
        <f t="shared" si="409"/>
        <v/>
      </c>
      <c r="Z1016" s="134" t="str">
        <f>IF(Y1016="","",IFERROR((RANK(Y1016,$Y$2:$Y$2028,1)+COUNTIF($Y$2:Y1016,Y1016))-1,""))</f>
        <v/>
      </c>
      <c r="AA1016" s="134" t="str">
        <f t="shared" si="410"/>
        <v/>
      </c>
      <c r="AB1016" s="134" t="str">
        <f>IF(AA1016="","",IFERROR((RANK(AA1016,$AA$2:$AA$2028,1)+COUNTIF($AA$2:AA1016,AA1016))-1,""))</f>
        <v/>
      </c>
      <c r="AC1016" s="134" t="str">
        <f t="shared" si="411"/>
        <v/>
      </c>
      <c r="AD1016" s="134" t="str">
        <f>IF(AC1016="","",IFERROR((RANK(AC1016,$AC$2:$AC$2028,1)+COUNTIF($AC$2:AC1016,AC1016))-1,""))</f>
        <v/>
      </c>
      <c r="AE1016" s="144" t="str">
        <f t="shared" si="403"/>
        <v/>
      </c>
      <c r="AF1016" s="144" t="str">
        <f>IF(AE1016="","",SUM($AE$2:AE1016))</f>
        <v/>
      </c>
    </row>
    <row r="1017" spans="14:32" x14ac:dyDescent="0.35">
      <c r="N1017" s="134" t="str">
        <f t="shared" si="401"/>
        <v/>
      </c>
      <c r="O1017" s="82" t="str">
        <f t="shared" si="404"/>
        <v/>
      </c>
      <c r="P1017" s="81" t="str">
        <f t="shared" si="402"/>
        <v/>
      </c>
      <c r="Q1017" s="81" t="str">
        <f t="shared" si="405"/>
        <v/>
      </c>
      <c r="R1017" s="135" t="str">
        <f t="shared" ca="1" si="406"/>
        <v/>
      </c>
      <c r="S1017" s="134" t="str">
        <f t="shared" ca="1" si="407"/>
        <v/>
      </c>
      <c r="T1017" s="134" t="str">
        <f ca="1">IF(S1017=Dashboard!$D$12,S1017,"")</f>
        <v/>
      </c>
      <c r="U1017" s="134" t="str">
        <f t="shared" ca="1" si="408"/>
        <v/>
      </c>
      <c r="V1017" s="83" t="str">
        <f ca="1">IF(U1017="","",IFERROR((RANK(U1017,$U$2:$U$2028,1)+COUNTIF($U$2:U1017,U1017))-1,""))</f>
        <v/>
      </c>
      <c r="W1017" s="134" t="str">
        <f t="shared" si="412"/>
        <v/>
      </c>
      <c r="X1017" s="134" t="str">
        <f>IF(W1017="","",IFERROR((RANK(W1017,$W$2:$W$2028,1)+COUNTIF($W$2:W1017,W1017))-1,""))</f>
        <v/>
      </c>
      <c r="Y1017" s="134" t="str">
        <f t="shared" si="409"/>
        <v/>
      </c>
      <c r="Z1017" s="134" t="str">
        <f>IF(Y1017="","",IFERROR((RANK(Y1017,$Y$2:$Y$2028,1)+COUNTIF($Y$2:Y1017,Y1017))-1,""))</f>
        <v/>
      </c>
      <c r="AA1017" s="134" t="str">
        <f t="shared" si="410"/>
        <v/>
      </c>
      <c r="AB1017" s="134" t="str">
        <f>IF(AA1017="","",IFERROR((RANK(AA1017,$AA$2:$AA$2028,1)+COUNTIF($AA$2:AA1017,AA1017))-1,""))</f>
        <v/>
      </c>
      <c r="AC1017" s="134" t="str">
        <f t="shared" si="411"/>
        <v/>
      </c>
      <c r="AD1017" s="134" t="str">
        <f>IF(AC1017="","",IFERROR((RANK(AC1017,$AC$2:$AC$2028,1)+COUNTIF($AC$2:AC1017,AC1017))-1,""))</f>
        <v/>
      </c>
      <c r="AE1017" s="144" t="str">
        <f t="shared" si="403"/>
        <v/>
      </c>
      <c r="AF1017" s="144" t="str">
        <f>IF(AE1017="","",SUM($AE$2:AE1017))</f>
        <v/>
      </c>
    </row>
    <row r="1018" spans="14:32" x14ac:dyDescent="0.35">
      <c r="N1018" s="134" t="str">
        <f t="shared" si="401"/>
        <v/>
      </c>
      <c r="O1018" s="82" t="str">
        <f t="shared" si="404"/>
        <v/>
      </c>
      <c r="P1018" s="81" t="str">
        <f t="shared" si="402"/>
        <v/>
      </c>
      <c r="Q1018" s="81" t="str">
        <f t="shared" si="405"/>
        <v/>
      </c>
      <c r="R1018" s="135" t="str">
        <f t="shared" ca="1" si="406"/>
        <v/>
      </c>
      <c r="S1018" s="134" t="str">
        <f t="shared" ca="1" si="407"/>
        <v/>
      </c>
      <c r="T1018" s="134" t="str">
        <f ca="1">IF(S1018=Dashboard!$D$12,S1018,"")</f>
        <v/>
      </c>
      <c r="U1018" s="134" t="str">
        <f t="shared" ca="1" si="408"/>
        <v/>
      </c>
      <c r="V1018" s="83" t="str">
        <f ca="1">IF(U1018="","",IFERROR((RANK(U1018,$U$2:$U$2028,1)+COUNTIF($U$2:U1018,U1018))-1,""))</f>
        <v/>
      </c>
      <c r="W1018" s="134" t="str">
        <f t="shared" si="412"/>
        <v/>
      </c>
      <c r="X1018" s="134" t="str">
        <f>IF(W1018="","",IFERROR((RANK(W1018,$W$2:$W$2028,1)+COUNTIF($W$2:W1018,W1018))-1,""))</f>
        <v/>
      </c>
      <c r="Y1018" s="134" t="str">
        <f t="shared" si="409"/>
        <v/>
      </c>
      <c r="Z1018" s="134" t="str">
        <f>IF(Y1018="","",IFERROR((RANK(Y1018,$Y$2:$Y$2028,1)+COUNTIF($Y$2:Y1018,Y1018))-1,""))</f>
        <v/>
      </c>
      <c r="AA1018" s="134" t="str">
        <f t="shared" si="410"/>
        <v/>
      </c>
      <c r="AB1018" s="134" t="str">
        <f>IF(AA1018="","",IFERROR((RANK(AA1018,$AA$2:$AA$2028,1)+COUNTIF($AA$2:AA1018,AA1018))-1,""))</f>
        <v/>
      </c>
      <c r="AC1018" s="134" t="str">
        <f t="shared" si="411"/>
        <v/>
      </c>
      <c r="AD1018" s="134" t="str">
        <f>IF(AC1018="","",IFERROR((RANK(AC1018,$AC$2:$AC$2028,1)+COUNTIF($AC$2:AC1018,AC1018))-1,""))</f>
        <v/>
      </c>
      <c r="AE1018" s="144" t="str">
        <f t="shared" si="403"/>
        <v/>
      </c>
      <c r="AF1018" s="144" t="str">
        <f>IF(AE1018="","",SUM($AE$2:AE1018))</f>
        <v/>
      </c>
    </row>
    <row r="1019" spans="14:32" x14ac:dyDescent="0.35">
      <c r="N1019" s="134" t="str">
        <f t="shared" si="401"/>
        <v/>
      </c>
      <c r="O1019" s="82" t="str">
        <f t="shared" si="404"/>
        <v/>
      </c>
      <c r="P1019" s="81" t="str">
        <f t="shared" si="402"/>
        <v/>
      </c>
      <c r="Q1019" s="81" t="str">
        <f t="shared" si="405"/>
        <v/>
      </c>
      <c r="R1019" s="135" t="str">
        <f t="shared" ca="1" si="406"/>
        <v/>
      </c>
      <c r="S1019" s="134" t="str">
        <f t="shared" ca="1" si="407"/>
        <v/>
      </c>
      <c r="T1019" s="134" t="str">
        <f ca="1">IF(S1019=Dashboard!$D$12,S1019,"")</f>
        <v/>
      </c>
      <c r="U1019" s="134" t="str">
        <f t="shared" ca="1" si="408"/>
        <v/>
      </c>
      <c r="V1019" s="83" t="str">
        <f ca="1">IF(U1019="","",IFERROR((RANK(U1019,$U$2:$U$2028,1)+COUNTIF($U$2:U1019,U1019))-1,""))</f>
        <v/>
      </c>
      <c r="W1019" s="134" t="str">
        <f t="shared" si="412"/>
        <v/>
      </c>
      <c r="X1019" s="134" t="str">
        <f>IF(W1019="","",IFERROR((RANK(W1019,$W$2:$W$2028,1)+COUNTIF($W$2:W1019,W1019))-1,""))</f>
        <v/>
      </c>
      <c r="Y1019" s="134" t="str">
        <f t="shared" si="409"/>
        <v/>
      </c>
      <c r="Z1019" s="134" t="str">
        <f>IF(Y1019="","",IFERROR((RANK(Y1019,$Y$2:$Y$2028,1)+COUNTIF($Y$2:Y1019,Y1019))-1,""))</f>
        <v/>
      </c>
      <c r="AA1019" s="134" t="str">
        <f t="shared" si="410"/>
        <v/>
      </c>
      <c r="AB1019" s="134" t="str">
        <f>IF(AA1019="","",IFERROR((RANK(AA1019,$AA$2:$AA$2028,1)+COUNTIF($AA$2:AA1019,AA1019))-1,""))</f>
        <v/>
      </c>
      <c r="AC1019" s="134" t="str">
        <f t="shared" si="411"/>
        <v/>
      </c>
      <c r="AD1019" s="134" t="str">
        <f>IF(AC1019="","",IFERROR((RANK(AC1019,$AC$2:$AC$2028,1)+COUNTIF($AC$2:AC1019,AC1019))-1,""))</f>
        <v/>
      </c>
      <c r="AE1019" s="144" t="str">
        <f t="shared" si="403"/>
        <v/>
      </c>
      <c r="AF1019" s="144" t="str">
        <f>IF(AE1019="","",SUM($AE$2:AE1019))</f>
        <v/>
      </c>
    </row>
    <row r="1020" spans="14:32" x14ac:dyDescent="0.35">
      <c r="N1020" s="134" t="str">
        <f t="shared" si="401"/>
        <v/>
      </c>
      <c r="O1020" s="82" t="str">
        <f t="shared" si="404"/>
        <v/>
      </c>
      <c r="P1020" s="81" t="str">
        <f t="shared" si="402"/>
        <v/>
      </c>
      <c r="Q1020" s="81" t="str">
        <f t="shared" si="405"/>
        <v/>
      </c>
      <c r="R1020" s="135" t="str">
        <f t="shared" ca="1" si="406"/>
        <v/>
      </c>
      <c r="S1020" s="134" t="str">
        <f t="shared" ca="1" si="407"/>
        <v/>
      </c>
      <c r="T1020" s="134" t="str">
        <f ca="1">IF(S1020=Dashboard!$D$12,S1020,"")</f>
        <v/>
      </c>
      <c r="U1020" s="134" t="str">
        <f t="shared" ca="1" si="408"/>
        <v/>
      </c>
      <c r="V1020" s="83" t="str">
        <f ca="1">IF(U1020="","",IFERROR((RANK(U1020,$U$2:$U$2028,1)+COUNTIF($U$2:U1020,U1020))-1,""))</f>
        <v/>
      </c>
      <c r="W1020" s="134" t="str">
        <f t="shared" si="412"/>
        <v/>
      </c>
      <c r="X1020" s="134" t="str">
        <f>IF(W1020="","",IFERROR((RANK(W1020,$W$2:$W$2028,1)+COUNTIF($W$2:W1020,W1020))-1,""))</f>
        <v/>
      </c>
      <c r="Y1020" s="134" t="str">
        <f t="shared" si="409"/>
        <v/>
      </c>
      <c r="Z1020" s="134" t="str">
        <f>IF(Y1020="","",IFERROR((RANK(Y1020,$Y$2:$Y$2028,1)+COUNTIF($Y$2:Y1020,Y1020))-1,""))</f>
        <v/>
      </c>
      <c r="AA1020" s="134" t="str">
        <f t="shared" si="410"/>
        <v/>
      </c>
      <c r="AB1020" s="134" t="str">
        <f>IF(AA1020="","",IFERROR((RANK(AA1020,$AA$2:$AA$2028,1)+COUNTIF($AA$2:AA1020,AA1020))-1,""))</f>
        <v/>
      </c>
      <c r="AC1020" s="134" t="str">
        <f t="shared" si="411"/>
        <v/>
      </c>
      <c r="AD1020" s="134" t="str">
        <f>IF(AC1020="","",IFERROR((RANK(AC1020,$AC$2:$AC$2028,1)+COUNTIF($AC$2:AC1020,AC1020))-1,""))</f>
        <v/>
      </c>
      <c r="AE1020" s="144" t="str">
        <f t="shared" si="403"/>
        <v/>
      </c>
      <c r="AF1020" s="144" t="str">
        <f>IF(AE1020="","",SUM($AE$2:AE1020))</f>
        <v/>
      </c>
    </row>
    <row r="1021" spans="14:32" x14ac:dyDescent="0.35">
      <c r="N1021" s="134" t="str">
        <f t="shared" si="401"/>
        <v/>
      </c>
      <c r="O1021" s="82" t="str">
        <f t="shared" si="404"/>
        <v/>
      </c>
      <c r="P1021" s="81" t="str">
        <f t="shared" si="402"/>
        <v/>
      </c>
      <c r="Q1021" s="81" t="str">
        <f t="shared" si="405"/>
        <v/>
      </c>
      <c r="R1021" s="135" t="str">
        <f t="shared" ca="1" si="406"/>
        <v/>
      </c>
      <c r="S1021" s="134" t="str">
        <f t="shared" ca="1" si="407"/>
        <v/>
      </c>
      <c r="T1021" s="134" t="str">
        <f ca="1">IF(S1021=Dashboard!$D$12,S1021,"")</f>
        <v/>
      </c>
      <c r="U1021" s="134" t="str">
        <f t="shared" ca="1" si="408"/>
        <v/>
      </c>
      <c r="V1021" s="83" t="str">
        <f ca="1">IF(U1021="","",IFERROR((RANK(U1021,$U$2:$U$2028,1)+COUNTIF($U$2:U1021,U1021))-1,""))</f>
        <v/>
      </c>
      <c r="W1021" s="134" t="str">
        <f t="shared" si="412"/>
        <v/>
      </c>
      <c r="X1021" s="134" t="str">
        <f>IF(W1021="","",IFERROR((RANK(W1021,$W$2:$W$2028,1)+COUNTIF($W$2:W1021,W1021))-1,""))</f>
        <v/>
      </c>
      <c r="Y1021" s="134" t="str">
        <f t="shared" si="409"/>
        <v/>
      </c>
      <c r="Z1021" s="134" t="str">
        <f>IF(Y1021="","",IFERROR((RANK(Y1021,$Y$2:$Y$2028,1)+COUNTIF($Y$2:Y1021,Y1021))-1,""))</f>
        <v/>
      </c>
      <c r="AA1021" s="134" t="str">
        <f t="shared" si="410"/>
        <v/>
      </c>
      <c r="AB1021" s="134" t="str">
        <f>IF(AA1021="","",IFERROR((RANK(AA1021,$AA$2:$AA$2028,1)+COUNTIF($AA$2:AA1021,AA1021))-1,""))</f>
        <v/>
      </c>
      <c r="AC1021" s="134" t="str">
        <f t="shared" si="411"/>
        <v/>
      </c>
      <c r="AD1021" s="134" t="str">
        <f>IF(AC1021="","",IFERROR((RANK(AC1021,$AC$2:$AC$2028,1)+COUNTIF($AC$2:AC1021,AC1021))-1,""))</f>
        <v/>
      </c>
      <c r="AE1021" s="144" t="str">
        <f t="shared" si="403"/>
        <v/>
      </c>
      <c r="AF1021" s="144" t="str">
        <f>IF(AE1021="","",SUM($AE$2:AE1021))</f>
        <v/>
      </c>
    </row>
    <row r="1022" spans="14:32" x14ac:dyDescent="0.35">
      <c r="N1022" s="134" t="str">
        <f t="shared" si="401"/>
        <v/>
      </c>
      <c r="O1022" s="82" t="str">
        <f t="shared" si="404"/>
        <v/>
      </c>
      <c r="P1022" s="81" t="str">
        <f t="shared" si="402"/>
        <v/>
      </c>
      <c r="Q1022" s="81" t="str">
        <f t="shared" si="405"/>
        <v/>
      </c>
      <c r="R1022" s="135" t="str">
        <f t="shared" ca="1" si="406"/>
        <v/>
      </c>
      <c r="S1022" s="134" t="str">
        <f t="shared" ca="1" si="407"/>
        <v/>
      </c>
      <c r="T1022" s="134" t="str">
        <f ca="1">IF(S1022=Dashboard!$D$12,S1022,"")</f>
        <v/>
      </c>
      <c r="U1022" s="134" t="str">
        <f t="shared" ca="1" si="408"/>
        <v/>
      </c>
      <c r="V1022" s="83" t="str">
        <f ca="1">IF(U1022="","",IFERROR((RANK(U1022,$U$2:$U$2028,1)+COUNTIF($U$2:U1022,U1022))-1,""))</f>
        <v/>
      </c>
      <c r="W1022" s="134" t="str">
        <f t="shared" si="412"/>
        <v/>
      </c>
      <c r="X1022" s="134" t="str">
        <f>IF(W1022="","",IFERROR((RANK(W1022,$W$2:$W$2028,1)+COUNTIF($W$2:W1022,W1022))-1,""))</f>
        <v/>
      </c>
      <c r="Y1022" s="134" t="str">
        <f t="shared" si="409"/>
        <v/>
      </c>
      <c r="Z1022" s="134" t="str">
        <f>IF(Y1022="","",IFERROR((RANK(Y1022,$Y$2:$Y$2028,1)+COUNTIF($Y$2:Y1022,Y1022))-1,""))</f>
        <v/>
      </c>
      <c r="AA1022" s="134" t="str">
        <f t="shared" si="410"/>
        <v/>
      </c>
      <c r="AB1022" s="134" t="str">
        <f>IF(AA1022="","",IFERROR((RANK(AA1022,$AA$2:$AA$2028,1)+COUNTIF($AA$2:AA1022,AA1022))-1,""))</f>
        <v/>
      </c>
      <c r="AC1022" s="134" t="str">
        <f t="shared" si="411"/>
        <v/>
      </c>
      <c r="AD1022" s="134" t="str">
        <f>IF(AC1022="","",IFERROR((RANK(AC1022,$AC$2:$AC$2028,1)+COUNTIF($AC$2:AC1022,AC1022))-1,""))</f>
        <v/>
      </c>
      <c r="AE1022" s="144" t="str">
        <f t="shared" si="403"/>
        <v/>
      </c>
      <c r="AF1022" s="144" t="str">
        <f>IF(AE1022="","",SUM($AE$2:AE1022))</f>
        <v/>
      </c>
    </row>
    <row r="1023" spans="14:32" x14ac:dyDescent="0.35">
      <c r="N1023" s="134" t="str">
        <f t="shared" si="401"/>
        <v/>
      </c>
      <c r="O1023" s="82" t="str">
        <f t="shared" si="404"/>
        <v/>
      </c>
      <c r="P1023" s="81" t="str">
        <f t="shared" si="402"/>
        <v/>
      </c>
      <c r="Q1023" s="81" t="str">
        <f t="shared" si="405"/>
        <v/>
      </c>
      <c r="R1023" s="135" t="str">
        <f t="shared" ca="1" si="406"/>
        <v/>
      </c>
      <c r="S1023" s="134" t="str">
        <f t="shared" ca="1" si="407"/>
        <v/>
      </c>
      <c r="T1023" s="134" t="str">
        <f ca="1">IF(S1023=Dashboard!$D$12,S1023,"")</f>
        <v/>
      </c>
      <c r="U1023" s="134" t="str">
        <f t="shared" ca="1" si="408"/>
        <v/>
      </c>
      <c r="V1023" s="83" t="str">
        <f ca="1">IF(U1023="","",IFERROR((RANK(U1023,$U$2:$U$2028,1)+COUNTIF($U$2:U1023,U1023))-1,""))</f>
        <v/>
      </c>
      <c r="W1023" s="134" t="str">
        <f t="shared" si="412"/>
        <v/>
      </c>
      <c r="X1023" s="134" t="str">
        <f>IF(W1023="","",IFERROR((RANK(W1023,$W$2:$W$2028,1)+COUNTIF($W$2:W1023,W1023))-1,""))</f>
        <v/>
      </c>
      <c r="Y1023" s="134" t="str">
        <f t="shared" si="409"/>
        <v/>
      </c>
      <c r="Z1023" s="134" t="str">
        <f>IF(Y1023="","",IFERROR((RANK(Y1023,$Y$2:$Y$2028,1)+COUNTIF($Y$2:Y1023,Y1023))-1,""))</f>
        <v/>
      </c>
      <c r="AA1023" s="134" t="str">
        <f t="shared" si="410"/>
        <v/>
      </c>
      <c r="AB1023" s="134" t="str">
        <f>IF(AA1023="","",IFERROR((RANK(AA1023,$AA$2:$AA$2028,1)+COUNTIF($AA$2:AA1023,AA1023))-1,""))</f>
        <v/>
      </c>
      <c r="AC1023" s="134" t="str">
        <f t="shared" si="411"/>
        <v/>
      </c>
      <c r="AD1023" s="134" t="str">
        <f>IF(AC1023="","",IFERROR((RANK(AC1023,$AC$2:$AC$2028,1)+COUNTIF($AC$2:AC1023,AC1023))-1,""))</f>
        <v/>
      </c>
      <c r="AE1023" s="144" t="str">
        <f t="shared" si="403"/>
        <v/>
      </c>
      <c r="AF1023" s="144" t="str">
        <f>IF(AE1023="","",SUM($AE$2:AE1023))</f>
        <v/>
      </c>
    </row>
    <row r="1024" spans="14:32" x14ac:dyDescent="0.35">
      <c r="N1024" s="134" t="str">
        <f t="shared" si="401"/>
        <v/>
      </c>
      <c r="O1024" s="82" t="str">
        <f t="shared" si="404"/>
        <v/>
      </c>
      <c r="P1024" s="81" t="str">
        <f t="shared" si="402"/>
        <v/>
      </c>
      <c r="Q1024" s="81" t="str">
        <f t="shared" si="405"/>
        <v/>
      </c>
      <c r="R1024" s="135" t="str">
        <f t="shared" ca="1" si="406"/>
        <v/>
      </c>
      <c r="S1024" s="134" t="str">
        <f t="shared" ca="1" si="407"/>
        <v/>
      </c>
      <c r="T1024" s="134" t="str">
        <f ca="1">IF(S1024=Dashboard!$D$12,S1024,"")</f>
        <v/>
      </c>
      <c r="U1024" s="134" t="str">
        <f t="shared" ca="1" si="408"/>
        <v/>
      </c>
      <c r="V1024" s="83" t="str">
        <f ca="1">IF(U1024="","",IFERROR((RANK(U1024,$U$2:$U$2028,1)+COUNTIF($U$2:U1024,U1024))-1,""))</f>
        <v/>
      </c>
      <c r="W1024" s="134" t="str">
        <f t="shared" si="412"/>
        <v/>
      </c>
      <c r="X1024" s="134" t="str">
        <f>IF(W1024="","",IFERROR((RANK(W1024,$W$2:$W$2028,1)+COUNTIF($W$2:W1024,W1024))-1,""))</f>
        <v/>
      </c>
      <c r="Y1024" s="134" t="str">
        <f t="shared" si="409"/>
        <v/>
      </c>
      <c r="Z1024" s="134" t="str">
        <f>IF(Y1024="","",IFERROR((RANK(Y1024,$Y$2:$Y$2028,1)+COUNTIF($Y$2:Y1024,Y1024))-1,""))</f>
        <v/>
      </c>
      <c r="AA1024" s="134" t="str">
        <f t="shared" si="410"/>
        <v/>
      </c>
      <c r="AB1024" s="134" t="str">
        <f>IF(AA1024="","",IFERROR((RANK(AA1024,$AA$2:$AA$2028,1)+COUNTIF($AA$2:AA1024,AA1024))-1,""))</f>
        <v/>
      </c>
      <c r="AC1024" s="134" t="str">
        <f t="shared" si="411"/>
        <v/>
      </c>
      <c r="AD1024" s="134" t="str">
        <f>IF(AC1024="","",IFERROR((RANK(AC1024,$AC$2:$AC$2028,1)+COUNTIF($AC$2:AC1024,AC1024))-1,""))</f>
        <v/>
      </c>
      <c r="AE1024" s="144" t="str">
        <f t="shared" si="403"/>
        <v/>
      </c>
      <c r="AF1024" s="144" t="str">
        <f>IF(AE1024="","",SUM($AE$2:AE1024))</f>
        <v/>
      </c>
    </row>
    <row r="1025" spans="14:32" x14ac:dyDescent="0.35">
      <c r="N1025" s="134" t="str">
        <f t="shared" si="401"/>
        <v/>
      </c>
      <c r="O1025" s="82" t="str">
        <f t="shared" si="404"/>
        <v/>
      </c>
      <c r="P1025" s="81" t="str">
        <f t="shared" si="402"/>
        <v/>
      </c>
      <c r="Q1025" s="81" t="str">
        <f t="shared" si="405"/>
        <v/>
      </c>
      <c r="R1025" s="135" t="str">
        <f t="shared" ca="1" si="406"/>
        <v/>
      </c>
      <c r="S1025" s="134" t="str">
        <f t="shared" ca="1" si="407"/>
        <v/>
      </c>
      <c r="T1025" s="134" t="str">
        <f ca="1">IF(S1025=Dashboard!$D$12,S1025,"")</f>
        <v/>
      </c>
      <c r="U1025" s="134" t="str">
        <f t="shared" ca="1" si="408"/>
        <v/>
      </c>
      <c r="V1025" s="83" t="str">
        <f ca="1">IF(U1025="","",IFERROR((RANK(U1025,$U$2:$U$2028,1)+COUNTIF($U$2:U1025,U1025))-1,""))</f>
        <v/>
      </c>
      <c r="W1025" s="134" t="str">
        <f t="shared" si="412"/>
        <v/>
      </c>
      <c r="X1025" s="134" t="str">
        <f>IF(W1025="","",IFERROR((RANK(W1025,$W$2:$W$2028,1)+COUNTIF($W$2:W1025,W1025))-1,""))</f>
        <v/>
      </c>
      <c r="Y1025" s="134" t="str">
        <f t="shared" si="409"/>
        <v/>
      </c>
      <c r="Z1025" s="134" t="str">
        <f>IF(Y1025="","",IFERROR((RANK(Y1025,$Y$2:$Y$2028,1)+COUNTIF($Y$2:Y1025,Y1025))-1,""))</f>
        <v/>
      </c>
      <c r="AA1025" s="134" t="str">
        <f t="shared" si="410"/>
        <v/>
      </c>
      <c r="AB1025" s="134" t="str">
        <f>IF(AA1025="","",IFERROR((RANK(AA1025,$AA$2:$AA$2028,1)+COUNTIF($AA$2:AA1025,AA1025))-1,""))</f>
        <v/>
      </c>
      <c r="AC1025" s="134" t="str">
        <f t="shared" si="411"/>
        <v/>
      </c>
      <c r="AD1025" s="134" t="str">
        <f>IF(AC1025="","",IFERROR((RANK(AC1025,$AC$2:$AC$2028,1)+COUNTIF($AC$2:AC1025,AC1025))-1,""))</f>
        <v/>
      </c>
      <c r="AE1025" s="144" t="str">
        <f t="shared" si="403"/>
        <v/>
      </c>
      <c r="AF1025" s="144" t="str">
        <f>IF(AE1025="","",SUM($AE$2:AE1025))</f>
        <v/>
      </c>
    </row>
    <row r="1026" spans="14:32" x14ac:dyDescent="0.35">
      <c r="N1026" s="134" t="str">
        <f t="shared" ref="N1026:N1089" si="413">IF(A1026="","",COUNTIFS(M:M,M1026,H:H,"&lt;"&amp;H1026)+1)</f>
        <v/>
      </c>
      <c r="O1026" s="82" t="str">
        <f t="shared" si="404"/>
        <v/>
      </c>
      <c r="P1026" s="81" t="str">
        <f t="shared" ref="P1026:P1089" si="414">IF(A1026="","",COUNTIFS(M:M,M1026,H:H,"&gt;"&amp;H1026)+1)</f>
        <v/>
      </c>
      <c r="Q1026" s="81" t="str">
        <f t="shared" si="405"/>
        <v/>
      </c>
      <c r="R1026" s="135" t="str">
        <f t="shared" ca="1" si="406"/>
        <v/>
      </c>
      <c r="S1026" s="134" t="str">
        <f t="shared" ca="1" si="407"/>
        <v/>
      </c>
      <c r="T1026" s="134" t="str">
        <f ca="1">IF(S1026=Dashboard!$D$12,S1026,"")</f>
        <v/>
      </c>
      <c r="U1026" s="134" t="str">
        <f t="shared" ca="1" si="408"/>
        <v/>
      </c>
      <c r="V1026" s="83" t="str">
        <f ca="1">IF(U1026="","",IFERROR((RANK(U1026,$U$2:$U$2028,1)+COUNTIF($U$2:U1026,U1026))-1,""))</f>
        <v/>
      </c>
      <c r="W1026" s="134" t="str">
        <f t="shared" si="412"/>
        <v/>
      </c>
      <c r="X1026" s="134" t="str">
        <f>IF(W1026="","",IFERROR((RANK(W1026,$W$2:$W$2028,1)+COUNTIF($W$2:W1026,W1026))-1,""))</f>
        <v/>
      </c>
      <c r="Y1026" s="134" t="str">
        <f t="shared" si="409"/>
        <v/>
      </c>
      <c r="Z1026" s="134" t="str">
        <f>IF(Y1026="","",IFERROR((RANK(Y1026,$Y$2:$Y$2028,1)+COUNTIF($Y$2:Y1026,Y1026))-1,""))</f>
        <v/>
      </c>
      <c r="AA1026" s="134" t="str">
        <f t="shared" si="410"/>
        <v/>
      </c>
      <c r="AB1026" s="134" t="str">
        <f>IF(AA1026="","",IFERROR((RANK(AA1026,$AA$2:$AA$2028,1)+COUNTIF($AA$2:AA1026,AA1026))-1,""))</f>
        <v/>
      </c>
      <c r="AC1026" s="134" t="str">
        <f t="shared" si="411"/>
        <v/>
      </c>
      <c r="AD1026" s="134" t="str">
        <f>IF(AC1026="","",IFERROR((RANK(AC1026,$AC$2:$AC$2028,1)+COUNTIF($AC$2:AC1026,AC1026))-1,""))</f>
        <v/>
      </c>
      <c r="AE1026" s="144" t="str">
        <f t="shared" si="403"/>
        <v/>
      </c>
      <c r="AF1026" s="144" t="str">
        <f>IF(AE1026="","",SUM($AE$2:AE1026))</f>
        <v/>
      </c>
    </row>
    <row r="1027" spans="14:32" x14ac:dyDescent="0.35">
      <c r="N1027" s="134" t="str">
        <f t="shared" si="413"/>
        <v/>
      </c>
      <c r="O1027" s="82" t="str">
        <f t="shared" si="404"/>
        <v/>
      </c>
      <c r="P1027" s="81" t="str">
        <f t="shared" si="414"/>
        <v/>
      </c>
      <c r="Q1027" s="81" t="str">
        <f t="shared" si="405"/>
        <v/>
      </c>
      <c r="R1027" s="135" t="str">
        <f t="shared" ca="1" si="406"/>
        <v/>
      </c>
      <c r="S1027" s="134" t="str">
        <f t="shared" ca="1" si="407"/>
        <v/>
      </c>
      <c r="T1027" s="134" t="str">
        <f ca="1">IF(S1027=Dashboard!$D$12,S1027,"")</f>
        <v/>
      </c>
      <c r="U1027" s="134" t="str">
        <f t="shared" ca="1" si="408"/>
        <v/>
      </c>
      <c r="V1027" s="83" t="str">
        <f ca="1">IF(U1027="","",IFERROR((RANK(U1027,$U$2:$U$2028,1)+COUNTIF($U$2:U1027,U1027))-1,""))</f>
        <v/>
      </c>
      <c r="W1027" s="134" t="str">
        <f t="shared" si="412"/>
        <v/>
      </c>
      <c r="X1027" s="134" t="str">
        <f>IF(W1027="","",IFERROR((RANK(W1027,$W$2:$W$2028,1)+COUNTIF($W$2:W1027,W1027))-1,""))</f>
        <v/>
      </c>
      <c r="Y1027" s="134" t="str">
        <f t="shared" si="409"/>
        <v/>
      </c>
      <c r="Z1027" s="134" t="str">
        <f>IF(Y1027="","",IFERROR((RANK(Y1027,$Y$2:$Y$2028,1)+COUNTIF($Y$2:Y1027,Y1027))-1,""))</f>
        <v/>
      </c>
      <c r="AA1027" s="134" t="str">
        <f t="shared" si="410"/>
        <v/>
      </c>
      <c r="AB1027" s="134" t="str">
        <f>IF(AA1027="","",IFERROR((RANK(AA1027,$AA$2:$AA$2028,1)+COUNTIF($AA$2:AA1027,AA1027))-1,""))</f>
        <v/>
      </c>
      <c r="AC1027" s="134" t="str">
        <f t="shared" si="411"/>
        <v/>
      </c>
      <c r="AD1027" s="134" t="str">
        <f>IF(AC1027="","",IFERROR((RANK(AC1027,$AC$2:$AC$2028,1)+COUNTIF($AC$2:AC1027,AC1027))-1,""))</f>
        <v/>
      </c>
      <c r="AE1027" s="144" t="str">
        <f t="shared" si="403"/>
        <v/>
      </c>
      <c r="AF1027" s="144" t="str">
        <f>IF(AE1027="","",SUM($AE$2:AE1027))</f>
        <v/>
      </c>
    </row>
    <row r="1028" spans="14:32" x14ac:dyDescent="0.35">
      <c r="N1028" s="134" t="str">
        <f t="shared" si="413"/>
        <v/>
      </c>
      <c r="O1028" s="82" t="str">
        <f t="shared" si="404"/>
        <v/>
      </c>
      <c r="P1028" s="81" t="str">
        <f t="shared" si="414"/>
        <v/>
      </c>
      <c r="Q1028" s="81" t="str">
        <f t="shared" si="405"/>
        <v/>
      </c>
      <c r="R1028" s="135" t="str">
        <f t="shared" ca="1" si="406"/>
        <v/>
      </c>
      <c r="S1028" s="134" t="str">
        <f t="shared" ca="1" si="407"/>
        <v/>
      </c>
      <c r="T1028" s="134" t="str">
        <f ca="1">IF(S1028=Dashboard!$D$12,S1028,"")</f>
        <v/>
      </c>
      <c r="U1028" s="134" t="str">
        <f t="shared" ca="1" si="408"/>
        <v/>
      </c>
      <c r="V1028" s="83" t="str">
        <f ca="1">IF(U1028="","",IFERROR((RANK(U1028,$U$2:$U$2028,1)+COUNTIF($U$2:U1028,U1028))-1,""))</f>
        <v/>
      </c>
      <c r="W1028" s="134" t="str">
        <f t="shared" si="412"/>
        <v/>
      </c>
      <c r="X1028" s="134" t="str">
        <f>IF(W1028="","",IFERROR((RANK(W1028,$W$2:$W$2028,1)+COUNTIF($W$2:W1028,W1028))-1,""))</f>
        <v/>
      </c>
      <c r="Y1028" s="134" t="str">
        <f t="shared" si="409"/>
        <v/>
      </c>
      <c r="Z1028" s="134" t="str">
        <f>IF(Y1028="","",IFERROR((RANK(Y1028,$Y$2:$Y$2028,1)+COUNTIF($Y$2:Y1028,Y1028))-1,""))</f>
        <v/>
      </c>
      <c r="AA1028" s="134" t="str">
        <f t="shared" si="410"/>
        <v/>
      </c>
      <c r="AB1028" s="134" t="str">
        <f>IF(AA1028="","",IFERROR((RANK(AA1028,$AA$2:$AA$2028,1)+COUNTIF($AA$2:AA1028,AA1028))-1,""))</f>
        <v/>
      </c>
      <c r="AC1028" s="134" t="str">
        <f t="shared" si="411"/>
        <v/>
      </c>
      <c r="AD1028" s="134" t="str">
        <f>IF(AC1028="","",IFERROR((RANK(AC1028,$AC$2:$AC$2028,1)+COUNTIF($AC$2:AC1028,AC1028))-1,""))</f>
        <v/>
      </c>
      <c r="AE1028" s="144" t="str">
        <f t="shared" si="403"/>
        <v/>
      </c>
      <c r="AF1028" s="144" t="str">
        <f>IF(AE1028="","",SUM($AE$2:AE1028))</f>
        <v/>
      </c>
    </row>
    <row r="1029" spans="14:32" x14ac:dyDescent="0.35">
      <c r="N1029" s="134" t="str">
        <f t="shared" si="413"/>
        <v/>
      </c>
      <c r="O1029" s="82" t="str">
        <f t="shared" si="404"/>
        <v/>
      </c>
      <c r="P1029" s="81" t="str">
        <f t="shared" si="414"/>
        <v/>
      </c>
      <c r="Q1029" s="81" t="str">
        <f t="shared" si="405"/>
        <v/>
      </c>
      <c r="R1029" s="135" t="str">
        <f t="shared" ca="1" si="406"/>
        <v/>
      </c>
      <c r="S1029" s="134" t="str">
        <f t="shared" ca="1" si="407"/>
        <v/>
      </c>
      <c r="T1029" s="134" t="str">
        <f ca="1">IF(S1029=Dashboard!$D$12,S1029,"")</f>
        <v/>
      </c>
      <c r="U1029" s="134" t="str">
        <f t="shared" ca="1" si="408"/>
        <v/>
      </c>
      <c r="V1029" s="83" t="str">
        <f ca="1">IF(U1029="","",IFERROR((RANK(U1029,$U$2:$U$2028,1)+COUNTIF($U$2:U1029,U1029))-1,""))</f>
        <v/>
      </c>
      <c r="W1029" s="134" t="str">
        <f t="shared" si="412"/>
        <v/>
      </c>
      <c r="X1029" s="134" t="str">
        <f>IF(W1029="","",IFERROR((RANK(W1029,$W$2:$W$2028,1)+COUNTIF($W$2:W1029,W1029))-1,""))</f>
        <v/>
      </c>
      <c r="Y1029" s="134" t="str">
        <f t="shared" si="409"/>
        <v/>
      </c>
      <c r="Z1029" s="134" t="str">
        <f>IF(Y1029="","",IFERROR((RANK(Y1029,$Y$2:$Y$2028,1)+COUNTIF($Y$2:Y1029,Y1029))-1,""))</f>
        <v/>
      </c>
      <c r="AA1029" s="134" t="str">
        <f t="shared" si="410"/>
        <v/>
      </c>
      <c r="AB1029" s="134" t="str">
        <f>IF(AA1029="","",IFERROR((RANK(AA1029,$AA$2:$AA$2028,1)+COUNTIF($AA$2:AA1029,AA1029))-1,""))</f>
        <v/>
      </c>
      <c r="AC1029" s="134" t="str">
        <f t="shared" si="411"/>
        <v/>
      </c>
      <c r="AD1029" s="134" t="str">
        <f>IF(AC1029="","",IFERROR((RANK(AC1029,$AC$2:$AC$2028,1)+COUNTIF($AC$2:AC1029,AC1029))-1,""))</f>
        <v/>
      </c>
      <c r="AE1029" s="144" t="str">
        <f t="shared" si="403"/>
        <v/>
      </c>
      <c r="AF1029" s="144" t="str">
        <f>IF(AE1029="","",SUM($AE$2:AE1029))</f>
        <v/>
      </c>
    </row>
    <row r="1030" spans="14:32" x14ac:dyDescent="0.35">
      <c r="N1030" s="134" t="str">
        <f t="shared" si="413"/>
        <v/>
      </c>
      <c r="O1030" s="82" t="str">
        <f t="shared" si="404"/>
        <v/>
      </c>
      <c r="P1030" s="81" t="str">
        <f t="shared" si="414"/>
        <v/>
      </c>
      <c r="Q1030" s="81" t="str">
        <f t="shared" si="405"/>
        <v/>
      </c>
      <c r="R1030" s="135" t="str">
        <f t="shared" ca="1" si="406"/>
        <v/>
      </c>
      <c r="S1030" s="134" t="str">
        <f t="shared" ca="1" si="407"/>
        <v/>
      </c>
      <c r="T1030" s="134" t="str">
        <f ca="1">IF(S1030=Dashboard!$D$12,S1030,"")</f>
        <v/>
      </c>
      <c r="U1030" s="134" t="str">
        <f t="shared" ca="1" si="408"/>
        <v/>
      </c>
      <c r="V1030" s="83" t="str">
        <f ca="1">IF(U1030="","",IFERROR((RANK(U1030,$U$2:$U$2028,1)+COUNTIF($U$2:U1030,U1030))-1,""))</f>
        <v/>
      </c>
      <c r="W1030" s="134" t="str">
        <f t="shared" si="412"/>
        <v/>
      </c>
      <c r="X1030" s="134" t="str">
        <f>IF(W1030="","",IFERROR((RANK(W1030,$W$2:$W$2028,1)+COUNTIF($W$2:W1030,W1030))-1,""))</f>
        <v/>
      </c>
      <c r="Y1030" s="134" t="str">
        <f t="shared" si="409"/>
        <v/>
      </c>
      <c r="Z1030" s="134" t="str">
        <f>IF(Y1030="","",IFERROR((RANK(Y1030,$Y$2:$Y$2028,1)+COUNTIF($Y$2:Y1030,Y1030))-1,""))</f>
        <v/>
      </c>
      <c r="AA1030" s="134" t="str">
        <f t="shared" si="410"/>
        <v/>
      </c>
      <c r="AB1030" s="134" t="str">
        <f>IF(AA1030="","",IFERROR((RANK(AA1030,$AA$2:$AA$2028,1)+COUNTIF($AA$2:AA1030,AA1030))-1,""))</f>
        <v/>
      </c>
      <c r="AC1030" s="134" t="str">
        <f t="shared" si="411"/>
        <v/>
      </c>
      <c r="AD1030" s="134" t="str">
        <f>IF(AC1030="","",IFERROR((RANK(AC1030,$AC$2:$AC$2028,1)+COUNTIF($AC$2:AC1030,AC1030))-1,""))</f>
        <v/>
      </c>
      <c r="AE1030" s="144" t="str">
        <f t="shared" si="403"/>
        <v/>
      </c>
      <c r="AF1030" s="144" t="str">
        <f>IF(AE1030="","",SUM($AE$2:AE1030))</f>
        <v/>
      </c>
    </row>
    <row r="1031" spans="14:32" x14ac:dyDescent="0.35">
      <c r="N1031" s="134" t="str">
        <f t="shared" si="413"/>
        <v/>
      </c>
      <c r="O1031" s="82" t="str">
        <f t="shared" si="404"/>
        <v/>
      </c>
      <c r="P1031" s="81" t="str">
        <f t="shared" si="414"/>
        <v/>
      </c>
      <c r="Q1031" s="81" t="str">
        <f t="shared" si="405"/>
        <v/>
      </c>
      <c r="R1031" s="135" t="str">
        <f t="shared" ca="1" si="406"/>
        <v/>
      </c>
      <c r="S1031" s="134" t="str">
        <f t="shared" ca="1" si="407"/>
        <v/>
      </c>
      <c r="T1031" s="134" t="str">
        <f ca="1">IF(S1031=Dashboard!$D$12,S1031,"")</f>
        <v/>
      </c>
      <c r="U1031" s="134" t="str">
        <f t="shared" ca="1" si="408"/>
        <v/>
      </c>
      <c r="V1031" s="83" t="str">
        <f ca="1">IF(U1031="","",IFERROR((RANK(U1031,$U$2:$U$2028,1)+COUNTIF($U$2:U1031,U1031))-1,""))</f>
        <v/>
      </c>
      <c r="W1031" s="134" t="str">
        <f t="shared" si="412"/>
        <v/>
      </c>
      <c r="X1031" s="134" t="str">
        <f>IF(W1031="","",IFERROR((RANK(W1031,$W$2:$W$2028,1)+COUNTIF($W$2:W1031,W1031))-1,""))</f>
        <v/>
      </c>
      <c r="Y1031" s="134" t="str">
        <f t="shared" si="409"/>
        <v/>
      </c>
      <c r="Z1031" s="134" t="str">
        <f>IF(Y1031="","",IFERROR((RANK(Y1031,$Y$2:$Y$2028,1)+COUNTIF($Y$2:Y1031,Y1031))-1,""))</f>
        <v/>
      </c>
      <c r="AA1031" s="134" t="str">
        <f t="shared" si="410"/>
        <v/>
      </c>
      <c r="AB1031" s="134" t="str">
        <f>IF(AA1031="","",IFERROR((RANK(AA1031,$AA$2:$AA$2028,1)+COUNTIF($AA$2:AA1031,AA1031))-1,""))</f>
        <v/>
      </c>
      <c r="AC1031" s="134" t="str">
        <f t="shared" si="411"/>
        <v/>
      </c>
      <c r="AD1031" s="134" t="str">
        <f>IF(AC1031="","",IFERROR((RANK(AC1031,$AC$2:$AC$2028,1)+COUNTIF($AC$2:AC1031,AC1031))-1,""))</f>
        <v/>
      </c>
      <c r="AE1031" s="144" t="str">
        <f t="shared" ref="AE1031:AE1094" si="415">IF(P1031=1,P1031,"")</f>
        <v/>
      </c>
      <c r="AF1031" s="144" t="str">
        <f>IF(AE1031="","",SUM($AE$2:AE1031))</f>
        <v/>
      </c>
    </row>
    <row r="1032" spans="14:32" x14ac:dyDescent="0.35">
      <c r="N1032" s="134" t="str">
        <f t="shared" si="413"/>
        <v/>
      </c>
      <c r="O1032" s="82" t="str">
        <f t="shared" si="404"/>
        <v/>
      </c>
      <c r="P1032" s="81" t="str">
        <f t="shared" si="414"/>
        <v/>
      </c>
      <c r="Q1032" s="81" t="str">
        <f t="shared" si="405"/>
        <v/>
      </c>
      <c r="R1032" s="135" t="str">
        <f t="shared" ca="1" si="406"/>
        <v/>
      </c>
      <c r="S1032" s="134" t="str">
        <f t="shared" ca="1" si="407"/>
        <v/>
      </c>
      <c r="T1032" s="134" t="str">
        <f ca="1">IF(S1032=Dashboard!$D$12,S1032,"")</f>
        <v/>
      </c>
      <c r="U1032" s="134" t="str">
        <f t="shared" ca="1" si="408"/>
        <v/>
      </c>
      <c r="V1032" s="83" t="str">
        <f ca="1">IF(U1032="","",IFERROR((RANK(U1032,$U$2:$U$2028,1)+COUNTIF($U$2:U1032,U1032))-1,""))</f>
        <v/>
      </c>
      <c r="W1032" s="134" t="str">
        <f t="shared" si="412"/>
        <v/>
      </c>
      <c r="X1032" s="134" t="str">
        <f>IF(W1032="","",IFERROR((RANK(W1032,$W$2:$W$2028,1)+COUNTIF($W$2:W1032,W1032))-1,""))</f>
        <v/>
      </c>
      <c r="Y1032" s="134" t="str">
        <f t="shared" si="409"/>
        <v/>
      </c>
      <c r="Z1032" s="134" t="str">
        <f>IF(Y1032="","",IFERROR((RANK(Y1032,$Y$2:$Y$2028,1)+COUNTIF($Y$2:Y1032,Y1032))-1,""))</f>
        <v/>
      </c>
      <c r="AA1032" s="134" t="str">
        <f t="shared" si="410"/>
        <v/>
      </c>
      <c r="AB1032" s="134" t="str">
        <f>IF(AA1032="","",IFERROR((RANK(AA1032,$AA$2:$AA$2028,1)+COUNTIF($AA$2:AA1032,AA1032))-1,""))</f>
        <v/>
      </c>
      <c r="AC1032" s="134" t="str">
        <f t="shared" si="411"/>
        <v/>
      </c>
      <c r="AD1032" s="134" t="str">
        <f>IF(AC1032="","",IFERROR((RANK(AC1032,$AC$2:$AC$2028,1)+COUNTIF($AC$2:AC1032,AC1032))-1,""))</f>
        <v/>
      </c>
      <c r="AE1032" s="144" t="str">
        <f t="shared" si="415"/>
        <v/>
      </c>
      <c r="AF1032" s="144" t="str">
        <f>IF(AE1032="","",SUM($AE$2:AE1032))</f>
        <v/>
      </c>
    </row>
    <row r="1033" spans="14:32" x14ac:dyDescent="0.35">
      <c r="N1033" s="134" t="str">
        <f t="shared" si="413"/>
        <v/>
      </c>
      <c r="O1033" s="82" t="str">
        <f t="shared" si="404"/>
        <v/>
      </c>
      <c r="P1033" s="81" t="str">
        <f t="shared" si="414"/>
        <v/>
      </c>
      <c r="Q1033" s="81" t="str">
        <f t="shared" si="405"/>
        <v/>
      </c>
      <c r="R1033" s="135" t="str">
        <f t="shared" ca="1" si="406"/>
        <v/>
      </c>
      <c r="S1033" s="134" t="str">
        <f t="shared" ca="1" si="407"/>
        <v/>
      </c>
      <c r="T1033" s="134" t="str">
        <f ca="1">IF(S1033=Dashboard!$D$12,S1033,"")</f>
        <v/>
      </c>
      <c r="U1033" s="134" t="str">
        <f t="shared" ca="1" si="408"/>
        <v/>
      </c>
      <c r="V1033" s="83" t="str">
        <f ca="1">IF(U1033="","",IFERROR((RANK(U1033,$U$2:$U$2028,1)+COUNTIF($U$2:U1033,U1033))-1,""))</f>
        <v/>
      </c>
      <c r="W1033" s="134" t="str">
        <f t="shared" si="412"/>
        <v/>
      </c>
      <c r="X1033" s="134" t="str">
        <f>IF(W1033="","",IFERROR((RANK(W1033,$W$2:$W$2028,1)+COUNTIF($W$2:W1033,W1033))-1,""))</f>
        <v/>
      </c>
      <c r="Y1033" s="134" t="str">
        <f t="shared" si="409"/>
        <v/>
      </c>
      <c r="Z1033" s="134" t="str">
        <f>IF(Y1033="","",IFERROR((RANK(Y1033,$Y$2:$Y$2028,1)+COUNTIF($Y$2:Y1033,Y1033))-1,""))</f>
        <v/>
      </c>
      <c r="AA1033" s="134" t="str">
        <f t="shared" si="410"/>
        <v/>
      </c>
      <c r="AB1033" s="134" t="str">
        <f>IF(AA1033="","",IFERROR((RANK(AA1033,$AA$2:$AA$2028,1)+COUNTIF($AA$2:AA1033,AA1033))-1,""))</f>
        <v/>
      </c>
      <c r="AC1033" s="134" t="str">
        <f t="shared" si="411"/>
        <v/>
      </c>
      <c r="AD1033" s="134" t="str">
        <f>IF(AC1033="","",IFERROR((RANK(AC1033,$AC$2:$AC$2028,1)+COUNTIF($AC$2:AC1033,AC1033))-1,""))</f>
        <v/>
      </c>
      <c r="AE1033" s="144" t="str">
        <f t="shared" si="415"/>
        <v/>
      </c>
      <c r="AF1033" s="144" t="str">
        <f>IF(AE1033="","",SUM($AE$2:AE1033))</f>
        <v/>
      </c>
    </row>
    <row r="1034" spans="14:32" x14ac:dyDescent="0.35">
      <c r="N1034" s="134" t="str">
        <f t="shared" si="413"/>
        <v/>
      </c>
      <c r="O1034" s="82" t="str">
        <f t="shared" si="404"/>
        <v/>
      </c>
      <c r="P1034" s="81" t="str">
        <f t="shared" si="414"/>
        <v/>
      </c>
      <c r="Q1034" s="81" t="str">
        <f t="shared" si="405"/>
        <v/>
      </c>
      <c r="R1034" s="135" t="str">
        <f t="shared" ca="1" si="406"/>
        <v/>
      </c>
      <c r="S1034" s="134" t="str">
        <f t="shared" ca="1" si="407"/>
        <v/>
      </c>
      <c r="T1034" s="134" t="str">
        <f ca="1">IF(S1034=Dashboard!$D$12,S1034,"")</f>
        <v/>
      </c>
      <c r="U1034" s="134" t="str">
        <f t="shared" ca="1" si="408"/>
        <v/>
      </c>
      <c r="V1034" s="83" t="str">
        <f ca="1">IF(U1034="","",IFERROR((RANK(U1034,$U$2:$U$2028,1)+COUNTIF($U$2:U1034,U1034))-1,""))</f>
        <v/>
      </c>
      <c r="W1034" s="134" t="str">
        <f t="shared" si="412"/>
        <v/>
      </c>
      <c r="X1034" s="134" t="str">
        <f>IF(W1034="","",IFERROR((RANK(W1034,$W$2:$W$2028,1)+COUNTIF($W$2:W1034,W1034))-1,""))</f>
        <v/>
      </c>
      <c r="Y1034" s="134" t="str">
        <f t="shared" si="409"/>
        <v/>
      </c>
      <c r="Z1034" s="134" t="str">
        <f>IF(Y1034="","",IFERROR((RANK(Y1034,$Y$2:$Y$2028,1)+COUNTIF($Y$2:Y1034,Y1034))-1,""))</f>
        <v/>
      </c>
      <c r="AA1034" s="134" t="str">
        <f t="shared" si="410"/>
        <v/>
      </c>
      <c r="AB1034" s="134" t="str">
        <f>IF(AA1034="","",IFERROR((RANK(AA1034,$AA$2:$AA$2028,1)+COUNTIF($AA$2:AA1034,AA1034))-1,""))</f>
        <v/>
      </c>
      <c r="AC1034" s="134" t="str">
        <f t="shared" si="411"/>
        <v/>
      </c>
      <c r="AD1034" s="134" t="str">
        <f>IF(AC1034="","",IFERROR((RANK(AC1034,$AC$2:$AC$2028,1)+COUNTIF($AC$2:AC1034,AC1034))-1,""))</f>
        <v/>
      </c>
      <c r="AE1034" s="144" t="str">
        <f t="shared" si="415"/>
        <v/>
      </c>
      <c r="AF1034" s="144" t="str">
        <f>IF(AE1034="","",SUM($AE$2:AE1034))</f>
        <v/>
      </c>
    </row>
    <row r="1035" spans="14:32" x14ac:dyDescent="0.35">
      <c r="N1035" s="134" t="str">
        <f t="shared" si="413"/>
        <v/>
      </c>
      <c r="O1035" s="82" t="str">
        <f t="shared" si="404"/>
        <v/>
      </c>
      <c r="P1035" s="81" t="str">
        <f t="shared" si="414"/>
        <v/>
      </c>
      <c r="Q1035" s="81" t="str">
        <f t="shared" si="405"/>
        <v/>
      </c>
      <c r="R1035" s="135" t="str">
        <f t="shared" ca="1" si="406"/>
        <v/>
      </c>
      <c r="S1035" s="134" t="str">
        <f t="shared" ca="1" si="407"/>
        <v/>
      </c>
      <c r="T1035" s="134" t="str">
        <f ca="1">IF(S1035=Dashboard!$D$12,S1035,"")</f>
        <v/>
      </c>
      <c r="U1035" s="134" t="str">
        <f t="shared" ca="1" si="408"/>
        <v/>
      </c>
      <c r="V1035" s="83" t="str">
        <f ca="1">IF(U1035="","",IFERROR((RANK(U1035,$U$2:$U$2028,1)+COUNTIF($U$2:U1035,U1035))-1,""))</f>
        <v/>
      </c>
      <c r="W1035" s="134" t="str">
        <f t="shared" si="412"/>
        <v/>
      </c>
      <c r="X1035" s="134" t="str">
        <f>IF(W1035="","",IFERROR((RANK(W1035,$W$2:$W$2028,1)+COUNTIF($W$2:W1035,W1035))-1,""))</f>
        <v/>
      </c>
      <c r="Y1035" s="134" t="str">
        <f t="shared" si="409"/>
        <v/>
      </c>
      <c r="Z1035" s="134" t="str">
        <f>IF(Y1035="","",IFERROR((RANK(Y1035,$Y$2:$Y$2028,1)+COUNTIF($Y$2:Y1035,Y1035))-1,""))</f>
        <v/>
      </c>
      <c r="AA1035" s="134" t="str">
        <f t="shared" si="410"/>
        <v/>
      </c>
      <c r="AB1035" s="134" t="str">
        <f>IF(AA1035="","",IFERROR((RANK(AA1035,$AA$2:$AA$2028,1)+COUNTIF($AA$2:AA1035,AA1035))-1,""))</f>
        <v/>
      </c>
      <c r="AC1035" s="134" t="str">
        <f t="shared" si="411"/>
        <v/>
      </c>
      <c r="AD1035" s="134" t="str">
        <f>IF(AC1035="","",IFERROR((RANK(AC1035,$AC$2:$AC$2028,1)+COUNTIF($AC$2:AC1035,AC1035))-1,""))</f>
        <v/>
      </c>
      <c r="AE1035" s="144" t="str">
        <f t="shared" si="415"/>
        <v/>
      </c>
      <c r="AF1035" s="144" t="str">
        <f>IF(AE1035="","",SUM($AE$2:AE1035))</f>
        <v/>
      </c>
    </row>
    <row r="1036" spans="14:32" x14ac:dyDescent="0.35">
      <c r="N1036" s="134" t="str">
        <f t="shared" si="413"/>
        <v/>
      </c>
      <c r="O1036" s="82" t="str">
        <f t="shared" si="404"/>
        <v/>
      </c>
      <c r="P1036" s="81" t="str">
        <f t="shared" si="414"/>
        <v/>
      </c>
      <c r="Q1036" s="81" t="str">
        <f t="shared" si="405"/>
        <v/>
      </c>
      <c r="R1036" s="135" t="str">
        <f t="shared" ca="1" si="406"/>
        <v/>
      </c>
      <c r="S1036" s="134" t="str">
        <f t="shared" ca="1" si="407"/>
        <v/>
      </c>
      <c r="T1036" s="134" t="str">
        <f ca="1">IF(S1036=Dashboard!$D$12,S1036,"")</f>
        <v/>
      </c>
      <c r="U1036" s="134" t="str">
        <f t="shared" ca="1" si="408"/>
        <v/>
      </c>
      <c r="V1036" s="83" t="str">
        <f ca="1">IF(U1036="","",IFERROR((RANK(U1036,$U$2:$U$2028,1)+COUNTIF($U$2:U1036,U1036))-1,""))</f>
        <v/>
      </c>
      <c r="W1036" s="134" t="str">
        <f t="shared" si="412"/>
        <v/>
      </c>
      <c r="X1036" s="134" t="str">
        <f>IF(W1036="","",IFERROR((RANK(W1036,$W$2:$W$2028,1)+COUNTIF($W$2:W1036,W1036))-1,""))</f>
        <v/>
      </c>
      <c r="Y1036" s="134" t="str">
        <f t="shared" si="409"/>
        <v/>
      </c>
      <c r="Z1036" s="134" t="str">
        <f>IF(Y1036="","",IFERROR((RANK(Y1036,$Y$2:$Y$2028,1)+COUNTIF($Y$2:Y1036,Y1036))-1,""))</f>
        <v/>
      </c>
      <c r="AA1036" s="134" t="str">
        <f t="shared" si="410"/>
        <v/>
      </c>
      <c r="AB1036" s="134" t="str">
        <f>IF(AA1036="","",IFERROR((RANK(AA1036,$AA$2:$AA$2028,1)+COUNTIF($AA$2:AA1036,AA1036))-1,""))</f>
        <v/>
      </c>
      <c r="AC1036" s="134" t="str">
        <f t="shared" si="411"/>
        <v/>
      </c>
      <c r="AD1036" s="134" t="str">
        <f>IF(AC1036="","",IFERROR((RANK(AC1036,$AC$2:$AC$2028,1)+COUNTIF($AC$2:AC1036,AC1036))-1,""))</f>
        <v/>
      </c>
      <c r="AE1036" s="144" t="str">
        <f t="shared" si="415"/>
        <v/>
      </c>
      <c r="AF1036" s="144" t="str">
        <f>IF(AE1036="","",SUM($AE$2:AE1036))</f>
        <v/>
      </c>
    </row>
    <row r="1037" spans="14:32" x14ac:dyDescent="0.35">
      <c r="N1037" s="134" t="str">
        <f t="shared" si="413"/>
        <v/>
      </c>
      <c r="O1037" s="82" t="str">
        <f t="shared" si="404"/>
        <v/>
      </c>
      <c r="P1037" s="81" t="str">
        <f t="shared" si="414"/>
        <v/>
      </c>
      <c r="Q1037" s="81" t="str">
        <f t="shared" si="405"/>
        <v/>
      </c>
      <c r="R1037" s="135" t="str">
        <f t="shared" ca="1" si="406"/>
        <v/>
      </c>
      <c r="S1037" s="134" t="str">
        <f t="shared" ca="1" si="407"/>
        <v/>
      </c>
      <c r="T1037" s="134" t="str">
        <f ca="1">IF(S1037=Dashboard!$D$12,S1037,"")</f>
        <v/>
      </c>
      <c r="U1037" s="134" t="str">
        <f t="shared" ca="1" si="408"/>
        <v/>
      </c>
      <c r="V1037" s="83" t="str">
        <f ca="1">IF(U1037="","",IFERROR((RANK(U1037,$U$2:$U$2028,1)+COUNTIF($U$2:U1037,U1037))-1,""))</f>
        <v/>
      </c>
      <c r="W1037" s="134" t="str">
        <f t="shared" si="412"/>
        <v/>
      </c>
      <c r="X1037" s="134" t="str">
        <f>IF(W1037="","",IFERROR((RANK(W1037,$W$2:$W$2028,1)+COUNTIF($W$2:W1037,W1037))-1,""))</f>
        <v/>
      </c>
      <c r="Y1037" s="134" t="str">
        <f t="shared" si="409"/>
        <v/>
      </c>
      <c r="Z1037" s="134" t="str">
        <f>IF(Y1037="","",IFERROR((RANK(Y1037,$Y$2:$Y$2028,1)+COUNTIF($Y$2:Y1037,Y1037))-1,""))</f>
        <v/>
      </c>
      <c r="AA1037" s="134" t="str">
        <f t="shared" si="410"/>
        <v/>
      </c>
      <c r="AB1037" s="134" t="str">
        <f>IF(AA1037="","",IFERROR((RANK(AA1037,$AA$2:$AA$2028,1)+COUNTIF($AA$2:AA1037,AA1037))-1,""))</f>
        <v/>
      </c>
      <c r="AC1037" s="134" t="str">
        <f t="shared" si="411"/>
        <v/>
      </c>
      <c r="AD1037" s="134" t="str">
        <f>IF(AC1037="","",IFERROR((RANK(AC1037,$AC$2:$AC$2028,1)+COUNTIF($AC$2:AC1037,AC1037))-1,""))</f>
        <v/>
      </c>
      <c r="AE1037" s="144" t="str">
        <f t="shared" si="415"/>
        <v/>
      </c>
      <c r="AF1037" s="144" t="str">
        <f>IF(AE1037="","",SUM($AE$2:AE1037))</f>
        <v/>
      </c>
    </row>
    <row r="1038" spans="14:32" x14ac:dyDescent="0.35">
      <c r="N1038" s="134" t="str">
        <f t="shared" si="413"/>
        <v/>
      </c>
      <c r="O1038" s="82" t="str">
        <f t="shared" si="404"/>
        <v/>
      </c>
      <c r="P1038" s="81" t="str">
        <f t="shared" si="414"/>
        <v/>
      </c>
      <c r="Q1038" s="81" t="str">
        <f t="shared" si="405"/>
        <v/>
      </c>
      <c r="R1038" s="135" t="str">
        <f t="shared" ca="1" si="406"/>
        <v/>
      </c>
      <c r="S1038" s="134" t="str">
        <f t="shared" ca="1" si="407"/>
        <v/>
      </c>
      <c r="T1038" s="134" t="str">
        <f ca="1">IF(S1038=Dashboard!$D$12,S1038,"")</f>
        <v/>
      </c>
      <c r="U1038" s="134" t="str">
        <f t="shared" ca="1" si="408"/>
        <v/>
      </c>
      <c r="V1038" s="83" t="str">
        <f ca="1">IF(U1038="","",IFERROR((RANK(U1038,$U$2:$U$2028,1)+COUNTIF($U$2:U1038,U1038))-1,""))</f>
        <v/>
      </c>
      <c r="W1038" s="134" t="str">
        <f t="shared" si="412"/>
        <v/>
      </c>
      <c r="X1038" s="134" t="str">
        <f>IF(W1038="","",IFERROR((RANK(W1038,$W$2:$W$2028,1)+COUNTIF($W$2:W1038,W1038))-1,""))</f>
        <v/>
      </c>
      <c r="Y1038" s="134" t="str">
        <f t="shared" si="409"/>
        <v/>
      </c>
      <c r="Z1038" s="134" t="str">
        <f>IF(Y1038="","",IFERROR((RANK(Y1038,$Y$2:$Y$2028,1)+COUNTIF($Y$2:Y1038,Y1038))-1,""))</f>
        <v/>
      </c>
      <c r="AA1038" s="134" t="str">
        <f t="shared" si="410"/>
        <v/>
      </c>
      <c r="AB1038" s="134" t="str">
        <f>IF(AA1038="","",IFERROR((RANK(AA1038,$AA$2:$AA$2028,1)+COUNTIF($AA$2:AA1038,AA1038))-1,""))</f>
        <v/>
      </c>
      <c r="AC1038" s="134" t="str">
        <f t="shared" si="411"/>
        <v/>
      </c>
      <c r="AD1038" s="134" t="str">
        <f>IF(AC1038="","",IFERROR((RANK(AC1038,$AC$2:$AC$2028,1)+COUNTIF($AC$2:AC1038,AC1038))-1,""))</f>
        <v/>
      </c>
      <c r="AE1038" s="144" t="str">
        <f t="shared" si="415"/>
        <v/>
      </c>
      <c r="AF1038" s="144" t="str">
        <f>IF(AE1038="","",SUM($AE$2:AE1038))</f>
        <v/>
      </c>
    </row>
    <row r="1039" spans="14:32" x14ac:dyDescent="0.35">
      <c r="N1039" s="134" t="str">
        <f t="shared" si="413"/>
        <v/>
      </c>
      <c r="O1039" s="82" t="str">
        <f t="shared" si="404"/>
        <v/>
      </c>
      <c r="P1039" s="81" t="str">
        <f t="shared" si="414"/>
        <v/>
      </c>
      <c r="Q1039" s="81" t="str">
        <f t="shared" si="405"/>
        <v/>
      </c>
      <c r="R1039" s="135" t="str">
        <f t="shared" ca="1" si="406"/>
        <v/>
      </c>
      <c r="S1039" s="134" t="str">
        <f t="shared" ca="1" si="407"/>
        <v/>
      </c>
      <c r="T1039" s="134" t="str">
        <f ca="1">IF(S1039=Dashboard!$D$12,S1039,"")</f>
        <v/>
      </c>
      <c r="U1039" s="134" t="str">
        <f t="shared" ca="1" si="408"/>
        <v/>
      </c>
      <c r="V1039" s="83" t="str">
        <f ca="1">IF(U1039="","",IFERROR((RANK(U1039,$U$2:$U$2028,1)+COUNTIF($U$2:U1039,U1039))-1,""))</f>
        <v/>
      </c>
      <c r="W1039" s="134" t="str">
        <f t="shared" si="412"/>
        <v/>
      </c>
      <c r="X1039" s="134" t="str">
        <f>IF(W1039="","",IFERROR((RANK(W1039,$W$2:$W$2028,1)+COUNTIF($W$2:W1039,W1039))-1,""))</f>
        <v/>
      </c>
      <c r="Y1039" s="134" t="str">
        <f t="shared" si="409"/>
        <v/>
      </c>
      <c r="Z1039" s="134" t="str">
        <f>IF(Y1039="","",IFERROR((RANK(Y1039,$Y$2:$Y$2028,1)+COUNTIF($Y$2:Y1039,Y1039))-1,""))</f>
        <v/>
      </c>
      <c r="AA1039" s="134" t="str">
        <f t="shared" si="410"/>
        <v/>
      </c>
      <c r="AB1039" s="134" t="str">
        <f>IF(AA1039="","",IFERROR((RANK(AA1039,$AA$2:$AA$2028,1)+COUNTIF($AA$2:AA1039,AA1039))-1,""))</f>
        <v/>
      </c>
      <c r="AC1039" s="134" t="str">
        <f t="shared" si="411"/>
        <v/>
      </c>
      <c r="AD1039" s="134" t="str">
        <f>IF(AC1039="","",IFERROR((RANK(AC1039,$AC$2:$AC$2028,1)+COUNTIF($AC$2:AC1039,AC1039))-1,""))</f>
        <v/>
      </c>
      <c r="AE1039" s="144" t="str">
        <f t="shared" si="415"/>
        <v/>
      </c>
      <c r="AF1039" s="144" t="str">
        <f>IF(AE1039="","",SUM($AE$2:AE1039))</f>
        <v/>
      </c>
    </row>
    <row r="1040" spans="14:32" x14ac:dyDescent="0.35">
      <c r="N1040" s="134" t="str">
        <f t="shared" si="413"/>
        <v/>
      </c>
      <c r="O1040" s="82" t="str">
        <f t="shared" si="404"/>
        <v/>
      </c>
      <c r="P1040" s="81" t="str">
        <f t="shared" si="414"/>
        <v/>
      </c>
      <c r="Q1040" s="81" t="str">
        <f t="shared" si="405"/>
        <v/>
      </c>
      <c r="R1040" s="135" t="str">
        <f t="shared" ca="1" si="406"/>
        <v/>
      </c>
      <c r="S1040" s="134" t="str">
        <f t="shared" ca="1" si="407"/>
        <v/>
      </c>
      <c r="T1040" s="134" t="str">
        <f ca="1">IF(S1040=Dashboard!$D$12,S1040,"")</f>
        <v/>
      </c>
      <c r="U1040" s="134" t="str">
        <f t="shared" ca="1" si="408"/>
        <v/>
      </c>
      <c r="V1040" s="83" t="str">
        <f ca="1">IF(U1040="","",IFERROR((RANK(U1040,$U$2:$U$2028,1)+COUNTIF($U$2:U1040,U1040))-1,""))</f>
        <v/>
      </c>
      <c r="W1040" s="134" t="str">
        <f t="shared" si="412"/>
        <v/>
      </c>
      <c r="X1040" s="134" t="str">
        <f>IF(W1040="","",IFERROR((RANK(W1040,$W$2:$W$2028,1)+COUNTIF($W$2:W1040,W1040))-1,""))</f>
        <v/>
      </c>
      <c r="Y1040" s="134" t="str">
        <f t="shared" si="409"/>
        <v/>
      </c>
      <c r="Z1040" s="134" t="str">
        <f>IF(Y1040="","",IFERROR((RANK(Y1040,$Y$2:$Y$2028,1)+COUNTIF($Y$2:Y1040,Y1040))-1,""))</f>
        <v/>
      </c>
      <c r="AA1040" s="134" t="str">
        <f t="shared" si="410"/>
        <v/>
      </c>
      <c r="AB1040" s="134" t="str">
        <f>IF(AA1040="","",IFERROR((RANK(AA1040,$AA$2:$AA$2028,1)+COUNTIF($AA$2:AA1040,AA1040))-1,""))</f>
        <v/>
      </c>
      <c r="AC1040" s="134" t="str">
        <f t="shared" si="411"/>
        <v/>
      </c>
      <c r="AD1040" s="134" t="str">
        <f>IF(AC1040="","",IFERROR((RANK(AC1040,$AC$2:$AC$2028,1)+COUNTIF($AC$2:AC1040,AC1040))-1,""))</f>
        <v/>
      </c>
      <c r="AE1040" s="144" t="str">
        <f t="shared" si="415"/>
        <v/>
      </c>
      <c r="AF1040" s="144" t="str">
        <f>IF(AE1040="","",SUM($AE$2:AE1040))</f>
        <v/>
      </c>
    </row>
    <row r="1041" spans="14:32" x14ac:dyDescent="0.35">
      <c r="N1041" s="134" t="str">
        <f t="shared" si="413"/>
        <v/>
      </c>
      <c r="O1041" s="82" t="str">
        <f t="shared" si="404"/>
        <v/>
      </c>
      <c r="P1041" s="81" t="str">
        <f t="shared" si="414"/>
        <v/>
      </c>
      <c r="Q1041" s="81" t="str">
        <f t="shared" si="405"/>
        <v/>
      </c>
      <c r="R1041" s="135" t="str">
        <f t="shared" ca="1" si="406"/>
        <v/>
      </c>
      <c r="S1041" s="134" t="str">
        <f t="shared" ca="1" si="407"/>
        <v/>
      </c>
      <c r="T1041" s="134" t="str">
        <f ca="1">IF(S1041=Dashboard!$D$12,S1041,"")</f>
        <v/>
      </c>
      <c r="U1041" s="134" t="str">
        <f t="shared" ca="1" si="408"/>
        <v/>
      </c>
      <c r="V1041" s="83" t="str">
        <f ca="1">IF(U1041="","",IFERROR((RANK(U1041,$U$2:$U$2028,1)+COUNTIF($U$2:U1041,U1041))-1,""))</f>
        <v/>
      </c>
      <c r="W1041" s="134" t="str">
        <f t="shared" si="412"/>
        <v/>
      </c>
      <c r="X1041" s="134" t="str">
        <f>IF(W1041="","",IFERROR((RANK(W1041,$W$2:$W$2028,1)+COUNTIF($W$2:W1041,W1041))-1,""))</f>
        <v/>
      </c>
      <c r="Y1041" s="134" t="str">
        <f t="shared" si="409"/>
        <v/>
      </c>
      <c r="Z1041" s="134" t="str">
        <f>IF(Y1041="","",IFERROR((RANK(Y1041,$Y$2:$Y$2028,1)+COUNTIF($Y$2:Y1041,Y1041))-1,""))</f>
        <v/>
      </c>
      <c r="AA1041" s="134" t="str">
        <f t="shared" si="410"/>
        <v/>
      </c>
      <c r="AB1041" s="134" t="str">
        <f>IF(AA1041="","",IFERROR((RANK(AA1041,$AA$2:$AA$2028,1)+COUNTIF($AA$2:AA1041,AA1041))-1,""))</f>
        <v/>
      </c>
      <c r="AC1041" s="134" t="str">
        <f t="shared" si="411"/>
        <v/>
      </c>
      <c r="AD1041" s="134" t="str">
        <f>IF(AC1041="","",IFERROR((RANK(AC1041,$AC$2:$AC$2028,1)+COUNTIF($AC$2:AC1041,AC1041))-1,""))</f>
        <v/>
      </c>
      <c r="AE1041" s="144" t="str">
        <f t="shared" si="415"/>
        <v/>
      </c>
      <c r="AF1041" s="144" t="str">
        <f>IF(AE1041="","",SUM($AE$2:AE1041))</f>
        <v/>
      </c>
    </row>
    <row r="1042" spans="14:32" x14ac:dyDescent="0.35">
      <c r="N1042" s="134" t="str">
        <f t="shared" si="413"/>
        <v/>
      </c>
      <c r="O1042" s="82" t="str">
        <f t="shared" si="404"/>
        <v/>
      </c>
      <c r="P1042" s="81" t="str">
        <f t="shared" si="414"/>
        <v/>
      </c>
      <c r="Q1042" s="81" t="str">
        <f t="shared" si="405"/>
        <v/>
      </c>
      <c r="R1042" s="135" t="str">
        <f t="shared" ca="1" si="406"/>
        <v/>
      </c>
      <c r="S1042" s="134" t="str">
        <f t="shared" ca="1" si="407"/>
        <v/>
      </c>
      <c r="T1042" s="134" t="str">
        <f ca="1">IF(S1042=Dashboard!$D$12,S1042,"")</f>
        <v/>
      </c>
      <c r="U1042" s="134" t="str">
        <f t="shared" ca="1" si="408"/>
        <v/>
      </c>
      <c r="V1042" s="83" t="str">
        <f ca="1">IF(U1042="","",IFERROR((RANK(U1042,$U$2:$U$2028,1)+COUNTIF($U$2:U1042,U1042))-1,""))</f>
        <v/>
      </c>
      <c r="W1042" s="134" t="str">
        <f t="shared" si="412"/>
        <v/>
      </c>
      <c r="X1042" s="134" t="str">
        <f>IF(W1042="","",IFERROR((RANK(W1042,$W$2:$W$2028,1)+COUNTIF($W$2:W1042,W1042))-1,""))</f>
        <v/>
      </c>
      <c r="Y1042" s="134" t="str">
        <f t="shared" si="409"/>
        <v/>
      </c>
      <c r="Z1042" s="134" t="str">
        <f>IF(Y1042="","",IFERROR((RANK(Y1042,$Y$2:$Y$2028,1)+COUNTIF($Y$2:Y1042,Y1042))-1,""))</f>
        <v/>
      </c>
      <c r="AA1042" s="134" t="str">
        <f t="shared" si="410"/>
        <v/>
      </c>
      <c r="AB1042" s="134" t="str">
        <f>IF(AA1042="","",IFERROR((RANK(AA1042,$AA$2:$AA$2028,1)+COUNTIF($AA$2:AA1042,AA1042))-1,""))</f>
        <v/>
      </c>
      <c r="AC1042" s="134" t="str">
        <f t="shared" si="411"/>
        <v/>
      </c>
      <c r="AD1042" s="134" t="str">
        <f>IF(AC1042="","",IFERROR((RANK(AC1042,$AC$2:$AC$2028,1)+COUNTIF($AC$2:AC1042,AC1042))-1,""))</f>
        <v/>
      </c>
      <c r="AE1042" s="144" t="str">
        <f t="shared" si="415"/>
        <v/>
      </c>
      <c r="AF1042" s="144" t="str">
        <f>IF(AE1042="","",SUM($AE$2:AE1042))</f>
        <v/>
      </c>
    </row>
    <row r="1043" spans="14:32" x14ac:dyDescent="0.35">
      <c r="N1043" s="134" t="str">
        <f t="shared" si="413"/>
        <v/>
      </c>
      <c r="O1043" s="82" t="str">
        <f t="shared" si="404"/>
        <v/>
      </c>
      <c r="P1043" s="81" t="str">
        <f t="shared" si="414"/>
        <v/>
      </c>
      <c r="Q1043" s="81" t="str">
        <f t="shared" si="405"/>
        <v/>
      </c>
      <c r="R1043" s="135" t="str">
        <f t="shared" ca="1" si="406"/>
        <v/>
      </c>
      <c r="S1043" s="134" t="str">
        <f t="shared" ca="1" si="407"/>
        <v/>
      </c>
      <c r="T1043" s="134" t="str">
        <f ca="1">IF(S1043=Dashboard!$D$12,S1043,"")</f>
        <v/>
      </c>
      <c r="U1043" s="134" t="str">
        <f t="shared" ca="1" si="408"/>
        <v/>
      </c>
      <c r="V1043" s="83" t="str">
        <f ca="1">IF(U1043="","",IFERROR((RANK(U1043,$U$2:$U$2028,1)+COUNTIF($U$2:U1043,U1043))-1,""))</f>
        <v/>
      </c>
      <c r="W1043" s="134" t="str">
        <f t="shared" si="412"/>
        <v/>
      </c>
      <c r="X1043" s="134" t="str">
        <f>IF(W1043="","",IFERROR((RANK(W1043,$W$2:$W$2028,1)+COUNTIF($W$2:W1043,W1043))-1,""))</f>
        <v/>
      </c>
      <c r="Y1043" s="134" t="str">
        <f t="shared" si="409"/>
        <v/>
      </c>
      <c r="Z1043" s="134" t="str">
        <f>IF(Y1043="","",IFERROR((RANK(Y1043,$Y$2:$Y$2028,1)+COUNTIF($Y$2:Y1043,Y1043))-1,""))</f>
        <v/>
      </c>
      <c r="AA1043" s="134" t="str">
        <f t="shared" si="410"/>
        <v/>
      </c>
      <c r="AB1043" s="134" t="str">
        <f>IF(AA1043="","",IFERROR((RANK(AA1043,$AA$2:$AA$2028,1)+COUNTIF($AA$2:AA1043,AA1043))-1,""))</f>
        <v/>
      </c>
      <c r="AC1043" s="134" t="str">
        <f t="shared" si="411"/>
        <v/>
      </c>
      <c r="AD1043" s="134" t="str">
        <f>IF(AC1043="","",IFERROR((RANK(AC1043,$AC$2:$AC$2028,1)+COUNTIF($AC$2:AC1043,AC1043))-1,""))</f>
        <v/>
      </c>
      <c r="AE1043" s="144" t="str">
        <f t="shared" si="415"/>
        <v/>
      </c>
      <c r="AF1043" s="144" t="str">
        <f>IF(AE1043="","",SUM($AE$2:AE1043))</f>
        <v/>
      </c>
    </row>
    <row r="1044" spans="14:32" x14ac:dyDescent="0.35">
      <c r="N1044" s="134" t="str">
        <f t="shared" si="413"/>
        <v/>
      </c>
      <c r="O1044" s="82" t="str">
        <f t="shared" si="404"/>
        <v/>
      </c>
      <c r="P1044" s="81" t="str">
        <f t="shared" si="414"/>
        <v/>
      </c>
      <c r="Q1044" s="81" t="str">
        <f t="shared" si="405"/>
        <v/>
      </c>
      <c r="R1044" s="135" t="str">
        <f t="shared" ca="1" si="406"/>
        <v/>
      </c>
      <c r="S1044" s="134" t="str">
        <f t="shared" ca="1" si="407"/>
        <v/>
      </c>
      <c r="T1044" s="134" t="str">
        <f ca="1">IF(S1044=Dashboard!$D$12,S1044,"")</f>
        <v/>
      </c>
      <c r="U1044" s="134" t="str">
        <f t="shared" ca="1" si="408"/>
        <v/>
      </c>
      <c r="V1044" s="83" t="str">
        <f ca="1">IF(U1044="","",IFERROR((RANK(U1044,$U$2:$U$2028,1)+COUNTIF($U$2:U1044,U1044))-1,""))</f>
        <v/>
      </c>
      <c r="W1044" s="134" t="str">
        <f t="shared" si="412"/>
        <v/>
      </c>
      <c r="X1044" s="134" t="str">
        <f>IF(W1044="","",IFERROR((RANK(W1044,$W$2:$W$2028,1)+COUNTIF($W$2:W1044,W1044))-1,""))</f>
        <v/>
      </c>
      <c r="Y1044" s="134" t="str">
        <f t="shared" si="409"/>
        <v/>
      </c>
      <c r="Z1044" s="134" t="str">
        <f>IF(Y1044="","",IFERROR((RANK(Y1044,$Y$2:$Y$2028,1)+COUNTIF($Y$2:Y1044,Y1044))-1,""))</f>
        <v/>
      </c>
      <c r="AA1044" s="134" t="str">
        <f t="shared" si="410"/>
        <v/>
      </c>
      <c r="AB1044" s="134" t="str">
        <f>IF(AA1044="","",IFERROR((RANK(AA1044,$AA$2:$AA$2028,1)+COUNTIF($AA$2:AA1044,AA1044))-1,""))</f>
        <v/>
      </c>
      <c r="AC1044" s="134" t="str">
        <f t="shared" si="411"/>
        <v/>
      </c>
      <c r="AD1044" s="134" t="str">
        <f>IF(AC1044="","",IFERROR((RANK(AC1044,$AC$2:$AC$2028,1)+COUNTIF($AC$2:AC1044,AC1044))-1,""))</f>
        <v/>
      </c>
      <c r="AE1044" s="144" t="str">
        <f t="shared" si="415"/>
        <v/>
      </c>
      <c r="AF1044" s="144" t="str">
        <f>IF(AE1044="","",SUM($AE$2:AE1044))</f>
        <v/>
      </c>
    </row>
    <row r="1045" spans="14:32" x14ac:dyDescent="0.35">
      <c r="N1045" s="134" t="str">
        <f t="shared" si="413"/>
        <v/>
      </c>
      <c r="O1045" s="82" t="str">
        <f t="shared" si="404"/>
        <v/>
      </c>
      <c r="P1045" s="81" t="str">
        <f t="shared" si="414"/>
        <v/>
      </c>
      <c r="Q1045" s="81" t="str">
        <f t="shared" si="405"/>
        <v/>
      </c>
      <c r="R1045" s="135" t="str">
        <f t="shared" ca="1" si="406"/>
        <v/>
      </c>
      <c r="S1045" s="134" t="str">
        <f t="shared" ca="1" si="407"/>
        <v/>
      </c>
      <c r="T1045" s="134" t="str">
        <f ca="1">IF(S1045=Dashboard!$D$12,S1045,"")</f>
        <v/>
      </c>
      <c r="U1045" s="134" t="str">
        <f t="shared" ca="1" si="408"/>
        <v/>
      </c>
      <c r="V1045" s="83" t="str">
        <f ca="1">IF(U1045="","",IFERROR((RANK(U1045,$U$2:$U$2028,1)+COUNTIF($U$2:U1045,U1045))-1,""))</f>
        <v/>
      </c>
      <c r="W1045" s="134" t="str">
        <f t="shared" si="412"/>
        <v/>
      </c>
      <c r="X1045" s="134" t="str">
        <f>IF(W1045="","",IFERROR((RANK(W1045,$W$2:$W$2028,1)+COUNTIF($W$2:W1045,W1045))-1,""))</f>
        <v/>
      </c>
      <c r="Y1045" s="134" t="str">
        <f t="shared" si="409"/>
        <v/>
      </c>
      <c r="Z1045" s="134" t="str">
        <f>IF(Y1045="","",IFERROR((RANK(Y1045,$Y$2:$Y$2028,1)+COUNTIF($Y$2:Y1045,Y1045))-1,""))</f>
        <v/>
      </c>
      <c r="AA1045" s="134" t="str">
        <f t="shared" si="410"/>
        <v/>
      </c>
      <c r="AB1045" s="134" t="str">
        <f>IF(AA1045="","",IFERROR((RANK(AA1045,$AA$2:$AA$2028,1)+COUNTIF($AA$2:AA1045,AA1045))-1,""))</f>
        <v/>
      </c>
      <c r="AC1045" s="134" t="str">
        <f t="shared" si="411"/>
        <v/>
      </c>
      <c r="AD1045" s="134" t="str">
        <f>IF(AC1045="","",IFERROR((RANK(AC1045,$AC$2:$AC$2028,1)+COUNTIF($AC$2:AC1045,AC1045))-1,""))</f>
        <v/>
      </c>
      <c r="AE1045" s="144" t="str">
        <f t="shared" si="415"/>
        <v/>
      </c>
      <c r="AF1045" s="144" t="str">
        <f>IF(AE1045="","",SUM($AE$2:AE1045))</f>
        <v/>
      </c>
    </row>
    <row r="1046" spans="14:32" x14ac:dyDescent="0.35">
      <c r="N1046" s="134" t="str">
        <f t="shared" si="413"/>
        <v/>
      </c>
      <c r="O1046" s="82" t="str">
        <f t="shared" si="404"/>
        <v/>
      </c>
      <c r="P1046" s="81" t="str">
        <f t="shared" si="414"/>
        <v/>
      </c>
      <c r="Q1046" s="81" t="str">
        <f t="shared" si="405"/>
        <v/>
      </c>
      <c r="R1046" s="135" t="str">
        <f t="shared" ca="1" si="406"/>
        <v/>
      </c>
      <c r="S1046" s="134" t="str">
        <f t="shared" ca="1" si="407"/>
        <v/>
      </c>
      <c r="T1046" s="134" t="str">
        <f ca="1">IF(S1046=Dashboard!$D$12,S1046,"")</f>
        <v/>
      </c>
      <c r="U1046" s="134" t="str">
        <f t="shared" ca="1" si="408"/>
        <v/>
      </c>
      <c r="V1046" s="83" t="str">
        <f ca="1">IF(U1046="","",IFERROR((RANK(U1046,$U$2:$U$2028,1)+COUNTIF($U$2:U1046,U1046))-1,""))</f>
        <v/>
      </c>
      <c r="W1046" s="134" t="str">
        <f t="shared" si="412"/>
        <v/>
      </c>
      <c r="X1046" s="134" t="str">
        <f>IF(W1046="","",IFERROR((RANK(W1046,$W$2:$W$2028,1)+COUNTIF($W$2:W1046,W1046))-1,""))</f>
        <v/>
      </c>
      <c r="Y1046" s="134" t="str">
        <f t="shared" si="409"/>
        <v/>
      </c>
      <c r="Z1046" s="134" t="str">
        <f>IF(Y1046="","",IFERROR((RANK(Y1046,$Y$2:$Y$2028,1)+COUNTIF($Y$2:Y1046,Y1046))-1,""))</f>
        <v/>
      </c>
      <c r="AA1046" s="134" t="str">
        <f t="shared" si="410"/>
        <v/>
      </c>
      <c r="AB1046" s="134" t="str">
        <f>IF(AA1046="","",IFERROR((RANK(AA1046,$AA$2:$AA$2028,1)+COUNTIF($AA$2:AA1046,AA1046))-1,""))</f>
        <v/>
      </c>
      <c r="AC1046" s="134" t="str">
        <f t="shared" si="411"/>
        <v/>
      </c>
      <c r="AD1046" s="134" t="str">
        <f>IF(AC1046="","",IFERROR((RANK(AC1046,$AC$2:$AC$2028,1)+COUNTIF($AC$2:AC1046,AC1046))-1,""))</f>
        <v/>
      </c>
      <c r="AE1046" s="144" t="str">
        <f t="shared" si="415"/>
        <v/>
      </c>
      <c r="AF1046" s="144" t="str">
        <f>IF(AE1046="","",SUM($AE$2:AE1046))</f>
        <v/>
      </c>
    </row>
    <row r="1047" spans="14:32" x14ac:dyDescent="0.35">
      <c r="N1047" s="134" t="str">
        <f t="shared" si="413"/>
        <v/>
      </c>
      <c r="O1047" s="82" t="str">
        <f t="shared" si="404"/>
        <v/>
      </c>
      <c r="P1047" s="81" t="str">
        <f t="shared" si="414"/>
        <v/>
      </c>
      <c r="Q1047" s="81" t="str">
        <f t="shared" si="405"/>
        <v/>
      </c>
      <c r="R1047" s="135" t="str">
        <f t="shared" ca="1" si="406"/>
        <v/>
      </c>
      <c r="S1047" s="134" t="str">
        <f t="shared" ca="1" si="407"/>
        <v/>
      </c>
      <c r="T1047" s="134" t="str">
        <f ca="1">IF(S1047=Dashboard!$D$12,S1047,"")</f>
        <v/>
      </c>
      <c r="U1047" s="134" t="str">
        <f t="shared" ca="1" si="408"/>
        <v/>
      </c>
      <c r="V1047" s="83" t="str">
        <f ca="1">IF(U1047="","",IFERROR((RANK(U1047,$U$2:$U$2028,1)+COUNTIF($U$2:U1047,U1047))-1,""))</f>
        <v/>
      </c>
      <c r="W1047" s="134" t="str">
        <f t="shared" si="412"/>
        <v/>
      </c>
      <c r="X1047" s="134" t="str">
        <f>IF(W1047="","",IFERROR((RANK(W1047,$W$2:$W$2028,1)+COUNTIF($W$2:W1047,W1047))-1,""))</f>
        <v/>
      </c>
      <c r="Y1047" s="134" t="str">
        <f t="shared" si="409"/>
        <v/>
      </c>
      <c r="Z1047" s="134" t="str">
        <f>IF(Y1047="","",IFERROR((RANK(Y1047,$Y$2:$Y$2028,1)+COUNTIF($Y$2:Y1047,Y1047))-1,""))</f>
        <v/>
      </c>
      <c r="AA1047" s="134" t="str">
        <f t="shared" si="410"/>
        <v/>
      </c>
      <c r="AB1047" s="134" t="str">
        <f>IF(AA1047="","",IFERROR((RANK(AA1047,$AA$2:$AA$2028,1)+COUNTIF($AA$2:AA1047,AA1047))-1,""))</f>
        <v/>
      </c>
      <c r="AC1047" s="134" t="str">
        <f t="shared" si="411"/>
        <v/>
      </c>
      <c r="AD1047" s="134" t="str">
        <f>IF(AC1047="","",IFERROR((RANK(AC1047,$AC$2:$AC$2028,1)+COUNTIF($AC$2:AC1047,AC1047))-1,""))</f>
        <v/>
      </c>
      <c r="AE1047" s="144" t="str">
        <f t="shared" si="415"/>
        <v/>
      </c>
      <c r="AF1047" s="144" t="str">
        <f>IF(AE1047="","",SUM($AE$2:AE1047))</f>
        <v/>
      </c>
    </row>
    <row r="1048" spans="14:32" x14ac:dyDescent="0.35">
      <c r="N1048" s="134" t="str">
        <f t="shared" si="413"/>
        <v/>
      </c>
      <c r="O1048" s="82" t="str">
        <f t="shared" si="404"/>
        <v/>
      </c>
      <c r="P1048" s="81" t="str">
        <f t="shared" si="414"/>
        <v/>
      </c>
      <c r="Q1048" s="81" t="str">
        <f t="shared" si="405"/>
        <v/>
      </c>
      <c r="R1048" s="135" t="str">
        <f t="shared" ca="1" si="406"/>
        <v/>
      </c>
      <c r="S1048" s="134" t="str">
        <f t="shared" ca="1" si="407"/>
        <v/>
      </c>
      <c r="T1048" s="134" t="str">
        <f ca="1">IF(S1048=Dashboard!$D$12,S1048,"")</f>
        <v/>
      </c>
      <c r="U1048" s="134" t="str">
        <f t="shared" ca="1" si="408"/>
        <v/>
      </c>
      <c r="V1048" s="83" t="str">
        <f ca="1">IF(U1048="","",IFERROR((RANK(U1048,$U$2:$U$2028,1)+COUNTIF($U$2:U1048,U1048))-1,""))</f>
        <v/>
      </c>
      <c r="W1048" s="134" t="str">
        <f t="shared" si="412"/>
        <v/>
      </c>
      <c r="X1048" s="134" t="str">
        <f>IF(W1048="","",IFERROR((RANK(W1048,$W$2:$W$2028,1)+COUNTIF($W$2:W1048,W1048))-1,""))</f>
        <v/>
      </c>
      <c r="Y1048" s="134" t="str">
        <f t="shared" si="409"/>
        <v/>
      </c>
      <c r="Z1048" s="134" t="str">
        <f>IF(Y1048="","",IFERROR((RANK(Y1048,$Y$2:$Y$2028,1)+COUNTIF($Y$2:Y1048,Y1048))-1,""))</f>
        <v/>
      </c>
      <c r="AA1048" s="134" t="str">
        <f t="shared" si="410"/>
        <v/>
      </c>
      <c r="AB1048" s="134" t="str">
        <f>IF(AA1048="","",IFERROR((RANK(AA1048,$AA$2:$AA$2028,1)+COUNTIF($AA$2:AA1048,AA1048))-1,""))</f>
        <v/>
      </c>
      <c r="AC1048" s="134" t="str">
        <f t="shared" si="411"/>
        <v/>
      </c>
      <c r="AD1048" s="134" t="str">
        <f>IF(AC1048="","",IFERROR((RANK(AC1048,$AC$2:$AC$2028,1)+COUNTIF($AC$2:AC1048,AC1048))-1,""))</f>
        <v/>
      </c>
      <c r="AE1048" s="144" t="str">
        <f t="shared" si="415"/>
        <v/>
      </c>
      <c r="AF1048" s="144" t="str">
        <f>IF(AE1048="","",SUM($AE$2:AE1048))</f>
        <v/>
      </c>
    </row>
    <row r="1049" spans="14:32" x14ac:dyDescent="0.35">
      <c r="N1049" s="134" t="str">
        <f t="shared" si="413"/>
        <v/>
      </c>
      <c r="O1049" s="82" t="str">
        <f t="shared" si="404"/>
        <v/>
      </c>
      <c r="P1049" s="81" t="str">
        <f t="shared" si="414"/>
        <v/>
      </c>
      <c r="Q1049" s="81" t="str">
        <f t="shared" si="405"/>
        <v/>
      </c>
      <c r="R1049" s="135" t="str">
        <f t="shared" ca="1" si="406"/>
        <v/>
      </c>
      <c r="S1049" s="134" t="str">
        <f t="shared" ca="1" si="407"/>
        <v/>
      </c>
      <c r="T1049" s="134" t="str">
        <f ca="1">IF(S1049=Dashboard!$D$12,S1049,"")</f>
        <v/>
      </c>
      <c r="U1049" s="134" t="str">
        <f t="shared" ca="1" si="408"/>
        <v/>
      </c>
      <c r="V1049" s="83" t="str">
        <f ca="1">IF(U1049="","",IFERROR((RANK(U1049,$U$2:$U$2028,1)+COUNTIF($U$2:U1049,U1049))-1,""))</f>
        <v/>
      </c>
      <c r="W1049" s="134" t="str">
        <f t="shared" si="412"/>
        <v/>
      </c>
      <c r="X1049" s="134" t="str">
        <f>IF(W1049="","",IFERROR((RANK(W1049,$W$2:$W$2028,1)+COUNTIF($W$2:W1049,W1049))-1,""))</f>
        <v/>
      </c>
      <c r="Y1049" s="134" t="str">
        <f t="shared" si="409"/>
        <v/>
      </c>
      <c r="Z1049" s="134" t="str">
        <f>IF(Y1049="","",IFERROR((RANK(Y1049,$Y$2:$Y$2028,1)+COUNTIF($Y$2:Y1049,Y1049))-1,""))</f>
        <v/>
      </c>
      <c r="AA1049" s="134" t="str">
        <f t="shared" si="410"/>
        <v/>
      </c>
      <c r="AB1049" s="134" t="str">
        <f>IF(AA1049="","",IFERROR((RANK(AA1049,$AA$2:$AA$2028,1)+COUNTIF($AA$2:AA1049,AA1049))-1,""))</f>
        <v/>
      </c>
      <c r="AC1049" s="134" t="str">
        <f t="shared" si="411"/>
        <v/>
      </c>
      <c r="AD1049" s="134" t="str">
        <f>IF(AC1049="","",IFERROR((RANK(AC1049,$AC$2:$AC$2028,1)+COUNTIF($AC$2:AC1049,AC1049))-1,""))</f>
        <v/>
      </c>
      <c r="AE1049" s="144" t="str">
        <f t="shared" si="415"/>
        <v/>
      </c>
      <c r="AF1049" s="144" t="str">
        <f>IF(AE1049="","",SUM($AE$2:AE1049))</f>
        <v/>
      </c>
    </row>
    <row r="1050" spans="14:32" x14ac:dyDescent="0.35">
      <c r="N1050" s="134" t="str">
        <f t="shared" si="413"/>
        <v/>
      </c>
      <c r="O1050" s="82" t="str">
        <f t="shared" si="404"/>
        <v/>
      </c>
      <c r="P1050" s="81" t="str">
        <f t="shared" si="414"/>
        <v/>
      </c>
      <c r="Q1050" s="81" t="str">
        <f t="shared" si="405"/>
        <v/>
      </c>
      <c r="R1050" s="135" t="str">
        <f t="shared" ca="1" si="406"/>
        <v/>
      </c>
      <c r="S1050" s="134" t="str">
        <f t="shared" ca="1" si="407"/>
        <v/>
      </c>
      <c r="T1050" s="134" t="str">
        <f ca="1">IF(S1050=Dashboard!$D$12,S1050,"")</f>
        <v/>
      </c>
      <c r="U1050" s="134" t="str">
        <f t="shared" ca="1" si="408"/>
        <v/>
      </c>
      <c r="V1050" s="83" t="str">
        <f ca="1">IF(U1050="","",IFERROR((RANK(U1050,$U$2:$U$2028,1)+COUNTIF($U$2:U1050,U1050))-1,""))</f>
        <v/>
      </c>
      <c r="W1050" s="134" t="str">
        <f t="shared" si="412"/>
        <v/>
      </c>
      <c r="X1050" s="134" t="str">
        <f>IF(W1050="","",IFERROR((RANK(W1050,$W$2:$W$2028,1)+COUNTIF($W$2:W1050,W1050))-1,""))</f>
        <v/>
      </c>
      <c r="Y1050" s="134" t="str">
        <f t="shared" si="409"/>
        <v/>
      </c>
      <c r="Z1050" s="134" t="str">
        <f>IF(Y1050="","",IFERROR((RANK(Y1050,$Y$2:$Y$2028,1)+COUNTIF($Y$2:Y1050,Y1050))-1,""))</f>
        <v/>
      </c>
      <c r="AA1050" s="134" t="str">
        <f t="shared" si="410"/>
        <v/>
      </c>
      <c r="AB1050" s="134" t="str">
        <f>IF(AA1050="","",IFERROR((RANK(AA1050,$AA$2:$AA$2028,1)+COUNTIF($AA$2:AA1050,AA1050))-1,""))</f>
        <v/>
      </c>
      <c r="AC1050" s="134" t="str">
        <f t="shared" si="411"/>
        <v/>
      </c>
      <c r="AD1050" s="134" t="str">
        <f>IF(AC1050="","",IFERROR((RANK(AC1050,$AC$2:$AC$2028,1)+COUNTIF($AC$2:AC1050,AC1050))-1,""))</f>
        <v/>
      </c>
      <c r="AE1050" s="144" t="str">
        <f t="shared" si="415"/>
        <v/>
      </c>
      <c r="AF1050" s="144" t="str">
        <f>IF(AE1050="","",SUM($AE$2:AE1050))</f>
        <v/>
      </c>
    </row>
    <row r="1051" spans="14:32" x14ac:dyDescent="0.35">
      <c r="N1051" s="134" t="str">
        <f t="shared" si="413"/>
        <v/>
      </c>
      <c r="O1051" s="82" t="str">
        <f t="shared" si="404"/>
        <v/>
      </c>
      <c r="P1051" s="81" t="str">
        <f t="shared" si="414"/>
        <v/>
      </c>
      <c r="Q1051" s="81" t="str">
        <f t="shared" si="405"/>
        <v/>
      </c>
      <c r="R1051" s="135" t="str">
        <f t="shared" ca="1" si="406"/>
        <v/>
      </c>
      <c r="S1051" s="134" t="str">
        <f t="shared" ca="1" si="407"/>
        <v/>
      </c>
      <c r="T1051" s="134" t="str">
        <f ca="1">IF(S1051=Dashboard!$D$12,S1051,"")</f>
        <v/>
      </c>
      <c r="U1051" s="134" t="str">
        <f t="shared" ca="1" si="408"/>
        <v/>
      </c>
      <c r="V1051" s="83" t="str">
        <f ca="1">IF(U1051="","",IFERROR((RANK(U1051,$U$2:$U$2028,1)+COUNTIF($U$2:U1051,U1051))-1,""))</f>
        <v/>
      </c>
      <c r="W1051" s="134" t="str">
        <f t="shared" si="412"/>
        <v/>
      </c>
      <c r="X1051" s="134" t="str">
        <f>IF(W1051="","",IFERROR((RANK(W1051,$W$2:$W$2028,1)+COUNTIF($W$2:W1051,W1051))-1,""))</f>
        <v/>
      </c>
      <c r="Y1051" s="134" t="str">
        <f t="shared" si="409"/>
        <v/>
      </c>
      <c r="Z1051" s="134" t="str">
        <f>IF(Y1051="","",IFERROR((RANK(Y1051,$Y$2:$Y$2028,1)+COUNTIF($Y$2:Y1051,Y1051))-1,""))</f>
        <v/>
      </c>
      <c r="AA1051" s="134" t="str">
        <f t="shared" si="410"/>
        <v/>
      </c>
      <c r="AB1051" s="134" t="str">
        <f>IF(AA1051="","",IFERROR((RANK(AA1051,$AA$2:$AA$2028,1)+COUNTIF($AA$2:AA1051,AA1051))-1,""))</f>
        <v/>
      </c>
      <c r="AC1051" s="134" t="str">
        <f t="shared" si="411"/>
        <v/>
      </c>
      <c r="AD1051" s="134" t="str">
        <f>IF(AC1051="","",IFERROR((RANK(AC1051,$AC$2:$AC$2028,1)+COUNTIF($AC$2:AC1051,AC1051))-1,""))</f>
        <v/>
      </c>
      <c r="AE1051" s="144" t="str">
        <f t="shared" si="415"/>
        <v/>
      </c>
      <c r="AF1051" s="144" t="str">
        <f>IF(AE1051="","",SUM($AE$2:AE1051))</f>
        <v/>
      </c>
    </row>
    <row r="1052" spans="14:32" x14ac:dyDescent="0.35">
      <c r="N1052" s="134" t="str">
        <f t="shared" si="413"/>
        <v/>
      </c>
      <c r="O1052" s="82" t="str">
        <f t="shared" si="404"/>
        <v/>
      </c>
      <c r="P1052" s="81" t="str">
        <f t="shared" si="414"/>
        <v/>
      </c>
      <c r="Q1052" s="81" t="str">
        <f t="shared" si="405"/>
        <v/>
      </c>
      <c r="R1052" s="135" t="str">
        <f t="shared" ca="1" si="406"/>
        <v/>
      </c>
      <c r="S1052" s="134" t="str">
        <f t="shared" ca="1" si="407"/>
        <v/>
      </c>
      <c r="T1052" s="134" t="str">
        <f ca="1">IF(S1052=Dashboard!$D$12,S1052,"")</f>
        <v/>
      </c>
      <c r="U1052" s="134" t="str">
        <f t="shared" ca="1" si="408"/>
        <v/>
      </c>
      <c r="V1052" s="83" t="str">
        <f ca="1">IF(U1052="","",IFERROR((RANK(U1052,$U$2:$U$2028,1)+COUNTIF($U$2:U1052,U1052))-1,""))</f>
        <v/>
      </c>
      <c r="W1052" s="134" t="str">
        <f t="shared" si="412"/>
        <v/>
      </c>
      <c r="X1052" s="134" t="str">
        <f>IF(W1052="","",IFERROR((RANK(W1052,$W$2:$W$2028,1)+COUNTIF($W$2:W1052,W1052))-1,""))</f>
        <v/>
      </c>
      <c r="Y1052" s="134" t="str">
        <f t="shared" si="409"/>
        <v/>
      </c>
      <c r="Z1052" s="134" t="str">
        <f>IF(Y1052="","",IFERROR((RANK(Y1052,$Y$2:$Y$2028,1)+COUNTIF($Y$2:Y1052,Y1052))-1,""))</f>
        <v/>
      </c>
      <c r="AA1052" s="134" t="str">
        <f t="shared" si="410"/>
        <v/>
      </c>
      <c r="AB1052" s="134" t="str">
        <f>IF(AA1052="","",IFERROR((RANK(AA1052,$AA$2:$AA$2028,1)+COUNTIF($AA$2:AA1052,AA1052))-1,""))</f>
        <v/>
      </c>
      <c r="AC1052" s="134" t="str">
        <f t="shared" si="411"/>
        <v/>
      </c>
      <c r="AD1052" s="134" t="str">
        <f>IF(AC1052="","",IFERROR((RANK(AC1052,$AC$2:$AC$2028,1)+COUNTIF($AC$2:AC1052,AC1052))-1,""))</f>
        <v/>
      </c>
      <c r="AE1052" s="144" t="str">
        <f t="shared" si="415"/>
        <v/>
      </c>
      <c r="AF1052" s="144" t="str">
        <f>IF(AE1052="","",SUM($AE$2:AE1052))</f>
        <v/>
      </c>
    </row>
    <row r="1053" spans="14:32" x14ac:dyDescent="0.35">
      <c r="N1053" s="134" t="str">
        <f t="shared" si="413"/>
        <v/>
      </c>
      <c r="O1053" s="82" t="str">
        <f t="shared" si="404"/>
        <v/>
      </c>
      <c r="P1053" s="81" t="str">
        <f t="shared" si="414"/>
        <v/>
      </c>
      <c r="Q1053" s="81" t="str">
        <f t="shared" si="405"/>
        <v/>
      </c>
      <c r="R1053" s="135" t="str">
        <f t="shared" ca="1" si="406"/>
        <v/>
      </c>
      <c r="S1053" s="134" t="str">
        <f t="shared" ca="1" si="407"/>
        <v/>
      </c>
      <c r="T1053" s="134" t="str">
        <f ca="1">IF(S1053=Dashboard!$D$12,S1053,"")</f>
        <v/>
      </c>
      <c r="U1053" s="134" t="str">
        <f t="shared" ca="1" si="408"/>
        <v/>
      </c>
      <c r="V1053" s="83" t="str">
        <f ca="1">IF(U1053="","",IFERROR((RANK(U1053,$U$2:$U$2028,1)+COUNTIF($U$2:U1053,U1053))-1,""))</f>
        <v/>
      </c>
      <c r="W1053" s="134" t="str">
        <f t="shared" si="412"/>
        <v/>
      </c>
      <c r="X1053" s="134" t="str">
        <f>IF(W1053="","",IFERROR((RANK(W1053,$W$2:$W$2028,1)+COUNTIF($W$2:W1053,W1053))-1,""))</f>
        <v/>
      </c>
      <c r="Y1053" s="134" t="str">
        <f t="shared" si="409"/>
        <v/>
      </c>
      <c r="Z1053" s="134" t="str">
        <f>IF(Y1053="","",IFERROR((RANK(Y1053,$Y$2:$Y$2028,1)+COUNTIF($Y$2:Y1053,Y1053))-1,""))</f>
        <v/>
      </c>
      <c r="AA1053" s="134" t="str">
        <f t="shared" si="410"/>
        <v/>
      </c>
      <c r="AB1053" s="134" t="str">
        <f>IF(AA1053="","",IFERROR((RANK(AA1053,$AA$2:$AA$2028,1)+COUNTIF($AA$2:AA1053,AA1053))-1,""))</f>
        <v/>
      </c>
      <c r="AC1053" s="134" t="str">
        <f t="shared" si="411"/>
        <v/>
      </c>
      <c r="AD1053" s="134" t="str">
        <f>IF(AC1053="","",IFERROR((RANK(AC1053,$AC$2:$AC$2028,1)+COUNTIF($AC$2:AC1053,AC1053))-1,""))</f>
        <v/>
      </c>
      <c r="AE1053" s="144" t="str">
        <f t="shared" si="415"/>
        <v/>
      </c>
      <c r="AF1053" s="144" t="str">
        <f>IF(AE1053="","",SUM($AE$2:AE1053))</f>
        <v/>
      </c>
    </row>
    <row r="1054" spans="14:32" x14ac:dyDescent="0.35">
      <c r="N1054" s="134" t="str">
        <f t="shared" si="413"/>
        <v/>
      </c>
      <c r="O1054" s="82" t="str">
        <f t="shared" ref="O1054:O1117" si="416">IF(A1054="","",N1054&amp;"-"&amp;M1054)</f>
        <v/>
      </c>
      <c r="P1054" s="81" t="str">
        <f t="shared" si="414"/>
        <v/>
      </c>
      <c r="Q1054" s="81" t="str">
        <f t="shared" ref="Q1054:Q1117" si="417">IF(A1054="","",IF(P1054=1,M1054,""))</f>
        <v/>
      </c>
      <c r="R1054" s="135" t="str">
        <f t="shared" ref="R1054:R1117" ca="1" si="418">IF(Q1054="","",I1054-TODAY())</f>
        <v/>
      </c>
      <c r="S1054" s="134" t="str">
        <f t="shared" ref="S1054:S1117" ca="1" si="419">IF(R1054="","",
IF(R1054&lt;-90,"Pass&gt;90",IF(R1054&lt;-60,"Pass 61-90",IF(R1054&lt;-30,"Pass 31-60",IF(R1054&lt;0,"Pass 0-30",IF(R1054&lt;31,"Run 0-30",IF(R1054&lt;61,"Run 31-60",IF(R1054&lt;91,"Run 60-90","Run &gt;90"))))))))</f>
        <v/>
      </c>
      <c r="T1054" s="134" t="str">
        <f ca="1">IF(S1054=Dashboard!$D$12,S1054,"")</f>
        <v/>
      </c>
      <c r="U1054" s="134" t="str">
        <f t="shared" ref="U1054:U1117" ca="1" si="420">IF(T1054="","",R1054)</f>
        <v/>
      </c>
      <c r="V1054" s="83" t="str">
        <f ca="1">IF(U1054="","",IFERROR((RANK(U1054,$U$2:$U$2028,1)+COUNTIF($U$2:U1054,U1054))-1,""))</f>
        <v/>
      </c>
      <c r="W1054" s="134" t="str">
        <f t="shared" si="412"/>
        <v/>
      </c>
      <c r="X1054" s="134" t="str">
        <f>IF(W1054="","",IFERROR((RANK(W1054,$W$2:$W$2028,1)+COUNTIF($W$2:W1054,W1054))-1,""))</f>
        <v/>
      </c>
      <c r="Y1054" s="134" t="str">
        <f t="shared" ref="Y1054:Y1117" si="421">IF($J1054=Y$1,$U1054,"")</f>
        <v/>
      </c>
      <c r="Z1054" s="134" t="str">
        <f>IF(Y1054="","",IFERROR((RANK(Y1054,$Y$2:$Y$2028,1)+COUNTIF($Y$2:Y1054,Y1054))-1,""))</f>
        <v/>
      </c>
      <c r="AA1054" s="134" t="str">
        <f t="shared" ref="AA1054:AA1117" si="422">IF($J1054=AA$1,$U1054,"")</f>
        <v/>
      </c>
      <c r="AB1054" s="134" t="str">
        <f>IF(AA1054="","",IFERROR((RANK(AA1054,$AA$2:$AA$2028,1)+COUNTIF($AA$2:AA1054,AA1054))-1,""))</f>
        <v/>
      </c>
      <c r="AC1054" s="134" t="str">
        <f t="shared" ref="AC1054:AC1117" si="423">IF($J1054=AC$1,$U1054,"")</f>
        <v/>
      </c>
      <c r="AD1054" s="134" t="str">
        <f>IF(AC1054="","",IFERROR((RANK(AC1054,$AC$2:$AC$2028,1)+COUNTIF($AC$2:AC1054,AC1054))-1,""))</f>
        <v/>
      </c>
      <c r="AE1054" s="144" t="str">
        <f t="shared" si="415"/>
        <v/>
      </c>
      <c r="AF1054" s="144" t="str">
        <f>IF(AE1054="","",SUM($AE$2:AE1054))</f>
        <v/>
      </c>
    </row>
    <row r="1055" spans="14:32" x14ac:dyDescent="0.35">
      <c r="N1055" s="134" t="str">
        <f t="shared" si="413"/>
        <v/>
      </c>
      <c r="O1055" s="82" t="str">
        <f t="shared" si="416"/>
        <v/>
      </c>
      <c r="P1055" s="81" t="str">
        <f t="shared" si="414"/>
        <v/>
      </c>
      <c r="Q1055" s="81" t="str">
        <f t="shared" si="417"/>
        <v/>
      </c>
      <c r="R1055" s="135" t="str">
        <f t="shared" ca="1" si="418"/>
        <v/>
      </c>
      <c r="S1055" s="134" t="str">
        <f t="shared" ca="1" si="419"/>
        <v/>
      </c>
      <c r="T1055" s="134" t="str">
        <f ca="1">IF(S1055=Dashboard!$D$12,S1055,"")</f>
        <v/>
      </c>
      <c r="U1055" s="134" t="str">
        <f t="shared" ca="1" si="420"/>
        <v/>
      </c>
      <c r="V1055" s="83" t="str">
        <f ca="1">IF(U1055="","",IFERROR((RANK(U1055,$U$2:$U$2028,1)+COUNTIF($U$2:U1055,U1055))-1,""))</f>
        <v/>
      </c>
      <c r="W1055" s="134" t="str">
        <f t="shared" ref="W1055:W1118" si="424">IF($J1055=$W$1,U1055,"")</f>
        <v/>
      </c>
      <c r="X1055" s="134" t="str">
        <f>IF(W1055="","",IFERROR((RANK(W1055,$W$2:$W$2028,1)+COUNTIF($W$2:W1055,W1055))-1,""))</f>
        <v/>
      </c>
      <c r="Y1055" s="134" t="str">
        <f t="shared" si="421"/>
        <v/>
      </c>
      <c r="Z1055" s="134" t="str">
        <f>IF(Y1055="","",IFERROR((RANK(Y1055,$Y$2:$Y$2028,1)+COUNTIF($Y$2:Y1055,Y1055))-1,""))</f>
        <v/>
      </c>
      <c r="AA1055" s="134" t="str">
        <f t="shared" si="422"/>
        <v/>
      </c>
      <c r="AB1055" s="134" t="str">
        <f>IF(AA1055="","",IFERROR((RANK(AA1055,$AA$2:$AA$2028,1)+COUNTIF($AA$2:AA1055,AA1055))-1,""))</f>
        <v/>
      </c>
      <c r="AC1055" s="134" t="str">
        <f t="shared" si="423"/>
        <v/>
      </c>
      <c r="AD1055" s="134" t="str">
        <f>IF(AC1055="","",IFERROR((RANK(AC1055,$AC$2:$AC$2028,1)+COUNTIF($AC$2:AC1055,AC1055))-1,""))</f>
        <v/>
      </c>
      <c r="AE1055" s="144" t="str">
        <f t="shared" si="415"/>
        <v/>
      </c>
      <c r="AF1055" s="144" t="str">
        <f>IF(AE1055="","",SUM($AE$2:AE1055))</f>
        <v/>
      </c>
    </row>
    <row r="1056" spans="14:32" x14ac:dyDescent="0.35">
      <c r="N1056" s="134" t="str">
        <f t="shared" si="413"/>
        <v/>
      </c>
      <c r="O1056" s="82" t="str">
        <f t="shared" si="416"/>
        <v/>
      </c>
      <c r="P1056" s="81" t="str">
        <f t="shared" si="414"/>
        <v/>
      </c>
      <c r="Q1056" s="81" t="str">
        <f t="shared" si="417"/>
        <v/>
      </c>
      <c r="R1056" s="135" t="str">
        <f t="shared" ca="1" si="418"/>
        <v/>
      </c>
      <c r="S1056" s="134" t="str">
        <f t="shared" ca="1" si="419"/>
        <v/>
      </c>
      <c r="T1056" s="134" t="str">
        <f ca="1">IF(S1056=Dashboard!$D$12,S1056,"")</f>
        <v/>
      </c>
      <c r="U1056" s="134" t="str">
        <f t="shared" ca="1" si="420"/>
        <v/>
      </c>
      <c r="V1056" s="83" t="str">
        <f ca="1">IF(U1056="","",IFERROR((RANK(U1056,$U$2:$U$2028,1)+COUNTIF($U$2:U1056,U1056))-1,""))</f>
        <v/>
      </c>
      <c r="W1056" s="134" t="str">
        <f t="shared" si="424"/>
        <v/>
      </c>
      <c r="X1056" s="134" t="str">
        <f>IF(W1056="","",IFERROR((RANK(W1056,$W$2:$W$2028,1)+COUNTIF($W$2:W1056,W1056))-1,""))</f>
        <v/>
      </c>
      <c r="Y1056" s="134" t="str">
        <f t="shared" si="421"/>
        <v/>
      </c>
      <c r="Z1056" s="134" t="str">
        <f>IF(Y1056="","",IFERROR((RANK(Y1056,$Y$2:$Y$2028,1)+COUNTIF($Y$2:Y1056,Y1056))-1,""))</f>
        <v/>
      </c>
      <c r="AA1056" s="134" t="str">
        <f t="shared" si="422"/>
        <v/>
      </c>
      <c r="AB1056" s="134" t="str">
        <f>IF(AA1056="","",IFERROR((RANK(AA1056,$AA$2:$AA$2028,1)+COUNTIF($AA$2:AA1056,AA1056))-1,""))</f>
        <v/>
      </c>
      <c r="AC1056" s="134" t="str">
        <f t="shared" si="423"/>
        <v/>
      </c>
      <c r="AD1056" s="134" t="str">
        <f>IF(AC1056="","",IFERROR((RANK(AC1056,$AC$2:$AC$2028,1)+COUNTIF($AC$2:AC1056,AC1056))-1,""))</f>
        <v/>
      </c>
      <c r="AE1056" s="144" t="str">
        <f t="shared" si="415"/>
        <v/>
      </c>
      <c r="AF1056" s="144" t="str">
        <f>IF(AE1056="","",SUM($AE$2:AE1056))</f>
        <v/>
      </c>
    </row>
    <row r="1057" spans="14:32" x14ac:dyDescent="0.35">
      <c r="N1057" s="134" t="str">
        <f t="shared" si="413"/>
        <v/>
      </c>
      <c r="O1057" s="82" t="str">
        <f t="shared" si="416"/>
        <v/>
      </c>
      <c r="P1057" s="81" t="str">
        <f t="shared" si="414"/>
        <v/>
      </c>
      <c r="Q1057" s="81" t="str">
        <f t="shared" si="417"/>
        <v/>
      </c>
      <c r="R1057" s="135" t="str">
        <f t="shared" ca="1" si="418"/>
        <v/>
      </c>
      <c r="S1057" s="134" t="str">
        <f t="shared" ca="1" si="419"/>
        <v/>
      </c>
      <c r="T1057" s="134" t="str">
        <f ca="1">IF(S1057=Dashboard!$D$12,S1057,"")</f>
        <v/>
      </c>
      <c r="U1057" s="134" t="str">
        <f t="shared" ca="1" si="420"/>
        <v/>
      </c>
      <c r="V1057" s="83" t="str">
        <f ca="1">IF(U1057="","",IFERROR((RANK(U1057,$U$2:$U$2028,1)+COUNTIF($U$2:U1057,U1057))-1,""))</f>
        <v/>
      </c>
      <c r="W1057" s="134" t="str">
        <f t="shared" si="424"/>
        <v/>
      </c>
      <c r="X1057" s="134" t="str">
        <f>IF(W1057="","",IFERROR((RANK(W1057,$W$2:$W$2028,1)+COUNTIF($W$2:W1057,W1057))-1,""))</f>
        <v/>
      </c>
      <c r="Y1057" s="134" t="str">
        <f t="shared" si="421"/>
        <v/>
      </c>
      <c r="Z1057" s="134" t="str">
        <f>IF(Y1057="","",IFERROR((RANK(Y1057,$Y$2:$Y$2028,1)+COUNTIF($Y$2:Y1057,Y1057))-1,""))</f>
        <v/>
      </c>
      <c r="AA1057" s="134" t="str">
        <f t="shared" si="422"/>
        <v/>
      </c>
      <c r="AB1057" s="134" t="str">
        <f>IF(AA1057="","",IFERROR((RANK(AA1057,$AA$2:$AA$2028,1)+COUNTIF($AA$2:AA1057,AA1057))-1,""))</f>
        <v/>
      </c>
      <c r="AC1057" s="134" t="str">
        <f t="shared" si="423"/>
        <v/>
      </c>
      <c r="AD1057" s="134" t="str">
        <f>IF(AC1057="","",IFERROR((RANK(AC1057,$AC$2:$AC$2028,1)+COUNTIF($AC$2:AC1057,AC1057))-1,""))</f>
        <v/>
      </c>
      <c r="AE1057" s="144" t="str">
        <f t="shared" si="415"/>
        <v/>
      </c>
      <c r="AF1057" s="144" t="str">
        <f>IF(AE1057="","",SUM($AE$2:AE1057))</f>
        <v/>
      </c>
    </row>
    <row r="1058" spans="14:32" x14ac:dyDescent="0.35">
      <c r="N1058" s="134" t="str">
        <f t="shared" si="413"/>
        <v/>
      </c>
      <c r="O1058" s="82" t="str">
        <f t="shared" si="416"/>
        <v/>
      </c>
      <c r="P1058" s="81" t="str">
        <f t="shared" si="414"/>
        <v/>
      </c>
      <c r="Q1058" s="81" t="str">
        <f t="shared" si="417"/>
        <v/>
      </c>
      <c r="R1058" s="135" t="str">
        <f t="shared" ca="1" si="418"/>
        <v/>
      </c>
      <c r="S1058" s="134" t="str">
        <f t="shared" ca="1" si="419"/>
        <v/>
      </c>
      <c r="T1058" s="134" t="str">
        <f ca="1">IF(S1058=Dashboard!$D$12,S1058,"")</f>
        <v/>
      </c>
      <c r="U1058" s="134" t="str">
        <f t="shared" ca="1" si="420"/>
        <v/>
      </c>
      <c r="V1058" s="83" t="str">
        <f ca="1">IF(U1058="","",IFERROR((RANK(U1058,$U$2:$U$2028,1)+COUNTIF($U$2:U1058,U1058))-1,""))</f>
        <v/>
      </c>
      <c r="W1058" s="134" t="str">
        <f t="shared" si="424"/>
        <v/>
      </c>
      <c r="X1058" s="134" t="str">
        <f>IF(W1058="","",IFERROR((RANK(W1058,$W$2:$W$2028,1)+COUNTIF($W$2:W1058,W1058))-1,""))</f>
        <v/>
      </c>
      <c r="Y1058" s="134" t="str">
        <f t="shared" si="421"/>
        <v/>
      </c>
      <c r="Z1058" s="134" t="str">
        <f>IF(Y1058="","",IFERROR((RANK(Y1058,$Y$2:$Y$2028,1)+COUNTIF($Y$2:Y1058,Y1058))-1,""))</f>
        <v/>
      </c>
      <c r="AA1058" s="134" t="str">
        <f t="shared" si="422"/>
        <v/>
      </c>
      <c r="AB1058" s="134" t="str">
        <f>IF(AA1058="","",IFERROR((RANK(AA1058,$AA$2:$AA$2028,1)+COUNTIF($AA$2:AA1058,AA1058))-1,""))</f>
        <v/>
      </c>
      <c r="AC1058" s="134" t="str">
        <f t="shared" si="423"/>
        <v/>
      </c>
      <c r="AD1058" s="134" t="str">
        <f>IF(AC1058="","",IFERROR((RANK(AC1058,$AC$2:$AC$2028,1)+COUNTIF($AC$2:AC1058,AC1058))-1,""))</f>
        <v/>
      </c>
      <c r="AE1058" s="144" t="str">
        <f t="shared" si="415"/>
        <v/>
      </c>
      <c r="AF1058" s="144" t="str">
        <f>IF(AE1058="","",SUM($AE$2:AE1058))</f>
        <v/>
      </c>
    </row>
    <row r="1059" spans="14:32" x14ac:dyDescent="0.35">
      <c r="N1059" s="134" t="str">
        <f t="shared" si="413"/>
        <v/>
      </c>
      <c r="O1059" s="82" t="str">
        <f t="shared" si="416"/>
        <v/>
      </c>
      <c r="P1059" s="81" t="str">
        <f t="shared" si="414"/>
        <v/>
      </c>
      <c r="Q1059" s="81" t="str">
        <f t="shared" si="417"/>
        <v/>
      </c>
      <c r="R1059" s="135" t="str">
        <f t="shared" ca="1" si="418"/>
        <v/>
      </c>
      <c r="S1059" s="134" t="str">
        <f t="shared" ca="1" si="419"/>
        <v/>
      </c>
      <c r="T1059" s="134" t="str">
        <f ca="1">IF(S1059=Dashboard!$D$12,S1059,"")</f>
        <v/>
      </c>
      <c r="U1059" s="134" t="str">
        <f t="shared" ca="1" si="420"/>
        <v/>
      </c>
      <c r="V1059" s="83" t="str">
        <f ca="1">IF(U1059="","",IFERROR((RANK(U1059,$U$2:$U$2028,1)+COUNTIF($U$2:U1059,U1059))-1,""))</f>
        <v/>
      </c>
      <c r="W1059" s="134" t="str">
        <f t="shared" si="424"/>
        <v/>
      </c>
      <c r="X1059" s="134" t="str">
        <f>IF(W1059="","",IFERROR((RANK(W1059,$W$2:$W$2028,1)+COUNTIF($W$2:W1059,W1059))-1,""))</f>
        <v/>
      </c>
      <c r="Y1059" s="134" t="str">
        <f t="shared" si="421"/>
        <v/>
      </c>
      <c r="Z1059" s="134" t="str">
        <f>IF(Y1059="","",IFERROR((RANK(Y1059,$Y$2:$Y$2028,1)+COUNTIF($Y$2:Y1059,Y1059))-1,""))</f>
        <v/>
      </c>
      <c r="AA1059" s="134" t="str">
        <f t="shared" si="422"/>
        <v/>
      </c>
      <c r="AB1059" s="134" t="str">
        <f>IF(AA1059="","",IFERROR((RANK(AA1059,$AA$2:$AA$2028,1)+COUNTIF($AA$2:AA1059,AA1059))-1,""))</f>
        <v/>
      </c>
      <c r="AC1059" s="134" t="str">
        <f t="shared" si="423"/>
        <v/>
      </c>
      <c r="AD1059" s="134" t="str">
        <f>IF(AC1059="","",IFERROR((RANK(AC1059,$AC$2:$AC$2028,1)+COUNTIF($AC$2:AC1059,AC1059))-1,""))</f>
        <v/>
      </c>
      <c r="AE1059" s="144" t="str">
        <f t="shared" si="415"/>
        <v/>
      </c>
      <c r="AF1059" s="144" t="str">
        <f>IF(AE1059="","",SUM($AE$2:AE1059))</f>
        <v/>
      </c>
    </row>
    <row r="1060" spans="14:32" x14ac:dyDescent="0.35">
      <c r="N1060" s="134" t="str">
        <f t="shared" si="413"/>
        <v/>
      </c>
      <c r="O1060" s="82" t="str">
        <f t="shared" si="416"/>
        <v/>
      </c>
      <c r="P1060" s="81" t="str">
        <f t="shared" si="414"/>
        <v/>
      </c>
      <c r="Q1060" s="81" t="str">
        <f t="shared" si="417"/>
        <v/>
      </c>
      <c r="R1060" s="135" t="str">
        <f t="shared" ca="1" si="418"/>
        <v/>
      </c>
      <c r="S1060" s="134" t="str">
        <f t="shared" ca="1" si="419"/>
        <v/>
      </c>
      <c r="T1060" s="134" t="str">
        <f ca="1">IF(S1060=Dashboard!$D$12,S1060,"")</f>
        <v/>
      </c>
      <c r="U1060" s="134" t="str">
        <f t="shared" ca="1" si="420"/>
        <v/>
      </c>
      <c r="V1060" s="83" t="str">
        <f ca="1">IF(U1060="","",IFERROR((RANK(U1060,$U$2:$U$2028,1)+COUNTIF($U$2:U1060,U1060))-1,""))</f>
        <v/>
      </c>
      <c r="W1060" s="134" t="str">
        <f t="shared" si="424"/>
        <v/>
      </c>
      <c r="X1060" s="134" t="str">
        <f>IF(W1060="","",IFERROR((RANK(W1060,$W$2:$W$2028,1)+COUNTIF($W$2:W1060,W1060))-1,""))</f>
        <v/>
      </c>
      <c r="Y1060" s="134" t="str">
        <f t="shared" si="421"/>
        <v/>
      </c>
      <c r="Z1060" s="134" t="str">
        <f>IF(Y1060="","",IFERROR((RANK(Y1060,$Y$2:$Y$2028,1)+COUNTIF($Y$2:Y1060,Y1060))-1,""))</f>
        <v/>
      </c>
      <c r="AA1060" s="134" t="str">
        <f t="shared" si="422"/>
        <v/>
      </c>
      <c r="AB1060" s="134" t="str">
        <f>IF(AA1060="","",IFERROR((RANK(AA1060,$AA$2:$AA$2028,1)+COUNTIF($AA$2:AA1060,AA1060))-1,""))</f>
        <v/>
      </c>
      <c r="AC1060" s="134" t="str">
        <f t="shared" si="423"/>
        <v/>
      </c>
      <c r="AD1060" s="134" t="str">
        <f>IF(AC1060="","",IFERROR((RANK(AC1060,$AC$2:$AC$2028,1)+COUNTIF($AC$2:AC1060,AC1060))-1,""))</f>
        <v/>
      </c>
      <c r="AE1060" s="144" t="str">
        <f t="shared" si="415"/>
        <v/>
      </c>
      <c r="AF1060" s="144" t="str">
        <f>IF(AE1060="","",SUM($AE$2:AE1060))</f>
        <v/>
      </c>
    </row>
    <row r="1061" spans="14:32" x14ac:dyDescent="0.35">
      <c r="N1061" s="134" t="str">
        <f t="shared" si="413"/>
        <v/>
      </c>
      <c r="O1061" s="82" t="str">
        <f t="shared" si="416"/>
        <v/>
      </c>
      <c r="P1061" s="81" t="str">
        <f t="shared" si="414"/>
        <v/>
      </c>
      <c r="Q1061" s="81" t="str">
        <f t="shared" si="417"/>
        <v/>
      </c>
      <c r="R1061" s="135" t="str">
        <f t="shared" ca="1" si="418"/>
        <v/>
      </c>
      <c r="S1061" s="134" t="str">
        <f t="shared" ca="1" si="419"/>
        <v/>
      </c>
      <c r="T1061" s="134" t="str">
        <f ca="1">IF(S1061=Dashboard!$D$12,S1061,"")</f>
        <v/>
      </c>
      <c r="U1061" s="134" t="str">
        <f t="shared" ca="1" si="420"/>
        <v/>
      </c>
      <c r="V1061" s="83" t="str">
        <f ca="1">IF(U1061="","",IFERROR((RANK(U1061,$U$2:$U$2028,1)+COUNTIF($U$2:U1061,U1061))-1,""))</f>
        <v/>
      </c>
      <c r="W1061" s="134" t="str">
        <f t="shared" si="424"/>
        <v/>
      </c>
      <c r="X1061" s="134" t="str">
        <f>IF(W1061="","",IFERROR((RANK(W1061,$W$2:$W$2028,1)+COUNTIF($W$2:W1061,W1061))-1,""))</f>
        <v/>
      </c>
      <c r="Y1061" s="134" t="str">
        <f t="shared" si="421"/>
        <v/>
      </c>
      <c r="Z1061" s="134" t="str">
        <f>IF(Y1061="","",IFERROR((RANK(Y1061,$Y$2:$Y$2028,1)+COUNTIF($Y$2:Y1061,Y1061))-1,""))</f>
        <v/>
      </c>
      <c r="AA1061" s="134" t="str">
        <f t="shared" si="422"/>
        <v/>
      </c>
      <c r="AB1061" s="134" t="str">
        <f>IF(AA1061="","",IFERROR((RANK(AA1061,$AA$2:$AA$2028,1)+COUNTIF($AA$2:AA1061,AA1061))-1,""))</f>
        <v/>
      </c>
      <c r="AC1061" s="134" t="str">
        <f t="shared" si="423"/>
        <v/>
      </c>
      <c r="AD1061" s="134" t="str">
        <f>IF(AC1061="","",IFERROR((RANK(AC1061,$AC$2:$AC$2028,1)+COUNTIF($AC$2:AC1061,AC1061))-1,""))</f>
        <v/>
      </c>
      <c r="AE1061" s="144" t="str">
        <f t="shared" si="415"/>
        <v/>
      </c>
      <c r="AF1061" s="144" t="str">
        <f>IF(AE1061="","",SUM($AE$2:AE1061))</f>
        <v/>
      </c>
    </row>
    <row r="1062" spans="14:32" x14ac:dyDescent="0.35">
      <c r="N1062" s="134" t="str">
        <f t="shared" si="413"/>
        <v/>
      </c>
      <c r="O1062" s="82" t="str">
        <f t="shared" si="416"/>
        <v/>
      </c>
      <c r="P1062" s="81" t="str">
        <f t="shared" si="414"/>
        <v/>
      </c>
      <c r="Q1062" s="81" t="str">
        <f t="shared" si="417"/>
        <v/>
      </c>
      <c r="R1062" s="135" t="str">
        <f t="shared" ca="1" si="418"/>
        <v/>
      </c>
      <c r="S1062" s="134" t="str">
        <f t="shared" ca="1" si="419"/>
        <v/>
      </c>
      <c r="T1062" s="134" t="str">
        <f ca="1">IF(S1062=Dashboard!$D$12,S1062,"")</f>
        <v/>
      </c>
      <c r="U1062" s="134" t="str">
        <f t="shared" ca="1" si="420"/>
        <v/>
      </c>
      <c r="V1062" s="83" t="str">
        <f ca="1">IF(U1062="","",IFERROR((RANK(U1062,$U$2:$U$2028,1)+COUNTIF($U$2:U1062,U1062))-1,""))</f>
        <v/>
      </c>
      <c r="W1062" s="134" t="str">
        <f t="shared" si="424"/>
        <v/>
      </c>
      <c r="X1062" s="134" t="str">
        <f>IF(W1062="","",IFERROR((RANK(W1062,$W$2:$W$2028,1)+COUNTIF($W$2:W1062,W1062))-1,""))</f>
        <v/>
      </c>
      <c r="Y1062" s="134" t="str">
        <f t="shared" si="421"/>
        <v/>
      </c>
      <c r="Z1062" s="134" t="str">
        <f>IF(Y1062="","",IFERROR((RANK(Y1062,$Y$2:$Y$2028,1)+COUNTIF($Y$2:Y1062,Y1062))-1,""))</f>
        <v/>
      </c>
      <c r="AA1062" s="134" t="str">
        <f t="shared" si="422"/>
        <v/>
      </c>
      <c r="AB1062" s="134" t="str">
        <f>IF(AA1062="","",IFERROR((RANK(AA1062,$AA$2:$AA$2028,1)+COUNTIF($AA$2:AA1062,AA1062))-1,""))</f>
        <v/>
      </c>
      <c r="AC1062" s="134" t="str">
        <f t="shared" si="423"/>
        <v/>
      </c>
      <c r="AD1062" s="134" t="str">
        <f>IF(AC1062="","",IFERROR((RANK(AC1062,$AC$2:$AC$2028,1)+COUNTIF($AC$2:AC1062,AC1062))-1,""))</f>
        <v/>
      </c>
      <c r="AE1062" s="144" t="str">
        <f t="shared" si="415"/>
        <v/>
      </c>
      <c r="AF1062" s="144" t="str">
        <f>IF(AE1062="","",SUM($AE$2:AE1062))</f>
        <v/>
      </c>
    </row>
    <row r="1063" spans="14:32" x14ac:dyDescent="0.35">
      <c r="N1063" s="134" t="str">
        <f t="shared" si="413"/>
        <v/>
      </c>
      <c r="O1063" s="82" t="str">
        <f t="shared" si="416"/>
        <v/>
      </c>
      <c r="P1063" s="81" t="str">
        <f t="shared" si="414"/>
        <v/>
      </c>
      <c r="Q1063" s="81" t="str">
        <f t="shared" si="417"/>
        <v/>
      </c>
      <c r="R1063" s="135" t="str">
        <f t="shared" ca="1" si="418"/>
        <v/>
      </c>
      <c r="S1063" s="134" t="str">
        <f t="shared" ca="1" si="419"/>
        <v/>
      </c>
      <c r="T1063" s="134" t="str">
        <f ca="1">IF(S1063=Dashboard!$D$12,S1063,"")</f>
        <v/>
      </c>
      <c r="U1063" s="134" t="str">
        <f t="shared" ca="1" si="420"/>
        <v/>
      </c>
      <c r="V1063" s="83" t="str">
        <f ca="1">IF(U1063="","",IFERROR((RANK(U1063,$U$2:$U$2028,1)+COUNTIF($U$2:U1063,U1063))-1,""))</f>
        <v/>
      </c>
      <c r="W1063" s="134" t="str">
        <f t="shared" si="424"/>
        <v/>
      </c>
      <c r="X1063" s="134" t="str">
        <f>IF(W1063="","",IFERROR((RANK(W1063,$W$2:$W$2028,1)+COUNTIF($W$2:W1063,W1063))-1,""))</f>
        <v/>
      </c>
      <c r="Y1063" s="134" t="str">
        <f t="shared" si="421"/>
        <v/>
      </c>
      <c r="Z1063" s="134" t="str">
        <f>IF(Y1063="","",IFERROR((RANK(Y1063,$Y$2:$Y$2028,1)+COUNTIF($Y$2:Y1063,Y1063))-1,""))</f>
        <v/>
      </c>
      <c r="AA1063" s="134" t="str">
        <f t="shared" si="422"/>
        <v/>
      </c>
      <c r="AB1063" s="134" t="str">
        <f>IF(AA1063="","",IFERROR((RANK(AA1063,$AA$2:$AA$2028,1)+COUNTIF($AA$2:AA1063,AA1063))-1,""))</f>
        <v/>
      </c>
      <c r="AC1063" s="134" t="str">
        <f t="shared" si="423"/>
        <v/>
      </c>
      <c r="AD1063" s="134" t="str">
        <f>IF(AC1063="","",IFERROR((RANK(AC1063,$AC$2:$AC$2028,1)+COUNTIF($AC$2:AC1063,AC1063))-1,""))</f>
        <v/>
      </c>
      <c r="AE1063" s="144" t="str">
        <f t="shared" si="415"/>
        <v/>
      </c>
      <c r="AF1063" s="144" t="str">
        <f>IF(AE1063="","",SUM($AE$2:AE1063))</f>
        <v/>
      </c>
    </row>
    <row r="1064" spans="14:32" x14ac:dyDescent="0.35">
      <c r="N1064" s="134" t="str">
        <f t="shared" si="413"/>
        <v/>
      </c>
      <c r="O1064" s="82" t="str">
        <f t="shared" si="416"/>
        <v/>
      </c>
      <c r="P1064" s="81" t="str">
        <f t="shared" si="414"/>
        <v/>
      </c>
      <c r="Q1064" s="81" t="str">
        <f t="shared" si="417"/>
        <v/>
      </c>
      <c r="R1064" s="135" t="str">
        <f t="shared" ca="1" si="418"/>
        <v/>
      </c>
      <c r="S1064" s="134" t="str">
        <f t="shared" ca="1" si="419"/>
        <v/>
      </c>
      <c r="T1064" s="134" t="str">
        <f ca="1">IF(S1064=Dashboard!$D$12,S1064,"")</f>
        <v/>
      </c>
      <c r="U1064" s="134" t="str">
        <f t="shared" ca="1" si="420"/>
        <v/>
      </c>
      <c r="V1064" s="83" t="str">
        <f ca="1">IF(U1064="","",IFERROR((RANK(U1064,$U$2:$U$2028,1)+COUNTIF($U$2:U1064,U1064))-1,""))</f>
        <v/>
      </c>
      <c r="W1064" s="134" t="str">
        <f t="shared" si="424"/>
        <v/>
      </c>
      <c r="X1064" s="134" t="str">
        <f>IF(W1064="","",IFERROR((RANK(W1064,$W$2:$W$2028,1)+COUNTIF($W$2:W1064,W1064))-1,""))</f>
        <v/>
      </c>
      <c r="Y1064" s="134" t="str">
        <f t="shared" si="421"/>
        <v/>
      </c>
      <c r="Z1064" s="134" t="str">
        <f>IF(Y1064="","",IFERROR((RANK(Y1064,$Y$2:$Y$2028,1)+COUNTIF($Y$2:Y1064,Y1064))-1,""))</f>
        <v/>
      </c>
      <c r="AA1064" s="134" t="str">
        <f t="shared" si="422"/>
        <v/>
      </c>
      <c r="AB1064" s="134" t="str">
        <f>IF(AA1064="","",IFERROR((RANK(AA1064,$AA$2:$AA$2028,1)+COUNTIF($AA$2:AA1064,AA1064))-1,""))</f>
        <v/>
      </c>
      <c r="AC1064" s="134" t="str">
        <f t="shared" si="423"/>
        <v/>
      </c>
      <c r="AD1064" s="134" t="str">
        <f>IF(AC1064="","",IFERROR((RANK(AC1064,$AC$2:$AC$2028,1)+COUNTIF($AC$2:AC1064,AC1064))-1,""))</f>
        <v/>
      </c>
      <c r="AE1064" s="144" t="str">
        <f t="shared" si="415"/>
        <v/>
      </c>
      <c r="AF1064" s="144" t="str">
        <f>IF(AE1064="","",SUM($AE$2:AE1064))</f>
        <v/>
      </c>
    </row>
    <row r="1065" spans="14:32" x14ac:dyDescent="0.35">
      <c r="N1065" s="134" t="str">
        <f t="shared" si="413"/>
        <v/>
      </c>
      <c r="O1065" s="82" t="str">
        <f t="shared" si="416"/>
        <v/>
      </c>
      <c r="P1065" s="81" t="str">
        <f t="shared" si="414"/>
        <v/>
      </c>
      <c r="Q1065" s="81" t="str">
        <f t="shared" si="417"/>
        <v/>
      </c>
      <c r="R1065" s="135" t="str">
        <f t="shared" ca="1" si="418"/>
        <v/>
      </c>
      <c r="S1065" s="134" t="str">
        <f t="shared" ca="1" si="419"/>
        <v/>
      </c>
      <c r="T1065" s="134" t="str">
        <f ca="1">IF(S1065=Dashboard!$D$12,S1065,"")</f>
        <v/>
      </c>
      <c r="U1065" s="134" t="str">
        <f t="shared" ca="1" si="420"/>
        <v/>
      </c>
      <c r="V1065" s="83" t="str">
        <f ca="1">IF(U1065="","",IFERROR((RANK(U1065,$U$2:$U$2028,1)+COUNTIF($U$2:U1065,U1065))-1,""))</f>
        <v/>
      </c>
      <c r="W1065" s="134" t="str">
        <f t="shared" si="424"/>
        <v/>
      </c>
      <c r="X1065" s="134" t="str">
        <f>IF(W1065="","",IFERROR((RANK(W1065,$W$2:$W$2028,1)+COUNTIF($W$2:W1065,W1065))-1,""))</f>
        <v/>
      </c>
      <c r="Y1065" s="134" t="str">
        <f t="shared" si="421"/>
        <v/>
      </c>
      <c r="Z1065" s="134" t="str">
        <f>IF(Y1065="","",IFERROR((RANK(Y1065,$Y$2:$Y$2028,1)+COUNTIF($Y$2:Y1065,Y1065))-1,""))</f>
        <v/>
      </c>
      <c r="AA1065" s="134" t="str">
        <f t="shared" si="422"/>
        <v/>
      </c>
      <c r="AB1065" s="134" t="str">
        <f>IF(AA1065="","",IFERROR((RANK(AA1065,$AA$2:$AA$2028,1)+COUNTIF($AA$2:AA1065,AA1065))-1,""))</f>
        <v/>
      </c>
      <c r="AC1065" s="134" t="str">
        <f t="shared" si="423"/>
        <v/>
      </c>
      <c r="AD1065" s="134" t="str">
        <f>IF(AC1065="","",IFERROR((RANK(AC1065,$AC$2:$AC$2028,1)+COUNTIF($AC$2:AC1065,AC1065))-1,""))</f>
        <v/>
      </c>
      <c r="AE1065" s="144" t="str">
        <f t="shared" si="415"/>
        <v/>
      </c>
      <c r="AF1065" s="144" t="str">
        <f>IF(AE1065="","",SUM($AE$2:AE1065))</f>
        <v/>
      </c>
    </row>
    <row r="1066" spans="14:32" x14ac:dyDescent="0.35">
      <c r="N1066" s="134" t="str">
        <f t="shared" si="413"/>
        <v/>
      </c>
      <c r="O1066" s="82" t="str">
        <f t="shared" si="416"/>
        <v/>
      </c>
      <c r="P1066" s="81" t="str">
        <f t="shared" si="414"/>
        <v/>
      </c>
      <c r="Q1066" s="81" t="str">
        <f t="shared" si="417"/>
        <v/>
      </c>
      <c r="R1066" s="135" t="str">
        <f t="shared" ca="1" si="418"/>
        <v/>
      </c>
      <c r="S1066" s="134" t="str">
        <f t="shared" ca="1" si="419"/>
        <v/>
      </c>
      <c r="T1066" s="134" t="str">
        <f ca="1">IF(S1066=Dashboard!$D$12,S1066,"")</f>
        <v/>
      </c>
      <c r="U1066" s="134" t="str">
        <f t="shared" ca="1" si="420"/>
        <v/>
      </c>
      <c r="V1066" s="83" t="str">
        <f ca="1">IF(U1066="","",IFERROR((RANK(U1066,$U$2:$U$2028,1)+COUNTIF($U$2:U1066,U1066))-1,""))</f>
        <v/>
      </c>
      <c r="W1066" s="134" t="str">
        <f t="shared" si="424"/>
        <v/>
      </c>
      <c r="X1066" s="134" t="str">
        <f>IF(W1066="","",IFERROR((RANK(W1066,$W$2:$W$2028,1)+COUNTIF($W$2:W1066,W1066))-1,""))</f>
        <v/>
      </c>
      <c r="Y1066" s="134" t="str">
        <f t="shared" si="421"/>
        <v/>
      </c>
      <c r="Z1066" s="134" t="str">
        <f>IF(Y1066="","",IFERROR((RANK(Y1066,$Y$2:$Y$2028,1)+COUNTIF($Y$2:Y1066,Y1066))-1,""))</f>
        <v/>
      </c>
      <c r="AA1066" s="134" t="str">
        <f t="shared" si="422"/>
        <v/>
      </c>
      <c r="AB1066" s="134" t="str">
        <f>IF(AA1066="","",IFERROR((RANK(AA1066,$AA$2:$AA$2028,1)+COUNTIF($AA$2:AA1066,AA1066))-1,""))</f>
        <v/>
      </c>
      <c r="AC1066" s="134" t="str">
        <f t="shared" si="423"/>
        <v/>
      </c>
      <c r="AD1066" s="134" t="str">
        <f>IF(AC1066="","",IFERROR((RANK(AC1066,$AC$2:$AC$2028,1)+COUNTIF($AC$2:AC1066,AC1066))-1,""))</f>
        <v/>
      </c>
      <c r="AE1066" s="144" t="str">
        <f t="shared" si="415"/>
        <v/>
      </c>
      <c r="AF1066" s="144" t="str">
        <f>IF(AE1066="","",SUM($AE$2:AE1066))</f>
        <v/>
      </c>
    </row>
    <row r="1067" spans="14:32" x14ac:dyDescent="0.35">
      <c r="N1067" s="134" t="str">
        <f t="shared" si="413"/>
        <v/>
      </c>
      <c r="O1067" s="82" t="str">
        <f t="shared" si="416"/>
        <v/>
      </c>
      <c r="P1067" s="81" t="str">
        <f t="shared" si="414"/>
        <v/>
      </c>
      <c r="Q1067" s="81" t="str">
        <f t="shared" si="417"/>
        <v/>
      </c>
      <c r="R1067" s="135" t="str">
        <f t="shared" ca="1" si="418"/>
        <v/>
      </c>
      <c r="S1067" s="134" t="str">
        <f t="shared" ca="1" si="419"/>
        <v/>
      </c>
      <c r="T1067" s="134" t="str">
        <f ca="1">IF(S1067=Dashboard!$D$12,S1067,"")</f>
        <v/>
      </c>
      <c r="U1067" s="134" t="str">
        <f t="shared" ca="1" si="420"/>
        <v/>
      </c>
      <c r="V1067" s="83" t="str">
        <f ca="1">IF(U1067="","",IFERROR((RANK(U1067,$U$2:$U$2028,1)+COUNTIF($U$2:U1067,U1067))-1,""))</f>
        <v/>
      </c>
      <c r="W1067" s="134" t="str">
        <f t="shared" si="424"/>
        <v/>
      </c>
      <c r="X1067" s="134" t="str">
        <f>IF(W1067="","",IFERROR((RANK(W1067,$W$2:$W$2028,1)+COUNTIF($W$2:W1067,W1067))-1,""))</f>
        <v/>
      </c>
      <c r="Y1067" s="134" t="str">
        <f t="shared" si="421"/>
        <v/>
      </c>
      <c r="Z1067" s="134" t="str">
        <f>IF(Y1067="","",IFERROR((RANK(Y1067,$Y$2:$Y$2028,1)+COUNTIF($Y$2:Y1067,Y1067))-1,""))</f>
        <v/>
      </c>
      <c r="AA1067" s="134" t="str">
        <f t="shared" si="422"/>
        <v/>
      </c>
      <c r="AB1067" s="134" t="str">
        <f>IF(AA1067="","",IFERROR((RANK(AA1067,$AA$2:$AA$2028,1)+COUNTIF($AA$2:AA1067,AA1067))-1,""))</f>
        <v/>
      </c>
      <c r="AC1067" s="134" t="str">
        <f t="shared" si="423"/>
        <v/>
      </c>
      <c r="AD1067" s="134" t="str">
        <f>IF(AC1067="","",IFERROR((RANK(AC1067,$AC$2:$AC$2028,1)+COUNTIF($AC$2:AC1067,AC1067))-1,""))</f>
        <v/>
      </c>
      <c r="AE1067" s="144" t="str">
        <f t="shared" si="415"/>
        <v/>
      </c>
      <c r="AF1067" s="144" t="str">
        <f>IF(AE1067="","",SUM($AE$2:AE1067))</f>
        <v/>
      </c>
    </row>
    <row r="1068" spans="14:32" x14ac:dyDescent="0.35">
      <c r="N1068" s="134" t="str">
        <f t="shared" si="413"/>
        <v/>
      </c>
      <c r="O1068" s="82" t="str">
        <f t="shared" si="416"/>
        <v/>
      </c>
      <c r="P1068" s="81" t="str">
        <f t="shared" si="414"/>
        <v/>
      </c>
      <c r="Q1068" s="81" t="str">
        <f t="shared" si="417"/>
        <v/>
      </c>
      <c r="R1068" s="135" t="str">
        <f t="shared" ca="1" si="418"/>
        <v/>
      </c>
      <c r="S1068" s="134" t="str">
        <f t="shared" ca="1" si="419"/>
        <v/>
      </c>
      <c r="T1068" s="134" t="str">
        <f ca="1">IF(S1068=Dashboard!$D$12,S1068,"")</f>
        <v/>
      </c>
      <c r="U1068" s="134" t="str">
        <f t="shared" ca="1" si="420"/>
        <v/>
      </c>
      <c r="V1068" s="83" t="str">
        <f ca="1">IF(U1068="","",IFERROR((RANK(U1068,$U$2:$U$2028,1)+COUNTIF($U$2:U1068,U1068))-1,""))</f>
        <v/>
      </c>
      <c r="W1068" s="134" t="str">
        <f t="shared" si="424"/>
        <v/>
      </c>
      <c r="X1068" s="134" t="str">
        <f>IF(W1068="","",IFERROR((RANK(W1068,$W$2:$W$2028,1)+COUNTIF($W$2:W1068,W1068))-1,""))</f>
        <v/>
      </c>
      <c r="Y1068" s="134" t="str">
        <f t="shared" si="421"/>
        <v/>
      </c>
      <c r="Z1068" s="134" t="str">
        <f>IF(Y1068="","",IFERROR((RANK(Y1068,$Y$2:$Y$2028,1)+COUNTIF($Y$2:Y1068,Y1068))-1,""))</f>
        <v/>
      </c>
      <c r="AA1068" s="134" t="str">
        <f t="shared" si="422"/>
        <v/>
      </c>
      <c r="AB1068" s="134" t="str">
        <f>IF(AA1068="","",IFERROR((RANK(AA1068,$AA$2:$AA$2028,1)+COUNTIF($AA$2:AA1068,AA1068))-1,""))</f>
        <v/>
      </c>
      <c r="AC1068" s="134" t="str">
        <f t="shared" si="423"/>
        <v/>
      </c>
      <c r="AD1068" s="134" t="str">
        <f>IF(AC1068="","",IFERROR((RANK(AC1068,$AC$2:$AC$2028,1)+COUNTIF($AC$2:AC1068,AC1068))-1,""))</f>
        <v/>
      </c>
      <c r="AE1068" s="144" t="str">
        <f t="shared" si="415"/>
        <v/>
      </c>
      <c r="AF1068" s="144" t="str">
        <f>IF(AE1068="","",SUM($AE$2:AE1068))</f>
        <v/>
      </c>
    </row>
    <row r="1069" spans="14:32" x14ac:dyDescent="0.35">
      <c r="N1069" s="134" t="str">
        <f t="shared" si="413"/>
        <v/>
      </c>
      <c r="O1069" s="82" t="str">
        <f t="shared" si="416"/>
        <v/>
      </c>
      <c r="P1069" s="81" t="str">
        <f t="shared" si="414"/>
        <v/>
      </c>
      <c r="Q1069" s="81" t="str">
        <f t="shared" si="417"/>
        <v/>
      </c>
      <c r="R1069" s="135" t="str">
        <f t="shared" ca="1" si="418"/>
        <v/>
      </c>
      <c r="S1069" s="134" t="str">
        <f t="shared" ca="1" si="419"/>
        <v/>
      </c>
      <c r="T1069" s="134" t="str">
        <f ca="1">IF(S1069=Dashboard!$D$12,S1069,"")</f>
        <v/>
      </c>
      <c r="U1069" s="134" t="str">
        <f t="shared" ca="1" si="420"/>
        <v/>
      </c>
      <c r="V1069" s="83" t="str">
        <f ca="1">IF(U1069="","",IFERROR((RANK(U1069,$U$2:$U$2028,1)+COUNTIF($U$2:U1069,U1069))-1,""))</f>
        <v/>
      </c>
      <c r="W1069" s="134" t="str">
        <f t="shared" si="424"/>
        <v/>
      </c>
      <c r="X1069" s="134" t="str">
        <f>IF(W1069="","",IFERROR((RANK(W1069,$W$2:$W$2028,1)+COUNTIF($W$2:W1069,W1069))-1,""))</f>
        <v/>
      </c>
      <c r="Y1069" s="134" t="str">
        <f t="shared" si="421"/>
        <v/>
      </c>
      <c r="Z1069" s="134" t="str">
        <f>IF(Y1069="","",IFERROR((RANK(Y1069,$Y$2:$Y$2028,1)+COUNTIF($Y$2:Y1069,Y1069))-1,""))</f>
        <v/>
      </c>
      <c r="AA1069" s="134" t="str">
        <f t="shared" si="422"/>
        <v/>
      </c>
      <c r="AB1069" s="134" t="str">
        <f>IF(AA1069="","",IFERROR((RANK(AA1069,$AA$2:$AA$2028,1)+COUNTIF($AA$2:AA1069,AA1069))-1,""))</f>
        <v/>
      </c>
      <c r="AC1069" s="134" t="str">
        <f t="shared" si="423"/>
        <v/>
      </c>
      <c r="AD1069" s="134" t="str">
        <f>IF(AC1069="","",IFERROR((RANK(AC1069,$AC$2:$AC$2028,1)+COUNTIF($AC$2:AC1069,AC1069))-1,""))</f>
        <v/>
      </c>
      <c r="AE1069" s="144" t="str">
        <f t="shared" si="415"/>
        <v/>
      </c>
      <c r="AF1069" s="144" t="str">
        <f>IF(AE1069="","",SUM($AE$2:AE1069))</f>
        <v/>
      </c>
    </row>
    <row r="1070" spans="14:32" x14ac:dyDescent="0.35">
      <c r="N1070" s="134" t="str">
        <f t="shared" si="413"/>
        <v/>
      </c>
      <c r="O1070" s="82" t="str">
        <f t="shared" si="416"/>
        <v/>
      </c>
      <c r="P1070" s="81" t="str">
        <f t="shared" si="414"/>
        <v/>
      </c>
      <c r="Q1070" s="81" t="str">
        <f t="shared" si="417"/>
        <v/>
      </c>
      <c r="R1070" s="135" t="str">
        <f t="shared" ca="1" si="418"/>
        <v/>
      </c>
      <c r="S1070" s="134" t="str">
        <f t="shared" ca="1" si="419"/>
        <v/>
      </c>
      <c r="T1070" s="134" t="str">
        <f ca="1">IF(S1070=Dashboard!$D$12,S1070,"")</f>
        <v/>
      </c>
      <c r="U1070" s="134" t="str">
        <f t="shared" ca="1" si="420"/>
        <v/>
      </c>
      <c r="V1070" s="83" t="str">
        <f ca="1">IF(U1070="","",IFERROR((RANK(U1070,$U$2:$U$2028,1)+COUNTIF($U$2:U1070,U1070))-1,""))</f>
        <v/>
      </c>
      <c r="W1070" s="134" t="str">
        <f t="shared" si="424"/>
        <v/>
      </c>
      <c r="X1070" s="134" t="str">
        <f>IF(W1070="","",IFERROR((RANK(W1070,$W$2:$W$2028,1)+COUNTIF($W$2:W1070,W1070))-1,""))</f>
        <v/>
      </c>
      <c r="Y1070" s="134" t="str">
        <f t="shared" si="421"/>
        <v/>
      </c>
      <c r="Z1070" s="134" t="str">
        <f>IF(Y1070="","",IFERROR((RANK(Y1070,$Y$2:$Y$2028,1)+COUNTIF($Y$2:Y1070,Y1070))-1,""))</f>
        <v/>
      </c>
      <c r="AA1070" s="134" t="str">
        <f t="shared" si="422"/>
        <v/>
      </c>
      <c r="AB1070" s="134" t="str">
        <f>IF(AA1070="","",IFERROR((RANK(AA1070,$AA$2:$AA$2028,1)+COUNTIF($AA$2:AA1070,AA1070))-1,""))</f>
        <v/>
      </c>
      <c r="AC1070" s="134" t="str">
        <f t="shared" si="423"/>
        <v/>
      </c>
      <c r="AD1070" s="134" t="str">
        <f>IF(AC1070="","",IFERROR((RANK(AC1070,$AC$2:$AC$2028,1)+COUNTIF($AC$2:AC1070,AC1070))-1,""))</f>
        <v/>
      </c>
      <c r="AE1070" s="144" t="str">
        <f t="shared" si="415"/>
        <v/>
      </c>
      <c r="AF1070" s="144" t="str">
        <f>IF(AE1070="","",SUM($AE$2:AE1070))</f>
        <v/>
      </c>
    </row>
    <row r="1071" spans="14:32" x14ac:dyDescent="0.35">
      <c r="N1071" s="134" t="str">
        <f t="shared" si="413"/>
        <v/>
      </c>
      <c r="O1071" s="82" t="str">
        <f t="shared" si="416"/>
        <v/>
      </c>
      <c r="P1071" s="81" t="str">
        <f t="shared" si="414"/>
        <v/>
      </c>
      <c r="Q1071" s="81" t="str">
        <f t="shared" si="417"/>
        <v/>
      </c>
      <c r="R1071" s="135" t="str">
        <f t="shared" ca="1" si="418"/>
        <v/>
      </c>
      <c r="S1071" s="134" t="str">
        <f t="shared" ca="1" si="419"/>
        <v/>
      </c>
      <c r="T1071" s="134" t="str">
        <f ca="1">IF(S1071=Dashboard!$D$12,S1071,"")</f>
        <v/>
      </c>
      <c r="U1071" s="134" t="str">
        <f t="shared" ca="1" si="420"/>
        <v/>
      </c>
      <c r="V1071" s="83" t="str">
        <f ca="1">IF(U1071="","",IFERROR((RANK(U1071,$U$2:$U$2028,1)+COUNTIF($U$2:U1071,U1071))-1,""))</f>
        <v/>
      </c>
      <c r="W1071" s="134" t="str">
        <f t="shared" si="424"/>
        <v/>
      </c>
      <c r="X1071" s="134" t="str">
        <f>IF(W1071="","",IFERROR((RANK(W1071,$W$2:$W$2028,1)+COUNTIF($W$2:W1071,W1071))-1,""))</f>
        <v/>
      </c>
      <c r="Y1071" s="134" t="str">
        <f t="shared" si="421"/>
        <v/>
      </c>
      <c r="Z1071" s="134" t="str">
        <f>IF(Y1071="","",IFERROR((RANK(Y1071,$Y$2:$Y$2028,1)+COUNTIF($Y$2:Y1071,Y1071))-1,""))</f>
        <v/>
      </c>
      <c r="AA1071" s="134" t="str">
        <f t="shared" si="422"/>
        <v/>
      </c>
      <c r="AB1071" s="134" t="str">
        <f>IF(AA1071="","",IFERROR((RANK(AA1071,$AA$2:$AA$2028,1)+COUNTIF($AA$2:AA1071,AA1071))-1,""))</f>
        <v/>
      </c>
      <c r="AC1071" s="134" t="str">
        <f t="shared" si="423"/>
        <v/>
      </c>
      <c r="AD1071" s="134" t="str">
        <f>IF(AC1071="","",IFERROR((RANK(AC1071,$AC$2:$AC$2028,1)+COUNTIF($AC$2:AC1071,AC1071))-1,""))</f>
        <v/>
      </c>
      <c r="AE1071" s="144" t="str">
        <f t="shared" si="415"/>
        <v/>
      </c>
      <c r="AF1071" s="144" t="str">
        <f>IF(AE1071="","",SUM($AE$2:AE1071))</f>
        <v/>
      </c>
    </row>
    <row r="1072" spans="14:32" x14ac:dyDescent="0.35">
      <c r="N1072" s="134" t="str">
        <f t="shared" si="413"/>
        <v/>
      </c>
      <c r="O1072" s="82" t="str">
        <f t="shared" si="416"/>
        <v/>
      </c>
      <c r="P1072" s="81" t="str">
        <f t="shared" si="414"/>
        <v/>
      </c>
      <c r="Q1072" s="81" t="str">
        <f t="shared" si="417"/>
        <v/>
      </c>
      <c r="R1072" s="135" t="str">
        <f t="shared" ca="1" si="418"/>
        <v/>
      </c>
      <c r="S1072" s="134" t="str">
        <f t="shared" ca="1" si="419"/>
        <v/>
      </c>
      <c r="T1072" s="134" t="str">
        <f ca="1">IF(S1072=Dashboard!$D$12,S1072,"")</f>
        <v/>
      </c>
      <c r="U1072" s="134" t="str">
        <f t="shared" ca="1" si="420"/>
        <v/>
      </c>
      <c r="V1072" s="83" t="str">
        <f ca="1">IF(U1072="","",IFERROR((RANK(U1072,$U$2:$U$2028,1)+COUNTIF($U$2:U1072,U1072))-1,""))</f>
        <v/>
      </c>
      <c r="W1072" s="134" t="str">
        <f t="shared" si="424"/>
        <v/>
      </c>
      <c r="X1072" s="134" t="str">
        <f>IF(W1072="","",IFERROR((RANK(W1072,$W$2:$W$2028,1)+COUNTIF($W$2:W1072,W1072))-1,""))</f>
        <v/>
      </c>
      <c r="Y1072" s="134" t="str">
        <f t="shared" si="421"/>
        <v/>
      </c>
      <c r="Z1072" s="134" t="str">
        <f>IF(Y1072="","",IFERROR((RANK(Y1072,$Y$2:$Y$2028,1)+COUNTIF($Y$2:Y1072,Y1072))-1,""))</f>
        <v/>
      </c>
      <c r="AA1072" s="134" t="str">
        <f t="shared" si="422"/>
        <v/>
      </c>
      <c r="AB1072" s="134" t="str">
        <f>IF(AA1072="","",IFERROR((RANK(AA1072,$AA$2:$AA$2028,1)+COUNTIF($AA$2:AA1072,AA1072))-1,""))</f>
        <v/>
      </c>
      <c r="AC1072" s="134" t="str">
        <f t="shared" si="423"/>
        <v/>
      </c>
      <c r="AD1072" s="134" t="str">
        <f>IF(AC1072="","",IFERROR((RANK(AC1072,$AC$2:$AC$2028,1)+COUNTIF($AC$2:AC1072,AC1072))-1,""))</f>
        <v/>
      </c>
      <c r="AE1072" s="144" t="str">
        <f t="shared" si="415"/>
        <v/>
      </c>
      <c r="AF1072" s="144" t="str">
        <f>IF(AE1072="","",SUM($AE$2:AE1072))</f>
        <v/>
      </c>
    </row>
    <row r="1073" spans="14:32" x14ac:dyDescent="0.35">
      <c r="N1073" s="134" t="str">
        <f t="shared" si="413"/>
        <v/>
      </c>
      <c r="O1073" s="82" t="str">
        <f t="shared" si="416"/>
        <v/>
      </c>
      <c r="P1073" s="81" t="str">
        <f t="shared" si="414"/>
        <v/>
      </c>
      <c r="Q1073" s="81" t="str">
        <f t="shared" si="417"/>
        <v/>
      </c>
      <c r="R1073" s="135" t="str">
        <f t="shared" ca="1" si="418"/>
        <v/>
      </c>
      <c r="S1073" s="134" t="str">
        <f t="shared" ca="1" si="419"/>
        <v/>
      </c>
      <c r="T1073" s="134" t="str">
        <f ca="1">IF(S1073=Dashboard!$D$12,S1073,"")</f>
        <v/>
      </c>
      <c r="U1073" s="134" t="str">
        <f t="shared" ca="1" si="420"/>
        <v/>
      </c>
      <c r="V1073" s="83" t="str">
        <f ca="1">IF(U1073="","",IFERROR((RANK(U1073,$U$2:$U$2028,1)+COUNTIF($U$2:U1073,U1073))-1,""))</f>
        <v/>
      </c>
      <c r="W1073" s="134" t="str">
        <f t="shared" si="424"/>
        <v/>
      </c>
      <c r="X1073" s="134" t="str">
        <f>IF(W1073="","",IFERROR((RANK(W1073,$W$2:$W$2028,1)+COUNTIF($W$2:W1073,W1073))-1,""))</f>
        <v/>
      </c>
      <c r="Y1073" s="134" t="str">
        <f t="shared" si="421"/>
        <v/>
      </c>
      <c r="Z1073" s="134" t="str">
        <f>IF(Y1073="","",IFERROR((RANK(Y1073,$Y$2:$Y$2028,1)+COUNTIF($Y$2:Y1073,Y1073))-1,""))</f>
        <v/>
      </c>
      <c r="AA1073" s="134" t="str">
        <f t="shared" si="422"/>
        <v/>
      </c>
      <c r="AB1073" s="134" t="str">
        <f>IF(AA1073="","",IFERROR((RANK(AA1073,$AA$2:$AA$2028,1)+COUNTIF($AA$2:AA1073,AA1073))-1,""))</f>
        <v/>
      </c>
      <c r="AC1073" s="134" t="str">
        <f t="shared" si="423"/>
        <v/>
      </c>
      <c r="AD1073" s="134" t="str">
        <f>IF(AC1073="","",IFERROR((RANK(AC1073,$AC$2:$AC$2028,1)+COUNTIF($AC$2:AC1073,AC1073))-1,""))</f>
        <v/>
      </c>
      <c r="AE1073" s="144" t="str">
        <f t="shared" si="415"/>
        <v/>
      </c>
      <c r="AF1073" s="144" t="str">
        <f>IF(AE1073="","",SUM($AE$2:AE1073))</f>
        <v/>
      </c>
    </row>
    <row r="1074" spans="14:32" x14ac:dyDescent="0.35">
      <c r="N1074" s="134" t="str">
        <f t="shared" si="413"/>
        <v/>
      </c>
      <c r="O1074" s="82" t="str">
        <f t="shared" si="416"/>
        <v/>
      </c>
      <c r="P1074" s="81" t="str">
        <f t="shared" si="414"/>
        <v/>
      </c>
      <c r="Q1074" s="81" t="str">
        <f t="shared" si="417"/>
        <v/>
      </c>
      <c r="R1074" s="135" t="str">
        <f t="shared" ca="1" si="418"/>
        <v/>
      </c>
      <c r="S1074" s="134" t="str">
        <f t="shared" ca="1" si="419"/>
        <v/>
      </c>
      <c r="T1074" s="134" t="str">
        <f ca="1">IF(S1074=Dashboard!$D$12,S1074,"")</f>
        <v/>
      </c>
      <c r="U1074" s="134" t="str">
        <f t="shared" ca="1" si="420"/>
        <v/>
      </c>
      <c r="V1074" s="83" t="str">
        <f ca="1">IF(U1074="","",IFERROR((RANK(U1074,$U$2:$U$2028,1)+COUNTIF($U$2:U1074,U1074))-1,""))</f>
        <v/>
      </c>
      <c r="W1074" s="134" t="str">
        <f t="shared" si="424"/>
        <v/>
      </c>
      <c r="X1074" s="134" t="str">
        <f>IF(W1074="","",IFERROR((RANK(W1074,$W$2:$W$2028,1)+COUNTIF($W$2:W1074,W1074))-1,""))</f>
        <v/>
      </c>
      <c r="Y1074" s="134" t="str">
        <f t="shared" si="421"/>
        <v/>
      </c>
      <c r="Z1074" s="134" t="str">
        <f>IF(Y1074="","",IFERROR((RANK(Y1074,$Y$2:$Y$2028,1)+COUNTIF($Y$2:Y1074,Y1074))-1,""))</f>
        <v/>
      </c>
      <c r="AA1074" s="134" t="str">
        <f t="shared" si="422"/>
        <v/>
      </c>
      <c r="AB1074" s="134" t="str">
        <f>IF(AA1074="","",IFERROR((RANK(AA1074,$AA$2:$AA$2028,1)+COUNTIF($AA$2:AA1074,AA1074))-1,""))</f>
        <v/>
      </c>
      <c r="AC1074" s="134" t="str">
        <f t="shared" si="423"/>
        <v/>
      </c>
      <c r="AD1074" s="134" t="str">
        <f>IF(AC1074="","",IFERROR((RANK(AC1074,$AC$2:$AC$2028,1)+COUNTIF($AC$2:AC1074,AC1074))-1,""))</f>
        <v/>
      </c>
      <c r="AE1074" s="144" t="str">
        <f t="shared" si="415"/>
        <v/>
      </c>
      <c r="AF1074" s="144" t="str">
        <f>IF(AE1074="","",SUM($AE$2:AE1074))</f>
        <v/>
      </c>
    </row>
    <row r="1075" spans="14:32" x14ac:dyDescent="0.35">
      <c r="N1075" s="134" t="str">
        <f t="shared" si="413"/>
        <v/>
      </c>
      <c r="O1075" s="82" t="str">
        <f t="shared" si="416"/>
        <v/>
      </c>
      <c r="P1075" s="81" t="str">
        <f t="shared" si="414"/>
        <v/>
      </c>
      <c r="Q1075" s="81" t="str">
        <f t="shared" si="417"/>
        <v/>
      </c>
      <c r="R1075" s="135" t="str">
        <f t="shared" ca="1" si="418"/>
        <v/>
      </c>
      <c r="S1075" s="134" t="str">
        <f t="shared" ca="1" si="419"/>
        <v/>
      </c>
      <c r="T1075" s="134" t="str">
        <f ca="1">IF(S1075=Dashboard!$D$12,S1075,"")</f>
        <v/>
      </c>
      <c r="U1075" s="134" t="str">
        <f t="shared" ca="1" si="420"/>
        <v/>
      </c>
      <c r="V1075" s="83" t="str">
        <f ca="1">IF(U1075="","",IFERROR((RANK(U1075,$U$2:$U$2028,1)+COUNTIF($U$2:U1075,U1075))-1,""))</f>
        <v/>
      </c>
      <c r="W1075" s="134" t="str">
        <f t="shared" si="424"/>
        <v/>
      </c>
      <c r="X1075" s="134" t="str">
        <f>IF(W1075="","",IFERROR((RANK(W1075,$W$2:$W$2028,1)+COUNTIF($W$2:W1075,W1075))-1,""))</f>
        <v/>
      </c>
      <c r="Y1075" s="134" t="str">
        <f t="shared" si="421"/>
        <v/>
      </c>
      <c r="Z1075" s="134" t="str">
        <f>IF(Y1075="","",IFERROR((RANK(Y1075,$Y$2:$Y$2028,1)+COUNTIF($Y$2:Y1075,Y1075))-1,""))</f>
        <v/>
      </c>
      <c r="AA1075" s="134" t="str">
        <f t="shared" si="422"/>
        <v/>
      </c>
      <c r="AB1075" s="134" t="str">
        <f>IF(AA1075="","",IFERROR((RANK(AA1075,$AA$2:$AA$2028,1)+COUNTIF($AA$2:AA1075,AA1075))-1,""))</f>
        <v/>
      </c>
      <c r="AC1075" s="134" t="str">
        <f t="shared" si="423"/>
        <v/>
      </c>
      <c r="AD1075" s="134" t="str">
        <f>IF(AC1075="","",IFERROR((RANK(AC1075,$AC$2:$AC$2028,1)+COUNTIF($AC$2:AC1075,AC1075))-1,""))</f>
        <v/>
      </c>
      <c r="AE1075" s="144" t="str">
        <f t="shared" si="415"/>
        <v/>
      </c>
      <c r="AF1075" s="144" t="str">
        <f>IF(AE1075="","",SUM($AE$2:AE1075))</f>
        <v/>
      </c>
    </row>
    <row r="1076" spans="14:32" x14ac:dyDescent="0.35">
      <c r="N1076" s="134" t="str">
        <f t="shared" si="413"/>
        <v/>
      </c>
      <c r="O1076" s="82" t="str">
        <f t="shared" si="416"/>
        <v/>
      </c>
      <c r="P1076" s="81" t="str">
        <f t="shared" si="414"/>
        <v/>
      </c>
      <c r="Q1076" s="81" t="str">
        <f t="shared" si="417"/>
        <v/>
      </c>
      <c r="R1076" s="135" t="str">
        <f t="shared" ca="1" si="418"/>
        <v/>
      </c>
      <c r="S1076" s="134" t="str">
        <f t="shared" ca="1" si="419"/>
        <v/>
      </c>
      <c r="T1076" s="134" t="str">
        <f ca="1">IF(S1076=Dashboard!$D$12,S1076,"")</f>
        <v/>
      </c>
      <c r="U1076" s="134" t="str">
        <f t="shared" ca="1" si="420"/>
        <v/>
      </c>
      <c r="V1076" s="83" t="str">
        <f ca="1">IF(U1076="","",IFERROR((RANK(U1076,$U$2:$U$2028,1)+COUNTIF($U$2:U1076,U1076))-1,""))</f>
        <v/>
      </c>
      <c r="W1076" s="134" t="str">
        <f t="shared" si="424"/>
        <v/>
      </c>
      <c r="X1076" s="134" t="str">
        <f>IF(W1076="","",IFERROR((RANK(W1076,$W$2:$W$2028,1)+COUNTIF($W$2:W1076,W1076))-1,""))</f>
        <v/>
      </c>
      <c r="Y1076" s="134" t="str">
        <f t="shared" si="421"/>
        <v/>
      </c>
      <c r="Z1076" s="134" t="str">
        <f>IF(Y1076="","",IFERROR((RANK(Y1076,$Y$2:$Y$2028,1)+COUNTIF($Y$2:Y1076,Y1076))-1,""))</f>
        <v/>
      </c>
      <c r="AA1076" s="134" t="str">
        <f t="shared" si="422"/>
        <v/>
      </c>
      <c r="AB1076" s="134" t="str">
        <f>IF(AA1076="","",IFERROR((RANK(AA1076,$AA$2:$AA$2028,1)+COUNTIF($AA$2:AA1076,AA1076))-1,""))</f>
        <v/>
      </c>
      <c r="AC1076" s="134" t="str">
        <f t="shared" si="423"/>
        <v/>
      </c>
      <c r="AD1076" s="134" t="str">
        <f>IF(AC1076="","",IFERROR((RANK(AC1076,$AC$2:$AC$2028,1)+COUNTIF($AC$2:AC1076,AC1076))-1,""))</f>
        <v/>
      </c>
      <c r="AE1076" s="144" t="str">
        <f t="shared" si="415"/>
        <v/>
      </c>
      <c r="AF1076" s="144" t="str">
        <f>IF(AE1076="","",SUM($AE$2:AE1076))</f>
        <v/>
      </c>
    </row>
    <row r="1077" spans="14:32" x14ac:dyDescent="0.35">
      <c r="N1077" s="134" t="str">
        <f t="shared" si="413"/>
        <v/>
      </c>
      <c r="O1077" s="82" t="str">
        <f t="shared" si="416"/>
        <v/>
      </c>
      <c r="P1077" s="81" t="str">
        <f t="shared" si="414"/>
        <v/>
      </c>
      <c r="Q1077" s="81" t="str">
        <f t="shared" si="417"/>
        <v/>
      </c>
      <c r="R1077" s="135" t="str">
        <f t="shared" ca="1" si="418"/>
        <v/>
      </c>
      <c r="S1077" s="134" t="str">
        <f t="shared" ca="1" si="419"/>
        <v/>
      </c>
      <c r="T1077" s="134" t="str">
        <f ca="1">IF(S1077=Dashboard!$D$12,S1077,"")</f>
        <v/>
      </c>
      <c r="U1077" s="134" t="str">
        <f t="shared" ca="1" si="420"/>
        <v/>
      </c>
      <c r="V1077" s="83" t="str">
        <f ca="1">IF(U1077="","",IFERROR((RANK(U1077,$U$2:$U$2028,1)+COUNTIF($U$2:U1077,U1077))-1,""))</f>
        <v/>
      </c>
      <c r="W1077" s="134" t="str">
        <f t="shared" si="424"/>
        <v/>
      </c>
      <c r="X1077" s="134" t="str">
        <f>IF(W1077="","",IFERROR((RANK(W1077,$W$2:$W$2028,1)+COUNTIF($W$2:W1077,W1077))-1,""))</f>
        <v/>
      </c>
      <c r="Y1077" s="134" t="str">
        <f t="shared" si="421"/>
        <v/>
      </c>
      <c r="Z1077" s="134" t="str">
        <f>IF(Y1077="","",IFERROR((RANK(Y1077,$Y$2:$Y$2028,1)+COUNTIF($Y$2:Y1077,Y1077))-1,""))</f>
        <v/>
      </c>
      <c r="AA1077" s="134" t="str">
        <f t="shared" si="422"/>
        <v/>
      </c>
      <c r="AB1077" s="134" t="str">
        <f>IF(AA1077="","",IFERROR((RANK(AA1077,$AA$2:$AA$2028,1)+COUNTIF($AA$2:AA1077,AA1077))-1,""))</f>
        <v/>
      </c>
      <c r="AC1077" s="134" t="str">
        <f t="shared" si="423"/>
        <v/>
      </c>
      <c r="AD1077" s="134" t="str">
        <f>IF(AC1077="","",IFERROR((RANK(AC1077,$AC$2:$AC$2028,1)+COUNTIF($AC$2:AC1077,AC1077))-1,""))</f>
        <v/>
      </c>
      <c r="AE1077" s="144" t="str">
        <f t="shared" si="415"/>
        <v/>
      </c>
      <c r="AF1077" s="144" t="str">
        <f>IF(AE1077="","",SUM($AE$2:AE1077))</f>
        <v/>
      </c>
    </row>
    <row r="1078" spans="14:32" x14ac:dyDescent="0.35">
      <c r="N1078" s="134" t="str">
        <f t="shared" si="413"/>
        <v/>
      </c>
      <c r="O1078" s="82" t="str">
        <f t="shared" si="416"/>
        <v/>
      </c>
      <c r="P1078" s="81" t="str">
        <f t="shared" si="414"/>
        <v/>
      </c>
      <c r="Q1078" s="81" t="str">
        <f t="shared" si="417"/>
        <v/>
      </c>
      <c r="R1078" s="135" t="str">
        <f t="shared" ca="1" si="418"/>
        <v/>
      </c>
      <c r="S1078" s="134" t="str">
        <f t="shared" ca="1" si="419"/>
        <v/>
      </c>
      <c r="T1078" s="134" t="str">
        <f ca="1">IF(S1078=Dashboard!$D$12,S1078,"")</f>
        <v/>
      </c>
      <c r="U1078" s="134" t="str">
        <f t="shared" ca="1" si="420"/>
        <v/>
      </c>
      <c r="V1078" s="83" t="str">
        <f ca="1">IF(U1078="","",IFERROR((RANK(U1078,$U$2:$U$2028,1)+COUNTIF($U$2:U1078,U1078))-1,""))</f>
        <v/>
      </c>
      <c r="W1078" s="134" t="str">
        <f t="shared" si="424"/>
        <v/>
      </c>
      <c r="X1078" s="134" t="str">
        <f>IF(W1078="","",IFERROR((RANK(W1078,$W$2:$W$2028,1)+COUNTIF($W$2:W1078,W1078))-1,""))</f>
        <v/>
      </c>
      <c r="Y1078" s="134" t="str">
        <f t="shared" si="421"/>
        <v/>
      </c>
      <c r="Z1078" s="134" t="str">
        <f>IF(Y1078="","",IFERROR((RANK(Y1078,$Y$2:$Y$2028,1)+COUNTIF($Y$2:Y1078,Y1078))-1,""))</f>
        <v/>
      </c>
      <c r="AA1078" s="134" t="str">
        <f t="shared" si="422"/>
        <v/>
      </c>
      <c r="AB1078" s="134" t="str">
        <f>IF(AA1078="","",IFERROR((RANK(AA1078,$AA$2:$AA$2028,1)+COUNTIF($AA$2:AA1078,AA1078))-1,""))</f>
        <v/>
      </c>
      <c r="AC1078" s="134" t="str">
        <f t="shared" si="423"/>
        <v/>
      </c>
      <c r="AD1078" s="134" t="str">
        <f>IF(AC1078="","",IFERROR((RANK(AC1078,$AC$2:$AC$2028,1)+COUNTIF($AC$2:AC1078,AC1078))-1,""))</f>
        <v/>
      </c>
      <c r="AE1078" s="144" t="str">
        <f t="shared" si="415"/>
        <v/>
      </c>
      <c r="AF1078" s="144" t="str">
        <f>IF(AE1078="","",SUM($AE$2:AE1078))</f>
        <v/>
      </c>
    </row>
    <row r="1079" spans="14:32" x14ac:dyDescent="0.35">
      <c r="N1079" s="134" t="str">
        <f t="shared" si="413"/>
        <v/>
      </c>
      <c r="O1079" s="82" t="str">
        <f t="shared" si="416"/>
        <v/>
      </c>
      <c r="P1079" s="81" t="str">
        <f t="shared" si="414"/>
        <v/>
      </c>
      <c r="Q1079" s="81" t="str">
        <f t="shared" si="417"/>
        <v/>
      </c>
      <c r="R1079" s="135" t="str">
        <f t="shared" ca="1" si="418"/>
        <v/>
      </c>
      <c r="S1079" s="134" t="str">
        <f t="shared" ca="1" si="419"/>
        <v/>
      </c>
      <c r="T1079" s="134" t="str">
        <f ca="1">IF(S1079=Dashboard!$D$12,S1079,"")</f>
        <v/>
      </c>
      <c r="U1079" s="134" t="str">
        <f t="shared" ca="1" si="420"/>
        <v/>
      </c>
      <c r="V1079" s="83" t="str">
        <f ca="1">IF(U1079="","",IFERROR((RANK(U1079,$U$2:$U$2028,1)+COUNTIF($U$2:U1079,U1079))-1,""))</f>
        <v/>
      </c>
      <c r="W1079" s="134" t="str">
        <f t="shared" si="424"/>
        <v/>
      </c>
      <c r="X1079" s="134" t="str">
        <f>IF(W1079="","",IFERROR((RANK(W1079,$W$2:$W$2028,1)+COUNTIF($W$2:W1079,W1079))-1,""))</f>
        <v/>
      </c>
      <c r="Y1079" s="134" t="str">
        <f t="shared" si="421"/>
        <v/>
      </c>
      <c r="Z1079" s="134" t="str">
        <f>IF(Y1079="","",IFERROR((RANK(Y1079,$Y$2:$Y$2028,1)+COUNTIF($Y$2:Y1079,Y1079))-1,""))</f>
        <v/>
      </c>
      <c r="AA1079" s="134" t="str">
        <f t="shared" si="422"/>
        <v/>
      </c>
      <c r="AB1079" s="134" t="str">
        <f>IF(AA1079="","",IFERROR((RANK(AA1079,$AA$2:$AA$2028,1)+COUNTIF($AA$2:AA1079,AA1079))-1,""))</f>
        <v/>
      </c>
      <c r="AC1079" s="134" t="str">
        <f t="shared" si="423"/>
        <v/>
      </c>
      <c r="AD1079" s="134" t="str">
        <f>IF(AC1079="","",IFERROR((RANK(AC1079,$AC$2:$AC$2028,1)+COUNTIF($AC$2:AC1079,AC1079))-1,""))</f>
        <v/>
      </c>
      <c r="AE1079" s="144" t="str">
        <f t="shared" si="415"/>
        <v/>
      </c>
      <c r="AF1079" s="144" t="str">
        <f>IF(AE1079="","",SUM($AE$2:AE1079))</f>
        <v/>
      </c>
    </row>
    <row r="1080" spans="14:32" x14ac:dyDescent="0.35">
      <c r="N1080" s="134" t="str">
        <f t="shared" si="413"/>
        <v/>
      </c>
      <c r="O1080" s="82" t="str">
        <f t="shared" si="416"/>
        <v/>
      </c>
      <c r="P1080" s="81" t="str">
        <f t="shared" si="414"/>
        <v/>
      </c>
      <c r="Q1080" s="81" t="str">
        <f t="shared" si="417"/>
        <v/>
      </c>
      <c r="R1080" s="135" t="str">
        <f t="shared" ca="1" si="418"/>
        <v/>
      </c>
      <c r="S1080" s="134" t="str">
        <f t="shared" ca="1" si="419"/>
        <v/>
      </c>
      <c r="T1080" s="134" t="str">
        <f ca="1">IF(S1080=Dashboard!$D$12,S1080,"")</f>
        <v/>
      </c>
      <c r="U1080" s="134" t="str">
        <f t="shared" ca="1" si="420"/>
        <v/>
      </c>
      <c r="V1080" s="83" t="str">
        <f ca="1">IF(U1080="","",IFERROR((RANK(U1080,$U$2:$U$2028,1)+COUNTIF($U$2:U1080,U1080))-1,""))</f>
        <v/>
      </c>
      <c r="W1080" s="134" t="str">
        <f t="shared" si="424"/>
        <v/>
      </c>
      <c r="X1080" s="134" t="str">
        <f>IF(W1080="","",IFERROR((RANK(W1080,$W$2:$W$2028,1)+COUNTIF($W$2:W1080,W1080))-1,""))</f>
        <v/>
      </c>
      <c r="Y1080" s="134" t="str">
        <f t="shared" si="421"/>
        <v/>
      </c>
      <c r="Z1080" s="134" t="str">
        <f>IF(Y1080="","",IFERROR((RANK(Y1080,$Y$2:$Y$2028,1)+COUNTIF($Y$2:Y1080,Y1080))-1,""))</f>
        <v/>
      </c>
      <c r="AA1080" s="134" t="str">
        <f t="shared" si="422"/>
        <v/>
      </c>
      <c r="AB1080" s="134" t="str">
        <f>IF(AA1080="","",IFERROR((RANK(AA1080,$AA$2:$AA$2028,1)+COUNTIF($AA$2:AA1080,AA1080))-1,""))</f>
        <v/>
      </c>
      <c r="AC1080" s="134" t="str">
        <f t="shared" si="423"/>
        <v/>
      </c>
      <c r="AD1080" s="134" t="str">
        <f>IF(AC1080="","",IFERROR((RANK(AC1080,$AC$2:$AC$2028,1)+COUNTIF($AC$2:AC1080,AC1080))-1,""))</f>
        <v/>
      </c>
      <c r="AE1080" s="144" t="str">
        <f t="shared" si="415"/>
        <v/>
      </c>
      <c r="AF1080" s="144" t="str">
        <f>IF(AE1080="","",SUM($AE$2:AE1080))</f>
        <v/>
      </c>
    </row>
    <row r="1081" spans="14:32" x14ac:dyDescent="0.35">
      <c r="N1081" s="134" t="str">
        <f t="shared" si="413"/>
        <v/>
      </c>
      <c r="O1081" s="82" t="str">
        <f t="shared" si="416"/>
        <v/>
      </c>
      <c r="P1081" s="81" t="str">
        <f t="shared" si="414"/>
        <v/>
      </c>
      <c r="Q1081" s="81" t="str">
        <f t="shared" si="417"/>
        <v/>
      </c>
      <c r="R1081" s="135" t="str">
        <f t="shared" ca="1" si="418"/>
        <v/>
      </c>
      <c r="S1081" s="134" t="str">
        <f t="shared" ca="1" si="419"/>
        <v/>
      </c>
      <c r="T1081" s="134" t="str">
        <f ca="1">IF(S1081=Dashboard!$D$12,S1081,"")</f>
        <v/>
      </c>
      <c r="U1081" s="134" t="str">
        <f t="shared" ca="1" si="420"/>
        <v/>
      </c>
      <c r="V1081" s="83" t="str">
        <f ca="1">IF(U1081="","",IFERROR((RANK(U1081,$U$2:$U$2028,1)+COUNTIF($U$2:U1081,U1081))-1,""))</f>
        <v/>
      </c>
      <c r="W1081" s="134" t="str">
        <f t="shared" si="424"/>
        <v/>
      </c>
      <c r="X1081" s="134" t="str">
        <f>IF(W1081="","",IFERROR((RANK(W1081,$W$2:$W$2028,1)+COUNTIF($W$2:W1081,W1081))-1,""))</f>
        <v/>
      </c>
      <c r="Y1081" s="134" t="str">
        <f t="shared" si="421"/>
        <v/>
      </c>
      <c r="Z1081" s="134" t="str">
        <f>IF(Y1081="","",IFERROR((RANK(Y1081,$Y$2:$Y$2028,1)+COUNTIF($Y$2:Y1081,Y1081))-1,""))</f>
        <v/>
      </c>
      <c r="AA1081" s="134" t="str">
        <f t="shared" si="422"/>
        <v/>
      </c>
      <c r="AB1081" s="134" t="str">
        <f>IF(AA1081="","",IFERROR((RANK(AA1081,$AA$2:$AA$2028,1)+COUNTIF($AA$2:AA1081,AA1081))-1,""))</f>
        <v/>
      </c>
      <c r="AC1081" s="134" t="str">
        <f t="shared" si="423"/>
        <v/>
      </c>
      <c r="AD1081" s="134" t="str">
        <f>IF(AC1081="","",IFERROR((RANK(AC1081,$AC$2:$AC$2028,1)+COUNTIF($AC$2:AC1081,AC1081))-1,""))</f>
        <v/>
      </c>
      <c r="AE1081" s="144" t="str">
        <f t="shared" si="415"/>
        <v/>
      </c>
      <c r="AF1081" s="144" t="str">
        <f>IF(AE1081="","",SUM($AE$2:AE1081))</f>
        <v/>
      </c>
    </row>
    <row r="1082" spans="14:32" x14ac:dyDescent="0.35">
      <c r="N1082" s="134" t="str">
        <f t="shared" si="413"/>
        <v/>
      </c>
      <c r="O1082" s="82" t="str">
        <f t="shared" si="416"/>
        <v/>
      </c>
      <c r="P1082" s="81" t="str">
        <f t="shared" si="414"/>
        <v/>
      </c>
      <c r="Q1082" s="81" t="str">
        <f t="shared" si="417"/>
        <v/>
      </c>
      <c r="R1082" s="135" t="str">
        <f t="shared" ca="1" si="418"/>
        <v/>
      </c>
      <c r="S1082" s="134" t="str">
        <f t="shared" ca="1" si="419"/>
        <v/>
      </c>
      <c r="T1082" s="134" t="str">
        <f ca="1">IF(S1082=Dashboard!$D$12,S1082,"")</f>
        <v/>
      </c>
      <c r="U1082" s="134" t="str">
        <f t="shared" ca="1" si="420"/>
        <v/>
      </c>
      <c r="V1082" s="83" t="str">
        <f ca="1">IF(U1082="","",IFERROR((RANK(U1082,$U$2:$U$2028,1)+COUNTIF($U$2:U1082,U1082))-1,""))</f>
        <v/>
      </c>
      <c r="W1082" s="134" t="str">
        <f t="shared" si="424"/>
        <v/>
      </c>
      <c r="X1082" s="134" t="str">
        <f>IF(W1082="","",IFERROR((RANK(W1082,$W$2:$W$2028,1)+COUNTIF($W$2:W1082,W1082))-1,""))</f>
        <v/>
      </c>
      <c r="Y1082" s="134" t="str">
        <f t="shared" si="421"/>
        <v/>
      </c>
      <c r="Z1082" s="134" t="str">
        <f>IF(Y1082="","",IFERROR((RANK(Y1082,$Y$2:$Y$2028,1)+COUNTIF($Y$2:Y1082,Y1082))-1,""))</f>
        <v/>
      </c>
      <c r="AA1082" s="134" t="str">
        <f t="shared" si="422"/>
        <v/>
      </c>
      <c r="AB1082" s="134" t="str">
        <f>IF(AA1082="","",IFERROR((RANK(AA1082,$AA$2:$AA$2028,1)+COUNTIF($AA$2:AA1082,AA1082))-1,""))</f>
        <v/>
      </c>
      <c r="AC1082" s="134" t="str">
        <f t="shared" si="423"/>
        <v/>
      </c>
      <c r="AD1082" s="134" t="str">
        <f>IF(AC1082="","",IFERROR((RANK(AC1082,$AC$2:$AC$2028,1)+COUNTIF($AC$2:AC1082,AC1082))-1,""))</f>
        <v/>
      </c>
      <c r="AE1082" s="144" t="str">
        <f t="shared" si="415"/>
        <v/>
      </c>
      <c r="AF1082" s="144" t="str">
        <f>IF(AE1082="","",SUM($AE$2:AE1082))</f>
        <v/>
      </c>
    </row>
    <row r="1083" spans="14:32" x14ac:dyDescent="0.35">
      <c r="N1083" s="134" t="str">
        <f t="shared" si="413"/>
        <v/>
      </c>
      <c r="O1083" s="82" t="str">
        <f t="shared" si="416"/>
        <v/>
      </c>
      <c r="P1083" s="81" t="str">
        <f t="shared" si="414"/>
        <v/>
      </c>
      <c r="Q1083" s="81" t="str">
        <f t="shared" si="417"/>
        <v/>
      </c>
      <c r="R1083" s="135" t="str">
        <f t="shared" ca="1" si="418"/>
        <v/>
      </c>
      <c r="S1083" s="134" t="str">
        <f t="shared" ca="1" si="419"/>
        <v/>
      </c>
      <c r="T1083" s="134" t="str">
        <f ca="1">IF(S1083=Dashboard!$D$12,S1083,"")</f>
        <v/>
      </c>
      <c r="U1083" s="134" t="str">
        <f t="shared" ca="1" si="420"/>
        <v/>
      </c>
      <c r="V1083" s="83" t="str">
        <f ca="1">IF(U1083="","",IFERROR((RANK(U1083,$U$2:$U$2028,1)+COUNTIF($U$2:U1083,U1083))-1,""))</f>
        <v/>
      </c>
      <c r="W1083" s="134" t="str">
        <f t="shared" si="424"/>
        <v/>
      </c>
      <c r="X1083" s="134" t="str">
        <f>IF(W1083="","",IFERROR((RANK(W1083,$W$2:$W$2028,1)+COUNTIF($W$2:W1083,W1083))-1,""))</f>
        <v/>
      </c>
      <c r="Y1083" s="134" t="str">
        <f t="shared" si="421"/>
        <v/>
      </c>
      <c r="Z1083" s="134" t="str">
        <f>IF(Y1083="","",IFERROR((RANK(Y1083,$Y$2:$Y$2028,1)+COUNTIF($Y$2:Y1083,Y1083))-1,""))</f>
        <v/>
      </c>
      <c r="AA1083" s="134" t="str">
        <f t="shared" si="422"/>
        <v/>
      </c>
      <c r="AB1083" s="134" t="str">
        <f>IF(AA1083="","",IFERROR((RANK(AA1083,$AA$2:$AA$2028,1)+COUNTIF($AA$2:AA1083,AA1083))-1,""))</f>
        <v/>
      </c>
      <c r="AC1083" s="134" t="str">
        <f t="shared" si="423"/>
        <v/>
      </c>
      <c r="AD1083" s="134" t="str">
        <f>IF(AC1083="","",IFERROR((RANK(AC1083,$AC$2:$AC$2028,1)+COUNTIF($AC$2:AC1083,AC1083))-1,""))</f>
        <v/>
      </c>
      <c r="AE1083" s="144" t="str">
        <f t="shared" si="415"/>
        <v/>
      </c>
      <c r="AF1083" s="144" t="str">
        <f>IF(AE1083="","",SUM($AE$2:AE1083))</f>
        <v/>
      </c>
    </row>
    <row r="1084" spans="14:32" x14ac:dyDescent="0.35">
      <c r="N1084" s="134" t="str">
        <f t="shared" si="413"/>
        <v/>
      </c>
      <c r="O1084" s="82" t="str">
        <f t="shared" si="416"/>
        <v/>
      </c>
      <c r="P1084" s="81" t="str">
        <f t="shared" si="414"/>
        <v/>
      </c>
      <c r="Q1084" s="81" t="str">
        <f t="shared" si="417"/>
        <v/>
      </c>
      <c r="R1084" s="135" t="str">
        <f t="shared" ca="1" si="418"/>
        <v/>
      </c>
      <c r="S1084" s="134" t="str">
        <f t="shared" ca="1" si="419"/>
        <v/>
      </c>
      <c r="T1084" s="134" t="str">
        <f ca="1">IF(S1084=Dashboard!$D$12,S1084,"")</f>
        <v/>
      </c>
      <c r="U1084" s="134" t="str">
        <f t="shared" ca="1" si="420"/>
        <v/>
      </c>
      <c r="V1084" s="83" t="str">
        <f ca="1">IF(U1084="","",IFERROR((RANK(U1084,$U$2:$U$2028,1)+COUNTIF($U$2:U1084,U1084))-1,""))</f>
        <v/>
      </c>
      <c r="W1084" s="134" t="str">
        <f t="shared" si="424"/>
        <v/>
      </c>
      <c r="X1084" s="134" t="str">
        <f>IF(W1084="","",IFERROR((RANK(W1084,$W$2:$W$2028,1)+COUNTIF($W$2:W1084,W1084))-1,""))</f>
        <v/>
      </c>
      <c r="Y1084" s="134" t="str">
        <f t="shared" si="421"/>
        <v/>
      </c>
      <c r="Z1084" s="134" t="str">
        <f>IF(Y1084="","",IFERROR((RANK(Y1084,$Y$2:$Y$2028,1)+COUNTIF($Y$2:Y1084,Y1084))-1,""))</f>
        <v/>
      </c>
      <c r="AA1084" s="134" t="str">
        <f t="shared" si="422"/>
        <v/>
      </c>
      <c r="AB1084" s="134" t="str">
        <f>IF(AA1084="","",IFERROR((RANK(AA1084,$AA$2:$AA$2028,1)+COUNTIF($AA$2:AA1084,AA1084))-1,""))</f>
        <v/>
      </c>
      <c r="AC1084" s="134" t="str">
        <f t="shared" si="423"/>
        <v/>
      </c>
      <c r="AD1084" s="134" t="str">
        <f>IF(AC1084="","",IFERROR((RANK(AC1084,$AC$2:$AC$2028,1)+COUNTIF($AC$2:AC1084,AC1084))-1,""))</f>
        <v/>
      </c>
      <c r="AE1084" s="144" t="str">
        <f t="shared" si="415"/>
        <v/>
      </c>
      <c r="AF1084" s="144" t="str">
        <f>IF(AE1084="","",SUM($AE$2:AE1084))</f>
        <v/>
      </c>
    </row>
    <row r="1085" spans="14:32" x14ac:dyDescent="0.35">
      <c r="N1085" s="134" t="str">
        <f t="shared" si="413"/>
        <v/>
      </c>
      <c r="O1085" s="82" t="str">
        <f t="shared" si="416"/>
        <v/>
      </c>
      <c r="P1085" s="81" t="str">
        <f t="shared" si="414"/>
        <v/>
      </c>
      <c r="Q1085" s="81" t="str">
        <f t="shared" si="417"/>
        <v/>
      </c>
      <c r="R1085" s="135" t="str">
        <f t="shared" ca="1" si="418"/>
        <v/>
      </c>
      <c r="S1085" s="134" t="str">
        <f t="shared" ca="1" si="419"/>
        <v/>
      </c>
      <c r="T1085" s="134" t="str">
        <f ca="1">IF(S1085=Dashboard!$D$12,S1085,"")</f>
        <v/>
      </c>
      <c r="U1085" s="134" t="str">
        <f t="shared" ca="1" si="420"/>
        <v/>
      </c>
      <c r="V1085" s="83" t="str">
        <f ca="1">IF(U1085="","",IFERROR((RANK(U1085,$U$2:$U$2028,1)+COUNTIF($U$2:U1085,U1085))-1,""))</f>
        <v/>
      </c>
      <c r="W1085" s="134" t="str">
        <f t="shared" si="424"/>
        <v/>
      </c>
      <c r="X1085" s="134" t="str">
        <f>IF(W1085="","",IFERROR((RANK(W1085,$W$2:$W$2028,1)+COUNTIF($W$2:W1085,W1085))-1,""))</f>
        <v/>
      </c>
      <c r="Y1085" s="134" t="str">
        <f t="shared" si="421"/>
        <v/>
      </c>
      <c r="Z1085" s="134" t="str">
        <f>IF(Y1085="","",IFERROR((RANK(Y1085,$Y$2:$Y$2028,1)+COUNTIF($Y$2:Y1085,Y1085))-1,""))</f>
        <v/>
      </c>
      <c r="AA1085" s="134" t="str">
        <f t="shared" si="422"/>
        <v/>
      </c>
      <c r="AB1085" s="134" t="str">
        <f>IF(AA1085="","",IFERROR((RANK(AA1085,$AA$2:$AA$2028,1)+COUNTIF($AA$2:AA1085,AA1085))-1,""))</f>
        <v/>
      </c>
      <c r="AC1085" s="134" t="str">
        <f t="shared" si="423"/>
        <v/>
      </c>
      <c r="AD1085" s="134" t="str">
        <f>IF(AC1085="","",IFERROR((RANK(AC1085,$AC$2:$AC$2028,1)+COUNTIF($AC$2:AC1085,AC1085))-1,""))</f>
        <v/>
      </c>
      <c r="AE1085" s="144" t="str">
        <f t="shared" si="415"/>
        <v/>
      </c>
      <c r="AF1085" s="144" t="str">
        <f>IF(AE1085="","",SUM($AE$2:AE1085))</f>
        <v/>
      </c>
    </row>
    <row r="1086" spans="14:32" x14ac:dyDescent="0.35">
      <c r="N1086" s="134" t="str">
        <f t="shared" si="413"/>
        <v/>
      </c>
      <c r="O1086" s="82" t="str">
        <f t="shared" si="416"/>
        <v/>
      </c>
      <c r="P1086" s="81" t="str">
        <f t="shared" si="414"/>
        <v/>
      </c>
      <c r="Q1086" s="81" t="str">
        <f t="shared" si="417"/>
        <v/>
      </c>
      <c r="R1086" s="135" t="str">
        <f t="shared" ca="1" si="418"/>
        <v/>
      </c>
      <c r="S1086" s="134" t="str">
        <f t="shared" ca="1" si="419"/>
        <v/>
      </c>
      <c r="T1086" s="134" t="str">
        <f ca="1">IF(S1086=Dashboard!$D$12,S1086,"")</f>
        <v/>
      </c>
      <c r="U1086" s="134" t="str">
        <f t="shared" ca="1" si="420"/>
        <v/>
      </c>
      <c r="V1086" s="83" t="str">
        <f ca="1">IF(U1086="","",IFERROR((RANK(U1086,$U$2:$U$2028,1)+COUNTIF($U$2:U1086,U1086))-1,""))</f>
        <v/>
      </c>
      <c r="W1086" s="134" t="str">
        <f t="shared" si="424"/>
        <v/>
      </c>
      <c r="X1086" s="134" t="str">
        <f>IF(W1086="","",IFERROR((RANK(W1086,$W$2:$W$2028,1)+COUNTIF($W$2:W1086,W1086))-1,""))</f>
        <v/>
      </c>
      <c r="Y1086" s="134" t="str">
        <f t="shared" si="421"/>
        <v/>
      </c>
      <c r="Z1086" s="134" t="str">
        <f>IF(Y1086="","",IFERROR((RANK(Y1086,$Y$2:$Y$2028,1)+COUNTIF($Y$2:Y1086,Y1086))-1,""))</f>
        <v/>
      </c>
      <c r="AA1086" s="134" t="str">
        <f t="shared" si="422"/>
        <v/>
      </c>
      <c r="AB1086" s="134" t="str">
        <f>IF(AA1086="","",IFERROR((RANK(AA1086,$AA$2:$AA$2028,1)+COUNTIF($AA$2:AA1086,AA1086))-1,""))</f>
        <v/>
      </c>
      <c r="AC1086" s="134" t="str">
        <f t="shared" si="423"/>
        <v/>
      </c>
      <c r="AD1086" s="134" t="str">
        <f>IF(AC1086="","",IFERROR((RANK(AC1086,$AC$2:$AC$2028,1)+COUNTIF($AC$2:AC1086,AC1086))-1,""))</f>
        <v/>
      </c>
      <c r="AE1086" s="144" t="str">
        <f t="shared" si="415"/>
        <v/>
      </c>
      <c r="AF1086" s="144" t="str">
        <f>IF(AE1086="","",SUM($AE$2:AE1086))</f>
        <v/>
      </c>
    </row>
    <row r="1087" spans="14:32" x14ac:dyDescent="0.35">
      <c r="N1087" s="134" t="str">
        <f t="shared" si="413"/>
        <v/>
      </c>
      <c r="O1087" s="82" t="str">
        <f t="shared" si="416"/>
        <v/>
      </c>
      <c r="P1087" s="81" t="str">
        <f t="shared" si="414"/>
        <v/>
      </c>
      <c r="Q1087" s="81" t="str">
        <f t="shared" si="417"/>
        <v/>
      </c>
      <c r="R1087" s="135" t="str">
        <f t="shared" ca="1" si="418"/>
        <v/>
      </c>
      <c r="S1087" s="134" t="str">
        <f t="shared" ca="1" si="419"/>
        <v/>
      </c>
      <c r="T1087" s="134" t="str">
        <f ca="1">IF(S1087=Dashboard!$D$12,S1087,"")</f>
        <v/>
      </c>
      <c r="U1087" s="134" t="str">
        <f t="shared" ca="1" si="420"/>
        <v/>
      </c>
      <c r="V1087" s="83" t="str">
        <f ca="1">IF(U1087="","",IFERROR((RANK(U1087,$U$2:$U$2028,1)+COUNTIF($U$2:U1087,U1087))-1,""))</f>
        <v/>
      </c>
      <c r="W1087" s="134" t="str">
        <f t="shared" si="424"/>
        <v/>
      </c>
      <c r="X1087" s="134" t="str">
        <f>IF(W1087="","",IFERROR((RANK(W1087,$W$2:$W$2028,1)+COUNTIF($W$2:W1087,W1087))-1,""))</f>
        <v/>
      </c>
      <c r="Y1087" s="134" t="str">
        <f t="shared" si="421"/>
        <v/>
      </c>
      <c r="Z1087" s="134" t="str">
        <f>IF(Y1087="","",IFERROR((RANK(Y1087,$Y$2:$Y$2028,1)+COUNTIF($Y$2:Y1087,Y1087))-1,""))</f>
        <v/>
      </c>
      <c r="AA1087" s="134" t="str">
        <f t="shared" si="422"/>
        <v/>
      </c>
      <c r="AB1087" s="134" t="str">
        <f>IF(AA1087="","",IFERROR((RANK(AA1087,$AA$2:$AA$2028,1)+COUNTIF($AA$2:AA1087,AA1087))-1,""))</f>
        <v/>
      </c>
      <c r="AC1087" s="134" t="str">
        <f t="shared" si="423"/>
        <v/>
      </c>
      <c r="AD1087" s="134" t="str">
        <f>IF(AC1087="","",IFERROR((RANK(AC1087,$AC$2:$AC$2028,1)+COUNTIF($AC$2:AC1087,AC1087))-1,""))</f>
        <v/>
      </c>
      <c r="AE1087" s="144" t="str">
        <f t="shared" si="415"/>
        <v/>
      </c>
      <c r="AF1087" s="144" t="str">
        <f>IF(AE1087="","",SUM($AE$2:AE1087))</f>
        <v/>
      </c>
    </row>
    <row r="1088" spans="14:32" x14ac:dyDescent="0.35">
      <c r="N1088" s="134" t="str">
        <f t="shared" si="413"/>
        <v/>
      </c>
      <c r="O1088" s="82" t="str">
        <f t="shared" si="416"/>
        <v/>
      </c>
      <c r="P1088" s="81" t="str">
        <f t="shared" si="414"/>
        <v/>
      </c>
      <c r="Q1088" s="81" t="str">
        <f t="shared" si="417"/>
        <v/>
      </c>
      <c r="R1088" s="135" t="str">
        <f t="shared" ca="1" si="418"/>
        <v/>
      </c>
      <c r="S1088" s="134" t="str">
        <f t="shared" ca="1" si="419"/>
        <v/>
      </c>
      <c r="T1088" s="134" t="str">
        <f ca="1">IF(S1088=Dashboard!$D$12,S1088,"")</f>
        <v/>
      </c>
      <c r="U1088" s="134" t="str">
        <f t="shared" ca="1" si="420"/>
        <v/>
      </c>
      <c r="V1088" s="83" t="str">
        <f ca="1">IF(U1088="","",IFERROR((RANK(U1088,$U$2:$U$2028,1)+COUNTIF($U$2:U1088,U1088))-1,""))</f>
        <v/>
      </c>
      <c r="W1088" s="134" t="str">
        <f t="shared" si="424"/>
        <v/>
      </c>
      <c r="X1088" s="134" t="str">
        <f>IF(W1088="","",IFERROR((RANK(W1088,$W$2:$W$2028,1)+COUNTIF($W$2:W1088,W1088))-1,""))</f>
        <v/>
      </c>
      <c r="Y1088" s="134" t="str">
        <f t="shared" si="421"/>
        <v/>
      </c>
      <c r="Z1088" s="134" t="str">
        <f>IF(Y1088="","",IFERROR((RANK(Y1088,$Y$2:$Y$2028,1)+COUNTIF($Y$2:Y1088,Y1088))-1,""))</f>
        <v/>
      </c>
      <c r="AA1088" s="134" t="str">
        <f t="shared" si="422"/>
        <v/>
      </c>
      <c r="AB1088" s="134" t="str">
        <f>IF(AA1088="","",IFERROR((RANK(AA1088,$AA$2:$AA$2028,1)+COUNTIF($AA$2:AA1088,AA1088))-1,""))</f>
        <v/>
      </c>
      <c r="AC1088" s="134" t="str">
        <f t="shared" si="423"/>
        <v/>
      </c>
      <c r="AD1088" s="134" t="str">
        <f>IF(AC1088="","",IFERROR((RANK(AC1088,$AC$2:$AC$2028,1)+COUNTIF($AC$2:AC1088,AC1088))-1,""))</f>
        <v/>
      </c>
      <c r="AE1088" s="144" t="str">
        <f t="shared" si="415"/>
        <v/>
      </c>
      <c r="AF1088" s="144" t="str">
        <f>IF(AE1088="","",SUM($AE$2:AE1088))</f>
        <v/>
      </c>
    </row>
    <row r="1089" spans="14:32" x14ac:dyDescent="0.35">
      <c r="N1089" s="134" t="str">
        <f t="shared" si="413"/>
        <v/>
      </c>
      <c r="O1089" s="82" t="str">
        <f t="shared" si="416"/>
        <v/>
      </c>
      <c r="P1089" s="81" t="str">
        <f t="shared" si="414"/>
        <v/>
      </c>
      <c r="Q1089" s="81" t="str">
        <f t="shared" si="417"/>
        <v/>
      </c>
      <c r="R1089" s="135" t="str">
        <f t="shared" ca="1" si="418"/>
        <v/>
      </c>
      <c r="S1089" s="134" t="str">
        <f t="shared" ca="1" si="419"/>
        <v/>
      </c>
      <c r="T1089" s="134" t="str">
        <f ca="1">IF(S1089=Dashboard!$D$12,S1089,"")</f>
        <v/>
      </c>
      <c r="U1089" s="134" t="str">
        <f t="shared" ca="1" si="420"/>
        <v/>
      </c>
      <c r="V1089" s="83" t="str">
        <f ca="1">IF(U1089="","",IFERROR((RANK(U1089,$U$2:$U$2028,1)+COUNTIF($U$2:U1089,U1089))-1,""))</f>
        <v/>
      </c>
      <c r="W1089" s="134" t="str">
        <f t="shared" si="424"/>
        <v/>
      </c>
      <c r="X1089" s="134" t="str">
        <f>IF(W1089="","",IFERROR((RANK(W1089,$W$2:$W$2028,1)+COUNTIF($W$2:W1089,W1089))-1,""))</f>
        <v/>
      </c>
      <c r="Y1089" s="134" t="str">
        <f t="shared" si="421"/>
        <v/>
      </c>
      <c r="Z1089" s="134" t="str">
        <f>IF(Y1089="","",IFERROR((RANK(Y1089,$Y$2:$Y$2028,1)+COUNTIF($Y$2:Y1089,Y1089))-1,""))</f>
        <v/>
      </c>
      <c r="AA1089" s="134" t="str">
        <f t="shared" si="422"/>
        <v/>
      </c>
      <c r="AB1089" s="134" t="str">
        <f>IF(AA1089="","",IFERROR((RANK(AA1089,$AA$2:$AA$2028,1)+COUNTIF($AA$2:AA1089,AA1089))-1,""))</f>
        <v/>
      </c>
      <c r="AC1089" s="134" t="str">
        <f t="shared" si="423"/>
        <v/>
      </c>
      <c r="AD1089" s="134" t="str">
        <f>IF(AC1089="","",IFERROR((RANK(AC1089,$AC$2:$AC$2028,1)+COUNTIF($AC$2:AC1089,AC1089))-1,""))</f>
        <v/>
      </c>
      <c r="AE1089" s="144" t="str">
        <f t="shared" si="415"/>
        <v/>
      </c>
      <c r="AF1089" s="144" t="str">
        <f>IF(AE1089="","",SUM($AE$2:AE1089))</f>
        <v/>
      </c>
    </row>
    <row r="1090" spans="14:32" x14ac:dyDescent="0.35">
      <c r="N1090" s="134" t="str">
        <f t="shared" ref="N1090:N1153" si="425">IF(A1090="","",COUNTIFS(M:M,M1090,H:H,"&lt;"&amp;H1090)+1)</f>
        <v/>
      </c>
      <c r="O1090" s="82" t="str">
        <f t="shared" si="416"/>
        <v/>
      </c>
      <c r="P1090" s="81" t="str">
        <f t="shared" ref="P1090:P1153" si="426">IF(A1090="","",COUNTIFS(M:M,M1090,H:H,"&gt;"&amp;H1090)+1)</f>
        <v/>
      </c>
      <c r="Q1090" s="81" t="str">
        <f t="shared" si="417"/>
        <v/>
      </c>
      <c r="R1090" s="135" t="str">
        <f t="shared" ca="1" si="418"/>
        <v/>
      </c>
      <c r="S1090" s="134" t="str">
        <f t="shared" ca="1" si="419"/>
        <v/>
      </c>
      <c r="T1090" s="134" t="str">
        <f ca="1">IF(S1090=Dashboard!$D$12,S1090,"")</f>
        <v/>
      </c>
      <c r="U1090" s="134" t="str">
        <f t="shared" ca="1" si="420"/>
        <v/>
      </c>
      <c r="V1090" s="83" t="str">
        <f ca="1">IF(U1090="","",IFERROR((RANK(U1090,$U$2:$U$2028,1)+COUNTIF($U$2:U1090,U1090))-1,""))</f>
        <v/>
      </c>
      <c r="W1090" s="134" t="str">
        <f t="shared" si="424"/>
        <v/>
      </c>
      <c r="X1090" s="134" t="str">
        <f>IF(W1090="","",IFERROR((RANK(W1090,$W$2:$W$2028,1)+COUNTIF($W$2:W1090,W1090))-1,""))</f>
        <v/>
      </c>
      <c r="Y1090" s="134" t="str">
        <f t="shared" si="421"/>
        <v/>
      </c>
      <c r="Z1090" s="134" t="str">
        <f>IF(Y1090="","",IFERROR((RANK(Y1090,$Y$2:$Y$2028,1)+COUNTIF($Y$2:Y1090,Y1090))-1,""))</f>
        <v/>
      </c>
      <c r="AA1090" s="134" t="str">
        <f t="shared" si="422"/>
        <v/>
      </c>
      <c r="AB1090" s="134" t="str">
        <f>IF(AA1090="","",IFERROR((RANK(AA1090,$AA$2:$AA$2028,1)+COUNTIF($AA$2:AA1090,AA1090))-1,""))</f>
        <v/>
      </c>
      <c r="AC1090" s="134" t="str">
        <f t="shared" si="423"/>
        <v/>
      </c>
      <c r="AD1090" s="134" t="str">
        <f>IF(AC1090="","",IFERROR((RANK(AC1090,$AC$2:$AC$2028,1)+COUNTIF($AC$2:AC1090,AC1090))-1,""))</f>
        <v/>
      </c>
      <c r="AE1090" s="144" t="str">
        <f t="shared" si="415"/>
        <v/>
      </c>
      <c r="AF1090" s="144" t="str">
        <f>IF(AE1090="","",SUM($AE$2:AE1090))</f>
        <v/>
      </c>
    </row>
    <row r="1091" spans="14:32" x14ac:dyDescent="0.35">
      <c r="N1091" s="134" t="str">
        <f t="shared" si="425"/>
        <v/>
      </c>
      <c r="O1091" s="82" t="str">
        <f t="shared" si="416"/>
        <v/>
      </c>
      <c r="P1091" s="81" t="str">
        <f t="shared" si="426"/>
        <v/>
      </c>
      <c r="Q1091" s="81" t="str">
        <f t="shared" si="417"/>
        <v/>
      </c>
      <c r="R1091" s="135" t="str">
        <f t="shared" ca="1" si="418"/>
        <v/>
      </c>
      <c r="S1091" s="134" t="str">
        <f t="shared" ca="1" si="419"/>
        <v/>
      </c>
      <c r="T1091" s="134" t="str">
        <f ca="1">IF(S1091=Dashboard!$D$12,S1091,"")</f>
        <v/>
      </c>
      <c r="U1091" s="134" t="str">
        <f t="shared" ca="1" si="420"/>
        <v/>
      </c>
      <c r="V1091" s="83" t="str">
        <f ca="1">IF(U1091="","",IFERROR((RANK(U1091,$U$2:$U$2028,1)+COUNTIF($U$2:U1091,U1091))-1,""))</f>
        <v/>
      </c>
      <c r="W1091" s="134" t="str">
        <f t="shared" si="424"/>
        <v/>
      </c>
      <c r="X1091" s="134" t="str">
        <f>IF(W1091="","",IFERROR((RANK(W1091,$W$2:$W$2028,1)+COUNTIF($W$2:W1091,W1091))-1,""))</f>
        <v/>
      </c>
      <c r="Y1091" s="134" t="str">
        <f t="shared" si="421"/>
        <v/>
      </c>
      <c r="Z1091" s="134" t="str">
        <f>IF(Y1091="","",IFERROR((RANK(Y1091,$Y$2:$Y$2028,1)+COUNTIF($Y$2:Y1091,Y1091))-1,""))</f>
        <v/>
      </c>
      <c r="AA1091" s="134" t="str">
        <f t="shared" si="422"/>
        <v/>
      </c>
      <c r="AB1091" s="134" t="str">
        <f>IF(AA1091="","",IFERROR((RANK(AA1091,$AA$2:$AA$2028,1)+COUNTIF($AA$2:AA1091,AA1091))-1,""))</f>
        <v/>
      </c>
      <c r="AC1091" s="134" t="str">
        <f t="shared" si="423"/>
        <v/>
      </c>
      <c r="AD1091" s="134" t="str">
        <f>IF(AC1091="","",IFERROR((RANK(AC1091,$AC$2:$AC$2028,1)+COUNTIF($AC$2:AC1091,AC1091))-1,""))</f>
        <v/>
      </c>
      <c r="AE1091" s="144" t="str">
        <f t="shared" si="415"/>
        <v/>
      </c>
      <c r="AF1091" s="144" t="str">
        <f>IF(AE1091="","",SUM($AE$2:AE1091))</f>
        <v/>
      </c>
    </row>
    <row r="1092" spans="14:32" x14ac:dyDescent="0.35">
      <c r="N1092" s="134" t="str">
        <f t="shared" si="425"/>
        <v/>
      </c>
      <c r="O1092" s="82" t="str">
        <f t="shared" si="416"/>
        <v/>
      </c>
      <c r="P1092" s="81" t="str">
        <f t="shared" si="426"/>
        <v/>
      </c>
      <c r="Q1092" s="81" t="str">
        <f t="shared" si="417"/>
        <v/>
      </c>
      <c r="R1092" s="135" t="str">
        <f t="shared" ca="1" si="418"/>
        <v/>
      </c>
      <c r="S1092" s="134" t="str">
        <f t="shared" ca="1" si="419"/>
        <v/>
      </c>
      <c r="T1092" s="134" t="str">
        <f ca="1">IF(S1092=Dashboard!$D$12,S1092,"")</f>
        <v/>
      </c>
      <c r="U1092" s="134" t="str">
        <f t="shared" ca="1" si="420"/>
        <v/>
      </c>
      <c r="V1092" s="83" t="str">
        <f ca="1">IF(U1092="","",IFERROR((RANK(U1092,$U$2:$U$2028,1)+COUNTIF($U$2:U1092,U1092))-1,""))</f>
        <v/>
      </c>
      <c r="W1092" s="134" t="str">
        <f t="shared" si="424"/>
        <v/>
      </c>
      <c r="X1092" s="134" t="str">
        <f>IF(W1092="","",IFERROR((RANK(W1092,$W$2:$W$2028,1)+COUNTIF($W$2:W1092,W1092))-1,""))</f>
        <v/>
      </c>
      <c r="Y1092" s="134" t="str">
        <f t="shared" si="421"/>
        <v/>
      </c>
      <c r="Z1092" s="134" t="str">
        <f>IF(Y1092="","",IFERROR((RANK(Y1092,$Y$2:$Y$2028,1)+COUNTIF($Y$2:Y1092,Y1092))-1,""))</f>
        <v/>
      </c>
      <c r="AA1092" s="134" t="str">
        <f t="shared" si="422"/>
        <v/>
      </c>
      <c r="AB1092" s="134" t="str">
        <f>IF(AA1092="","",IFERROR((RANK(AA1092,$AA$2:$AA$2028,1)+COUNTIF($AA$2:AA1092,AA1092))-1,""))</f>
        <v/>
      </c>
      <c r="AC1092" s="134" t="str">
        <f t="shared" si="423"/>
        <v/>
      </c>
      <c r="AD1092" s="134" t="str">
        <f>IF(AC1092="","",IFERROR((RANK(AC1092,$AC$2:$AC$2028,1)+COUNTIF($AC$2:AC1092,AC1092))-1,""))</f>
        <v/>
      </c>
      <c r="AE1092" s="144" t="str">
        <f t="shared" si="415"/>
        <v/>
      </c>
      <c r="AF1092" s="144" t="str">
        <f>IF(AE1092="","",SUM($AE$2:AE1092))</f>
        <v/>
      </c>
    </row>
    <row r="1093" spans="14:32" x14ac:dyDescent="0.35">
      <c r="N1093" s="134" t="str">
        <f t="shared" si="425"/>
        <v/>
      </c>
      <c r="O1093" s="82" t="str">
        <f t="shared" si="416"/>
        <v/>
      </c>
      <c r="P1093" s="81" t="str">
        <f t="shared" si="426"/>
        <v/>
      </c>
      <c r="Q1093" s="81" t="str">
        <f t="shared" si="417"/>
        <v/>
      </c>
      <c r="R1093" s="135" t="str">
        <f t="shared" ca="1" si="418"/>
        <v/>
      </c>
      <c r="S1093" s="134" t="str">
        <f t="shared" ca="1" si="419"/>
        <v/>
      </c>
      <c r="T1093" s="134" t="str">
        <f ca="1">IF(S1093=Dashboard!$D$12,S1093,"")</f>
        <v/>
      </c>
      <c r="U1093" s="134" t="str">
        <f t="shared" ca="1" si="420"/>
        <v/>
      </c>
      <c r="V1093" s="83" t="str">
        <f ca="1">IF(U1093="","",IFERROR((RANK(U1093,$U$2:$U$2028,1)+COUNTIF($U$2:U1093,U1093))-1,""))</f>
        <v/>
      </c>
      <c r="W1093" s="134" t="str">
        <f t="shared" si="424"/>
        <v/>
      </c>
      <c r="X1093" s="134" t="str">
        <f>IF(W1093="","",IFERROR((RANK(W1093,$W$2:$W$2028,1)+COUNTIF($W$2:W1093,W1093))-1,""))</f>
        <v/>
      </c>
      <c r="Y1093" s="134" t="str">
        <f t="shared" si="421"/>
        <v/>
      </c>
      <c r="Z1093" s="134" t="str">
        <f>IF(Y1093="","",IFERROR((RANK(Y1093,$Y$2:$Y$2028,1)+COUNTIF($Y$2:Y1093,Y1093))-1,""))</f>
        <v/>
      </c>
      <c r="AA1093" s="134" t="str">
        <f t="shared" si="422"/>
        <v/>
      </c>
      <c r="AB1093" s="134" t="str">
        <f>IF(AA1093="","",IFERROR((RANK(AA1093,$AA$2:$AA$2028,1)+COUNTIF($AA$2:AA1093,AA1093))-1,""))</f>
        <v/>
      </c>
      <c r="AC1093" s="134" t="str">
        <f t="shared" si="423"/>
        <v/>
      </c>
      <c r="AD1093" s="134" t="str">
        <f>IF(AC1093="","",IFERROR((RANK(AC1093,$AC$2:$AC$2028,1)+COUNTIF($AC$2:AC1093,AC1093))-1,""))</f>
        <v/>
      </c>
      <c r="AE1093" s="144" t="str">
        <f t="shared" si="415"/>
        <v/>
      </c>
      <c r="AF1093" s="144" t="str">
        <f>IF(AE1093="","",SUM($AE$2:AE1093))</f>
        <v/>
      </c>
    </row>
    <row r="1094" spans="14:32" x14ac:dyDescent="0.35">
      <c r="N1094" s="134" t="str">
        <f t="shared" si="425"/>
        <v/>
      </c>
      <c r="O1094" s="82" t="str">
        <f t="shared" si="416"/>
        <v/>
      </c>
      <c r="P1094" s="81" t="str">
        <f t="shared" si="426"/>
        <v/>
      </c>
      <c r="Q1094" s="81" t="str">
        <f t="shared" si="417"/>
        <v/>
      </c>
      <c r="R1094" s="135" t="str">
        <f t="shared" ca="1" si="418"/>
        <v/>
      </c>
      <c r="S1094" s="134" t="str">
        <f t="shared" ca="1" si="419"/>
        <v/>
      </c>
      <c r="T1094" s="134" t="str">
        <f ca="1">IF(S1094=Dashboard!$D$12,S1094,"")</f>
        <v/>
      </c>
      <c r="U1094" s="134" t="str">
        <f t="shared" ca="1" si="420"/>
        <v/>
      </c>
      <c r="V1094" s="83" t="str">
        <f ca="1">IF(U1094="","",IFERROR((RANK(U1094,$U$2:$U$2028,1)+COUNTIF($U$2:U1094,U1094))-1,""))</f>
        <v/>
      </c>
      <c r="W1094" s="134" t="str">
        <f t="shared" si="424"/>
        <v/>
      </c>
      <c r="X1094" s="134" t="str">
        <f>IF(W1094="","",IFERROR((RANK(W1094,$W$2:$W$2028,1)+COUNTIF($W$2:W1094,W1094))-1,""))</f>
        <v/>
      </c>
      <c r="Y1094" s="134" t="str">
        <f t="shared" si="421"/>
        <v/>
      </c>
      <c r="Z1094" s="134" t="str">
        <f>IF(Y1094="","",IFERROR((RANK(Y1094,$Y$2:$Y$2028,1)+COUNTIF($Y$2:Y1094,Y1094))-1,""))</f>
        <v/>
      </c>
      <c r="AA1094" s="134" t="str">
        <f t="shared" si="422"/>
        <v/>
      </c>
      <c r="AB1094" s="134" t="str">
        <f>IF(AA1094="","",IFERROR((RANK(AA1094,$AA$2:$AA$2028,1)+COUNTIF($AA$2:AA1094,AA1094))-1,""))</f>
        <v/>
      </c>
      <c r="AC1094" s="134" t="str">
        <f t="shared" si="423"/>
        <v/>
      </c>
      <c r="AD1094" s="134" t="str">
        <f>IF(AC1094="","",IFERROR((RANK(AC1094,$AC$2:$AC$2028,1)+COUNTIF($AC$2:AC1094,AC1094))-1,""))</f>
        <v/>
      </c>
      <c r="AE1094" s="144" t="str">
        <f t="shared" si="415"/>
        <v/>
      </c>
      <c r="AF1094" s="144" t="str">
        <f>IF(AE1094="","",SUM($AE$2:AE1094))</f>
        <v/>
      </c>
    </row>
    <row r="1095" spans="14:32" x14ac:dyDescent="0.35">
      <c r="N1095" s="134" t="str">
        <f t="shared" si="425"/>
        <v/>
      </c>
      <c r="O1095" s="82" t="str">
        <f t="shared" si="416"/>
        <v/>
      </c>
      <c r="P1095" s="81" t="str">
        <f t="shared" si="426"/>
        <v/>
      </c>
      <c r="Q1095" s="81" t="str">
        <f t="shared" si="417"/>
        <v/>
      </c>
      <c r="R1095" s="135" t="str">
        <f t="shared" ca="1" si="418"/>
        <v/>
      </c>
      <c r="S1095" s="134" t="str">
        <f t="shared" ca="1" si="419"/>
        <v/>
      </c>
      <c r="T1095" s="134" t="str">
        <f ca="1">IF(S1095=Dashboard!$D$12,S1095,"")</f>
        <v/>
      </c>
      <c r="U1095" s="134" t="str">
        <f t="shared" ca="1" si="420"/>
        <v/>
      </c>
      <c r="V1095" s="83" t="str">
        <f ca="1">IF(U1095="","",IFERROR((RANK(U1095,$U$2:$U$2028,1)+COUNTIF($U$2:U1095,U1095))-1,""))</f>
        <v/>
      </c>
      <c r="W1095" s="134" t="str">
        <f t="shared" si="424"/>
        <v/>
      </c>
      <c r="X1095" s="134" t="str">
        <f>IF(W1095="","",IFERROR((RANK(W1095,$W$2:$W$2028,1)+COUNTIF($W$2:W1095,W1095))-1,""))</f>
        <v/>
      </c>
      <c r="Y1095" s="134" t="str">
        <f t="shared" si="421"/>
        <v/>
      </c>
      <c r="Z1095" s="134" t="str">
        <f>IF(Y1095="","",IFERROR((RANK(Y1095,$Y$2:$Y$2028,1)+COUNTIF($Y$2:Y1095,Y1095))-1,""))</f>
        <v/>
      </c>
      <c r="AA1095" s="134" t="str">
        <f t="shared" si="422"/>
        <v/>
      </c>
      <c r="AB1095" s="134" t="str">
        <f>IF(AA1095="","",IFERROR((RANK(AA1095,$AA$2:$AA$2028,1)+COUNTIF($AA$2:AA1095,AA1095))-1,""))</f>
        <v/>
      </c>
      <c r="AC1095" s="134" t="str">
        <f t="shared" si="423"/>
        <v/>
      </c>
      <c r="AD1095" s="134" t="str">
        <f>IF(AC1095="","",IFERROR((RANK(AC1095,$AC$2:$AC$2028,1)+COUNTIF($AC$2:AC1095,AC1095))-1,""))</f>
        <v/>
      </c>
      <c r="AE1095" s="144" t="str">
        <f t="shared" ref="AE1095:AE1158" si="427">IF(P1095=1,P1095,"")</f>
        <v/>
      </c>
      <c r="AF1095" s="144" t="str">
        <f>IF(AE1095="","",SUM($AE$2:AE1095))</f>
        <v/>
      </c>
    </row>
    <row r="1096" spans="14:32" x14ac:dyDescent="0.35">
      <c r="N1096" s="134" t="str">
        <f t="shared" si="425"/>
        <v/>
      </c>
      <c r="O1096" s="82" t="str">
        <f t="shared" si="416"/>
        <v/>
      </c>
      <c r="P1096" s="81" t="str">
        <f t="shared" si="426"/>
        <v/>
      </c>
      <c r="Q1096" s="81" t="str">
        <f t="shared" si="417"/>
        <v/>
      </c>
      <c r="R1096" s="135" t="str">
        <f t="shared" ca="1" si="418"/>
        <v/>
      </c>
      <c r="S1096" s="134" t="str">
        <f t="shared" ca="1" si="419"/>
        <v/>
      </c>
      <c r="T1096" s="134" t="str">
        <f ca="1">IF(S1096=Dashboard!$D$12,S1096,"")</f>
        <v/>
      </c>
      <c r="U1096" s="134" t="str">
        <f t="shared" ca="1" si="420"/>
        <v/>
      </c>
      <c r="V1096" s="83" t="str">
        <f ca="1">IF(U1096="","",IFERROR((RANK(U1096,$U$2:$U$2028,1)+COUNTIF($U$2:U1096,U1096))-1,""))</f>
        <v/>
      </c>
      <c r="W1096" s="134" t="str">
        <f t="shared" si="424"/>
        <v/>
      </c>
      <c r="X1096" s="134" t="str">
        <f>IF(W1096="","",IFERROR((RANK(W1096,$W$2:$W$2028,1)+COUNTIF($W$2:W1096,W1096))-1,""))</f>
        <v/>
      </c>
      <c r="Y1096" s="134" t="str">
        <f t="shared" si="421"/>
        <v/>
      </c>
      <c r="Z1096" s="134" t="str">
        <f>IF(Y1096="","",IFERROR((RANK(Y1096,$Y$2:$Y$2028,1)+COUNTIF($Y$2:Y1096,Y1096))-1,""))</f>
        <v/>
      </c>
      <c r="AA1096" s="134" t="str">
        <f t="shared" si="422"/>
        <v/>
      </c>
      <c r="AB1096" s="134" t="str">
        <f>IF(AA1096="","",IFERROR((RANK(AA1096,$AA$2:$AA$2028,1)+COUNTIF($AA$2:AA1096,AA1096))-1,""))</f>
        <v/>
      </c>
      <c r="AC1096" s="134" t="str">
        <f t="shared" si="423"/>
        <v/>
      </c>
      <c r="AD1096" s="134" t="str">
        <f>IF(AC1096="","",IFERROR((RANK(AC1096,$AC$2:$AC$2028,1)+COUNTIF($AC$2:AC1096,AC1096))-1,""))</f>
        <v/>
      </c>
      <c r="AE1096" s="144" t="str">
        <f t="shared" si="427"/>
        <v/>
      </c>
      <c r="AF1096" s="144" t="str">
        <f>IF(AE1096="","",SUM($AE$2:AE1096))</f>
        <v/>
      </c>
    </row>
    <row r="1097" spans="14:32" x14ac:dyDescent="0.35">
      <c r="N1097" s="134" t="str">
        <f t="shared" si="425"/>
        <v/>
      </c>
      <c r="O1097" s="82" t="str">
        <f t="shared" si="416"/>
        <v/>
      </c>
      <c r="P1097" s="81" t="str">
        <f t="shared" si="426"/>
        <v/>
      </c>
      <c r="Q1097" s="81" t="str">
        <f t="shared" si="417"/>
        <v/>
      </c>
      <c r="R1097" s="135" t="str">
        <f t="shared" ca="1" si="418"/>
        <v/>
      </c>
      <c r="S1097" s="134" t="str">
        <f t="shared" ca="1" si="419"/>
        <v/>
      </c>
      <c r="T1097" s="134" t="str">
        <f ca="1">IF(S1097=Dashboard!$D$12,S1097,"")</f>
        <v/>
      </c>
      <c r="U1097" s="134" t="str">
        <f t="shared" ca="1" si="420"/>
        <v/>
      </c>
      <c r="V1097" s="83" t="str">
        <f ca="1">IF(U1097="","",IFERROR((RANK(U1097,$U$2:$U$2028,1)+COUNTIF($U$2:U1097,U1097))-1,""))</f>
        <v/>
      </c>
      <c r="W1097" s="134" t="str">
        <f t="shared" si="424"/>
        <v/>
      </c>
      <c r="X1097" s="134" t="str">
        <f>IF(W1097="","",IFERROR((RANK(W1097,$W$2:$W$2028,1)+COUNTIF($W$2:W1097,W1097))-1,""))</f>
        <v/>
      </c>
      <c r="Y1097" s="134" t="str">
        <f t="shared" si="421"/>
        <v/>
      </c>
      <c r="Z1097" s="134" t="str">
        <f>IF(Y1097="","",IFERROR((RANK(Y1097,$Y$2:$Y$2028,1)+COUNTIF($Y$2:Y1097,Y1097))-1,""))</f>
        <v/>
      </c>
      <c r="AA1097" s="134" t="str">
        <f t="shared" si="422"/>
        <v/>
      </c>
      <c r="AB1097" s="134" t="str">
        <f>IF(AA1097="","",IFERROR((RANK(AA1097,$AA$2:$AA$2028,1)+COUNTIF($AA$2:AA1097,AA1097))-1,""))</f>
        <v/>
      </c>
      <c r="AC1097" s="134" t="str">
        <f t="shared" si="423"/>
        <v/>
      </c>
      <c r="AD1097" s="134" t="str">
        <f>IF(AC1097="","",IFERROR((RANK(AC1097,$AC$2:$AC$2028,1)+COUNTIF($AC$2:AC1097,AC1097))-1,""))</f>
        <v/>
      </c>
      <c r="AE1097" s="144" t="str">
        <f t="shared" si="427"/>
        <v/>
      </c>
      <c r="AF1097" s="144" t="str">
        <f>IF(AE1097="","",SUM($AE$2:AE1097))</f>
        <v/>
      </c>
    </row>
    <row r="1098" spans="14:32" x14ac:dyDescent="0.35">
      <c r="N1098" s="134" t="str">
        <f t="shared" si="425"/>
        <v/>
      </c>
      <c r="O1098" s="82" t="str">
        <f t="shared" si="416"/>
        <v/>
      </c>
      <c r="P1098" s="81" t="str">
        <f t="shared" si="426"/>
        <v/>
      </c>
      <c r="Q1098" s="81" t="str">
        <f t="shared" si="417"/>
        <v/>
      </c>
      <c r="R1098" s="135" t="str">
        <f t="shared" ca="1" si="418"/>
        <v/>
      </c>
      <c r="S1098" s="134" t="str">
        <f t="shared" ca="1" si="419"/>
        <v/>
      </c>
      <c r="T1098" s="134" t="str">
        <f ca="1">IF(S1098=Dashboard!$D$12,S1098,"")</f>
        <v/>
      </c>
      <c r="U1098" s="134" t="str">
        <f t="shared" ca="1" si="420"/>
        <v/>
      </c>
      <c r="V1098" s="83" t="str">
        <f ca="1">IF(U1098="","",IFERROR((RANK(U1098,$U$2:$U$2028,1)+COUNTIF($U$2:U1098,U1098))-1,""))</f>
        <v/>
      </c>
      <c r="W1098" s="134" t="str">
        <f t="shared" si="424"/>
        <v/>
      </c>
      <c r="X1098" s="134" t="str">
        <f>IF(W1098="","",IFERROR((RANK(W1098,$W$2:$W$2028,1)+COUNTIF($W$2:W1098,W1098))-1,""))</f>
        <v/>
      </c>
      <c r="Y1098" s="134" t="str">
        <f t="shared" si="421"/>
        <v/>
      </c>
      <c r="Z1098" s="134" t="str">
        <f>IF(Y1098="","",IFERROR((RANK(Y1098,$Y$2:$Y$2028,1)+COUNTIF($Y$2:Y1098,Y1098))-1,""))</f>
        <v/>
      </c>
      <c r="AA1098" s="134" t="str">
        <f t="shared" si="422"/>
        <v/>
      </c>
      <c r="AB1098" s="134" t="str">
        <f>IF(AA1098="","",IFERROR((RANK(AA1098,$AA$2:$AA$2028,1)+COUNTIF($AA$2:AA1098,AA1098))-1,""))</f>
        <v/>
      </c>
      <c r="AC1098" s="134" t="str">
        <f t="shared" si="423"/>
        <v/>
      </c>
      <c r="AD1098" s="134" t="str">
        <f>IF(AC1098="","",IFERROR((RANK(AC1098,$AC$2:$AC$2028,1)+COUNTIF($AC$2:AC1098,AC1098))-1,""))</f>
        <v/>
      </c>
      <c r="AE1098" s="144" t="str">
        <f t="shared" si="427"/>
        <v/>
      </c>
      <c r="AF1098" s="144" t="str">
        <f>IF(AE1098="","",SUM($AE$2:AE1098))</f>
        <v/>
      </c>
    </row>
    <row r="1099" spans="14:32" x14ac:dyDescent="0.35">
      <c r="N1099" s="134" t="str">
        <f t="shared" si="425"/>
        <v/>
      </c>
      <c r="O1099" s="82" t="str">
        <f t="shared" si="416"/>
        <v/>
      </c>
      <c r="P1099" s="81" t="str">
        <f t="shared" si="426"/>
        <v/>
      </c>
      <c r="Q1099" s="81" t="str">
        <f t="shared" si="417"/>
        <v/>
      </c>
      <c r="R1099" s="135" t="str">
        <f t="shared" ca="1" si="418"/>
        <v/>
      </c>
      <c r="S1099" s="134" t="str">
        <f t="shared" ca="1" si="419"/>
        <v/>
      </c>
      <c r="T1099" s="134" t="str">
        <f ca="1">IF(S1099=Dashboard!$D$12,S1099,"")</f>
        <v/>
      </c>
      <c r="U1099" s="134" t="str">
        <f t="shared" ca="1" si="420"/>
        <v/>
      </c>
      <c r="V1099" s="83" t="str">
        <f ca="1">IF(U1099="","",IFERROR((RANK(U1099,$U$2:$U$2028,1)+COUNTIF($U$2:U1099,U1099))-1,""))</f>
        <v/>
      </c>
      <c r="W1099" s="134" t="str">
        <f t="shared" si="424"/>
        <v/>
      </c>
      <c r="X1099" s="134" t="str">
        <f>IF(W1099="","",IFERROR((RANK(W1099,$W$2:$W$2028,1)+COUNTIF($W$2:W1099,W1099))-1,""))</f>
        <v/>
      </c>
      <c r="Y1099" s="134" t="str">
        <f t="shared" si="421"/>
        <v/>
      </c>
      <c r="Z1099" s="134" t="str">
        <f>IF(Y1099="","",IFERROR((RANK(Y1099,$Y$2:$Y$2028,1)+COUNTIF($Y$2:Y1099,Y1099))-1,""))</f>
        <v/>
      </c>
      <c r="AA1099" s="134" t="str">
        <f t="shared" si="422"/>
        <v/>
      </c>
      <c r="AB1099" s="134" t="str">
        <f>IF(AA1099="","",IFERROR((RANK(AA1099,$AA$2:$AA$2028,1)+COUNTIF($AA$2:AA1099,AA1099))-1,""))</f>
        <v/>
      </c>
      <c r="AC1099" s="134" t="str">
        <f t="shared" si="423"/>
        <v/>
      </c>
      <c r="AD1099" s="134" t="str">
        <f>IF(AC1099="","",IFERROR((RANK(AC1099,$AC$2:$AC$2028,1)+COUNTIF($AC$2:AC1099,AC1099))-1,""))</f>
        <v/>
      </c>
      <c r="AE1099" s="144" t="str">
        <f t="shared" si="427"/>
        <v/>
      </c>
      <c r="AF1099" s="144" t="str">
        <f>IF(AE1099="","",SUM($AE$2:AE1099))</f>
        <v/>
      </c>
    </row>
    <row r="1100" spans="14:32" x14ac:dyDescent="0.35">
      <c r="N1100" s="134" t="str">
        <f t="shared" si="425"/>
        <v/>
      </c>
      <c r="O1100" s="82" t="str">
        <f t="shared" si="416"/>
        <v/>
      </c>
      <c r="P1100" s="81" t="str">
        <f t="shared" si="426"/>
        <v/>
      </c>
      <c r="Q1100" s="81" t="str">
        <f t="shared" si="417"/>
        <v/>
      </c>
      <c r="R1100" s="135" t="str">
        <f t="shared" ca="1" si="418"/>
        <v/>
      </c>
      <c r="S1100" s="134" t="str">
        <f t="shared" ca="1" si="419"/>
        <v/>
      </c>
      <c r="T1100" s="134" t="str">
        <f ca="1">IF(S1100=Dashboard!$D$12,S1100,"")</f>
        <v/>
      </c>
      <c r="U1100" s="134" t="str">
        <f t="shared" ca="1" si="420"/>
        <v/>
      </c>
      <c r="V1100" s="83" t="str">
        <f ca="1">IF(U1100="","",IFERROR((RANK(U1100,$U$2:$U$2028,1)+COUNTIF($U$2:U1100,U1100))-1,""))</f>
        <v/>
      </c>
      <c r="W1100" s="134" t="str">
        <f t="shared" si="424"/>
        <v/>
      </c>
      <c r="X1100" s="134" t="str">
        <f>IF(W1100="","",IFERROR((RANK(W1100,$W$2:$W$2028,1)+COUNTIF($W$2:W1100,W1100))-1,""))</f>
        <v/>
      </c>
      <c r="Y1100" s="134" t="str">
        <f t="shared" si="421"/>
        <v/>
      </c>
      <c r="Z1100" s="134" t="str">
        <f>IF(Y1100="","",IFERROR((RANK(Y1100,$Y$2:$Y$2028,1)+COUNTIF($Y$2:Y1100,Y1100))-1,""))</f>
        <v/>
      </c>
      <c r="AA1100" s="134" t="str">
        <f t="shared" si="422"/>
        <v/>
      </c>
      <c r="AB1100" s="134" t="str">
        <f>IF(AA1100="","",IFERROR((RANK(AA1100,$AA$2:$AA$2028,1)+COUNTIF($AA$2:AA1100,AA1100))-1,""))</f>
        <v/>
      </c>
      <c r="AC1100" s="134" t="str">
        <f t="shared" si="423"/>
        <v/>
      </c>
      <c r="AD1100" s="134" t="str">
        <f>IF(AC1100="","",IFERROR((RANK(AC1100,$AC$2:$AC$2028,1)+COUNTIF($AC$2:AC1100,AC1100))-1,""))</f>
        <v/>
      </c>
      <c r="AE1100" s="144" t="str">
        <f t="shared" si="427"/>
        <v/>
      </c>
      <c r="AF1100" s="144" t="str">
        <f>IF(AE1100="","",SUM($AE$2:AE1100))</f>
        <v/>
      </c>
    </row>
    <row r="1101" spans="14:32" x14ac:dyDescent="0.35">
      <c r="N1101" s="134" t="str">
        <f t="shared" si="425"/>
        <v/>
      </c>
      <c r="O1101" s="82" t="str">
        <f t="shared" si="416"/>
        <v/>
      </c>
      <c r="P1101" s="81" t="str">
        <f t="shared" si="426"/>
        <v/>
      </c>
      <c r="Q1101" s="81" t="str">
        <f t="shared" si="417"/>
        <v/>
      </c>
      <c r="R1101" s="135" t="str">
        <f t="shared" ca="1" si="418"/>
        <v/>
      </c>
      <c r="S1101" s="134" t="str">
        <f t="shared" ca="1" si="419"/>
        <v/>
      </c>
      <c r="T1101" s="134" t="str">
        <f ca="1">IF(S1101=Dashboard!$D$12,S1101,"")</f>
        <v/>
      </c>
      <c r="U1101" s="134" t="str">
        <f t="shared" ca="1" si="420"/>
        <v/>
      </c>
      <c r="V1101" s="83" t="str">
        <f ca="1">IF(U1101="","",IFERROR((RANK(U1101,$U$2:$U$2028,1)+COUNTIF($U$2:U1101,U1101))-1,""))</f>
        <v/>
      </c>
      <c r="W1101" s="134" t="str">
        <f t="shared" si="424"/>
        <v/>
      </c>
      <c r="X1101" s="134" t="str">
        <f>IF(W1101="","",IFERROR((RANK(W1101,$W$2:$W$2028,1)+COUNTIF($W$2:W1101,W1101))-1,""))</f>
        <v/>
      </c>
      <c r="Y1101" s="134" t="str">
        <f t="shared" si="421"/>
        <v/>
      </c>
      <c r="Z1101" s="134" t="str">
        <f>IF(Y1101="","",IFERROR((RANK(Y1101,$Y$2:$Y$2028,1)+COUNTIF($Y$2:Y1101,Y1101))-1,""))</f>
        <v/>
      </c>
      <c r="AA1101" s="134" t="str">
        <f t="shared" si="422"/>
        <v/>
      </c>
      <c r="AB1101" s="134" t="str">
        <f>IF(AA1101="","",IFERROR((RANK(AA1101,$AA$2:$AA$2028,1)+COUNTIF($AA$2:AA1101,AA1101))-1,""))</f>
        <v/>
      </c>
      <c r="AC1101" s="134" t="str">
        <f t="shared" si="423"/>
        <v/>
      </c>
      <c r="AD1101" s="134" t="str">
        <f>IF(AC1101="","",IFERROR((RANK(AC1101,$AC$2:$AC$2028,1)+COUNTIF($AC$2:AC1101,AC1101))-1,""))</f>
        <v/>
      </c>
      <c r="AE1101" s="144" t="str">
        <f t="shared" si="427"/>
        <v/>
      </c>
      <c r="AF1101" s="144" t="str">
        <f>IF(AE1101="","",SUM($AE$2:AE1101))</f>
        <v/>
      </c>
    </row>
    <row r="1102" spans="14:32" x14ac:dyDescent="0.35">
      <c r="N1102" s="134" t="str">
        <f t="shared" si="425"/>
        <v/>
      </c>
      <c r="O1102" s="82" t="str">
        <f t="shared" si="416"/>
        <v/>
      </c>
      <c r="P1102" s="81" t="str">
        <f t="shared" si="426"/>
        <v/>
      </c>
      <c r="Q1102" s="81" t="str">
        <f t="shared" si="417"/>
        <v/>
      </c>
      <c r="R1102" s="135" t="str">
        <f t="shared" ca="1" si="418"/>
        <v/>
      </c>
      <c r="S1102" s="134" t="str">
        <f t="shared" ca="1" si="419"/>
        <v/>
      </c>
      <c r="T1102" s="134" t="str">
        <f ca="1">IF(S1102=Dashboard!$D$12,S1102,"")</f>
        <v/>
      </c>
      <c r="U1102" s="134" t="str">
        <f t="shared" ca="1" si="420"/>
        <v/>
      </c>
      <c r="V1102" s="83" t="str">
        <f ca="1">IF(U1102="","",IFERROR((RANK(U1102,$U$2:$U$2028,1)+COUNTIF($U$2:U1102,U1102))-1,""))</f>
        <v/>
      </c>
      <c r="W1102" s="134" t="str">
        <f t="shared" si="424"/>
        <v/>
      </c>
      <c r="X1102" s="134" t="str">
        <f>IF(W1102="","",IFERROR((RANK(W1102,$W$2:$W$2028,1)+COUNTIF($W$2:W1102,W1102))-1,""))</f>
        <v/>
      </c>
      <c r="Y1102" s="134" t="str">
        <f t="shared" si="421"/>
        <v/>
      </c>
      <c r="Z1102" s="134" t="str">
        <f>IF(Y1102="","",IFERROR((RANK(Y1102,$Y$2:$Y$2028,1)+COUNTIF($Y$2:Y1102,Y1102))-1,""))</f>
        <v/>
      </c>
      <c r="AA1102" s="134" t="str">
        <f t="shared" si="422"/>
        <v/>
      </c>
      <c r="AB1102" s="134" t="str">
        <f>IF(AA1102="","",IFERROR((RANK(AA1102,$AA$2:$AA$2028,1)+COUNTIF($AA$2:AA1102,AA1102))-1,""))</f>
        <v/>
      </c>
      <c r="AC1102" s="134" t="str">
        <f t="shared" si="423"/>
        <v/>
      </c>
      <c r="AD1102" s="134" t="str">
        <f>IF(AC1102="","",IFERROR((RANK(AC1102,$AC$2:$AC$2028,1)+COUNTIF($AC$2:AC1102,AC1102))-1,""))</f>
        <v/>
      </c>
      <c r="AE1102" s="144" t="str">
        <f t="shared" si="427"/>
        <v/>
      </c>
      <c r="AF1102" s="144" t="str">
        <f>IF(AE1102="","",SUM($AE$2:AE1102))</f>
        <v/>
      </c>
    </row>
    <row r="1103" spans="14:32" x14ac:dyDescent="0.35">
      <c r="N1103" s="134" t="str">
        <f t="shared" si="425"/>
        <v/>
      </c>
      <c r="O1103" s="82" t="str">
        <f t="shared" si="416"/>
        <v/>
      </c>
      <c r="P1103" s="81" t="str">
        <f t="shared" si="426"/>
        <v/>
      </c>
      <c r="Q1103" s="81" t="str">
        <f t="shared" si="417"/>
        <v/>
      </c>
      <c r="R1103" s="135" t="str">
        <f t="shared" ca="1" si="418"/>
        <v/>
      </c>
      <c r="S1103" s="134" t="str">
        <f t="shared" ca="1" si="419"/>
        <v/>
      </c>
      <c r="T1103" s="134" t="str">
        <f ca="1">IF(S1103=Dashboard!$D$12,S1103,"")</f>
        <v/>
      </c>
      <c r="U1103" s="134" t="str">
        <f t="shared" ca="1" si="420"/>
        <v/>
      </c>
      <c r="V1103" s="83" t="str">
        <f ca="1">IF(U1103="","",IFERROR((RANK(U1103,$U$2:$U$2028,1)+COUNTIF($U$2:U1103,U1103))-1,""))</f>
        <v/>
      </c>
      <c r="W1103" s="134" t="str">
        <f t="shared" si="424"/>
        <v/>
      </c>
      <c r="X1103" s="134" t="str">
        <f>IF(W1103="","",IFERROR((RANK(W1103,$W$2:$W$2028,1)+COUNTIF($W$2:W1103,W1103))-1,""))</f>
        <v/>
      </c>
      <c r="Y1103" s="134" t="str">
        <f t="shared" si="421"/>
        <v/>
      </c>
      <c r="Z1103" s="134" t="str">
        <f>IF(Y1103="","",IFERROR((RANK(Y1103,$Y$2:$Y$2028,1)+COUNTIF($Y$2:Y1103,Y1103))-1,""))</f>
        <v/>
      </c>
      <c r="AA1103" s="134" t="str">
        <f t="shared" si="422"/>
        <v/>
      </c>
      <c r="AB1103" s="134" t="str">
        <f>IF(AA1103="","",IFERROR((RANK(AA1103,$AA$2:$AA$2028,1)+COUNTIF($AA$2:AA1103,AA1103))-1,""))</f>
        <v/>
      </c>
      <c r="AC1103" s="134" t="str">
        <f t="shared" si="423"/>
        <v/>
      </c>
      <c r="AD1103" s="134" t="str">
        <f>IF(AC1103="","",IFERROR((RANK(AC1103,$AC$2:$AC$2028,1)+COUNTIF($AC$2:AC1103,AC1103))-1,""))</f>
        <v/>
      </c>
      <c r="AE1103" s="144" t="str">
        <f t="shared" si="427"/>
        <v/>
      </c>
      <c r="AF1103" s="144" t="str">
        <f>IF(AE1103="","",SUM($AE$2:AE1103))</f>
        <v/>
      </c>
    </row>
    <row r="1104" spans="14:32" x14ac:dyDescent="0.35">
      <c r="N1104" s="134" t="str">
        <f t="shared" si="425"/>
        <v/>
      </c>
      <c r="O1104" s="82" t="str">
        <f t="shared" si="416"/>
        <v/>
      </c>
      <c r="P1104" s="81" t="str">
        <f t="shared" si="426"/>
        <v/>
      </c>
      <c r="Q1104" s="81" t="str">
        <f t="shared" si="417"/>
        <v/>
      </c>
      <c r="R1104" s="135" t="str">
        <f t="shared" ca="1" si="418"/>
        <v/>
      </c>
      <c r="S1104" s="134" t="str">
        <f t="shared" ca="1" si="419"/>
        <v/>
      </c>
      <c r="T1104" s="134" t="str">
        <f ca="1">IF(S1104=Dashboard!$D$12,S1104,"")</f>
        <v/>
      </c>
      <c r="U1104" s="134" t="str">
        <f t="shared" ca="1" si="420"/>
        <v/>
      </c>
      <c r="V1104" s="83" t="str">
        <f ca="1">IF(U1104="","",IFERROR((RANK(U1104,$U$2:$U$2028,1)+COUNTIF($U$2:U1104,U1104))-1,""))</f>
        <v/>
      </c>
      <c r="W1104" s="134" t="str">
        <f t="shared" si="424"/>
        <v/>
      </c>
      <c r="X1104" s="134" t="str">
        <f>IF(W1104="","",IFERROR((RANK(W1104,$W$2:$W$2028,1)+COUNTIF($W$2:W1104,W1104))-1,""))</f>
        <v/>
      </c>
      <c r="Y1104" s="134" t="str">
        <f t="shared" si="421"/>
        <v/>
      </c>
      <c r="Z1104" s="134" t="str">
        <f>IF(Y1104="","",IFERROR((RANK(Y1104,$Y$2:$Y$2028,1)+COUNTIF($Y$2:Y1104,Y1104))-1,""))</f>
        <v/>
      </c>
      <c r="AA1104" s="134" t="str">
        <f t="shared" si="422"/>
        <v/>
      </c>
      <c r="AB1104" s="134" t="str">
        <f>IF(AA1104="","",IFERROR((RANK(AA1104,$AA$2:$AA$2028,1)+COUNTIF($AA$2:AA1104,AA1104))-1,""))</f>
        <v/>
      </c>
      <c r="AC1104" s="134" t="str">
        <f t="shared" si="423"/>
        <v/>
      </c>
      <c r="AD1104" s="134" t="str">
        <f>IF(AC1104="","",IFERROR((RANK(AC1104,$AC$2:$AC$2028,1)+COUNTIF($AC$2:AC1104,AC1104))-1,""))</f>
        <v/>
      </c>
      <c r="AE1104" s="144" t="str">
        <f t="shared" si="427"/>
        <v/>
      </c>
      <c r="AF1104" s="144" t="str">
        <f>IF(AE1104="","",SUM($AE$2:AE1104))</f>
        <v/>
      </c>
    </row>
    <row r="1105" spans="14:32" x14ac:dyDescent="0.35">
      <c r="N1105" s="134" t="str">
        <f t="shared" si="425"/>
        <v/>
      </c>
      <c r="O1105" s="82" t="str">
        <f t="shared" si="416"/>
        <v/>
      </c>
      <c r="P1105" s="81" t="str">
        <f t="shared" si="426"/>
        <v/>
      </c>
      <c r="Q1105" s="81" t="str">
        <f t="shared" si="417"/>
        <v/>
      </c>
      <c r="R1105" s="135" t="str">
        <f t="shared" ca="1" si="418"/>
        <v/>
      </c>
      <c r="S1105" s="134" t="str">
        <f t="shared" ca="1" si="419"/>
        <v/>
      </c>
      <c r="T1105" s="134" t="str">
        <f ca="1">IF(S1105=Dashboard!$D$12,S1105,"")</f>
        <v/>
      </c>
      <c r="U1105" s="134" t="str">
        <f t="shared" ca="1" si="420"/>
        <v/>
      </c>
      <c r="V1105" s="83" t="str">
        <f ca="1">IF(U1105="","",IFERROR((RANK(U1105,$U$2:$U$2028,1)+COUNTIF($U$2:U1105,U1105))-1,""))</f>
        <v/>
      </c>
      <c r="W1105" s="134" t="str">
        <f t="shared" si="424"/>
        <v/>
      </c>
      <c r="X1105" s="134" t="str">
        <f>IF(W1105="","",IFERROR((RANK(W1105,$W$2:$W$2028,1)+COUNTIF($W$2:W1105,W1105))-1,""))</f>
        <v/>
      </c>
      <c r="Y1105" s="134" t="str">
        <f t="shared" si="421"/>
        <v/>
      </c>
      <c r="Z1105" s="134" t="str">
        <f>IF(Y1105="","",IFERROR((RANK(Y1105,$Y$2:$Y$2028,1)+COUNTIF($Y$2:Y1105,Y1105))-1,""))</f>
        <v/>
      </c>
      <c r="AA1105" s="134" t="str">
        <f t="shared" si="422"/>
        <v/>
      </c>
      <c r="AB1105" s="134" t="str">
        <f>IF(AA1105="","",IFERROR((RANK(AA1105,$AA$2:$AA$2028,1)+COUNTIF($AA$2:AA1105,AA1105))-1,""))</f>
        <v/>
      </c>
      <c r="AC1105" s="134" t="str">
        <f t="shared" si="423"/>
        <v/>
      </c>
      <c r="AD1105" s="134" t="str">
        <f>IF(AC1105="","",IFERROR((RANK(AC1105,$AC$2:$AC$2028,1)+COUNTIF($AC$2:AC1105,AC1105))-1,""))</f>
        <v/>
      </c>
      <c r="AE1105" s="144" t="str">
        <f t="shared" si="427"/>
        <v/>
      </c>
      <c r="AF1105" s="144" t="str">
        <f>IF(AE1105="","",SUM($AE$2:AE1105))</f>
        <v/>
      </c>
    </row>
    <row r="1106" spans="14:32" x14ac:dyDescent="0.35">
      <c r="N1106" s="134" t="str">
        <f t="shared" si="425"/>
        <v/>
      </c>
      <c r="O1106" s="82" t="str">
        <f t="shared" si="416"/>
        <v/>
      </c>
      <c r="P1106" s="81" t="str">
        <f t="shared" si="426"/>
        <v/>
      </c>
      <c r="Q1106" s="81" t="str">
        <f t="shared" si="417"/>
        <v/>
      </c>
      <c r="R1106" s="135" t="str">
        <f t="shared" ca="1" si="418"/>
        <v/>
      </c>
      <c r="S1106" s="134" t="str">
        <f t="shared" ca="1" si="419"/>
        <v/>
      </c>
      <c r="T1106" s="134" t="str">
        <f ca="1">IF(S1106=Dashboard!$D$12,S1106,"")</f>
        <v/>
      </c>
      <c r="U1106" s="134" t="str">
        <f t="shared" ca="1" si="420"/>
        <v/>
      </c>
      <c r="V1106" s="83" t="str">
        <f ca="1">IF(U1106="","",IFERROR((RANK(U1106,$U$2:$U$2028,1)+COUNTIF($U$2:U1106,U1106))-1,""))</f>
        <v/>
      </c>
      <c r="W1106" s="134" t="str">
        <f t="shared" si="424"/>
        <v/>
      </c>
      <c r="X1106" s="134" t="str">
        <f>IF(W1106="","",IFERROR((RANK(W1106,$W$2:$W$2028,1)+COUNTIF($W$2:W1106,W1106))-1,""))</f>
        <v/>
      </c>
      <c r="Y1106" s="134" t="str">
        <f t="shared" si="421"/>
        <v/>
      </c>
      <c r="Z1106" s="134" t="str">
        <f>IF(Y1106="","",IFERROR((RANK(Y1106,$Y$2:$Y$2028,1)+COUNTIF($Y$2:Y1106,Y1106))-1,""))</f>
        <v/>
      </c>
      <c r="AA1106" s="134" t="str">
        <f t="shared" si="422"/>
        <v/>
      </c>
      <c r="AB1106" s="134" t="str">
        <f>IF(AA1106="","",IFERROR((RANK(AA1106,$AA$2:$AA$2028,1)+COUNTIF($AA$2:AA1106,AA1106))-1,""))</f>
        <v/>
      </c>
      <c r="AC1106" s="134" t="str">
        <f t="shared" si="423"/>
        <v/>
      </c>
      <c r="AD1106" s="134" t="str">
        <f>IF(AC1106="","",IFERROR((RANK(AC1106,$AC$2:$AC$2028,1)+COUNTIF($AC$2:AC1106,AC1106))-1,""))</f>
        <v/>
      </c>
      <c r="AE1106" s="144" t="str">
        <f t="shared" si="427"/>
        <v/>
      </c>
      <c r="AF1106" s="144" t="str">
        <f>IF(AE1106="","",SUM($AE$2:AE1106))</f>
        <v/>
      </c>
    </row>
    <row r="1107" spans="14:32" x14ac:dyDescent="0.35">
      <c r="N1107" s="134" t="str">
        <f t="shared" si="425"/>
        <v/>
      </c>
      <c r="O1107" s="82" t="str">
        <f t="shared" si="416"/>
        <v/>
      </c>
      <c r="P1107" s="81" t="str">
        <f t="shared" si="426"/>
        <v/>
      </c>
      <c r="Q1107" s="81" t="str">
        <f t="shared" si="417"/>
        <v/>
      </c>
      <c r="R1107" s="135" t="str">
        <f t="shared" ca="1" si="418"/>
        <v/>
      </c>
      <c r="S1107" s="134" t="str">
        <f t="shared" ca="1" si="419"/>
        <v/>
      </c>
      <c r="T1107" s="134" t="str">
        <f ca="1">IF(S1107=Dashboard!$D$12,S1107,"")</f>
        <v/>
      </c>
      <c r="U1107" s="134" t="str">
        <f t="shared" ca="1" si="420"/>
        <v/>
      </c>
      <c r="V1107" s="83" t="str">
        <f ca="1">IF(U1107="","",IFERROR((RANK(U1107,$U$2:$U$2028,1)+COUNTIF($U$2:U1107,U1107))-1,""))</f>
        <v/>
      </c>
      <c r="W1107" s="134" t="str">
        <f t="shared" si="424"/>
        <v/>
      </c>
      <c r="X1107" s="134" t="str">
        <f>IF(W1107="","",IFERROR((RANK(W1107,$W$2:$W$2028,1)+COUNTIF($W$2:W1107,W1107))-1,""))</f>
        <v/>
      </c>
      <c r="Y1107" s="134" t="str">
        <f t="shared" si="421"/>
        <v/>
      </c>
      <c r="Z1107" s="134" t="str">
        <f>IF(Y1107="","",IFERROR((RANK(Y1107,$Y$2:$Y$2028,1)+COUNTIF($Y$2:Y1107,Y1107))-1,""))</f>
        <v/>
      </c>
      <c r="AA1107" s="134" t="str">
        <f t="shared" si="422"/>
        <v/>
      </c>
      <c r="AB1107" s="134" t="str">
        <f>IF(AA1107="","",IFERROR((RANK(AA1107,$AA$2:$AA$2028,1)+COUNTIF($AA$2:AA1107,AA1107))-1,""))</f>
        <v/>
      </c>
      <c r="AC1107" s="134" t="str">
        <f t="shared" si="423"/>
        <v/>
      </c>
      <c r="AD1107" s="134" t="str">
        <f>IF(AC1107="","",IFERROR((RANK(AC1107,$AC$2:$AC$2028,1)+COUNTIF($AC$2:AC1107,AC1107))-1,""))</f>
        <v/>
      </c>
      <c r="AE1107" s="144" t="str">
        <f t="shared" si="427"/>
        <v/>
      </c>
      <c r="AF1107" s="144" t="str">
        <f>IF(AE1107="","",SUM($AE$2:AE1107))</f>
        <v/>
      </c>
    </row>
    <row r="1108" spans="14:32" x14ac:dyDescent="0.35">
      <c r="N1108" s="134" t="str">
        <f t="shared" si="425"/>
        <v/>
      </c>
      <c r="O1108" s="82" t="str">
        <f t="shared" si="416"/>
        <v/>
      </c>
      <c r="P1108" s="81" t="str">
        <f t="shared" si="426"/>
        <v/>
      </c>
      <c r="Q1108" s="81" t="str">
        <f t="shared" si="417"/>
        <v/>
      </c>
      <c r="R1108" s="135" t="str">
        <f t="shared" ca="1" si="418"/>
        <v/>
      </c>
      <c r="S1108" s="134" t="str">
        <f t="shared" ca="1" si="419"/>
        <v/>
      </c>
      <c r="T1108" s="134" t="str">
        <f ca="1">IF(S1108=Dashboard!$D$12,S1108,"")</f>
        <v/>
      </c>
      <c r="U1108" s="134" t="str">
        <f t="shared" ca="1" si="420"/>
        <v/>
      </c>
      <c r="V1108" s="83" t="str">
        <f ca="1">IF(U1108="","",IFERROR((RANK(U1108,$U$2:$U$2028,1)+COUNTIF($U$2:U1108,U1108))-1,""))</f>
        <v/>
      </c>
      <c r="W1108" s="134" t="str">
        <f t="shared" si="424"/>
        <v/>
      </c>
      <c r="X1108" s="134" t="str">
        <f>IF(W1108="","",IFERROR((RANK(W1108,$W$2:$W$2028,1)+COUNTIF($W$2:W1108,W1108))-1,""))</f>
        <v/>
      </c>
      <c r="Y1108" s="134" t="str">
        <f t="shared" si="421"/>
        <v/>
      </c>
      <c r="Z1108" s="134" t="str">
        <f>IF(Y1108="","",IFERROR((RANK(Y1108,$Y$2:$Y$2028,1)+COUNTIF($Y$2:Y1108,Y1108))-1,""))</f>
        <v/>
      </c>
      <c r="AA1108" s="134" t="str">
        <f t="shared" si="422"/>
        <v/>
      </c>
      <c r="AB1108" s="134" t="str">
        <f>IF(AA1108="","",IFERROR((RANK(AA1108,$AA$2:$AA$2028,1)+COUNTIF($AA$2:AA1108,AA1108))-1,""))</f>
        <v/>
      </c>
      <c r="AC1108" s="134" t="str">
        <f t="shared" si="423"/>
        <v/>
      </c>
      <c r="AD1108" s="134" t="str">
        <f>IF(AC1108="","",IFERROR((RANK(AC1108,$AC$2:$AC$2028,1)+COUNTIF($AC$2:AC1108,AC1108))-1,""))</f>
        <v/>
      </c>
      <c r="AE1108" s="144" t="str">
        <f t="shared" si="427"/>
        <v/>
      </c>
      <c r="AF1108" s="144" t="str">
        <f>IF(AE1108="","",SUM($AE$2:AE1108))</f>
        <v/>
      </c>
    </row>
    <row r="1109" spans="14:32" x14ac:dyDescent="0.35">
      <c r="N1109" s="134" t="str">
        <f t="shared" si="425"/>
        <v/>
      </c>
      <c r="O1109" s="82" t="str">
        <f t="shared" si="416"/>
        <v/>
      </c>
      <c r="P1109" s="81" t="str">
        <f t="shared" si="426"/>
        <v/>
      </c>
      <c r="Q1109" s="81" t="str">
        <f t="shared" si="417"/>
        <v/>
      </c>
      <c r="R1109" s="135" t="str">
        <f t="shared" ca="1" si="418"/>
        <v/>
      </c>
      <c r="S1109" s="134" t="str">
        <f t="shared" ca="1" si="419"/>
        <v/>
      </c>
      <c r="T1109" s="134" t="str">
        <f ca="1">IF(S1109=Dashboard!$D$12,S1109,"")</f>
        <v/>
      </c>
      <c r="U1109" s="134" t="str">
        <f t="shared" ca="1" si="420"/>
        <v/>
      </c>
      <c r="V1109" s="83" t="str">
        <f ca="1">IF(U1109="","",IFERROR((RANK(U1109,$U$2:$U$2028,1)+COUNTIF($U$2:U1109,U1109))-1,""))</f>
        <v/>
      </c>
      <c r="W1109" s="134" t="str">
        <f t="shared" si="424"/>
        <v/>
      </c>
      <c r="X1109" s="134" t="str">
        <f>IF(W1109="","",IFERROR((RANK(W1109,$W$2:$W$2028,1)+COUNTIF($W$2:W1109,W1109))-1,""))</f>
        <v/>
      </c>
      <c r="Y1109" s="134" t="str">
        <f t="shared" si="421"/>
        <v/>
      </c>
      <c r="Z1109" s="134" t="str">
        <f>IF(Y1109="","",IFERROR((RANK(Y1109,$Y$2:$Y$2028,1)+COUNTIF($Y$2:Y1109,Y1109))-1,""))</f>
        <v/>
      </c>
      <c r="AA1109" s="134" t="str">
        <f t="shared" si="422"/>
        <v/>
      </c>
      <c r="AB1109" s="134" t="str">
        <f>IF(AA1109="","",IFERROR((RANK(AA1109,$AA$2:$AA$2028,1)+COUNTIF($AA$2:AA1109,AA1109))-1,""))</f>
        <v/>
      </c>
      <c r="AC1109" s="134" t="str">
        <f t="shared" si="423"/>
        <v/>
      </c>
      <c r="AD1109" s="134" t="str">
        <f>IF(AC1109="","",IFERROR((RANK(AC1109,$AC$2:$AC$2028,1)+COUNTIF($AC$2:AC1109,AC1109))-1,""))</f>
        <v/>
      </c>
      <c r="AE1109" s="144" t="str">
        <f t="shared" si="427"/>
        <v/>
      </c>
      <c r="AF1109" s="144" t="str">
        <f>IF(AE1109="","",SUM($AE$2:AE1109))</f>
        <v/>
      </c>
    </row>
    <row r="1110" spans="14:32" x14ac:dyDescent="0.35">
      <c r="N1110" s="134" t="str">
        <f t="shared" si="425"/>
        <v/>
      </c>
      <c r="O1110" s="82" t="str">
        <f t="shared" si="416"/>
        <v/>
      </c>
      <c r="P1110" s="81" t="str">
        <f t="shared" si="426"/>
        <v/>
      </c>
      <c r="Q1110" s="81" t="str">
        <f t="shared" si="417"/>
        <v/>
      </c>
      <c r="R1110" s="135" t="str">
        <f t="shared" ca="1" si="418"/>
        <v/>
      </c>
      <c r="S1110" s="134" t="str">
        <f t="shared" ca="1" si="419"/>
        <v/>
      </c>
      <c r="T1110" s="134" t="str">
        <f ca="1">IF(S1110=Dashboard!$D$12,S1110,"")</f>
        <v/>
      </c>
      <c r="U1110" s="134" t="str">
        <f t="shared" ca="1" si="420"/>
        <v/>
      </c>
      <c r="V1110" s="83" t="str">
        <f ca="1">IF(U1110="","",IFERROR((RANK(U1110,$U$2:$U$2028,1)+COUNTIF($U$2:U1110,U1110))-1,""))</f>
        <v/>
      </c>
      <c r="W1110" s="134" t="str">
        <f t="shared" si="424"/>
        <v/>
      </c>
      <c r="X1110" s="134" t="str">
        <f>IF(W1110="","",IFERROR((RANK(W1110,$W$2:$W$2028,1)+COUNTIF($W$2:W1110,W1110))-1,""))</f>
        <v/>
      </c>
      <c r="Y1110" s="134" t="str">
        <f t="shared" si="421"/>
        <v/>
      </c>
      <c r="Z1110" s="134" t="str">
        <f>IF(Y1110="","",IFERROR((RANK(Y1110,$Y$2:$Y$2028,1)+COUNTIF($Y$2:Y1110,Y1110))-1,""))</f>
        <v/>
      </c>
      <c r="AA1110" s="134" t="str">
        <f t="shared" si="422"/>
        <v/>
      </c>
      <c r="AB1110" s="134" t="str">
        <f>IF(AA1110="","",IFERROR((RANK(AA1110,$AA$2:$AA$2028,1)+COUNTIF($AA$2:AA1110,AA1110))-1,""))</f>
        <v/>
      </c>
      <c r="AC1110" s="134" t="str">
        <f t="shared" si="423"/>
        <v/>
      </c>
      <c r="AD1110" s="134" t="str">
        <f>IF(AC1110="","",IFERROR((RANK(AC1110,$AC$2:$AC$2028,1)+COUNTIF($AC$2:AC1110,AC1110))-1,""))</f>
        <v/>
      </c>
      <c r="AE1110" s="144" t="str">
        <f t="shared" si="427"/>
        <v/>
      </c>
      <c r="AF1110" s="144" t="str">
        <f>IF(AE1110="","",SUM($AE$2:AE1110))</f>
        <v/>
      </c>
    </row>
    <row r="1111" spans="14:32" x14ac:dyDescent="0.35">
      <c r="N1111" s="134" t="str">
        <f t="shared" si="425"/>
        <v/>
      </c>
      <c r="O1111" s="82" t="str">
        <f t="shared" si="416"/>
        <v/>
      </c>
      <c r="P1111" s="81" t="str">
        <f t="shared" si="426"/>
        <v/>
      </c>
      <c r="Q1111" s="81" t="str">
        <f t="shared" si="417"/>
        <v/>
      </c>
      <c r="R1111" s="135" t="str">
        <f t="shared" ca="1" si="418"/>
        <v/>
      </c>
      <c r="S1111" s="134" t="str">
        <f t="shared" ca="1" si="419"/>
        <v/>
      </c>
      <c r="T1111" s="134" t="str">
        <f ca="1">IF(S1111=Dashboard!$D$12,S1111,"")</f>
        <v/>
      </c>
      <c r="U1111" s="134" t="str">
        <f t="shared" ca="1" si="420"/>
        <v/>
      </c>
      <c r="V1111" s="83" t="str">
        <f ca="1">IF(U1111="","",IFERROR((RANK(U1111,$U$2:$U$2028,1)+COUNTIF($U$2:U1111,U1111))-1,""))</f>
        <v/>
      </c>
      <c r="W1111" s="134" t="str">
        <f t="shared" si="424"/>
        <v/>
      </c>
      <c r="X1111" s="134" t="str">
        <f>IF(W1111="","",IFERROR((RANK(W1111,$W$2:$W$2028,1)+COUNTIF($W$2:W1111,W1111))-1,""))</f>
        <v/>
      </c>
      <c r="Y1111" s="134" t="str">
        <f t="shared" si="421"/>
        <v/>
      </c>
      <c r="Z1111" s="134" t="str">
        <f>IF(Y1111="","",IFERROR((RANK(Y1111,$Y$2:$Y$2028,1)+COUNTIF($Y$2:Y1111,Y1111))-1,""))</f>
        <v/>
      </c>
      <c r="AA1111" s="134" t="str">
        <f t="shared" si="422"/>
        <v/>
      </c>
      <c r="AB1111" s="134" t="str">
        <f>IF(AA1111="","",IFERROR((RANK(AA1111,$AA$2:$AA$2028,1)+COUNTIF($AA$2:AA1111,AA1111))-1,""))</f>
        <v/>
      </c>
      <c r="AC1111" s="134" t="str">
        <f t="shared" si="423"/>
        <v/>
      </c>
      <c r="AD1111" s="134" t="str">
        <f>IF(AC1111="","",IFERROR((RANK(AC1111,$AC$2:$AC$2028,1)+COUNTIF($AC$2:AC1111,AC1111))-1,""))</f>
        <v/>
      </c>
      <c r="AE1111" s="144" t="str">
        <f t="shared" si="427"/>
        <v/>
      </c>
      <c r="AF1111" s="144" t="str">
        <f>IF(AE1111="","",SUM($AE$2:AE1111))</f>
        <v/>
      </c>
    </row>
    <row r="1112" spans="14:32" x14ac:dyDescent="0.35">
      <c r="N1112" s="134" t="str">
        <f t="shared" si="425"/>
        <v/>
      </c>
      <c r="O1112" s="82" t="str">
        <f t="shared" si="416"/>
        <v/>
      </c>
      <c r="P1112" s="81" t="str">
        <f t="shared" si="426"/>
        <v/>
      </c>
      <c r="Q1112" s="81" t="str">
        <f t="shared" si="417"/>
        <v/>
      </c>
      <c r="R1112" s="135" t="str">
        <f t="shared" ca="1" si="418"/>
        <v/>
      </c>
      <c r="S1112" s="134" t="str">
        <f t="shared" ca="1" si="419"/>
        <v/>
      </c>
      <c r="T1112" s="134" t="str">
        <f ca="1">IF(S1112=Dashboard!$D$12,S1112,"")</f>
        <v/>
      </c>
      <c r="U1112" s="134" t="str">
        <f t="shared" ca="1" si="420"/>
        <v/>
      </c>
      <c r="V1112" s="83" t="str">
        <f ca="1">IF(U1112="","",IFERROR((RANK(U1112,$U$2:$U$2028,1)+COUNTIF($U$2:U1112,U1112))-1,""))</f>
        <v/>
      </c>
      <c r="W1112" s="134" t="str">
        <f t="shared" si="424"/>
        <v/>
      </c>
      <c r="X1112" s="134" t="str">
        <f>IF(W1112="","",IFERROR((RANK(W1112,$W$2:$W$2028,1)+COUNTIF($W$2:W1112,W1112))-1,""))</f>
        <v/>
      </c>
      <c r="Y1112" s="134" t="str">
        <f t="shared" si="421"/>
        <v/>
      </c>
      <c r="Z1112" s="134" t="str">
        <f>IF(Y1112="","",IFERROR((RANK(Y1112,$Y$2:$Y$2028,1)+COUNTIF($Y$2:Y1112,Y1112))-1,""))</f>
        <v/>
      </c>
      <c r="AA1112" s="134" t="str">
        <f t="shared" si="422"/>
        <v/>
      </c>
      <c r="AB1112" s="134" t="str">
        <f>IF(AA1112="","",IFERROR((RANK(AA1112,$AA$2:$AA$2028,1)+COUNTIF($AA$2:AA1112,AA1112))-1,""))</f>
        <v/>
      </c>
      <c r="AC1112" s="134" t="str">
        <f t="shared" si="423"/>
        <v/>
      </c>
      <c r="AD1112" s="134" t="str">
        <f>IF(AC1112="","",IFERROR((RANK(AC1112,$AC$2:$AC$2028,1)+COUNTIF($AC$2:AC1112,AC1112))-1,""))</f>
        <v/>
      </c>
      <c r="AE1112" s="144" t="str">
        <f t="shared" si="427"/>
        <v/>
      </c>
      <c r="AF1112" s="144" t="str">
        <f>IF(AE1112="","",SUM($AE$2:AE1112))</f>
        <v/>
      </c>
    </row>
    <row r="1113" spans="14:32" x14ac:dyDescent="0.35">
      <c r="N1113" s="134" t="str">
        <f t="shared" si="425"/>
        <v/>
      </c>
      <c r="O1113" s="82" t="str">
        <f t="shared" si="416"/>
        <v/>
      </c>
      <c r="P1113" s="81" t="str">
        <f t="shared" si="426"/>
        <v/>
      </c>
      <c r="Q1113" s="81" t="str">
        <f t="shared" si="417"/>
        <v/>
      </c>
      <c r="R1113" s="135" t="str">
        <f t="shared" ca="1" si="418"/>
        <v/>
      </c>
      <c r="S1113" s="134" t="str">
        <f t="shared" ca="1" si="419"/>
        <v/>
      </c>
      <c r="T1113" s="134" t="str">
        <f ca="1">IF(S1113=Dashboard!$D$12,S1113,"")</f>
        <v/>
      </c>
      <c r="U1113" s="134" t="str">
        <f t="shared" ca="1" si="420"/>
        <v/>
      </c>
      <c r="V1113" s="83" t="str">
        <f ca="1">IF(U1113="","",IFERROR((RANK(U1113,$U$2:$U$2028,1)+COUNTIF($U$2:U1113,U1113))-1,""))</f>
        <v/>
      </c>
      <c r="W1113" s="134" t="str">
        <f t="shared" si="424"/>
        <v/>
      </c>
      <c r="X1113" s="134" t="str">
        <f>IF(W1113="","",IFERROR((RANK(W1113,$W$2:$W$2028,1)+COUNTIF($W$2:W1113,W1113))-1,""))</f>
        <v/>
      </c>
      <c r="Y1113" s="134" t="str">
        <f t="shared" si="421"/>
        <v/>
      </c>
      <c r="Z1113" s="134" t="str">
        <f>IF(Y1113="","",IFERROR((RANK(Y1113,$Y$2:$Y$2028,1)+COUNTIF($Y$2:Y1113,Y1113))-1,""))</f>
        <v/>
      </c>
      <c r="AA1113" s="134" t="str">
        <f t="shared" si="422"/>
        <v/>
      </c>
      <c r="AB1113" s="134" t="str">
        <f>IF(AA1113="","",IFERROR((RANK(AA1113,$AA$2:$AA$2028,1)+COUNTIF($AA$2:AA1113,AA1113))-1,""))</f>
        <v/>
      </c>
      <c r="AC1113" s="134" t="str">
        <f t="shared" si="423"/>
        <v/>
      </c>
      <c r="AD1113" s="134" t="str">
        <f>IF(AC1113="","",IFERROR((RANK(AC1113,$AC$2:$AC$2028,1)+COUNTIF($AC$2:AC1113,AC1113))-1,""))</f>
        <v/>
      </c>
      <c r="AE1113" s="144" t="str">
        <f t="shared" si="427"/>
        <v/>
      </c>
      <c r="AF1113" s="144" t="str">
        <f>IF(AE1113="","",SUM($AE$2:AE1113))</f>
        <v/>
      </c>
    </row>
    <row r="1114" spans="14:32" x14ac:dyDescent="0.35">
      <c r="N1114" s="134" t="str">
        <f t="shared" si="425"/>
        <v/>
      </c>
      <c r="O1114" s="82" t="str">
        <f t="shared" si="416"/>
        <v/>
      </c>
      <c r="P1114" s="81" t="str">
        <f t="shared" si="426"/>
        <v/>
      </c>
      <c r="Q1114" s="81" t="str">
        <f t="shared" si="417"/>
        <v/>
      </c>
      <c r="R1114" s="135" t="str">
        <f t="shared" ca="1" si="418"/>
        <v/>
      </c>
      <c r="S1114" s="134" t="str">
        <f t="shared" ca="1" si="419"/>
        <v/>
      </c>
      <c r="T1114" s="134" t="str">
        <f ca="1">IF(S1114=Dashboard!$D$12,S1114,"")</f>
        <v/>
      </c>
      <c r="U1114" s="134" t="str">
        <f t="shared" ca="1" si="420"/>
        <v/>
      </c>
      <c r="V1114" s="83" t="str">
        <f ca="1">IF(U1114="","",IFERROR((RANK(U1114,$U$2:$U$2028,1)+COUNTIF($U$2:U1114,U1114))-1,""))</f>
        <v/>
      </c>
      <c r="W1114" s="134" t="str">
        <f t="shared" si="424"/>
        <v/>
      </c>
      <c r="X1114" s="134" t="str">
        <f>IF(W1114="","",IFERROR((RANK(W1114,$W$2:$W$2028,1)+COUNTIF($W$2:W1114,W1114))-1,""))</f>
        <v/>
      </c>
      <c r="Y1114" s="134" t="str">
        <f t="shared" si="421"/>
        <v/>
      </c>
      <c r="Z1114" s="134" t="str">
        <f>IF(Y1114="","",IFERROR((RANK(Y1114,$Y$2:$Y$2028,1)+COUNTIF($Y$2:Y1114,Y1114))-1,""))</f>
        <v/>
      </c>
      <c r="AA1114" s="134" t="str">
        <f t="shared" si="422"/>
        <v/>
      </c>
      <c r="AB1114" s="134" t="str">
        <f>IF(AA1114="","",IFERROR((RANK(AA1114,$AA$2:$AA$2028,1)+COUNTIF($AA$2:AA1114,AA1114))-1,""))</f>
        <v/>
      </c>
      <c r="AC1114" s="134" t="str">
        <f t="shared" si="423"/>
        <v/>
      </c>
      <c r="AD1114" s="134" t="str">
        <f>IF(AC1114="","",IFERROR((RANK(AC1114,$AC$2:$AC$2028,1)+COUNTIF($AC$2:AC1114,AC1114))-1,""))</f>
        <v/>
      </c>
      <c r="AE1114" s="144" t="str">
        <f t="shared" si="427"/>
        <v/>
      </c>
      <c r="AF1114" s="144" t="str">
        <f>IF(AE1114="","",SUM($AE$2:AE1114))</f>
        <v/>
      </c>
    </row>
    <row r="1115" spans="14:32" x14ac:dyDescent="0.35">
      <c r="N1115" s="134" t="str">
        <f t="shared" si="425"/>
        <v/>
      </c>
      <c r="O1115" s="82" t="str">
        <f t="shared" si="416"/>
        <v/>
      </c>
      <c r="P1115" s="81" t="str">
        <f t="shared" si="426"/>
        <v/>
      </c>
      <c r="Q1115" s="81" t="str">
        <f t="shared" si="417"/>
        <v/>
      </c>
      <c r="R1115" s="135" t="str">
        <f t="shared" ca="1" si="418"/>
        <v/>
      </c>
      <c r="S1115" s="134" t="str">
        <f t="shared" ca="1" si="419"/>
        <v/>
      </c>
      <c r="T1115" s="134" t="str">
        <f ca="1">IF(S1115=Dashboard!$D$12,S1115,"")</f>
        <v/>
      </c>
      <c r="U1115" s="134" t="str">
        <f t="shared" ca="1" si="420"/>
        <v/>
      </c>
      <c r="V1115" s="83" t="str">
        <f ca="1">IF(U1115="","",IFERROR((RANK(U1115,$U$2:$U$2028,1)+COUNTIF($U$2:U1115,U1115))-1,""))</f>
        <v/>
      </c>
      <c r="W1115" s="134" t="str">
        <f t="shared" si="424"/>
        <v/>
      </c>
      <c r="X1115" s="134" t="str">
        <f>IF(W1115="","",IFERROR((RANK(W1115,$W$2:$W$2028,1)+COUNTIF($W$2:W1115,W1115))-1,""))</f>
        <v/>
      </c>
      <c r="Y1115" s="134" t="str">
        <f t="shared" si="421"/>
        <v/>
      </c>
      <c r="Z1115" s="134" t="str">
        <f>IF(Y1115="","",IFERROR((RANK(Y1115,$Y$2:$Y$2028,1)+COUNTIF($Y$2:Y1115,Y1115))-1,""))</f>
        <v/>
      </c>
      <c r="AA1115" s="134" t="str">
        <f t="shared" si="422"/>
        <v/>
      </c>
      <c r="AB1115" s="134" t="str">
        <f>IF(AA1115="","",IFERROR((RANK(AA1115,$AA$2:$AA$2028,1)+COUNTIF($AA$2:AA1115,AA1115))-1,""))</f>
        <v/>
      </c>
      <c r="AC1115" s="134" t="str">
        <f t="shared" si="423"/>
        <v/>
      </c>
      <c r="AD1115" s="134" t="str">
        <f>IF(AC1115="","",IFERROR((RANK(AC1115,$AC$2:$AC$2028,1)+COUNTIF($AC$2:AC1115,AC1115))-1,""))</f>
        <v/>
      </c>
      <c r="AE1115" s="144" t="str">
        <f t="shared" si="427"/>
        <v/>
      </c>
      <c r="AF1115" s="144" t="str">
        <f>IF(AE1115="","",SUM($AE$2:AE1115))</f>
        <v/>
      </c>
    </row>
    <row r="1116" spans="14:32" x14ac:dyDescent="0.35">
      <c r="N1116" s="134" t="str">
        <f t="shared" si="425"/>
        <v/>
      </c>
      <c r="O1116" s="82" t="str">
        <f t="shared" si="416"/>
        <v/>
      </c>
      <c r="P1116" s="81" t="str">
        <f t="shared" si="426"/>
        <v/>
      </c>
      <c r="Q1116" s="81" t="str">
        <f t="shared" si="417"/>
        <v/>
      </c>
      <c r="R1116" s="135" t="str">
        <f t="shared" ca="1" si="418"/>
        <v/>
      </c>
      <c r="S1116" s="134" t="str">
        <f t="shared" ca="1" si="419"/>
        <v/>
      </c>
      <c r="T1116" s="134" t="str">
        <f ca="1">IF(S1116=Dashboard!$D$12,S1116,"")</f>
        <v/>
      </c>
      <c r="U1116" s="134" t="str">
        <f t="shared" ca="1" si="420"/>
        <v/>
      </c>
      <c r="V1116" s="83" t="str">
        <f ca="1">IF(U1116="","",IFERROR((RANK(U1116,$U$2:$U$2028,1)+COUNTIF($U$2:U1116,U1116))-1,""))</f>
        <v/>
      </c>
      <c r="W1116" s="134" t="str">
        <f t="shared" si="424"/>
        <v/>
      </c>
      <c r="X1116" s="134" t="str">
        <f>IF(W1116="","",IFERROR((RANK(W1116,$W$2:$W$2028,1)+COUNTIF($W$2:W1116,W1116))-1,""))</f>
        <v/>
      </c>
      <c r="Y1116" s="134" t="str">
        <f t="shared" si="421"/>
        <v/>
      </c>
      <c r="Z1116" s="134" t="str">
        <f>IF(Y1116="","",IFERROR((RANK(Y1116,$Y$2:$Y$2028,1)+COUNTIF($Y$2:Y1116,Y1116))-1,""))</f>
        <v/>
      </c>
      <c r="AA1116" s="134" t="str">
        <f t="shared" si="422"/>
        <v/>
      </c>
      <c r="AB1116" s="134" t="str">
        <f>IF(AA1116="","",IFERROR((RANK(AA1116,$AA$2:$AA$2028,1)+COUNTIF($AA$2:AA1116,AA1116))-1,""))</f>
        <v/>
      </c>
      <c r="AC1116" s="134" t="str">
        <f t="shared" si="423"/>
        <v/>
      </c>
      <c r="AD1116" s="134" t="str">
        <f>IF(AC1116="","",IFERROR((RANK(AC1116,$AC$2:$AC$2028,1)+COUNTIF($AC$2:AC1116,AC1116))-1,""))</f>
        <v/>
      </c>
      <c r="AE1116" s="144" t="str">
        <f t="shared" si="427"/>
        <v/>
      </c>
      <c r="AF1116" s="144" t="str">
        <f>IF(AE1116="","",SUM($AE$2:AE1116))</f>
        <v/>
      </c>
    </row>
    <row r="1117" spans="14:32" x14ac:dyDescent="0.35">
      <c r="N1117" s="134" t="str">
        <f t="shared" si="425"/>
        <v/>
      </c>
      <c r="O1117" s="82" t="str">
        <f t="shared" si="416"/>
        <v/>
      </c>
      <c r="P1117" s="81" t="str">
        <f t="shared" si="426"/>
        <v/>
      </c>
      <c r="Q1117" s="81" t="str">
        <f t="shared" si="417"/>
        <v/>
      </c>
      <c r="R1117" s="135" t="str">
        <f t="shared" ca="1" si="418"/>
        <v/>
      </c>
      <c r="S1117" s="134" t="str">
        <f t="shared" ca="1" si="419"/>
        <v/>
      </c>
      <c r="T1117" s="134" t="str">
        <f ca="1">IF(S1117=Dashboard!$D$12,S1117,"")</f>
        <v/>
      </c>
      <c r="U1117" s="134" t="str">
        <f t="shared" ca="1" si="420"/>
        <v/>
      </c>
      <c r="V1117" s="83" t="str">
        <f ca="1">IF(U1117="","",IFERROR((RANK(U1117,$U$2:$U$2028,1)+COUNTIF($U$2:U1117,U1117))-1,""))</f>
        <v/>
      </c>
      <c r="W1117" s="134" t="str">
        <f t="shared" si="424"/>
        <v/>
      </c>
      <c r="X1117" s="134" t="str">
        <f>IF(W1117="","",IFERROR((RANK(W1117,$W$2:$W$2028,1)+COUNTIF($W$2:W1117,W1117))-1,""))</f>
        <v/>
      </c>
      <c r="Y1117" s="134" t="str">
        <f t="shared" si="421"/>
        <v/>
      </c>
      <c r="Z1117" s="134" t="str">
        <f>IF(Y1117="","",IFERROR((RANK(Y1117,$Y$2:$Y$2028,1)+COUNTIF($Y$2:Y1117,Y1117))-1,""))</f>
        <v/>
      </c>
      <c r="AA1117" s="134" t="str">
        <f t="shared" si="422"/>
        <v/>
      </c>
      <c r="AB1117" s="134" t="str">
        <f>IF(AA1117="","",IFERROR((RANK(AA1117,$AA$2:$AA$2028,1)+COUNTIF($AA$2:AA1117,AA1117))-1,""))</f>
        <v/>
      </c>
      <c r="AC1117" s="134" t="str">
        <f t="shared" si="423"/>
        <v/>
      </c>
      <c r="AD1117" s="134" t="str">
        <f>IF(AC1117="","",IFERROR((RANK(AC1117,$AC$2:$AC$2028,1)+COUNTIF($AC$2:AC1117,AC1117))-1,""))</f>
        <v/>
      </c>
      <c r="AE1117" s="144" t="str">
        <f t="shared" si="427"/>
        <v/>
      </c>
      <c r="AF1117" s="144" t="str">
        <f>IF(AE1117="","",SUM($AE$2:AE1117))</f>
        <v/>
      </c>
    </row>
    <row r="1118" spans="14:32" x14ac:dyDescent="0.35">
      <c r="N1118" s="134" t="str">
        <f t="shared" si="425"/>
        <v/>
      </c>
      <c r="O1118" s="82" t="str">
        <f t="shared" ref="O1118:O1181" si="428">IF(A1118="","",N1118&amp;"-"&amp;M1118)</f>
        <v/>
      </c>
      <c r="P1118" s="81" t="str">
        <f t="shared" si="426"/>
        <v/>
      </c>
      <c r="Q1118" s="81" t="str">
        <f t="shared" ref="Q1118:Q1181" si="429">IF(A1118="","",IF(P1118=1,M1118,""))</f>
        <v/>
      </c>
      <c r="R1118" s="135" t="str">
        <f t="shared" ref="R1118:R1181" ca="1" si="430">IF(Q1118="","",I1118-TODAY())</f>
        <v/>
      </c>
      <c r="S1118" s="134" t="str">
        <f t="shared" ref="S1118:S1181" ca="1" si="431">IF(R1118="","",
IF(R1118&lt;-90,"Pass&gt;90",IF(R1118&lt;-60,"Pass 61-90",IF(R1118&lt;-30,"Pass 31-60",IF(R1118&lt;0,"Pass 0-30",IF(R1118&lt;31,"Run 0-30",IF(R1118&lt;61,"Run 31-60",IF(R1118&lt;91,"Run 60-90","Run &gt;90"))))))))</f>
        <v/>
      </c>
      <c r="T1118" s="134" t="str">
        <f ca="1">IF(S1118=Dashboard!$D$12,S1118,"")</f>
        <v/>
      </c>
      <c r="U1118" s="134" t="str">
        <f t="shared" ref="U1118:U1181" ca="1" si="432">IF(T1118="","",R1118)</f>
        <v/>
      </c>
      <c r="V1118" s="83" t="str">
        <f ca="1">IF(U1118="","",IFERROR((RANK(U1118,$U$2:$U$2028,1)+COUNTIF($U$2:U1118,U1118))-1,""))</f>
        <v/>
      </c>
      <c r="W1118" s="134" t="str">
        <f t="shared" si="424"/>
        <v/>
      </c>
      <c r="X1118" s="134" t="str">
        <f>IF(W1118="","",IFERROR((RANK(W1118,$W$2:$W$2028,1)+COUNTIF($W$2:W1118,W1118))-1,""))</f>
        <v/>
      </c>
      <c r="Y1118" s="134" t="str">
        <f t="shared" ref="Y1118:Y1181" si="433">IF($J1118=Y$1,$U1118,"")</f>
        <v/>
      </c>
      <c r="Z1118" s="134" t="str">
        <f>IF(Y1118="","",IFERROR((RANK(Y1118,$Y$2:$Y$2028,1)+COUNTIF($Y$2:Y1118,Y1118))-1,""))</f>
        <v/>
      </c>
      <c r="AA1118" s="134" t="str">
        <f t="shared" ref="AA1118:AA1181" si="434">IF($J1118=AA$1,$U1118,"")</f>
        <v/>
      </c>
      <c r="AB1118" s="134" t="str">
        <f>IF(AA1118="","",IFERROR((RANK(AA1118,$AA$2:$AA$2028,1)+COUNTIF($AA$2:AA1118,AA1118))-1,""))</f>
        <v/>
      </c>
      <c r="AC1118" s="134" t="str">
        <f t="shared" ref="AC1118:AC1181" si="435">IF($J1118=AC$1,$U1118,"")</f>
        <v/>
      </c>
      <c r="AD1118" s="134" t="str">
        <f>IF(AC1118="","",IFERROR((RANK(AC1118,$AC$2:$AC$2028,1)+COUNTIF($AC$2:AC1118,AC1118))-1,""))</f>
        <v/>
      </c>
      <c r="AE1118" s="144" t="str">
        <f t="shared" si="427"/>
        <v/>
      </c>
      <c r="AF1118" s="144" t="str">
        <f>IF(AE1118="","",SUM($AE$2:AE1118))</f>
        <v/>
      </c>
    </row>
    <row r="1119" spans="14:32" x14ac:dyDescent="0.35">
      <c r="N1119" s="134" t="str">
        <f t="shared" si="425"/>
        <v/>
      </c>
      <c r="O1119" s="82" t="str">
        <f t="shared" si="428"/>
        <v/>
      </c>
      <c r="P1119" s="81" t="str">
        <f t="shared" si="426"/>
        <v/>
      </c>
      <c r="Q1119" s="81" t="str">
        <f t="shared" si="429"/>
        <v/>
      </c>
      <c r="R1119" s="135" t="str">
        <f t="shared" ca="1" si="430"/>
        <v/>
      </c>
      <c r="S1119" s="134" t="str">
        <f t="shared" ca="1" si="431"/>
        <v/>
      </c>
      <c r="T1119" s="134" t="str">
        <f ca="1">IF(S1119=Dashboard!$D$12,S1119,"")</f>
        <v/>
      </c>
      <c r="U1119" s="134" t="str">
        <f t="shared" ca="1" si="432"/>
        <v/>
      </c>
      <c r="V1119" s="83" t="str">
        <f ca="1">IF(U1119="","",IFERROR((RANK(U1119,$U$2:$U$2028,1)+COUNTIF($U$2:U1119,U1119))-1,""))</f>
        <v/>
      </c>
      <c r="W1119" s="134" t="str">
        <f t="shared" ref="W1119:W1182" si="436">IF($J1119=$W$1,U1119,"")</f>
        <v/>
      </c>
      <c r="X1119" s="134" t="str">
        <f>IF(W1119="","",IFERROR((RANK(W1119,$W$2:$W$2028,1)+COUNTIF($W$2:W1119,W1119))-1,""))</f>
        <v/>
      </c>
      <c r="Y1119" s="134" t="str">
        <f t="shared" si="433"/>
        <v/>
      </c>
      <c r="Z1119" s="134" t="str">
        <f>IF(Y1119="","",IFERROR((RANK(Y1119,$Y$2:$Y$2028,1)+COUNTIF($Y$2:Y1119,Y1119))-1,""))</f>
        <v/>
      </c>
      <c r="AA1119" s="134" t="str">
        <f t="shared" si="434"/>
        <v/>
      </c>
      <c r="AB1119" s="134" t="str">
        <f>IF(AA1119="","",IFERROR((RANK(AA1119,$AA$2:$AA$2028,1)+COUNTIF($AA$2:AA1119,AA1119))-1,""))</f>
        <v/>
      </c>
      <c r="AC1119" s="134" t="str">
        <f t="shared" si="435"/>
        <v/>
      </c>
      <c r="AD1119" s="134" t="str">
        <f>IF(AC1119="","",IFERROR((RANK(AC1119,$AC$2:$AC$2028,1)+COUNTIF($AC$2:AC1119,AC1119))-1,""))</f>
        <v/>
      </c>
      <c r="AE1119" s="144" t="str">
        <f t="shared" si="427"/>
        <v/>
      </c>
      <c r="AF1119" s="144" t="str">
        <f>IF(AE1119="","",SUM($AE$2:AE1119))</f>
        <v/>
      </c>
    </row>
    <row r="1120" spans="14:32" x14ac:dyDescent="0.35">
      <c r="N1120" s="134" t="str">
        <f t="shared" si="425"/>
        <v/>
      </c>
      <c r="O1120" s="82" t="str">
        <f t="shared" si="428"/>
        <v/>
      </c>
      <c r="P1120" s="81" t="str">
        <f t="shared" si="426"/>
        <v/>
      </c>
      <c r="Q1120" s="81" t="str">
        <f t="shared" si="429"/>
        <v/>
      </c>
      <c r="R1120" s="135" t="str">
        <f t="shared" ca="1" si="430"/>
        <v/>
      </c>
      <c r="S1120" s="134" t="str">
        <f t="shared" ca="1" si="431"/>
        <v/>
      </c>
      <c r="T1120" s="134" t="str">
        <f ca="1">IF(S1120=Dashboard!$D$12,S1120,"")</f>
        <v/>
      </c>
      <c r="U1120" s="134" t="str">
        <f t="shared" ca="1" si="432"/>
        <v/>
      </c>
      <c r="V1120" s="83" t="str">
        <f ca="1">IF(U1120="","",IFERROR((RANK(U1120,$U$2:$U$2028,1)+COUNTIF($U$2:U1120,U1120))-1,""))</f>
        <v/>
      </c>
      <c r="W1120" s="134" t="str">
        <f t="shared" si="436"/>
        <v/>
      </c>
      <c r="X1120" s="134" t="str">
        <f>IF(W1120="","",IFERROR((RANK(W1120,$W$2:$W$2028,1)+COUNTIF($W$2:W1120,W1120))-1,""))</f>
        <v/>
      </c>
      <c r="Y1120" s="134" t="str">
        <f t="shared" si="433"/>
        <v/>
      </c>
      <c r="Z1120" s="134" t="str">
        <f>IF(Y1120="","",IFERROR((RANK(Y1120,$Y$2:$Y$2028,1)+COUNTIF($Y$2:Y1120,Y1120))-1,""))</f>
        <v/>
      </c>
      <c r="AA1120" s="134" t="str">
        <f t="shared" si="434"/>
        <v/>
      </c>
      <c r="AB1120" s="134" t="str">
        <f>IF(AA1120="","",IFERROR((RANK(AA1120,$AA$2:$AA$2028,1)+COUNTIF($AA$2:AA1120,AA1120))-1,""))</f>
        <v/>
      </c>
      <c r="AC1120" s="134" t="str">
        <f t="shared" si="435"/>
        <v/>
      </c>
      <c r="AD1120" s="134" t="str">
        <f>IF(AC1120="","",IFERROR((RANK(AC1120,$AC$2:$AC$2028,1)+COUNTIF($AC$2:AC1120,AC1120))-1,""))</f>
        <v/>
      </c>
      <c r="AE1120" s="144" t="str">
        <f t="shared" si="427"/>
        <v/>
      </c>
      <c r="AF1120" s="144" t="str">
        <f>IF(AE1120="","",SUM($AE$2:AE1120))</f>
        <v/>
      </c>
    </row>
    <row r="1121" spans="14:32" x14ac:dyDescent="0.35">
      <c r="N1121" s="134" t="str">
        <f t="shared" si="425"/>
        <v/>
      </c>
      <c r="O1121" s="82" t="str">
        <f t="shared" si="428"/>
        <v/>
      </c>
      <c r="P1121" s="81" t="str">
        <f t="shared" si="426"/>
        <v/>
      </c>
      <c r="Q1121" s="81" t="str">
        <f t="shared" si="429"/>
        <v/>
      </c>
      <c r="R1121" s="135" t="str">
        <f t="shared" ca="1" si="430"/>
        <v/>
      </c>
      <c r="S1121" s="134" t="str">
        <f t="shared" ca="1" si="431"/>
        <v/>
      </c>
      <c r="T1121" s="134" t="str">
        <f ca="1">IF(S1121=Dashboard!$D$12,S1121,"")</f>
        <v/>
      </c>
      <c r="U1121" s="134" t="str">
        <f t="shared" ca="1" si="432"/>
        <v/>
      </c>
      <c r="V1121" s="83" t="str">
        <f ca="1">IF(U1121="","",IFERROR((RANK(U1121,$U$2:$U$2028,1)+COUNTIF($U$2:U1121,U1121))-1,""))</f>
        <v/>
      </c>
      <c r="W1121" s="134" t="str">
        <f t="shared" si="436"/>
        <v/>
      </c>
      <c r="X1121" s="134" t="str">
        <f>IF(W1121="","",IFERROR((RANK(W1121,$W$2:$W$2028,1)+COUNTIF($W$2:W1121,W1121))-1,""))</f>
        <v/>
      </c>
      <c r="Y1121" s="134" t="str">
        <f t="shared" si="433"/>
        <v/>
      </c>
      <c r="Z1121" s="134" t="str">
        <f>IF(Y1121="","",IFERROR((RANK(Y1121,$Y$2:$Y$2028,1)+COUNTIF($Y$2:Y1121,Y1121))-1,""))</f>
        <v/>
      </c>
      <c r="AA1121" s="134" t="str">
        <f t="shared" si="434"/>
        <v/>
      </c>
      <c r="AB1121" s="134" t="str">
        <f>IF(AA1121="","",IFERROR((RANK(AA1121,$AA$2:$AA$2028,1)+COUNTIF($AA$2:AA1121,AA1121))-1,""))</f>
        <v/>
      </c>
      <c r="AC1121" s="134" t="str">
        <f t="shared" si="435"/>
        <v/>
      </c>
      <c r="AD1121" s="134" t="str">
        <f>IF(AC1121="","",IFERROR((RANK(AC1121,$AC$2:$AC$2028,1)+COUNTIF($AC$2:AC1121,AC1121))-1,""))</f>
        <v/>
      </c>
      <c r="AE1121" s="144" t="str">
        <f t="shared" si="427"/>
        <v/>
      </c>
      <c r="AF1121" s="144" t="str">
        <f>IF(AE1121="","",SUM($AE$2:AE1121))</f>
        <v/>
      </c>
    </row>
    <row r="1122" spans="14:32" x14ac:dyDescent="0.35">
      <c r="N1122" s="134" t="str">
        <f t="shared" si="425"/>
        <v/>
      </c>
      <c r="O1122" s="82" t="str">
        <f t="shared" si="428"/>
        <v/>
      </c>
      <c r="P1122" s="81" t="str">
        <f t="shared" si="426"/>
        <v/>
      </c>
      <c r="Q1122" s="81" t="str">
        <f t="shared" si="429"/>
        <v/>
      </c>
      <c r="R1122" s="135" t="str">
        <f t="shared" ca="1" si="430"/>
        <v/>
      </c>
      <c r="S1122" s="134" t="str">
        <f t="shared" ca="1" si="431"/>
        <v/>
      </c>
      <c r="T1122" s="134" t="str">
        <f ca="1">IF(S1122=Dashboard!$D$12,S1122,"")</f>
        <v/>
      </c>
      <c r="U1122" s="134" t="str">
        <f t="shared" ca="1" si="432"/>
        <v/>
      </c>
      <c r="V1122" s="83" t="str">
        <f ca="1">IF(U1122="","",IFERROR((RANK(U1122,$U$2:$U$2028,1)+COUNTIF($U$2:U1122,U1122))-1,""))</f>
        <v/>
      </c>
      <c r="W1122" s="134" t="str">
        <f t="shared" si="436"/>
        <v/>
      </c>
      <c r="X1122" s="134" t="str">
        <f>IF(W1122="","",IFERROR((RANK(W1122,$W$2:$W$2028,1)+COUNTIF($W$2:W1122,W1122))-1,""))</f>
        <v/>
      </c>
      <c r="Y1122" s="134" t="str">
        <f t="shared" si="433"/>
        <v/>
      </c>
      <c r="Z1122" s="134" t="str">
        <f>IF(Y1122="","",IFERROR((RANK(Y1122,$Y$2:$Y$2028,1)+COUNTIF($Y$2:Y1122,Y1122))-1,""))</f>
        <v/>
      </c>
      <c r="AA1122" s="134" t="str">
        <f t="shared" si="434"/>
        <v/>
      </c>
      <c r="AB1122" s="134" t="str">
        <f>IF(AA1122="","",IFERROR((RANK(AA1122,$AA$2:$AA$2028,1)+COUNTIF($AA$2:AA1122,AA1122))-1,""))</f>
        <v/>
      </c>
      <c r="AC1122" s="134" t="str">
        <f t="shared" si="435"/>
        <v/>
      </c>
      <c r="AD1122" s="134" t="str">
        <f>IF(AC1122="","",IFERROR((RANK(AC1122,$AC$2:$AC$2028,1)+COUNTIF($AC$2:AC1122,AC1122))-1,""))</f>
        <v/>
      </c>
      <c r="AE1122" s="144" t="str">
        <f t="shared" si="427"/>
        <v/>
      </c>
      <c r="AF1122" s="144" t="str">
        <f>IF(AE1122="","",SUM($AE$2:AE1122))</f>
        <v/>
      </c>
    </row>
    <row r="1123" spans="14:32" x14ac:dyDescent="0.35">
      <c r="N1123" s="134" t="str">
        <f t="shared" si="425"/>
        <v/>
      </c>
      <c r="O1123" s="82" t="str">
        <f t="shared" si="428"/>
        <v/>
      </c>
      <c r="P1123" s="81" t="str">
        <f t="shared" si="426"/>
        <v/>
      </c>
      <c r="Q1123" s="81" t="str">
        <f t="shared" si="429"/>
        <v/>
      </c>
      <c r="R1123" s="135" t="str">
        <f t="shared" ca="1" si="430"/>
        <v/>
      </c>
      <c r="S1123" s="134" t="str">
        <f t="shared" ca="1" si="431"/>
        <v/>
      </c>
      <c r="T1123" s="134" t="str">
        <f ca="1">IF(S1123=Dashboard!$D$12,S1123,"")</f>
        <v/>
      </c>
      <c r="U1123" s="134" t="str">
        <f t="shared" ca="1" si="432"/>
        <v/>
      </c>
      <c r="V1123" s="83" t="str">
        <f ca="1">IF(U1123="","",IFERROR((RANK(U1123,$U$2:$U$2028,1)+COUNTIF($U$2:U1123,U1123))-1,""))</f>
        <v/>
      </c>
      <c r="W1123" s="134" t="str">
        <f t="shared" si="436"/>
        <v/>
      </c>
      <c r="X1123" s="134" t="str">
        <f>IF(W1123="","",IFERROR((RANK(W1123,$W$2:$W$2028,1)+COUNTIF($W$2:W1123,W1123))-1,""))</f>
        <v/>
      </c>
      <c r="Y1123" s="134" t="str">
        <f t="shared" si="433"/>
        <v/>
      </c>
      <c r="Z1123" s="134" t="str">
        <f>IF(Y1123="","",IFERROR((RANK(Y1123,$Y$2:$Y$2028,1)+COUNTIF($Y$2:Y1123,Y1123))-1,""))</f>
        <v/>
      </c>
      <c r="AA1123" s="134" t="str">
        <f t="shared" si="434"/>
        <v/>
      </c>
      <c r="AB1123" s="134" t="str">
        <f>IF(AA1123="","",IFERROR((RANK(AA1123,$AA$2:$AA$2028,1)+COUNTIF($AA$2:AA1123,AA1123))-1,""))</f>
        <v/>
      </c>
      <c r="AC1123" s="134" t="str">
        <f t="shared" si="435"/>
        <v/>
      </c>
      <c r="AD1123" s="134" t="str">
        <f>IF(AC1123="","",IFERROR((RANK(AC1123,$AC$2:$AC$2028,1)+COUNTIF($AC$2:AC1123,AC1123))-1,""))</f>
        <v/>
      </c>
      <c r="AE1123" s="144" t="str">
        <f t="shared" si="427"/>
        <v/>
      </c>
      <c r="AF1123" s="144" t="str">
        <f>IF(AE1123="","",SUM($AE$2:AE1123))</f>
        <v/>
      </c>
    </row>
    <row r="1124" spans="14:32" x14ac:dyDescent="0.35">
      <c r="N1124" s="134" t="str">
        <f t="shared" si="425"/>
        <v/>
      </c>
      <c r="O1124" s="82" t="str">
        <f t="shared" si="428"/>
        <v/>
      </c>
      <c r="P1124" s="81" t="str">
        <f t="shared" si="426"/>
        <v/>
      </c>
      <c r="Q1124" s="81" t="str">
        <f t="shared" si="429"/>
        <v/>
      </c>
      <c r="R1124" s="135" t="str">
        <f t="shared" ca="1" si="430"/>
        <v/>
      </c>
      <c r="S1124" s="134" t="str">
        <f t="shared" ca="1" si="431"/>
        <v/>
      </c>
      <c r="T1124" s="134" t="str">
        <f ca="1">IF(S1124=Dashboard!$D$12,S1124,"")</f>
        <v/>
      </c>
      <c r="U1124" s="134" t="str">
        <f t="shared" ca="1" si="432"/>
        <v/>
      </c>
      <c r="V1124" s="83" t="str">
        <f ca="1">IF(U1124="","",IFERROR((RANK(U1124,$U$2:$U$2028,1)+COUNTIF($U$2:U1124,U1124))-1,""))</f>
        <v/>
      </c>
      <c r="W1124" s="134" t="str">
        <f t="shared" si="436"/>
        <v/>
      </c>
      <c r="X1124" s="134" t="str">
        <f>IF(W1124="","",IFERROR((RANK(W1124,$W$2:$W$2028,1)+COUNTIF($W$2:W1124,W1124))-1,""))</f>
        <v/>
      </c>
      <c r="Y1124" s="134" t="str">
        <f t="shared" si="433"/>
        <v/>
      </c>
      <c r="Z1124" s="134" t="str">
        <f>IF(Y1124="","",IFERROR((RANK(Y1124,$Y$2:$Y$2028,1)+COUNTIF($Y$2:Y1124,Y1124))-1,""))</f>
        <v/>
      </c>
      <c r="AA1124" s="134" t="str">
        <f t="shared" si="434"/>
        <v/>
      </c>
      <c r="AB1124" s="134" t="str">
        <f>IF(AA1124="","",IFERROR((RANK(AA1124,$AA$2:$AA$2028,1)+COUNTIF($AA$2:AA1124,AA1124))-1,""))</f>
        <v/>
      </c>
      <c r="AC1124" s="134" t="str">
        <f t="shared" si="435"/>
        <v/>
      </c>
      <c r="AD1124" s="134" t="str">
        <f>IF(AC1124="","",IFERROR((RANK(AC1124,$AC$2:$AC$2028,1)+COUNTIF($AC$2:AC1124,AC1124))-1,""))</f>
        <v/>
      </c>
      <c r="AE1124" s="144" t="str">
        <f t="shared" si="427"/>
        <v/>
      </c>
      <c r="AF1124" s="144" t="str">
        <f>IF(AE1124="","",SUM($AE$2:AE1124))</f>
        <v/>
      </c>
    </row>
    <row r="1125" spans="14:32" x14ac:dyDescent="0.35">
      <c r="N1125" s="134" t="str">
        <f t="shared" si="425"/>
        <v/>
      </c>
      <c r="O1125" s="82" t="str">
        <f t="shared" si="428"/>
        <v/>
      </c>
      <c r="P1125" s="81" t="str">
        <f t="shared" si="426"/>
        <v/>
      </c>
      <c r="Q1125" s="81" t="str">
        <f t="shared" si="429"/>
        <v/>
      </c>
      <c r="R1125" s="135" t="str">
        <f t="shared" ca="1" si="430"/>
        <v/>
      </c>
      <c r="S1125" s="134" t="str">
        <f t="shared" ca="1" si="431"/>
        <v/>
      </c>
      <c r="T1125" s="134" t="str">
        <f ca="1">IF(S1125=Dashboard!$D$12,S1125,"")</f>
        <v/>
      </c>
      <c r="U1125" s="134" t="str">
        <f t="shared" ca="1" si="432"/>
        <v/>
      </c>
      <c r="V1125" s="83" t="str">
        <f ca="1">IF(U1125="","",IFERROR((RANK(U1125,$U$2:$U$2028,1)+COUNTIF($U$2:U1125,U1125))-1,""))</f>
        <v/>
      </c>
      <c r="W1125" s="134" t="str">
        <f t="shared" si="436"/>
        <v/>
      </c>
      <c r="X1125" s="134" t="str">
        <f>IF(W1125="","",IFERROR((RANK(W1125,$W$2:$W$2028,1)+COUNTIF($W$2:W1125,W1125))-1,""))</f>
        <v/>
      </c>
      <c r="Y1125" s="134" t="str">
        <f t="shared" si="433"/>
        <v/>
      </c>
      <c r="Z1125" s="134" t="str">
        <f>IF(Y1125="","",IFERROR((RANK(Y1125,$Y$2:$Y$2028,1)+COUNTIF($Y$2:Y1125,Y1125))-1,""))</f>
        <v/>
      </c>
      <c r="AA1125" s="134" t="str">
        <f t="shared" si="434"/>
        <v/>
      </c>
      <c r="AB1125" s="134" t="str">
        <f>IF(AA1125="","",IFERROR((RANK(AA1125,$AA$2:$AA$2028,1)+COUNTIF($AA$2:AA1125,AA1125))-1,""))</f>
        <v/>
      </c>
      <c r="AC1125" s="134" t="str">
        <f t="shared" si="435"/>
        <v/>
      </c>
      <c r="AD1125" s="134" t="str">
        <f>IF(AC1125="","",IFERROR((RANK(AC1125,$AC$2:$AC$2028,1)+COUNTIF($AC$2:AC1125,AC1125))-1,""))</f>
        <v/>
      </c>
      <c r="AE1125" s="144" t="str">
        <f t="shared" si="427"/>
        <v/>
      </c>
      <c r="AF1125" s="144" t="str">
        <f>IF(AE1125="","",SUM($AE$2:AE1125))</f>
        <v/>
      </c>
    </row>
    <row r="1126" spans="14:32" x14ac:dyDescent="0.35">
      <c r="N1126" s="134" t="str">
        <f t="shared" si="425"/>
        <v/>
      </c>
      <c r="O1126" s="82" t="str">
        <f t="shared" si="428"/>
        <v/>
      </c>
      <c r="P1126" s="81" t="str">
        <f t="shared" si="426"/>
        <v/>
      </c>
      <c r="Q1126" s="81" t="str">
        <f t="shared" si="429"/>
        <v/>
      </c>
      <c r="R1126" s="135" t="str">
        <f t="shared" ca="1" si="430"/>
        <v/>
      </c>
      <c r="S1126" s="134" t="str">
        <f t="shared" ca="1" si="431"/>
        <v/>
      </c>
      <c r="T1126" s="134" t="str">
        <f ca="1">IF(S1126=Dashboard!$D$12,S1126,"")</f>
        <v/>
      </c>
      <c r="U1126" s="134" t="str">
        <f t="shared" ca="1" si="432"/>
        <v/>
      </c>
      <c r="V1126" s="83" t="str">
        <f ca="1">IF(U1126="","",IFERROR((RANK(U1126,$U$2:$U$2028,1)+COUNTIF($U$2:U1126,U1126))-1,""))</f>
        <v/>
      </c>
      <c r="W1126" s="134" t="str">
        <f t="shared" si="436"/>
        <v/>
      </c>
      <c r="X1126" s="134" t="str">
        <f>IF(W1126="","",IFERROR((RANK(W1126,$W$2:$W$2028,1)+COUNTIF($W$2:W1126,W1126))-1,""))</f>
        <v/>
      </c>
      <c r="Y1126" s="134" t="str">
        <f t="shared" si="433"/>
        <v/>
      </c>
      <c r="Z1126" s="134" t="str">
        <f>IF(Y1126="","",IFERROR((RANK(Y1126,$Y$2:$Y$2028,1)+COUNTIF($Y$2:Y1126,Y1126))-1,""))</f>
        <v/>
      </c>
      <c r="AA1126" s="134" t="str">
        <f t="shared" si="434"/>
        <v/>
      </c>
      <c r="AB1126" s="134" t="str">
        <f>IF(AA1126="","",IFERROR((RANK(AA1126,$AA$2:$AA$2028,1)+COUNTIF($AA$2:AA1126,AA1126))-1,""))</f>
        <v/>
      </c>
      <c r="AC1126" s="134" t="str">
        <f t="shared" si="435"/>
        <v/>
      </c>
      <c r="AD1126" s="134" t="str">
        <f>IF(AC1126="","",IFERROR((RANK(AC1126,$AC$2:$AC$2028,1)+COUNTIF($AC$2:AC1126,AC1126))-1,""))</f>
        <v/>
      </c>
      <c r="AE1126" s="144" t="str">
        <f t="shared" si="427"/>
        <v/>
      </c>
      <c r="AF1126" s="144" t="str">
        <f>IF(AE1126="","",SUM($AE$2:AE1126))</f>
        <v/>
      </c>
    </row>
    <row r="1127" spans="14:32" x14ac:dyDescent="0.35">
      <c r="N1127" s="134" t="str">
        <f t="shared" si="425"/>
        <v/>
      </c>
      <c r="O1127" s="82" t="str">
        <f t="shared" si="428"/>
        <v/>
      </c>
      <c r="P1127" s="81" t="str">
        <f t="shared" si="426"/>
        <v/>
      </c>
      <c r="Q1127" s="81" t="str">
        <f t="shared" si="429"/>
        <v/>
      </c>
      <c r="R1127" s="135" t="str">
        <f t="shared" ca="1" si="430"/>
        <v/>
      </c>
      <c r="S1127" s="134" t="str">
        <f t="shared" ca="1" si="431"/>
        <v/>
      </c>
      <c r="T1127" s="134" t="str">
        <f ca="1">IF(S1127=Dashboard!$D$12,S1127,"")</f>
        <v/>
      </c>
      <c r="U1127" s="134" t="str">
        <f t="shared" ca="1" si="432"/>
        <v/>
      </c>
      <c r="V1127" s="83" t="str">
        <f ca="1">IF(U1127="","",IFERROR((RANK(U1127,$U$2:$U$2028,1)+COUNTIF($U$2:U1127,U1127))-1,""))</f>
        <v/>
      </c>
      <c r="W1127" s="134" t="str">
        <f t="shared" si="436"/>
        <v/>
      </c>
      <c r="X1127" s="134" t="str">
        <f>IF(W1127="","",IFERROR((RANK(W1127,$W$2:$W$2028,1)+COUNTIF($W$2:W1127,W1127))-1,""))</f>
        <v/>
      </c>
      <c r="Y1127" s="134" t="str">
        <f t="shared" si="433"/>
        <v/>
      </c>
      <c r="Z1127" s="134" t="str">
        <f>IF(Y1127="","",IFERROR((RANK(Y1127,$Y$2:$Y$2028,1)+COUNTIF($Y$2:Y1127,Y1127))-1,""))</f>
        <v/>
      </c>
      <c r="AA1127" s="134" t="str">
        <f t="shared" si="434"/>
        <v/>
      </c>
      <c r="AB1127" s="134" t="str">
        <f>IF(AA1127="","",IFERROR((RANK(AA1127,$AA$2:$AA$2028,1)+COUNTIF($AA$2:AA1127,AA1127))-1,""))</f>
        <v/>
      </c>
      <c r="AC1127" s="134" t="str">
        <f t="shared" si="435"/>
        <v/>
      </c>
      <c r="AD1127" s="134" t="str">
        <f>IF(AC1127="","",IFERROR((RANK(AC1127,$AC$2:$AC$2028,1)+COUNTIF($AC$2:AC1127,AC1127))-1,""))</f>
        <v/>
      </c>
      <c r="AE1127" s="144" t="str">
        <f t="shared" si="427"/>
        <v/>
      </c>
      <c r="AF1127" s="144" t="str">
        <f>IF(AE1127="","",SUM($AE$2:AE1127))</f>
        <v/>
      </c>
    </row>
    <row r="1128" spans="14:32" x14ac:dyDescent="0.35">
      <c r="N1128" s="134" t="str">
        <f t="shared" si="425"/>
        <v/>
      </c>
      <c r="O1128" s="82" t="str">
        <f t="shared" si="428"/>
        <v/>
      </c>
      <c r="P1128" s="81" t="str">
        <f t="shared" si="426"/>
        <v/>
      </c>
      <c r="Q1128" s="81" t="str">
        <f t="shared" si="429"/>
        <v/>
      </c>
      <c r="R1128" s="135" t="str">
        <f t="shared" ca="1" si="430"/>
        <v/>
      </c>
      <c r="S1128" s="134" t="str">
        <f t="shared" ca="1" si="431"/>
        <v/>
      </c>
      <c r="T1128" s="134" t="str">
        <f ca="1">IF(S1128=Dashboard!$D$12,S1128,"")</f>
        <v/>
      </c>
      <c r="U1128" s="134" t="str">
        <f t="shared" ca="1" si="432"/>
        <v/>
      </c>
      <c r="V1128" s="83" t="str">
        <f ca="1">IF(U1128="","",IFERROR((RANK(U1128,$U$2:$U$2028,1)+COUNTIF($U$2:U1128,U1128))-1,""))</f>
        <v/>
      </c>
      <c r="W1128" s="134" t="str">
        <f t="shared" si="436"/>
        <v/>
      </c>
      <c r="X1128" s="134" t="str">
        <f>IF(W1128="","",IFERROR((RANK(W1128,$W$2:$W$2028,1)+COUNTIF($W$2:W1128,W1128))-1,""))</f>
        <v/>
      </c>
      <c r="Y1128" s="134" t="str">
        <f t="shared" si="433"/>
        <v/>
      </c>
      <c r="Z1128" s="134" t="str">
        <f>IF(Y1128="","",IFERROR((RANK(Y1128,$Y$2:$Y$2028,1)+COUNTIF($Y$2:Y1128,Y1128))-1,""))</f>
        <v/>
      </c>
      <c r="AA1128" s="134" t="str">
        <f t="shared" si="434"/>
        <v/>
      </c>
      <c r="AB1128" s="134" t="str">
        <f>IF(AA1128="","",IFERROR((RANK(AA1128,$AA$2:$AA$2028,1)+COUNTIF($AA$2:AA1128,AA1128))-1,""))</f>
        <v/>
      </c>
      <c r="AC1128" s="134" t="str">
        <f t="shared" si="435"/>
        <v/>
      </c>
      <c r="AD1128" s="134" t="str">
        <f>IF(AC1128="","",IFERROR((RANK(AC1128,$AC$2:$AC$2028,1)+COUNTIF($AC$2:AC1128,AC1128))-1,""))</f>
        <v/>
      </c>
      <c r="AE1128" s="144" t="str">
        <f t="shared" si="427"/>
        <v/>
      </c>
      <c r="AF1128" s="144" t="str">
        <f>IF(AE1128="","",SUM($AE$2:AE1128))</f>
        <v/>
      </c>
    </row>
    <row r="1129" spans="14:32" x14ac:dyDescent="0.35">
      <c r="N1129" s="134" t="str">
        <f t="shared" si="425"/>
        <v/>
      </c>
      <c r="O1129" s="82" t="str">
        <f t="shared" si="428"/>
        <v/>
      </c>
      <c r="P1129" s="81" t="str">
        <f t="shared" si="426"/>
        <v/>
      </c>
      <c r="Q1129" s="81" t="str">
        <f t="shared" si="429"/>
        <v/>
      </c>
      <c r="R1129" s="135" t="str">
        <f t="shared" ca="1" si="430"/>
        <v/>
      </c>
      <c r="S1129" s="134" t="str">
        <f t="shared" ca="1" si="431"/>
        <v/>
      </c>
      <c r="T1129" s="134" t="str">
        <f ca="1">IF(S1129=Dashboard!$D$12,S1129,"")</f>
        <v/>
      </c>
      <c r="U1129" s="134" t="str">
        <f t="shared" ca="1" si="432"/>
        <v/>
      </c>
      <c r="V1129" s="83" t="str">
        <f ca="1">IF(U1129="","",IFERROR((RANK(U1129,$U$2:$U$2028,1)+COUNTIF($U$2:U1129,U1129))-1,""))</f>
        <v/>
      </c>
      <c r="W1129" s="134" t="str">
        <f t="shared" si="436"/>
        <v/>
      </c>
      <c r="X1129" s="134" t="str">
        <f>IF(W1129="","",IFERROR((RANK(W1129,$W$2:$W$2028,1)+COUNTIF($W$2:W1129,W1129))-1,""))</f>
        <v/>
      </c>
      <c r="Y1129" s="134" t="str">
        <f t="shared" si="433"/>
        <v/>
      </c>
      <c r="Z1129" s="134" t="str">
        <f>IF(Y1129="","",IFERROR((RANK(Y1129,$Y$2:$Y$2028,1)+COUNTIF($Y$2:Y1129,Y1129))-1,""))</f>
        <v/>
      </c>
      <c r="AA1129" s="134" t="str">
        <f t="shared" si="434"/>
        <v/>
      </c>
      <c r="AB1129" s="134" t="str">
        <f>IF(AA1129="","",IFERROR((RANK(AA1129,$AA$2:$AA$2028,1)+COUNTIF($AA$2:AA1129,AA1129))-1,""))</f>
        <v/>
      </c>
      <c r="AC1129" s="134" t="str">
        <f t="shared" si="435"/>
        <v/>
      </c>
      <c r="AD1129" s="134" t="str">
        <f>IF(AC1129="","",IFERROR((RANK(AC1129,$AC$2:$AC$2028,1)+COUNTIF($AC$2:AC1129,AC1129))-1,""))</f>
        <v/>
      </c>
      <c r="AE1129" s="144" t="str">
        <f t="shared" si="427"/>
        <v/>
      </c>
      <c r="AF1129" s="144" t="str">
        <f>IF(AE1129="","",SUM($AE$2:AE1129))</f>
        <v/>
      </c>
    </row>
    <row r="1130" spans="14:32" x14ac:dyDescent="0.35">
      <c r="N1130" s="134" t="str">
        <f t="shared" si="425"/>
        <v/>
      </c>
      <c r="O1130" s="82" t="str">
        <f t="shared" si="428"/>
        <v/>
      </c>
      <c r="P1130" s="81" t="str">
        <f t="shared" si="426"/>
        <v/>
      </c>
      <c r="Q1130" s="81" t="str">
        <f t="shared" si="429"/>
        <v/>
      </c>
      <c r="R1130" s="135" t="str">
        <f t="shared" ca="1" si="430"/>
        <v/>
      </c>
      <c r="S1130" s="134" t="str">
        <f t="shared" ca="1" si="431"/>
        <v/>
      </c>
      <c r="T1130" s="134" t="str">
        <f ca="1">IF(S1130=Dashboard!$D$12,S1130,"")</f>
        <v/>
      </c>
      <c r="U1130" s="134" t="str">
        <f t="shared" ca="1" si="432"/>
        <v/>
      </c>
      <c r="V1130" s="83" t="str">
        <f ca="1">IF(U1130="","",IFERROR((RANK(U1130,$U$2:$U$2028,1)+COUNTIF($U$2:U1130,U1130))-1,""))</f>
        <v/>
      </c>
      <c r="W1130" s="134" t="str">
        <f t="shared" si="436"/>
        <v/>
      </c>
      <c r="X1130" s="134" t="str">
        <f>IF(W1130="","",IFERROR((RANK(W1130,$W$2:$W$2028,1)+COUNTIF($W$2:W1130,W1130))-1,""))</f>
        <v/>
      </c>
      <c r="Y1130" s="134" t="str">
        <f t="shared" si="433"/>
        <v/>
      </c>
      <c r="Z1130" s="134" t="str">
        <f>IF(Y1130="","",IFERROR((RANK(Y1130,$Y$2:$Y$2028,1)+COUNTIF($Y$2:Y1130,Y1130))-1,""))</f>
        <v/>
      </c>
      <c r="AA1130" s="134" t="str">
        <f t="shared" si="434"/>
        <v/>
      </c>
      <c r="AB1130" s="134" t="str">
        <f>IF(AA1130="","",IFERROR((RANK(AA1130,$AA$2:$AA$2028,1)+COUNTIF($AA$2:AA1130,AA1130))-1,""))</f>
        <v/>
      </c>
      <c r="AC1130" s="134" t="str">
        <f t="shared" si="435"/>
        <v/>
      </c>
      <c r="AD1130" s="134" t="str">
        <f>IF(AC1130="","",IFERROR((RANK(AC1130,$AC$2:$AC$2028,1)+COUNTIF($AC$2:AC1130,AC1130))-1,""))</f>
        <v/>
      </c>
      <c r="AE1130" s="144" t="str">
        <f t="shared" si="427"/>
        <v/>
      </c>
      <c r="AF1130" s="144" t="str">
        <f>IF(AE1130="","",SUM($AE$2:AE1130))</f>
        <v/>
      </c>
    </row>
    <row r="1131" spans="14:32" x14ac:dyDescent="0.35">
      <c r="N1131" s="134" t="str">
        <f t="shared" si="425"/>
        <v/>
      </c>
      <c r="O1131" s="82" t="str">
        <f t="shared" si="428"/>
        <v/>
      </c>
      <c r="P1131" s="81" t="str">
        <f t="shared" si="426"/>
        <v/>
      </c>
      <c r="Q1131" s="81" t="str">
        <f t="shared" si="429"/>
        <v/>
      </c>
      <c r="R1131" s="135" t="str">
        <f t="shared" ca="1" si="430"/>
        <v/>
      </c>
      <c r="S1131" s="134" t="str">
        <f t="shared" ca="1" si="431"/>
        <v/>
      </c>
      <c r="T1131" s="134" t="str">
        <f ca="1">IF(S1131=Dashboard!$D$12,S1131,"")</f>
        <v/>
      </c>
      <c r="U1131" s="134" t="str">
        <f t="shared" ca="1" si="432"/>
        <v/>
      </c>
      <c r="V1131" s="83" t="str">
        <f ca="1">IF(U1131="","",IFERROR((RANK(U1131,$U$2:$U$2028,1)+COUNTIF($U$2:U1131,U1131))-1,""))</f>
        <v/>
      </c>
      <c r="W1131" s="134" t="str">
        <f t="shared" si="436"/>
        <v/>
      </c>
      <c r="X1131" s="134" t="str">
        <f>IF(W1131="","",IFERROR((RANK(W1131,$W$2:$W$2028,1)+COUNTIF($W$2:W1131,W1131))-1,""))</f>
        <v/>
      </c>
      <c r="Y1131" s="134" t="str">
        <f t="shared" si="433"/>
        <v/>
      </c>
      <c r="Z1131" s="134" t="str">
        <f>IF(Y1131="","",IFERROR((RANK(Y1131,$Y$2:$Y$2028,1)+COUNTIF($Y$2:Y1131,Y1131))-1,""))</f>
        <v/>
      </c>
      <c r="AA1131" s="134" t="str">
        <f t="shared" si="434"/>
        <v/>
      </c>
      <c r="AB1131" s="134" t="str">
        <f>IF(AA1131="","",IFERROR((RANK(AA1131,$AA$2:$AA$2028,1)+COUNTIF($AA$2:AA1131,AA1131))-1,""))</f>
        <v/>
      </c>
      <c r="AC1131" s="134" t="str">
        <f t="shared" si="435"/>
        <v/>
      </c>
      <c r="AD1131" s="134" t="str">
        <f>IF(AC1131="","",IFERROR((RANK(AC1131,$AC$2:$AC$2028,1)+COUNTIF($AC$2:AC1131,AC1131))-1,""))</f>
        <v/>
      </c>
      <c r="AE1131" s="144" t="str">
        <f t="shared" si="427"/>
        <v/>
      </c>
      <c r="AF1131" s="144" t="str">
        <f>IF(AE1131="","",SUM($AE$2:AE1131))</f>
        <v/>
      </c>
    </row>
    <row r="1132" spans="14:32" x14ac:dyDescent="0.35">
      <c r="N1132" s="134" t="str">
        <f t="shared" si="425"/>
        <v/>
      </c>
      <c r="O1132" s="82" t="str">
        <f t="shared" si="428"/>
        <v/>
      </c>
      <c r="P1132" s="81" t="str">
        <f t="shared" si="426"/>
        <v/>
      </c>
      <c r="Q1132" s="81" t="str">
        <f t="shared" si="429"/>
        <v/>
      </c>
      <c r="R1132" s="135" t="str">
        <f t="shared" ca="1" si="430"/>
        <v/>
      </c>
      <c r="S1132" s="134" t="str">
        <f t="shared" ca="1" si="431"/>
        <v/>
      </c>
      <c r="T1132" s="134" t="str">
        <f ca="1">IF(S1132=Dashboard!$D$12,S1132,"")</f>
        <v/>
      </c>
      <c r="U1132" s="134" t="str">
        <f t="shared" ca="1" si="432"/>
        <v/>
      </c>
      <c r="V1132" s="83" t="str">
        <f ca="1">IF(U1132="","",IFERROR((RANK(U1132,$U$2:$U$2028,1)+COUNTIF($U$2:U1132,U1132))-1,""))</f>
        <v/>
      </c>
      <c r="W1132" s="134" t="str">
        <f t="shared" si="436"/>
        <v/>
      </c>
      <c r="X1132" s="134" t="str">
        <f>IF(W1132="","",IFERROR((RANK(W1132,$W$2:$W$2028,1)+COUNTIF($W$2:W1132,W1132))-1,""))</f>
        <v/>
      </c>
      <c r="Y1132" s="134" t="str">
        <f t="shared" si="433"/>
        <v/>
      </c>
      <c r="Z1132" s="134" t="str">
        <f>IF(Y1132="","",IFERROR((RANK(Y1132,$Y$2:$Y$2028,1)+COUNTIF($Y$2:Y1132,Y1132))-1,""))</f>
        <v/>
      </c>
      <c r="AA1132" s="134" t="str">
        <f t="shared" si="434"/>
        <v/>
      </c>
      <c r="AB1132" s="134" t="str">
        <f>IF(AA1132="","",IFERROR((RANK(AA1132,$AA$2:$AA$2028,1)+COUNTIF($AA$2:AA1132,AA1132))-1,""))</f>
        <v/>
      </c>
      <c r="AC1132" s="134" t="str">
        <f t="shared" si="435"/>
        <v/>
      </c>
      <c r="AD1132" s="134" t="str">
        <f>IF(AC1132="","",IFERROR((RANK(AC1132,$AC$2:$AC$2028,1)+COUNTIF($AC$2:AC1132,AC1132))-1,""))</f>
        <v/>
      </c>
      <c r="AE1132" s="144" t="str">
        <f t="shared" si="427"/>
        <v/>
      </c>
      <c r="AF1132" s="144" t="str">
        <f>IF(AE1132="","",SUM($AE$2:AE1132))</f>
        <v/>
      </c>
    </row>
    <row r="1133" spans="14:32" x14ac:dyDescent="0.35">
      <c r="N1133" s="134" t="str">
        <f t="shared" si="425"/>
        <v/>
      </c>
      <c r="O1133" s="82" t="str">
        <f t="shared" si="428"/>
        <v/>
      </c>
      <c r="P1133" s="81" t="str">
        <f t="shared" si="426"/>
        <v/>
      </c>
      <c r="Q1133" s="81" t="str">
        <f t="shared" si="429"/>
        <v/>
      </c>
      <c r="R1133" s="135" t="str">
        <f t="shared" ca="1" si="430"/>
        <v/>
      </c>
      <c r="S1133" s="134" t="str">
        <f t="shared" ca="1" si="431"/>
        <v/>
      </c>
      <c r="T1133" s="134" t="str">
        <f ca="1">IF(S1133=Dashboard!$D$12,S1133,"")</f>
        <v/>
      </c>
      <c r="U1133" s="134" t="str">
        <f t="shared" ca="1" si="432"/>
        <v/>
      </c>
      <c r="V1133" s="83" t="str">
        <f ca="1">IF(U1133="","",IFERROR((RANK(U1133,$U$2:$U$2028,1)+COUNTIF($U$2:U1133,U1133))-1,""))</f>
        <v/>
      </c>
      <c r="W1133" s="134" t="str">
        <f t="shared" si="436"/>
        <v/>
      </c>
      <c r="X1133" s="134" t="str">
        <f>IF(W1133="","",IFERROR((RANK(W1133,$W$2:$W$2028,1)+COUNTIF($W$2:W1133,W1133))-1,""))</f>
        <v/>
      </c>
      <c r="Y1133" s="134" t="str">
        <f t="shared" si="433"/>
        <v/>
      </c>
      <c r="Z1133" s="134" t="str">
        <f>IF(Y1133="","",IFERROR((RANK(Y1133,$Y$2:$Y$2028,1)+COUNTIF($Y$2:Y1133,Y1133))-1,""))</f>
        <v/>
      </c>
      <c r="AA1133" s="134" t="str">
        <f t="shared" si="434"/>
        <v/>
      </c>
      <c r="AB1133" s="134" t="str">
        <f>IF(AA1133="","",IFERROR((RANK(AA1133,$AA$2:$AA$2028,1)+COUNTIF($AA$2:AA1133,AA1133))-1,""))</f>
        <v/>
      </c>
      <c r="AC1133" s="134" t="str">
        <f t="shared" si="435"/>
        <v/>
      </c>
      <c r="AD1133" s="134" t="str">
        <f>IF(AC1133="","",IFERROR((RANK(AC1133,$AC$2:$AC$2028,1)+COUNTIF($AC$2:AC1133,AC1133))-1,""))</f>
        <v/>
      </c>
      <c r="AE1133" s="144" t="str">
        <f t="shared" si="427"/>
        <v/>
      </c>
      <c r="AF1133" s="144" t="str">
        <f>IF(AE1133="","",SUM($AE$2:AE1133))</f>
        <v/>
      </c>
    </row>
    <row r="1134" spans="14:32" x14ac:dyDescent="0.35">
      <c r="N1134" s="134" t="str">
        <f t="shared" si="425"/>
        <v/>
      </c>
      <c r="O1134" s="82" t="str">
        <f t="shared" si="428"/>
        <v/>
      </c>
      <c r="P1134" s="81" t="str">
        <f t="shared" si="426"/>
        <v/>
      </c>
      <c r="Q1134" s="81" t="str">
        <f t="shared" si="429"/>
        <v/>
      </c>
      <c r="R1134" s="135" t="str">
        <f t="shared" ca="1" si="430"/>
        <v/>
      </c>
      <c r="S1134" s="134" t="str">
        <f t="shared" ca="1" si="431"/>
        <v/>
      </c>
      <c r="T1134" s="134" t="str">
        <f ca="1">IF(S1134=Dashboard!$D$12,S1134,"")</f>
        <v/>
      </c>
      <c r="U1134" s="134" t="str">
        <f t="shared" ca="1" si="432"/>
        <v/>
      </c>
      <c r="V1134" s="83" t="str">
        <f ca="1">IF(U1134="","",IFERROR((RANK(U1134,$U$2:$U$2028,1)+COUNTIF($U$2:U1134,U1134))-1,""))</f>
        <v/>
      </c>
      <c r="W1134" s="134" t="str">
        <f t="shared" si="436"/>
        <v/>
      </c>
      <c r="X1134" s="134" t="str">
        <f>IF(W1134="","",IFERROR((RANK(W1134,$W$2:$W$2028,1)+COUNTIF($W$2:W1134,W1134))-1,""))</f>
        <v/>
      </c>
      <c r="Y1134" s="134" t="str">
        <f t="shared" si="433"/>
        <v/>
      </c>
      <c r="Z1134" s="134" t="str">
        <f>IF(Y1134="","",IFERROR((RANK(Y1134,$Y$2:$Y$2028,1)+COUNTIF($Y$2:Y1134,Y1134))-1,""))</f>
        <v/>
      </c>
      <c r="AA1134" s="134" t="str">
        <f t="shared" si="434"/>
        <v/>
      </c>
      <c r="AB1134" s="134" t="str">
        <f>IF(AA1134="","",IFERROR((RANK(AA1134,$AA$2:$AA$2028,1)+COUNTIF($AA$2:AA1134,AA1134))-1,""))</f>
        <v/>
      </c>
      <c r="AC1134" s="134" t="str">
        <f t="shared" si="435"/>
        <v/>
      </c>
      <c r="AD1134" s="134" t="str">
        <f>IF(AC1134="","",IFERROR((RANK(AC1134,$AC$2:$AC$2028,1)+COUNTIF($AC$2:AC1134,AC1134))-1,""))</f>
        <v/>
      </c>
      <c r="AE1134" s="144" t="str">
        <f t="shared" si="427"/>
        <v/>
      </c>
      <c r="AF1134" s="144" t="str">
        <f>IF(AE1134="","",SUM($AE$2:AE1134))</f>
        <v/>
      </c>
    </row>
    <row r="1135" spans="14:32" x14ac:dyDescent="0.35">
      <c r="N1135" s="134" t="str">
        <f t="shared" si="425"/>
        <v/>
      </c>
      <c r="O1135" s="82" t="str">
        <f t="shared" si="428"/>
        <v/>
      </c>
      <c r="P1135" s="81" t="str">
        <f t="shared" si="426"/>
        <v/>
      </c>
      <c r="Q1135" s="81" t="str">
        <f t="shared" si="429"/>
        <v/>
      </c>
      <c r="R1135" s="135" t="str">
        <f t="shared" ca="1" si="430"/>
        <v/>
      </c>
      <c r="S1135" s="134" t="str">
        <f t="shared" ca="1" si="431"/>
        <v/>
      </c>
      <c r="T1135" s="134" t="str">
        <f ca="1">IF(S1135=Dashboard!$D$12,S1135,"")</f>
        <v/>
      </c>
      <c r="U1135" s="134" t="str">
        <f t="shared" ca="1" si="432"/>
        <v/>
      </c>
      <c r="V1135" s="83" t="str">
        <f ca="1">IF(U1135="","",IFERROR((RANK(U1135,$U$2:$U$2028,1)+COUNTIF($U$2:U1135,U1135))-1,""))</f>
        <v/>
      </c>
      <c r="W1135" s="134" t="str">
        <f t="shared" si="436"/>
        <v/>
      </c>
      <c r="X1135" s="134" t="str">
        <f>IF(W1135="","",IFERROR((RANK(W1135,$W$2:$W$2028,1)+COUNTIF($W$2:W1135,W1135))-1,""))</f>
        <v/>
      </c>
      <c r="Y1135" s="134" t="str">
        <f t="shared" si="433"/>
        <v/>
      </c>
      <c r="Z1135" s="134" t="str">
        <f>IF(Y1135="","",IFERROR((RANK(Y1135,$Y$2:$Y$2028,1)+COUNTIF($Y$2:Y1135,Y1135))-1,""))</f>
        <v/>
      </c>
      <c r="AA1135" s="134" t="str">
        <f t="shared" si="434"/>
        <v/>
      </c>
      <c r="AB1135" s="134" t="str">
        <f>IF(AA1135="","",IFERROR((RANK(AA1135,$AA$2:$AA$2028,1)+COUNTIF($AA$2:AA1135,AA1135))-1,""))</f>
        <v/>
      </c>
      <c r="AC1135" s="134" t="str">
        <f t="shared" si="435"/>
        <v/>
      </c>
      <c r="AD1135" s="134" t="str">
        <f>IF(AC1135="","",IFERROR((RANK(AC1135,$AC$2:$AC$2028,1)+COUNTIF($AC$2:AC1135,AC1135))-1,""))</f>
        <v/>
      </c>
      <c r="AE1135" s="144" t="str">
        <f t="shared" si="427"/>
        <v/>
      </c>
      <c r="AF1135" s="144" t="str">
        <f>IF(AE1135="","",SUM($AE$2:AE1135))</f>
        <v/>
      </c>
    </row>
    <row r="1136" spans="14:32" x14ac:dyDescent="0.35">
      <c r="N1136" s="134" t="str">
        <f t="shared" si="425"/>
        <v/>
      </c>
      <c r="O1136" s="82" t="str">
        <f t="shared" si="428"/>
        <v/>
      </c>
      <c r="P1136" s="81" t="str">
        <f t="shared" si="426"/>
        <v/>
      </c>
      <c r="Q1136" s="81" t="str">
        <f t="shared" si="429"/>
        <v/>
      </c>
      <c r="R1136" s="135" t="str">
        <f t="shared" ca="1" si="430"/>
        <v/>
      </c>
      <c r="S1136" s="134" t="str">
        <f t="shared" ca="1" si="431"/>
        <v/>
      </c>
      <c r="T1136" s="134" t="str">
        <f ca="1">IF(S1136=Dashboard!$D$12,S1136,"")</f>
        <v/>
      </c>
      <c r="U1136" s="134" t="str">
        <f t="shared" ca="1" si="432"/>
        <v/>
      </c>
      <c r="V1136" s="83" t="str">
        <f ca="1">IF(U1136="","",IFERROR((RANK(U1136,$U$2:$U$2028,1)+COUNTIF($U$2:U1136,U1136))-1,""))</f>
        <v/>
      </c>
      <c r="W1136" s="134" t="str">
        <f t="shared" si="436"/>
        <v/>
      </c>
      <c r="X1136" s="134" t="str">
        <f>IF(W1136="","",IFERROR((RANK(W1136,$W$2:$W$2028,1)+COUNTIF($W$2:W1136,W1136))-1,""))</f>
        <v/>
      </c>
      <c r="Y1136" s="134" t="str">
        <f t="shared" si="433"/>
        <v/>
      </c>
      <c r="Z1136" s="134" t="str">
        <f>IF(Y1136="","",IFERROR((RANK(Y1136,$Y$2:$Y$2028,1)+COUNTIF($Y$2:Y1136,Y1136))-1,""))</f>
        <v/>
      </c>
      <c r="AA1136" s="134" t="str">
        <f t="shared" si="434"/>
        <v/>
      </c>
      <c r="AB1136" s="134" t="str">
        <f>IF(AA1136="","",IFERROR((RANK(AA1136,$AA$2:$AA$2028,1)+COUNTIF($AA$2:AA1136,AA1136))-1,""))</f>
        <v/>
      </c>
      <c r="AC1136" s="134" t="str">
        <f t="shared" si="435"/>
        <v/>
      </c>
      <c r="AD1136" s="134" t="str">
        <f>IF(AC1136="","",IFERROR((RANK(AC1136,$AC$2:$AC$2028,1)+COUNTIF($AC$2:AC1136,AC1136))-1,""))</f>
        <v/>
      </c>
      <c r="AE1136" s="144" t="str">
        <f t="shared" si="427"/>
        <v/>
      </c>
      <c r="AF1136" s="144" t="str">
        <f>IF(AE1136="","",SUM($AE$2:AE1136))</f>
        <v/>
      </c>
    </row>
    <row r="1137" spans="14:32" x14ac:dyDescent="0.35">
      <c r="N1137" s="134" t="str">
        <f t="shared" si="425"/>
        <v/>
      </c>
      <c r="O1137" s="82" t="str">
        <f t="shared" si="428"/>
        <v/>
      </c>
      <c r="P1137" s="81" t="str">
        <f t="shared" si="426"/>
        <v/>
      </c>
      <c r="Q1137" s="81" t="str">
        <f t="shared" si="429"/>
        <v/>
      </c>
      <c r="R1137" s="135" t="str">
        <f t="shared" ca="1" si="430"/>
        <v/>
      </c>
      <c r="S1137" s="134" t="str">
        <f t="shared" ca="1" si="431"/>
        <v/>
      </c>
      <c r="T1137" s="134" t="str">
        <f ca="1">IF(S1137=Dashboard!$D$12,S1137,"")</f>
        <v/>
      </c>
      <c r="U1137" s="134" t="str">
        <f t="shared" ca="1" si="432"/>
        <v/>
      </c>
      <c r="V1137" s="83" t="str">
        <f ca="1">IF(U1137="","",IFERROR((RANK(U1137,$U$2:$U$2028,1)+COUNTIF($U$2:U1137,U1137))-1,""))</f>
        <v/>
      </c>
      <c r="W1137" s="134" t="str">
        <f t="shared" si="436"/>
        <v/>
      </c>
      <c r="X1137" s="134" t="str">
        <f>IF(W1137="","",IFERROR((RANK(W1137,$W$2:$W$2028,1)+COUNTIF($W$2:W1137,W1137))-1,""))</f>
        <v/>
      </c>
      <c r="Y1137" s="134" t="str">
        <f t="shared" si="433"/>
        <v/>
      </c>
      <c r="Z1137" s="134" t="str">
        <f>IF(Y1137="","",IFERROR((RANK(Y1137,$Y$2:$Y$2028,1)+COUNTIF($Y$2:Y1137,Y1137))-1,""))</f>
        <v/>
      </c>
      <c r="AA1137" s="134" t="str">
        <f t="shared" si="434"/>
        <v/>
      </c>
      <c r="AB1137" s="134" t="str">
        <f>IF(AA1137="","",IFERROR((RANK(AA1137,$AA$2:$AA$2028,1)+COUNTIF($AA$2:AA1137,AA1137))-1,""))</f>
        <v/>
      </c>
      <c r="AC1137" s="134" t="str">
        <f t="shared" si="435"/>
        <v/>
      </c>
      <c r="AD1137" s="134" t="str">
        <f>IF(AC1137="","",IFERROR((RANK(AC1137,$AC$2:$AC$2028,1)+COUNTIF($AC$2:AC1137,AC1137))-1,""))</f>
        <v/>
      </c>
      <c r="AE1137" s="144" t="str">
        <f t="shared" si="427"/>
        <v/>
      </c>
      <c r="AF1137" s="144" t="str">
        <f>IF(AE1137="","",SUM($AE$2:AE1137))</f>
        <v/>
      </c>
    </row>
    <row r="1138" spans="14:32" x14ac:dyDescent="0.35">
      <c r="N1138" s="134" t="str">
        <f t="shared" si="425"/>
        <v/>
      </c>
      <c r="O1138" s="82" t="str">
        <f t="shared" si="428"/>
        <v/>
      </c>
      <c r="P1138" s="81" t="str">
        <f t="shared" si="426"/>
        <v/>
      </c>
      <c r="Q1138" s="81" t="str">
        <f t="shared" si="429"/>
        <v/>
      </c>
      <c r="R1138" s="135" t="str">
        <f t="shared" ca="1" si="430"/>
        <v/>
      </c>
      <c r="S1138" s="134" t="str">
        <f t="shared" ca="1" si="431"/>
        <v/>
      </c>
      <c r="T1138" s="134" t="str">
        <f ca="1">IF(S1138=Dashboard!$D$12,S1138,"")</f>
        <v/>
      </c>
      <c r="U1138" s="134" t="str">
        <f t="shared" ca="1" si="432"/>
        <v/>
      </c>
      <c r="V1138" s="83" t="str">
        <f ca="1">IF(U1138="","",IFERROR((RANK(U1138,$U$2:$U$2028,1)+COUNTIF($U$2:U1138,U1138))-1,""))</f>
        <v/>
      </c>
      <c r="W1138" s="134" t="str">
        <f t="shared" si="436"/>
        <v/>
      </c>
      <c r="X1138" s="134" t="str">
        <f>IF(W1138="","",IFERROR((RANK(W1138,$W$2:$W$2028,1)+COUNTIF($W$2:W1138,W1138))-1,""))</f>
        <v/>
      </c>
      <c r="Y1138" s="134" t="str">
        <f t="shared" si="433"/>
        <v/>
      </c>
      <c r="Z1138" s="134" t="str">
        <f>IF(Y1138="","",IFERROR((RANK(Y1138,$Y$2:$Y$2028,1)+COUNTIF($Y$2:Y1138,Y1138))-1,""))</f>
        <v/>
      </c>
      <c r="AA1138" s="134" t="str">
        <f t="shared" si="434"/>
        <v/>
      </c>
      <c r="AB1138" s="134" t="str">
        <f>IF(AA1138="","",IFERROR((RANK(AA1138,$AA$2:$AA$2028,1)+COUNTIF($AA$2:AA1138,AA1138))-1,""))</f>
        <v/>
      </c>
      <c r="AC1138" s="134" t="str">
        <f t="shared" si="435"/>
        <v/>
      </c>
      <c r="AD1138" s="134" t="str">
        <f>IF(AC1138="","",IFERROR((RANK(AC1138,$AC$2:$AC$2028,1)+COUNTIF($AC$2:AC1138,AC1138))-1,""))</f>
        <v/>
      </c>
      <c r="AE1138" s="144" t="str">
        <f t="shared" si="427"/>
        <v/>
      </c>
      <c r="AF1138" s="144" t="str">
        <f>IF(AE1138="","",SUM($AE$2:AE1138))</f>
        <v/>
      </c>
    </row>
    <row r="1139" spans="14:32" x14ac:dyDescent="0.35">
      <c r="N1139" s="134" t="str">
        <f t="shared" si="425"/>
        <v/>
      </c>
      <c r="O1139" s="82" t="str">
        <f t="shared" si="428"/>
        <v/>
      </c>
      <c r="P1139" s="81" t="str">
        <f t="shared" si="426"/>
        <v/>
      </c>
      <c r="Q1139" s="81" t="str">
        <f t="shared" si="429"/>
        <v/>
      </c>
      <c r="R1139" s="135" t="str">
        <f t="shared" ca="1" si="430"/>
        <v/>
      </c>
      <c r="S1139" s="134" t="str">
        <f t="shared" ca="1" si="431"/>
        <v/>
      </c>
      <c r="T1139" s="134" t="str">
        <f ca="1">IF(S1139=Dashboard!$D$12,S1139,"")</f>
        <v/>
      </c>
      <c r="U1139" s="134" t="str">
        <f t="shared" ca="1" si="432"/>
        <v/>
      </c>
      <c r="V1139" s="83" t="str">
        <f ca="1">IF(U1139="","",IFERROR((RANK(U1139,$U$2:$U$2028,1)+COUNTIF($U$2:U1139,U1139))-1,""))</f>
        <v/>
      </c>
      <c r="W1139" s="134" t="str">
        <f t="shared" si="436"/>
        <v/>
      </c>
      <c r="X1139" s="134" t="str">
        <f>IF(W1139="","",IFERROR((RANK(W1139,$W$2:$W$2028,1)+COUNTIF($W$2:W1139,W1139))-1,""))</f>
        <v/>
      </c>
      <c r="Y1139" s="134" t="str">
        <f t="shared" si="433"/>
        <v/>
      </c>
      <c r="Z1139" s="134" t="str">
        <f>IF(Y1139="","",IFERROR((RANK(Y1139,$Y$2:$Y$2028,1)+COUNTIF($Y$2:Y1139,Y1139))-1,""))</f>
        <v/>
      </c>
      <c r="AA1139" s="134" t="str">
        <f t="shared" si="434"/>
        <v/>
      </c>
      <c r="AB1139" s="134" t="str">
        <f>IF(AA1139="","",IFERROR((RANK(AA1139,$AA$2:$AA$2028,1)+COUNTIF($AA$2:AA1139,AA1139))-1,""))</f>
        <v/>
      </c>
      <c r="AC1139" s="134" t="str">
        <f t="shared" si="435"/>
        <v/>
      </c>
      <c r="AD1139" s="134" t="str">
        <f>IF(AC1139="","",IFERROR((RANK(AC1139,$AC$2:$AC$2028,1)+COUNTIF($AC$2:AC1139,AC1139))-1,""))</f>
        <v/>
      </c>
      <c r="AE1139" s="144" t="str">
        <f t="shared" si="427"/>
        <v/>
      </c>
      <c r="AF1139" s="144" t="str">
        <f>IF(AE1139="","",SUM($AE$2:AE1139))</f>
        <v/>
      </c>
    </row>
    <row r="1140" spans="14:32" x14ac:dyDescent="0.35">
      <c r="N1140" s="134" t="str">
        <f t="shared" si="425"/>
        <v/>
      </c>
      <c r="O1140" s="82" t="str">
        <f t="shared" si="428"/>
        <v/>
      </c>
      <c r="P1140" s="81" t="str">
        <f t="shared" si="426"/>
        <v/>
      </c>
      <c r="Q1140" s="81" t="str">
        <f t="shared" si="429"/>
        <v/>
      </c>
      <c r="R1140" s="135" t="str">
        <f t="shared" ca="1" si="430"/>
        <v/>
      </c>
      <c r="S1140" s="134" t="str">
        <f t="shared" ca="1" si="431"/>
        <v/>
      </c>
      <c r="T1140" s="134" t="str">
        <f ca="1">IF(S1140=Dashboard!$D$12,S1140,"")</f>
        <v/>
      </c>
      <c r="U1140" s="134" t="str">
        <f t="shared" ca="1" si="432"/>
        <v/>
      </c>
      <c r="V1140" s="83" t="str">
        <f ca="1">IF(U1140="","",IFERROR((RANK(U1140,$U$2:$U$2028,1)+COUNTIF($U$2:U1140,U1140))-1,""))</f>
        <v/>
      </c>
      <c r="W1140" s="134" t="str">
        <f t="shared" si="436"/>
        <v/>
      </c>
      <c r="X1140" s="134" t="str">
        <f>IF(W1140="","",IFERROR((RANK(W1140,$W$2:$W$2028,1)+COUNTIF($W$2:W1140,W1140))-1,""))</f>
        <v/>
      </c>
      <c r="Y1140" s="134" t="str">
        <f t="shared" si="433"/>
        <v/>
      </c>
      <c r="Z1140" s="134" t="str">
        <f>IF(Y1140="","",IFERROR((RANK(Y1140,$Y$2:$Y$2028,1)+COUNTIF($Y$2:Y1140,Y1140))-1,""))</f>
        <v/>
      </c>
      <c r="AA1140" s="134" t="str">
        <f t="shared" si="434"/>
        <v/>
      </c>
      <c r="AB1140" s="134" t="str">
        <f>IF(AA1140="","",IFERROR((RANK(AA1140,$AA$2:$AA$2028,1)+COUNTIF($AA$2:AA1140,AA1140))-1,""))</f>
        <v/>
      </c>
      <c r="AC1140" s="134" t="str">
        <f t="shared" si="435"/>
        <v/>
      </c>
      <c r="AD1140" s="134" t="str">
        <f>IF(AC1140="","",IFERROR((RANK(AC1140,$AC$2:$AC$2028,1)+COUNTIF($AC$2:AC1140,AC1140))-1,""))</f>
        <v/>
      </c>
      <c r="AE1140" s="144" t="str">
        <f t="shared" si="427"/>
        <v/>
      </c>
      <c r="AF1140" s="144" t="str">
        <f>IF(AE1140="","",SUM($AE$2:AE1140))</f>
        <v/>
      </c>
    </row>
    <row r="1141" spans="14:32" x14ac:dyDescent="0.35">
      <c r="N1141" s="134" t="str">
        <f t="shared" si="425"/>
        <v/>
      </c>
      <c r="O1141" s="82" t="str">
        <f t="shared" si="428"/>
        <v/>
      </c>
      <c r="P1141" s="81" t="str">
        <f t="shared" si="426"/>
        <v/>
      </c>
      <c r="Q1141" s="81" t="str">
        <f t="shared" si="429"/>
        <v/>
      </c>
      <c r="R1141" s="135" t="str">
        <f t="shared" ca="1" si="430"/>
        <v/>
      </c>
      <c r="S1141" s="134" t="str">
        <f t="shared" ca="1" si="431"/>
        <v/>
      </c>
      <c r="T1141" s="134" t="str">
        <f ca="1">IF(S1141=Dashboard!$D$12,S1141,"")</f>
        <v/>
      </c>
      <c r="U1141" s="134" t="str">
        <f t="shared" ca="1" si="432"/>
        <v/>
      </c>
      <c r="V1141" s="83" t="str">
        <f ca="1">IF(U1141="","",IFERROR((RANK(U1141,$U$2:$U$2028,1)+COUNTIF($U$2:U1141,U1141))-1,""))</f>
        <v/>
      </c>
      <c r="W1141" s="134" t="str">
        <f t="shared" si="436"/>
        <v/>
      </c>
      <c r="X1141" s="134" t="str">
        <f>IF(W1141="","",IFERROR((RANK(W1141,$W$2:$W$2028,1)+COUNTIF($W$2:W1141,W1141))-1,""))</f>
        <v/>
      </c>
      <c r="Y1141" s="134" t="str">
        <f t="shared" si="433"/>
        <v/>
      </c>
      <c r="Z1141" s="134" t="str">
        <f>IF(Y1141="","",IFERROR((RANK(Y1141,$Y$2:$Y$2028,1)+COUNTIF($Y$2:Y1141,Y1141))-1,""))</f>
        <v/>
      </c>
      <c r="AA1141" s="134" t="str">
        <f t="shared" si="434"/>
        <v/>
      </c>
      <c r="AB1141" s="134" t="str">
        <f>IF(AA1141="","",IFERROR((RANK(AA1141,$AA$2:$AA$2028,1)+COUNTIF($AA$2:AA1141,AA1141))-1,""))</f>
        <v/>
      </c>
      <c r="AC1141" s="134" t="str">
        <f t="shared" si="435"/>
        <v/>
      </c>
      <c r="AD1141" s="134" t="str">
        <f>IF(AC1141="","",IFERROR((RANK(AC1141,$AC$2:$AC$2028,1)+COUNTIF($AC$2:AC1141,AC1141))-1,""))</f>
        <v/>
      </c>
      <c r="AE1141" s="144" t="str">
        <f t="shared" si="427"/>
        <v/>
      </c>
      <c r="AF1141" s="144" t="str">
        <f>IF(AE1141="","",SUM($AE$2:AE1141))</f>
        <v/>
      </c>
    </row>
    <row r="1142" spans="14:32" x14ac:dyDescent="0.35">
      <c r="N1142" s="134" t="str">
        <f t="shared" si="425"/>
        <v/>
      </c>
      <c r="O1142" s="82" t="str">
        <f t="shared" si="428"/>
        <v/>
      </c>
      <c r="P1142" s="81" t="str">
        <f t="shared" si="426"/>
        <v/>
      </c>
      <c r="Q1142" s="81" t="str">
        <f t="shared" si="429"/>
        <v/>
      </c>
      <c r="R1142" s="135" t="str">
        <f t="shared" ca="1" si="430"/>
        <v/>
      </c>
      <c r="S1142" s="134" t="str">
        <f t="shared" ca="1" si="431"/>
        <v/>
      </c>
      <c r="T1142" s="134" t="str">
        <f ca="1">IF(S1142=Dashboard!$D$12,S1142,"")</f>
        <v/>
      </c>
      <c r="U1142" s="134" t="str">
        <f t="shared" ca="1" si="432"/>
        <v/>
      </c>
      <c r="V1142" s="83" t="str">
        <f ca="1">IF(U1142="","",IFERROR((RANK(U1142,$U$2:$U$2028,1)+COUNTIF($U$2:U1142,U1142))-1,""))</f>
        <v/>
      </c>
      <c r="W1142" s="134" t="str">
        <f t="shared" si="436"/>
        <v/>
      </c>
      <c r="X1142" s="134" t="str">
        <f>IF(W1142="","",IFERROR((RANK(W1142,$W$2:$W$2028,1)+COUNTIF($W$2:W1142,W1142))-1,""))</f>
        <v/>
      </c>
      <c r="Y1142" s="134" t="str">
        <f t="shared" si="433"/>
        <v/>
      </c>
      <c r="Z1142" s="134" t="str">
        <f>IF(Y1142="","",IFERROR((RANK(Y1142,$Y$2:$Y$2028,1)+COUNTIF($Y$2:Y1142,Y1142))-1,""))</f>
        <v/>
      </c>
      <c r="AA1142" s="134" t="str">
        <f t="shared" si="434"/>
        <v/>
      </c>
      <c r="AB1142" s="134" t="str">
        <f>IF(AA1142="","",IFERROR((RANK(AA1142,$AA$2:$AA$2028,1)+COUNTIF($AA$2:AA1142,AA1142))-1,""))</f>
        <v/>
      </c>
      <c r="AC1142" s="134" t="str">
        <f t="shared" si="435"/>
        <v/>
      </c>
      <c r="AD1142" s="134" t="str">
        <f>IF(AC1142="","",IFERROR((RANK(AC1142,$AC$2:$AC$2028,1)+COUNTIF($AC$2:AC1142,AC1142))-1,""))</f>
        <v/>
      </c>
      <c r="AE1142" s="144" t="str">
        <f t="shared" si="427"/>
        <v/>
      </c>
      <c r="AF1142" s="144" t="str">
        <f>IF(AE1142="","",SUM($AE$2:AE1142))</f>
        <v/>
      </c>
    </row>
    <row r="1143" spans="14:32" x14ac:dyDescent="0.35">
      <c r="N1143" s="134" t="str">
        <f t="shared" si="425"/>
        <v/>
      </c>
      <c r="O1143" s="82" t="str">
        <f t="shared" si="428"/>
        <v/>
      </c>
      <c r="P1143" s="81" t="str">
        <f t="shared" si="426"/>
        <v/>
      </c>
      <c r="Q1143" s="81" t="str">
        <f t="shared" si="429"/>
        <v/>
      </c>
      <c r="R1143" s="135" t="str">
        <f t="shared" ca="1" si="430"/>
        <v/>
      </c>
      <c r="S1143" s="134" t="str">
        <f t="shared" ca="1" si="431"/>
        <v/>
      </c>
      <c r="T1143" s="134" t="str">
        <f ca="1">IF(S1143=Dashboard!$D$12,S1143,"")</f>
        <v/>
      </c>
      <c r="U1143" s="134" t="str">
        <f t="shared" ca="1" si="432"/>
        <v/>
      </c>
      <c r="V1143" s="83" t="str">
        <f ca="1">IF(U1143="","",IFERROR((RANK(U1143,$U$2:$U$2028,1)+COUNTIF($U$2:U1143,U1143))-1,""))</f>
        <v/>
      </c>
      <c r="W1143" s="134" t="str">
        <f t="shared" si="436"/>
        <v/>
      </c>
      <c r="X1143" s="134" t="str">
        <f>IF(W1143="","",IFERROR((RANK(W1143,$W$2:$W$2028,1)+COUNTIF($W$2:W1143,W1143))-1,""))</f>
        <v/>
      </c>
      <c r="Y1143" s="134" t="str">
        <f t="shared" si="433"/>
        <v/>
      </c>
      <c r="Z1143" s="134" t="str">
        <f>IF(Y1143="","",IFERROR((RANK(Y1143,$Y$2:$Y$2028,1)+COUNTIF($Y$2:Y1143,Y1143))-1,""))</f>
        <v/>
      </c>
      <c r="AA1143" s="134" t="str">
        <f t="shared" si="434"/>
        <v/>
      </c>
      <c r="AB1143" s="134" t="str">
        <f>IF(AA1143="","",IFERROR((RANK(AA1143,$AA$2:$AA$2028,1)+COUNTIF($AA$2:AA1143,AA1143))-1,""))</f>
        <v/>
      </c>
      <c r="AC1143" s="134" t="str">
        <f t="shared" si="435"/>
        <v/>
      </c>
      <c r="AD1143" s="134" t="str">
        <f>IF(AC1143="","",IFERROR((RANK(AC1143,$AC$2:$AC$2028,1)+COUNTIF($AC$2:AC1143,AC1143))-1,""))</f>
        <v/>
      </c>
      <c r="AE1143" s="144" t="str">
        <f t="shared" si="427"/>
        <v/>
      </c>
      <c r="AF1143" s="144" t="str">
        <f>IF(AE1143="","",SUM($AE$2:AE1143))</f>
        <v/>
      </c>
    </row>
    <row r="1144" spans="14:32" x14ac:dyDescent="0.35">
      <c r="N1144" s="134" t="str">
        <f t="shared" si="425"/>
        <v/>
      </c>
      <c r="O1144" s="82" t="str">
        <f t="shared" si="428"/>
        <v/>
      </c>
      <c r="P1144" s="81" t="str">
        <f t="shared" si="426"/>
        <v/>
      </c>
      <c r="Q1144" s="81" t="str">
        <f t="shared" si="429"/>
        <v/>
      </c>
      <c r="R1144" s="135" t="str">
        <f t="shared" ca="1" si="430"/>
        <v/>
      </c>
      <c r="S1144" s="134" t="str">
        <f t="shared" ca="1" si="431"/>
        <v/>
      </c>
      <c r="T1144" s="134" t="str">
        <f ca="1">IF(S1144=Dashboard!$D$12,S1144,"")</f>
        <v/>
      </c>
      <c r="U1144" s="134" t="str">
        <f t="shared" ca="1" si="432"/>
        <v/>
      </c>
      <c r="V1144" s="83" t="str">
        <f ca="1">IF(U1144="","",IFERROR((RANK(U1144,$U$2:$U$2028,1)+COUNTIF($U$2:U1144,U1144))-1,""))</f>
        <v/>
      </c>
      <c r="W1144" s="134" t="str">
        <f t="shared" si="436"/>
        <v/>
      </c>
      <c r="X1144" s="134" t="str">
        <f>IF(W1144="","",IFERROR((RANK(W1144,$W$2:$W$2028,1)+COUNTIF($W$2:W1144,W1144))-1,""))</f>
        <v/>
      </c>
      <c r="Y1144" s="134" t="str">
        <f t="shared" si="433"/>
        <v/>
      </c>
      <c r="Z1144" s="134" t="str">
        <f>IF(Y1144="","",IFERROR((RANK(Y1144,$Y$2:$Y$2028,1)+COUNTIF($Y$2:Y1144,Y1144))-1,""))</f>
        <v/>
      </c>
      <c r="AA1144" s="134" t="str">
        <f t="shared" si="434"/>
        <v/>
      </c>
      <c r="AB1144" s="134" t="str">
        <f>IF(AA1144="","",IFERROR((RANK(AA1144,$AA$2:$AA$2028,1)+COUNTIF($AA$2:AA1144,AA1144))-1,""))</f>
        <v/>
      </c>
      <c r="AC1144" s="134" t="str">
        <f t="shared" si="435"/>
        <v/>
      </c>
      <c r="AD1144" s="134" t="str">
        <f>IF(AC1144="","",IFERROR((RANK(AC1144,$AC$2:$AC$2028,1)+COUNTIF($AC$2:AC1144,AC1144))-1,""))</f>
        <v/>
      </c>
      <c r="AE1144" s="144" t="str">
        <f t="shared" si="427"/>
        <v/>
      </c>
      <c r="AF1144" s="144" t="str">
        <f>IF(AE1144="","",SUM($AE$2:AE1144))</f>
        <v/>
      </c>
    </row>
    <row r="1145" spans="14:32" x14ac:dyDescent="0.35">
      <c r="N1145" s="134" t="str">
        <f t="shared" si="425"/>
        <v/>
      </c>
      <c r="O1145" s="82" t="str">
        <f t="shared" si="428"/>
        <v/>
      </c>
      <c r="P1145" s="81" t="str">
        <f t="shared" si="426"/>
        <v/>
      </c>
      <c r="Q1145" s="81" t="str">
        <f t="shared" si="429"/>
        <v/>
      </c>
      <c r="R1145" s="135" t="str">
        <f t="shared" ca="1" si="430"/>
        <v/>
      </c>
      <c r="S1145" s="134" t="str">
        <f t="shared" ca="1" si="431"/>
        <v/>
      </c>
      <c r="T1145" s="134" t="str">
        <f ca="1">IF(S1145=Dashboard!$D$12,S1145,"")</f>
        <v/>
      </c>
      <c r="U1145" s="134" t="str">
        <f t="shared" ca="1" si="432"/>
        <v/>
      </c>
      <c r="V1145" s="83" t="str">
        <f ca="1">IF(U1145="","",IFERROR((RANK(U1145,$U$2:$U$2028,1)+COUNTIF($U$2:U1145,U1145))-1,""))</f>
        <v/>
      </c>
      <c r="W1145" s="134" t="str">
        <f t="shared" si="436"/>
        <v/>
      </c>
      <c r="X1145" s="134" t="str">
        <f>IF(W1145="","",IFERROR((RANK(W1145,$W$2:$W$2028,1)+COUNTIF($W$2:W1145,W1145))-1,""))</f>
        <v/>
      </c>
      <c r="Y1145" s="134" t="str">
        <f t="shared" si="433"/>
        <v/>
      </c>
      <c r="Z1145" s="134" t="str">
        <f>IF(Y1145="","",IFERROR((RANK(Y1145,$Y$2:$Y$2028,1)+COUNTIF($Y$2:Y1145,Y1145))-1,""))</f>
        <v/>
      </c>
      <c r="AA1145" s="134" t="str">
        <f t="shared" si="434"/>
        <v/>
      </c>
      <c r="AB1145" s="134" t="str">
        <f>IF(AA1145="","",IFERROR((RANK(AA1145,$AA$2:$AA$2028,1)+COUNTIF($AA$2:AA1145,AA1145))-1,""))</f>
        <v/>
      </c>
      <c r="AC1145" s="134" t="str">
        <f t="shared" si="435"/>
        <v/>
      </c>
      <c r="AD1145" s="134" t="str">
        <f>IF(AC1145="","",IFERROR((RANK(AC1145,$AC$2:$AC$2028,1)+COUNTIF($AC$2:AC1145,AC1145))-1,""))</f>
        <v/>
      </c>
      <c r="AE1145" s="144" t="str">
        <f t="shared" si="427"/>
        <v/>
      </c>
      <c r="AF1145" s="144" t="str">
        <f>IF(AE1145="","",SUM($AE$2:AE1145))</f>
        <v/>
      </c>
    </row>
    <row r="1146" spans="14:32" x14ac:dyDescent="0.35">
      <c r="N1146" s="134" t="str">
        <f t="shared" si="425"/>
        <v/>
      </c>
      <c r="O1146" s="82" t="str">
        <f t="shared" si="428"/>
        <v/>
      </c>
      <c r="P1146" s="81" t="str">
        <f t="shared" si="426"/>
        <v/>
      </c>
      <c r="Q1146" s="81" t="str">
        <f t="shared" si="429"/>
        <v/>
      </c>
      <c r="R1146" s="135" t="str">
        <f t="shared" ca="1" si="430"/>
        <v/>
      </c>
      <c r="S1146" s="134" t="str">
        <f t="shared" ca="1" si="431"/>
        <v/>
      </c>
      <c r="T1146" s="134" t="str">
        <f ca="1">IF(S1146=Dashboard!$D$12,S1146,"")</f>
        <v/>
      </c>
      <c r="U1146" s="134" t="str">
        <f t="shared" ca="1" si="432"/>
        <v/>
      </c>
      <c r="V1146" s="83" t="str">
        <f ca="1">IF(U1146="","",IFERROR((RANK(U1146,$U$2:$U$2028,1)+COUNTIF($U$2:U1146,U1146))-1,""))</f>
        <v/>
      </c>
      <c r="W1146" s="134" t="str">
        <f t="shared" si="436"/>
        <v/>
      </c>
      <c r="X1146" s="134" t="str">
        <f>IF(W1146="","",IFERROR((RANK(W1146,$W$2:$W$2028,1)+COUNTIF($W$2:W1146,W1146))-1,""))</f>
        <v/>
      </c>
      <c r="Y1146" s="134" t="str">
        <f t="shared" si="433"/>
        <v/>
      </c>
      <c r="Z1146" s="134" t="str">
        <f>IF(Y1146="","",IFERROR((RANK(Y1146,$Y$2:$Y$2028,1)+COUNTIF($Y$2:Y1146,Y1146))-1,""))</f>
        <v/>
      </c>
      <c r="AA1146" s="134" t="str">
        <f t="shared" si="434"/>
        <v/>
      </c>
      <c r="AB1146" s="134" t="str">
        <f>IF(AA1146="","",IFERROR((RANK(AA1146,$AA$2:$AA$2028,1)+COUNTIF($AA$2:AA1146,AA1146))-1,""))</f>
        <v/>
      </c>
      <c r="AC1146" s="134" t="str">
        <f t="shared" si="435"/>
        <v/>
      </c>
      <c r="AD1146" s="134" t="str">
        <f>IF(AC1146="","",IFERROR((RANK(AC1146,$AC$2:$AC$2028,1)+COUNTIF($AC$2:AC1146,AC1146))-1,""))</f>
        <v/>
      </c>
      <c r="AE1146" s="144" t="str">
        <f t="shared" si="427"/>
        <v/>
      </c>
      <c r="AF1146" s="144" t="str">
        <f>IF(AE1146="","",SUM($AE$2:AE1146))</f>
        <v/>
      </c>
    </row>
    <row r="1147" spans="14:32" x14ac:dyDescent="0.35">
      <c r="N1147" s="134" t="str">
        <f t="shared" si="425"/>
        <v/>
      </c>
      <c r="O1147" s="82" t="str">
        <f t="shared" si="428"/>
        <v/>
      </c>
      <c r="P1147" s="81" t="str">
        <f t="shared" si="426"/>
        <v/>
      </c>
      <c r="Q1147" s="81" t="str">
        <f t="shared" si="429"/>
        <v/>
      </c>
      <c r="R1147" s="135" t="str">
        <f t="shared" ca="1" si="430"/>
        <v/>
      </c>
      <c r="S1147" s="134" t="str">
        <f t="shared" ca="1" si="431"/>
        <v/>
      </c>
      <c r="T1147" s="134" t="str">
        <f ca="1">IF(S1147=Dashboard!$D$12,S1147,"")</f>
        <v/>
      </c>
      <c r="U1147" s="134" t="str">
        <f t="shared" ca="1" si="432"/>
        <v/>
      </c>
      <c r="V1147" s="83" t="str">
        <f ca="1">IF(U1147="","",IFERROR((RANK(U1147,$U$2:$U$2028,1)+COUNTIF($U$2:U1147,U1147))-1,""))</f>
        <v/>
      </c>
      <c r="W1147" s="134" t="str">
        <f t="shared" si="436"/>
        <v/>
      </c>
      <c r="X1147" s="134" t="str">
        <f>IF(W1147="","",IFERROR((RANK(W1147,$W$2:$W$2028,1)+COUNTIF($W$2:W1147,W1147))-1,""))</f>
        <v/>
      </c>
      <c r="Y1147" s="134" t="str">
        <f t="shared" si="433"/>
        <v/>
      </c>
      <c r="Z1147" s="134" t="str">
        <f>IF(Y1147="","",IFERROR((RANK(Y1147,$Y$2:$Y$2028,1)+COUNTIF($Y$2:Y1147,Y1147))-1,""))</f>
        <v/>
      </c>
      <c r="AA1147" s="134" t="str">
        <f t="shared" si="434"/>
        <v/>
      </c>
      <c r="AB1147" s="134" t="str">
        <f>IF(AA1147="","",IFERROR((RANK(AA1147,$AA$2:$AA$2028,1)+COUNTIF($AA$2:AA1147,AA1147))-1,""))</f>
        <v/>
      </c>
      <c r="AC1147" s="134" t="str">
        <f t="shared" si="435"/>
        <v/>
      </c>
      <c r="AD1147" s="134" t="str">
        <f>IF(AC1147="","",IFERROR((RANK(AC1147,$AC$2:$AC$2028,1)+COUNTIF($AC$2:AC1147,AC1147))-1,""))</f>
        <v/>
      </c>
      <c r="AE1147" s="144" t="str">
        <f t="shared" si="427"/>
        <v/>
      </c>
      <c r="AF1147" s="144" t="str">
        <f>IF(AE1147="","",SUM($AE$2:AE1147))</f>
        <v/>
      </c>
    </row>
    <row r="1148" spans="14:32" x14ac:dyDescent="0.35">
      <c r="N1148" s="134" t="str">
        <f t="shared" si="425"/>
        <v/>
      </c>
      <c r="O1148" s="82" t="str">
        <f t="shared" si="428"/>
        <v/>
      </c>
      <c r="P1148" s="81" t="str">
        <f t="shared" si="426"/>
        <v/>
      </c>
      <c r="Q1148" s="81" t="str">
        <f t="shared" si="429"/>
        <v/>
      </c>
      <c r="R1148" s="135" t="str">
        <f t="shared" ca="1" si="430"/>
        <v/>
      </c>
      <c r="S1148" s="134" t="str">
        <f t="shared" ca="1" si="431"/>
        <v/>
      </c>
      <c r="T1148" s="134" t="str">
        <f ca="1">IF(S1148=Dashboard!$D$12,S1148,"")</f>
        <v/>
      </c>
      <c r="U1148" s="134" t="str">
        <f t="shared" ca="1" si="432"/>
        <v/>
      </c>
      <c r="V1148" s="83" t="str">
        <f ca="1">IF(U1148="","",IFERROR((RANK(U1148,$U$2:$U$2028,1)+COUNTIF($U$2:U1148,U1148))-1,""))</f>
        <v/>
      </c>
      <c r="W1148" s="134" t="str">
        <f t="shared" si="436"/>
        <v/>
      </c>
      <c r="X1148" s="134" t="str">
        <f>IF(W1148="","",IFERROR((RANK(W1148,$W$2:$W$2028,1)+COUNTIF($W$2:W1148,W1148))-1,""))</f>
        <v/>
      </c>
      <c r="Y1148" s="134" t="str">
        <f t="shared" si="433"/>
        <v/>
      </c>
      <c r="Z1148" s="134" t="str">
        <f>IF(Y1148="","",IFERROR((RANK(Y1148,$Y$2:$Y$2028,1)+COUNTIF($Y$2:Y1148,Y1148))-1,""))</f>
        <v/>
      </c>
      <c r="AA1148" s="134" t="str">
        <f t="shared" si="434"/>
        <v/>
      </c>
      <c r="AB1148" s="134" t="str">
        <f>IF(AA1148="","",IFERROR((RANK(AA1148,$AA$2:$AA$2028,1)+COUNTIF($AA$2:AA1148,AA1148))-1,""))</f>
        <v/>
      </c>
      <c r="AC1148" s="134" t="str">
        <f t="shared" si="435"/>
        <v/>
      </c>
      <c r="AD1148" s="134" t="str">
        <f>IF(AC1148="","",IFERROR((RANK(AC1148,$AC$2:$AC$2028,1)+COUNTIF($AC$2:AC1148,AC1148))-1,""))</f>
        <v/>
      </c>
      <c r="AE1148" s="144" t="str">
        <f t="shared" si="427"/>
        <v/>
      </c>
      <c r="AF1148" s="144" t="str">
        <f>IF(AE1148="","",SUM($AE$2:AE1148))</f>
        <v/>
      </c>
    </row>
    <row r="1149" spans="14:32" x14ac:dyDescent="0.35">
      <c r="N1149" s="134" t="str">
        <f t="shared" si="425"/>
        <v/>
      </c>
      <c r="O1149" s="82" t="str">
        <f t="shared" si="428"/>
        <v/>
      </c>
      <c r="P1149" s="81" t="str">
        <f t="shared" si="426"/>
        <v/>
      </c>
      <c r="Q1149" s="81" t="str">
        <f t="shared" si="429"/>
        <v/>
      </c>
      <c r="R1149" s="135" t="str">
        <f t="shared" ca="1" si="430"/>
        <v/>
      </c>
      <c r="S1149" s="134" t="str">
        <f t="shared" ca="1" si="431"/>
        <v/>
      </c>
      <c r="T1149" s="134" t="str">
        <f ca="1">IF(S1149=Dashboard!$D$12,S1149,"")</f>
        <v/>
      </c>
      <c r="U1149" s="134" t="str">
        <f t="shared" ca="1" si="432"/>
        <v/>
      </c>
      <c r="V1149" s="83" t="str">
        <f ca="1">IF(U1149="","",IFERROR((RANK(U1149,$U$2:$U$2028,1)+COUNTIF($U$2:U1149,U1149))-1,""))</f>
        <v/>
      </c>
      <c r="W1149" s="134" t="str">
        <f t="shared" si="436"/>
        <v/>
      </c>
      <c r="X1149" s="134" t="str">
        <f>IF(W1149="","",IFERROR((RANK(W1149,$W$2:$W$2028,1)+COUNTIF($W$2:W1149,W1149))-1,""))</f>
        <v/>
      </c>
      <c r="Y1149" s="134" t="str">
        <f t="shared" si="433"/>
        <v/>
      </c>
      <c r="Z1149" s="134" t="str">
        <f>IF(Y1149="","",IFERROR((RANK(Y1149,$Y$2:$Y$2028,1)+COUNTIF($Y$2:Y1149,Y1149))-1,""))</f>
        <v/>
      </c>
      <c r="AA1149" s="134" t="str">
        <f t="shared" si="434"/>
        <v/>
      </c>
      <c r="AB1149" s="134" t="str">
        <f>IF(AA1149="","",IFERROR((RANK(AA1149,$AA$2:$AA$2028,1)+COUNTIF($AA$2:AA1149,AA1149))-1,""))</f>
        <v/>
      </c>
      <c r="AC1149" s="134" t="str">
        <f t="shared" si="435"/>
        <v/>
      </c>
      <c r="AD1149" s="134" t="str">
        <f>IF(AC1149="","",IFERROR((RANK(AC1149,$AC$2:$AC$2028,1)+COUNTIF($AC$2:AC1149,AC1149))-1,""))</f>
        <v/>
      </c>
      <c r="AE1149" s="144" t="str">
        <f t="shared" si="427"/>
        <v/>
      </c>
      <c r="AF1149" s="144" t="str">
        <f>IF(AE1149="","",SUM($AE$2:AE1149))</f>
        <v/>
      </c>
    </row>
    <row r="1150" spans="14:32" x14ac:dyDescent="0.35">
      <c r="N1150" s="134" t="str">
        <f t="shared" si="425"/>
        <v/>
      </c>
      <c r="O1150" s="82" t="str">
        <f t="shared" si="428"/>
        <v/>
      </c>
      <c r="P1150" s="81" t="str">
        <f t="shared" si="426"/>
        <v/>
      </c>
      <c r="Q1150" s="81" t="str">
        <f t="shared" si="429"/>
        <v/>
      </c>
      <c r="R1150" s="135" t="str">
        <f t="shared" ca="1" si="430"/>
        <v/>
      </c>
      <c r="S1150" s="134" t="str">
        <f t="shared" ca="1" si="431"/>
        <v/>
      </c>
      <c r="T1150" s="134" t="str">
        <f ca="1">IF(S1150=Dashboard!$D$12,S1150,"")</f>
        <v/>
      </c>
      <c r="U1150" s="134" t="str">
        <f t="shared" ca="1" si="432"/>
        <v/>
      </c>
      <c r="V1150" s="83" t="str">
        <f ca="1">IF(U1150="","",IFERROR((RANK(U1150,$U$2:$U$2028,1)+COUNTIF($U$2:U1150,U1150))-1,""))</f>
        <v/>
      </c>
      <c r="W1150" s="134" t="str">
        <f t="shared" si="436"/>
        <v/>
      </c>
      <c r="X1150" s="134" t="str">
        <f>IF(W1150="","",IFERROR((RANK(W1150,$W$2:$W$2028,1)+COUNTIF($W$2:W1150,W1150))-1,""))</f>
        <v/>
      </c>
      <c r="Y1150" s="134" t="str">
        <f t="shared" si="433"/>
        <v/>
      </c>
      <c r="Z1150" s="134" t="str">
        <f>IF(Y1150="","",IFERROR((RANK(Y1150,$Y$2:$Y$2028,1)+COUNTIF($Y$2:Y1150,Y1150))-1,""))</f>
        <v/>
      </c>
      <c r="AA1150" s="134" t="str">
        <f t="shared" si="434"/>
        <v/>
      </c>
      <c r="AB1150" s="134" t="str">
        <f>IF(AA1150="","",IFERROR((RANK(AA1150,$AA$2:$AA$2028,1)+COUNTIF($AA$2:AA1150,AA1150))-1,""))</f>
        <v/>
      </c>
      <c r="AC1150" s="134" t="str">
        <f t="shared" si="435"/>
        <v/>
      </c>
      <c r="AD1150" s="134" t="str">
        <f>IF(AC1150="","",IFERROR((RANK(AC1150,$AC$2:$AC$2028,1)+COUNTIF($AC$2:AC1150,AC1150))-1,""))</f>
        <v/>
      </c>
      <c r="AE1150" s="144" t="str">
        <f t="shared" si="427"/>
        <v/>
      </c>
      <c r="AF1150" s="144" t="str">
        <f>IF(AE1150="","",SUM($AE$2:AE1150))</f>
        <v/>
      </c>
    </row>
    <row r="1151" spans="14:32" x14ac:dyDescent="0.35">
      <c r="N1151" s="134" t="str">
        <f t="shared" si="425"/>
        <v/>
      </c>
      <c r="O1151" s="82" t="str">
        <f t="shared" si="428"/>
        <v/>
      </c>
      <c r="P1151" s="81" t="str">
        <f t="shared" si="426"/>
        <v/>
      </c>
      <c r="Q1151" s="81" t="str">
        <f t="shared" si="429"/>
        <v/>
      </c>
      <c r="R1151" s="135" t="str">
        <f t="shared" ca="1" si="430"/>
        <v/>
      </c>
      <c r="S1151" s="134" t="str">
        <f t="shared" ca="1" si="431"/>
        <v/>
      </c>
      <c r="T1151" s="134" t="str">
        <f ca="1">IF(S1151=Dashboard!$D$12,S1151,"")</f>
        <v/>
      </c>
      <c r="U1151" s="134" t="str">
        <f t="shared" ca="1" si="432"/>
        <v/>
      </c>
      <c r="V1151" s="83" t="str">
        <f ca="1">IF(U1151="","",IFERROR((RANK(U1151,$U$2:$U$2028,1)+COUNTIF($U$2:U1151,U1151))-1,""))</f>
        <v/>
      </c>
      <c r="W1151" s="134" t="str">
        <f t="shared" si="436"/>
        <v/>
      </c>
      <c r="X1151" s="134" t="str">
        <f>IF(W1151="","",IFERROR((RANK(W1151,$W$2:$W$2028,1)+COUNTIF($W$2:W1151,W1151))-1,""))</f>
        <v/>
      </c>
      <c r="Y1151" s="134" t="str">
        <f t="shared" si="433"/>
        <v/>
      </c>
      <c r="Z1151" s="134" t="str">
        <f>IF(Y1151="","",IFERROR((RANK(Y1151,$Y$2:$Y$2028,1)+COUNTIF($Y$2:Y1151,Y1151))-1,""))</f>
        <v/>
      </c>
      <c r="AA1151" s="134" t="str">
        <f t="shared" si="434"/>
        <v/>
      </c>
      <c r="AB1151" s="134" t="str">
        <f>IF(AA1151="","",IFERROR((RANK(AA1151,$AA$2:$AA$2028,1)+COUNTIF($AA$2:AA1151,AA1151))-1,""))</f>
        <v/>
      </c>
      <c r="AC1151" s="134" t="str">
        <f t="shared" si="435"/>
        <v/>
      </c>
      <c r="AD1151" s="134" t="str">
        <f>IF(AC1151="","",IFERROR((RANK(AC1151,$AC$2:$AC$2028,1)+COUNTIF($AC$2:AC1151,AC1151))-1,""))</f>
        <v/>
      </c>
      <c r="AE1151" s="144" t="str">
        <f t="shared" si="427"/>
        <v/>
      </c>
      <c r="AF1151" s="144" t="str">
        <f>IF(AE1151="","",SUM($AE$2:AE1151))</f>
        <v/>
      </c>
    </row>
    <row r="1152" spans="14:32" x14ac:dyDescent="0.35">
      <c r="N1152" s="134" t="str">
        <f t="shared" si="425"/>
        <v/>
      </c>
      <c r="O1152" s="82" t="str">
        <f t="shared" si="428"/>
        <v/>
      </c>
      <c r="P1152" s="81" t="str">
        <f t="shared" si="426"/>
        <v/>
      </c>
      <c r="Q1152" s="81" t="str">
        <f t="shared" si="429"/>
        <v/>
      </c>
      <c r="R1152" s="135" t="str">
        <f t="shared" ca="1" si="430"/>
        <v/>
      </c>
      <c r="S1152" s="134" t="str">
        <f t="shared" ca="1" si="431"/>
        <v/>
      </c>
      <c r="T1152" s="134" t="str">
        <f ca="1">IF(S1152=Dashboard!$D$12,S1152,"")</f>
        <v/>
      </c>
      <c r="U1152" s="134" t="str">
        <f t="shared" ca="1" si="432"/>
        <v/>
      </c>
      <c r="V1152" s="83" t="str">
        <f ca="1">IF(U1152="","",IFERROR((RANK(U1152,$U$2:$U$2028,1)+COUNTIF($U$2:U1152,U1152))-1,""))</f>
        <v/>
      </c>
      <c r="W1152" s="134" t="str">
        <f t="shared" si="436"/>
        <v/>
      </c>
      <c r="X1152" s="134" t="str">
        <f>IF(W1152="","",IFERROR((RANK(W1152,$W$2:$W$2028,1)+COUNTIF($W$2:W1152,W1152))-1,""))</f>
        <v/>
      </c>
      <c r="Y1152" s="134" t="str">
        <f t="shared" si="433"/>
        <v/>
      </c>
      <c r="Z1152" s="134" t="str">
        <f>IF(Y1152="","",IFERROR((RANK(Y1152,$Y$2:$Y$2028,1)+COUNTIF($Y$2:Y1152,Y1152))-1,""))</f>
        <v/>
      </c>
      <c r="AA1152" s="134" t="str">
        <f t="shared" si="434"/>
        <v/>
      </c>
      <c r="AB1152" s="134" t="str">
        <f>IF(AA1152="","",IFERROR((RANK(AA1152,$AA$2:$AA$2028,1)+COUNTIF($AA$2:AA1152,AA1152))-1,""))</f>
        <v/>
      </c>
      <c r="AC1152" s="134" t="str">
        <f t="shared" si="435"/>
        <v/>
      </c>
      <c r="AD1152" s="134" t="str">
        <f>IF(AC1152="","",IFERROR((RANK(AC1152,$AC$2:$AC$2028,1)+COUNTIF($AC$2:AC1152,AC1152))-1,""))</f>
        <v/>
      </c>
      <c r="AE1152" s="144" t="str">
        <f t="shared" si="427"/>
        <v/>
      </c>
      <c r="AF1152" s="144" t="str">
        <f>IF(AE1152="","",SUM($AE$2:AE1152))</f>
        <v/>
      </c>
    </row>
    <row r="1153" spans="14:32" x14ac:dyDescent="0.35">
      <c r="N1153" s="134" t="str">
        <f t="shared" si="425"/>
        <v/>
      </c>
      <c r="O1153" s="82" t="str">
        <f t="shared" si="428"/>
        <v/>
      </c>
      <c r="P1153" s="81" t="str">
        <f t="shared" si="426"/>
        <v/>
      </c>
      <c r="Q1153" s="81" t="str">
        <f t="shared" si="429"/>
        <v/>
      </c>
      <c r="R1153" s="135" t="str">
        <f t="shared" ca="1" si="430"/>
        <v/>
      </c>
      <c r="S1153" s="134" t="str">
        <f t="shared" ca="1" si="431"/>
        <v/>
      </c>
      <c r="T1153" s="134" t="str">
        <f ca="1">IF(S1153=Dashboard!$D$12,S1153,"")</f>
        <v/>
      </c>
      <c r="U1153" s="134" t="str">
        <f t="shared" ca="1" si="432"/>
        <v/>
      </c>
      <c r="V1153" s="83" t="str">
        <f ca="1">IF(U1153="","",IFERROR((RANK(U1153,$U$2:$U$2028,1)+COUNTIF($U$2:U1153,U1153))-1,""))</f>
        <v/>
      </c>
      <c r="W1153" s="134" t="str">
        <f t="shared" si="436"/>
        <v/>
      </c>
      <c r="X1153" s="134" t="str">
        <f>IF(W1153="","",IFERROR((RANK(W1153,$W$2:$W$2028,1)+COUNTIF($W$2:W1153,W1153))-1,""))</f>
        <v/>
      </c>
      <c r="Y1153" s="134" t="str">
        <f t="shared" si="433"/>
        <v/>
      </c>
      <c r="Z1153" s="134" t="str">
        <f>IF(Y1153="","",IFERROR((RANK(Y1153,$Y$2:$Y$2028,1)+COUNTIF($Y$2:Y1153,Y1153))-1,""))</f>
        <v/>
      </c>
      <c r="AA1153" s="134" t="str">
        <f t="shared" si="434"/>
        <v/>
      </c>
      <c r="AB1153" s="134" t="str">
        <f>IF(AA1153="","",IFERROR((RANK(AA1153,$AA$2:$AA$2028,1)+COUNTIF($AA$2:AA1153,AA1153))-1,""))</f>
        <v/>
      </c>
      <c r="AC1153" s="134" t="str">
        <f t="shared" si="435"/>
        <v/>
      </c>
      <c r="AD1153" s="134" t="str">
        <f>IF(AC1153="","",IFERROR((RANK(AC1153,$AC$2:$AC$2028,1)+COUNTIF($AC$2:AC1153,AC1153))-1,""))</f>
        <v/>
      </c>
      <c r="AE1153" s="144" t="str">
        <f t="shared" si="427"/>
        <v/>
      </c>
      <c r="AF1153" s="144" t="str">
        <f>IF(AE1153="","",SUM($AE$2:AE1153))</f>
        <v/>
      </c>
    </row>
    <row r="1154" spans="14:32" x14ac:dyDescent="0.35">
      <c r="N1154" s="134" t="str">
        <f t="shared" ref="N1154:N1217" si="437">IF(A1154="","",COUNTIFS(M:M,M1154,H:H,"&lt;"&amp;H1154)+1)</f>
        <v/>
      </c>
      <c r="O1154" s="82" t="str">
        <f t="shared" si="428"/>
        <v/>
      </c>
      <c r="P1154" s="81" t="str">
        <f t="shared" ref="P1154:P1217" si="438">IF(A1154="","",COUNTIFS(M:M,M1154,H:H,"&gt;"&amp;H1154)+1)</f>
        <v/>
      </c>
      <c r="Q1154" s="81" t="str">
        <f t="shared" si="429"/>
        <v/>
      </c>
      <c r="R1154" s="135" t="str">
        <f t="shared" ca="1" si="430"/>
        <v/>
      </c>
      <c r="S1154" s="134" t="str">
        <f t="shared" ca="1" si="431"/>
        <v/>
      </c>
      <c r="T1154" s="134" t="str">
        <f ca="1">IF(S1154=Dashboard!$D$12,S1154,"")</f>
        <v/>
      </c>
      <c r="U1154" s="134" t="str">
        <f t="shared" ca="1" si="432"/>
        <v/>
      </c>
      <c r="V1154" s="83" t="str">
        <f ca="1">IF(U1154="","",IFERROR((RANK(U1154,$U$2:$U$2028,1)+COUNTIF($U$2:U1154,U1154))-1,""))</f>
        <v/>
      </c>
      <c r="W1154" s="134" t="str">
        <f t="shared" si="436"/>
        <v/>
      </c>
      <c r="X1154" s="134" t="str">
        <f>IF(W1154="","",IFERROR((RANK(W1154,$W$2:$W$2028,1)+COUNTIF($W$2:W1154,W1154))-1,""))</f>
        <v/>
      </c>
      <c r="Y1154" s="134" t="str">
        <f t="shared" si="433"/>
        <v/>
      </c>
      <c r="Z1154" s="134" t="str">
        <f>IF(Y1154="","",IFERROR((RANK(Y1154,$Y$2:$Y$2028,1)+COUNTIF($Y$2:Y1154,Y1154))-1,""))</f>
        <v/>
      </c>
      <c r="AA1154" s="134" t="str">
        <f t="shared" si="434"/>
        <v/>
      </c>
      <c r="AB1154" s="134" t="str">
        <f>IF(AA1154="","",IFERROR((RANK(AA1154,$AA$2:$AA$2028,1)+COUNTIF($AA$2:AA1154,AA1154))-1,""))</f>
        <v/>
      </c>
      <c r="AC1154" s="134" t="str">
        <f t="shared" si="435"/>
        <v/>
      </c>
      <c r="AD1154" s="134" t="str">
        <f>IF(AC1154="","",IFERROR((RANK(AC1154,$AC$2:$AC$2028,1)+COUNTIF($AC$2:AC1154,AC1154))-1,""))</f>
        <v/>
      </c>
      <c r="AE1154" s="144" t="str">
        <f t="shared" si="427"/>
        <v/>
      </c>
      <c r="AF1154" s="144" t="str">
        <f>IF(AE1154="","",SUM($AE$2:AE1154))</f>
        <v/>
      </c>
    </row>
    <row r="1155" spans="14:32" x14ac:dyDescent="0.35">
      <c r="N1155" s="134" t="str">
        <f t="shared" si="437"/>
        <v/>
      </c>
      <c r="O1155" s="82" t="str">
        <f t="shared" si="428"/>
        <v/>
      </c>
      <c r="P1155" s="81" t="str">
        <f t="shared" si="438"/>
        <v/>
      </c>
      <c r="Q1155" s="81" t="str">
        <f t="shared" si="429"/>
        <v/>
      </c>
      <c r="R1155" s="135" t="str">
        <f t="shared" ca="1" si="430"/>
        <v/>
      </c>
      <c r="S1155" s="134" t="str">
        <f t="shared" ca="1" si="431"/>
        <v/>
      </c>
      <c r="T1155" s="134" t="str">
        <f ca="1">IF(S1155=Dashboard!$D$12,S1155,"")</f>
        <v/>
      </c>
      <c r="U1155" s="134" t="str">
        <f t="shared" ca="1" si="432"/>
        <v/>
      </c>
      <c r="V1155" s="83" t="str">
        <f ca="1">IF(U1155="","",IFERROR((RANK(U1155,$U$2:$U$2028,1)+COUNTIF($U$2:U1155,U1155))-1,""))</f>
        <v/>
      </c>
      <c r="W1155" s="134" t="str">
        <f t="shared" si="436"/>
        <v/>
      </c>
      <c r="X1155" s="134" t="str">
        <f>IF(W1155="","",IFERROR((RANK(W1155,$W$2:$W$2028,1)+COUNTIF($W$2:W1155,W1155))-1,""))</f>
        <v/>
      </c>
      <c r="Y1155" s="134" t="str">
        <f t="shared" si="433"/>
        <v/>
      </c>
      <c r="Z1155" s="134" t="str">
        <f>IF(Y1155="","",IFERROR((RANK(Y1155,$Y$2:$Y$2028,1)+COUNTIF($Y$2:Y1155,Y1155))-1,""))</f>
        <v/>
      </c>
      <c r="AA1155" s="134" t="str">
        <f t="shared" si="434"/>
        <v/>
      </c>
      <c r="AB1155" s="134" t="str">
        <f>IF(AA1155="","",IFERROR((RANK(AA1155,$AA$2:$AA$2028,1)+COUNTIF($AA$2:AA1155,AA1155))-1,""))</f>
        <v/>
      </c>
      <c r="AC1155" s="134" t="str">
        <f t="shared" si="435"/>
        <v/>
      </c>
      <c r="AD1155" s="134" t="str">
        <f>IF(AC1155="","",IFERROR((RANK(AC1155,$AC$2:$AC$2028,1)+COUNTIF($AC$2:AC1155,AC1155))-1,""))</f>
        <v/>
      </c>
      <c r="AE1155" s="144" t="str">
        <f t="shared" si="427"/>
        <v/>
      </c>
      <c r="AF1155" s="144" t="str">
        <f>IF(AE1155="","",SUM($AE$2:AE1155))</f>
        <v/>
      </c>
    </row>
    <row r="1156" spans="14:32" x14ac:dyDescent="0.35">
      <c r="N1156" s="134" t="str">
        <f t="shared" si="437"/>
        <v/>
      </c>
      <c r="O1156" s="82" t="str">
        <f t="shared" si="428"/>
        <v/>
      </c>
      <c r="P1156" s="81" t="str">
        <f t="shared" si="438"/>
        <v/>
      </c>
      <c r="Q1156" s="81" t="str">
        <f t="shared" si="429"/>
        <v/>
      </c>
      <c r="R1156" s="135" t="str">
        <f t="shared" ca="1" si="430"/>
        <v/>
      </c>
      <c r="S1156" s="134" t="str">
        <f t="shared" ca="1" si="431"/>
        <v/>
      </c>
      <c r="T1156" s="134" t="str">
        <f ca="1">IF(S1156=Dashboard!$D$12,S1156,"")</f>
        <v/>
      </c>
      <c r="U1156" s="134" t="str">
        <f t="shared" ca="1" si="432"/>
        <v/>
      </c>
      <c r="V1156" s="83" t="str">
        <f ca="1">IF(U1156="","",IFERROR((RANK(U1156,$U$2:$U$2028,1)+COUNTIF($U$2:U1156,U1156))-1,""))</f>
        <v/>
      </c>
      <c r="W1156" s="134" t="str">
        <f t="shared" si="436"/>
        <v/>
      </c>
      <c r="X1156" s="134" t="str">
        <f>IF(W1156="","",IFERROR((RANK(W1156,$W$2:$W$2028,1)+COUNTIF($W$2:W1156,W1156))-1,""))</f>
        <v/>
      </c>
      <c r="Y1156" s="134" t="str">
        <f t="shared" si="433"/>
        <v/>
      </c>
      <c r="Z1156" s="134" t="str">
        <f>IF(Y1156="","",IFERROR((RANK(Y1156,$Y$2:$Y$2028,1)+COUNTIF($Y$2:Y1156,Y1156))-1,""))</f>
        <v/>
      </c>
      <c r="AA1156" s="134" t="str">
        <f t="shared" si="434"/>
        <v/>
      </c>
      <c r="AB1156" s="134" t="str">
        <f>IF(AA1156="","",IFERROR((RANK(AA1156,$AA$2:$AA$2028,1)+COUNTIF($AA$2:AA1156,AA1156))-1,""))</f>
        <v/>
      </c>
      <c r="AC1156" s="134" t="str">
        <f t="shared" si="435"/>
        <v/>
      </c>
      <c r="AD1156" s="134" t="str">
        <f>IF(AC1156="","",IFERROR((RANK(AC1156,$AC$2:$AC$2028,1)+COUNTIF($AC$2:AC1156,AC1156))-1,""))</f>
        <v/>
      </c>
      <c r="AE1156" s="144" t="str">
        <f t="shared" si="427"/>
        <v/>
      </c>
      <c r="AF1156" s="144" t="str">
        <f>IF(AE1156="","",SUM($AE$2:AE1156))</f>
        <v/>
      </c>
    </row>
    <row r="1157" spans="14:32" x14ac:dyDescent="0.35">
      <c r="N1157" s="134" t="str">
        <f t="shared" si="437"/>
        <v/>
      </c>
      <c r="O1157" s="82" t="str">
        <f t="shared" si="428"/>
        <v/>
      </c>
      <c r="P1157" s="81" t="str">
        <f t="shared" si="438"/>
        <v/>
      </c>
      <c r="Q1157" s="81" t="str">
        <f t="shared" si="429"/>
        <v/>
      </c>
      <c r="R1157" s="135" t="str">
        <f t="shared" ca="1" si="430"/>
        <v/>
      </c>
      <c r="S1157" s="134" t="str">
        <f t="shared" ca="1" si="431"/>
        <v/>
      </c>
      <c r="T1157" s="134" t="str">
        <f ca="1">IF(S1157=Dashboard!$D$12,S1157,"")</f>
        <v/>
      </c>
      <c r="U1157" s="134" t="str">
        <f t="shared" ca="1" si="432"/>
        <v/>
      </c>
      <c r="V1157" s="83" t="str">
        <f ca="1">IF(U1157="","",IFERROR((RANK(U1157,$U$2:$U$2028,1)+COUNTIF($U$2:U1157,U1157))-1,""))</f>
        <v/>
      </c>
      <c r="W1157" s="134" t="str">
        <f t="shared" si="436"/>
        <v/>
      </c>
      <c r="X1157" s="134" t="str">
        <f>IF(W1157="","",IFERROR((RANK(W1157,$W$2:$W$2028,1)+COUNTIF($W$2:W1157,W1157))-1,""))</f>
        <v/>
      </c>
      <c r="Y1157" s="134" t="str">
        <f t="shared" si="433"/>
        <v/>
      </c>
      <c r="Z1157" s="134" t="str">
        <f>IF(Y1157="","",IFERROR((RANK(Y1157,$Y$2:$Y$2028,1)+COUNTIF($Y$2:Y1157,Y1157))-1,""))</f>
        <v/>
      </c>
      <c r="AA1157" s="134" t="str">
        <f t="shared" si="434"/>
        <v/>
      </c>
      <c r="AB1157" s="134" t="str">
        <f>IF(AA1157="","",IFERROR((RANK(AA1157,$AA$2:$AA$2028,1)+COUNTIF($AA$2:AA1157,AA1157))-1,""))</f>
        <v/>
      </c>
      <c r="AC1157" s="134" t="str">
        <f t="shared" si="435"/>
        <v/>
      </c>
      <c r="AD1157" s="134" t="str">
        <f>IF(AC1157="","",IFERROR((RANK(AC1157,$AC$2:$AC$2028,1)+COUNTIF($AC$2:AC1157,AC1157))-1,""))</f>
        <v/>
      </c>
      <c r="AE1157" s="144" t="str">
        <f t="shared" si="427"/>
        <v/>
      </c>
      <c r="AF1157" s="144" t="str">
        <f>IF(AE1157="","",SUM($AE$2:AE1157))</f>
        <v/>
      </c>
    </row>
    <row r="1158" spans="14:32" x14ac:dyDescent="0.35">
      <c r="N1158" s="134" t="str">
        <f t="shared" si="437"/>
        <v/>
      </c>
      <c r="O1158" s="82" t="str">
        <f t="shared" si="428"/>
        <v/>
      </c>
      <c r="P1158" s="81" t="str">
        <f t="shared" si="438"/>
        <v/>
      </c>
      <c r="Q1158" s="81" t="str">
        <f t="shared" si="429"/>
        <v/>
      </c>
      <c r="R1158" s="135" t="str">
        <f t="shared" ca="1" si="430"/>
        <v/>
      </c>
      <c r="S1158" s="134" t="str">
        <f t="shared" ca="1" si="431"/>
        <v/>
      </c>
      <c r="T1158" s="134" t="str">
        <f ca="1">IF(S1158=Dashboard!$D$12,S1158,"")</f>
        <v/>
      </c>
      <c r="U1158" s="134" t="str">
        <f t="shared" ca="1" si="432"/>
        <v/>
      </c>
      <c r="V1158" s="83" t="str">
        <f ca="1">IF(U1158="","",IFERROR((RANK(U1158,$U$2:$U$2028,1)+COUNTIF($U$2:U1158,U1158))-1,""))</f>
        <v/>
      </c>
      <c r="W1158" s="134" t="str">
        <f t="shared" si="436"/>
        <v/>
      </c>
      <c r="X1158" s="134" t="str">
        <f>IF(W1158="","",IFERROR((RANK(W1158,$W$2:$W$2028,1)+COUNTIF($W$2:W1158,W1158))-1,""))</f>
        <v/>
      </c>
      <c r="Y1158" s="134" t="str">
        <f t="shared" si="433"/>
        <v/>
      </c>
      <c r="Z1158" s="134" t="str">
        <f>IF(Y1158="","",IFERROR((RANK(Y1158,$Y$2:$Y$2028,1)+COUNTIF($Y$2:Y1158,Y1158))-1,""))</f>
        <v/>
      </c>
      <c r="AA1158" s="134" t="str">
        <f t="shared" si="434"/>
        <v/>
      </c>
      <c r="AB1158" s="134" t="str">
        <f>IF(AA1158="","",IFERROR((RANK(AA1158,$AA$2:$AA$2028,1)+COUNTIF($AA$2:AA1158,AA1158))-1,""))</f>
        <v/>
      </c>
      <c r="AC1158" s="134" t="str">
        <f t="shared" si="435"/>
        <v/>
      </c>
      <c r="AD1158" s="134" t="str">
        <f>IF(AC1158="","",IFERROR((RANK(AC1158,$AC$2:$AC$2028,1)+COUNTIF($AC$2:AC1158,AC1158))-1,""))</f>
        <v/>
      </c>
      <c r="AE1158" s="144" t="str">
        <f t="shared" si="427"/>
        <v/>
      </c>
      <c r="AF1158" s="144" t="str">
        <f>IF(AE1158="","",SUM($AE$2:AE1158))</f>
        <v/>
      </c>
    </row>
    <row r="1159" spans="14:32" x14ac:dyDescent="0.35">
      <c r="N1159" s="134" t="str">
        <f t="shared" si="437"/>
        <v/>
      </c>
      <c r="O1159" s="82" t="str">
        <f t="shared" si="428"/>
        <v/>
      </c>
      <c r="P1159" s="81" t="str">
        <f t="shared" si="438"/>
        <v/>
      </c>
      <c r="Q1159" s="81" t="str">
        <f t="shared" si="429"/>
        <v/>
      </c>
      <c r="R1159" s="135" t="str">
        <f t="shared" ca="1" si="430"/>
        <v/>
      </c>
      <c r="S1159" s="134" t="str">
        <f t="shared" ca="1" si="431"/>
        <v/>
      </c>
      <c r="T1159" s="134" t="str">
        <f ca="1">IF(S1159=Dashboard!$D$12,S1159,"")</f>
        <v/>
      </c>
      <c r="U1159" s="134" t="str">
        <f t="shared" ca="1" si="432"/>
        <v/>
      </c>
      <c r="V1159" s="83" t="str">
        <f ca="1">IF(U1159="","",IFERROR((RANK(U1159,$U$2:$U$2028,1)+COUNTIF($U$2:U1159,U1159))-1,""))</f>
        <v/>
      </c>
      <c r="W1159" s="134" t="str">
        <f t="shared" si="436"/>
        <v/>
      </c>
      <c r="X1159" s="134" t="str">
        <f>IF(W1159="","",IFERROR((RANK(W1159,$W$2:$W$2028,1)+COUNTIF($W$2:W1159,W1159))-1,""))</f>
        <v/>
      </c>
      <c r="Y1159" s="134" t="str">
        <f t="shared" si="433"/>
        <v/>
      </c>
      <c r="Z1159" s="134" t="str">
        <f>IF(Y1159="","",IFERROR((RANK(Y1159,$Y$2:$Y$2028,1)+COUNTIF($Y$2:Y1159,Y1159))-1,""))</f>
        <v/>
      </c>
      <c r="AA1159" s="134" t="str">
        <f t="shared" si="434"/>
        <v/>
      </c>
      <c r="AB1159" s="134" t="str">
        <f>IF(AA1159="","",IFERROR((RANK(AA1159,$AA$2:$AA$2028,1)+COUNTIF($AA$2:AA1159,AA1159))-1,""))</f>
        <v/>
      </c>
      <c r="AC1159" s="134" t="str">
        <f t="shared" si="435"/>
        <v/>
      </c>
      <c r="AD1159" s="134" t="str">
        <f>IF(AC1159="","",IFERROR((RANK(AC1159,$AC$2:$AC$2028,1)+COUNTIF($AC$2:AC1159,AC1159))-1,""))</f>
        <v/>
      </c>
      <c r="AE1159" s="144" t="str">
        <f t="shared" ref="AE1159:AE1222" si="439">IF(P1159=1,P1159,"")</f>
        <v/>
      </c>
      <c r="AF1159" s="144" t="str">
        <f>IF(AE1159="","",SUM($AE$2:AE1159))</f>
        <v/>
      </c>
    </row>
    <row r="1160" spans="14:32" x14ac:dyDescent="0.35">
      <c r="N1160" s="134" t="str">
        <f t="shared" si="437"/>
        <v/>
      </c>
      <c r="O1160" s="82" t="str">
        <f t="shared" si="428"/>
        <v/>
      </c>
      <c r="P1160" s="81" t="str">
        <f t="shared" si="438"/>
        <v/>
      </c>
      <c r="Q1160" s="81" t="str">
        <f t="shared" si="429"/>
        <v/>
      </c>
      <c r="R1160" s="135" t="str">
        <f t="shared" ca="1" si="430"/>
        <v/>
      </c>
      <c r="S1160" s="134" t="str">
        <f t="shared" ca="1" si="431"/>
        <v/>
      </c>
      <c r="T1160" s="134" t="str">
        <f ca="1">IF(S1160=Dashboard!$D$12,S1160,"")</f>
        <v/>
      </c>
      <c r="U1160" s="134" t="str">
        <f t="shared" ca="1" si="432"/>
        <v/>
      </c>
      <c r="V1160" s="83" t="str">
        <f ca="1">IF(U1160="","",IFERROR((RANK(U1160,$U$2:$U$2028,1)+COUNTIF($U$2:U1160,U1160))-1,""))</f>
        <v/>
      </c>
      <c r="W1160" s="134" t="str">
        <f t="shared" si="436"/>
        <v/>
      </c>
      <c r="X1160" s="134" t="str">
        <f>IF(W1160="","",IFERROR((RANK(W1160,$W$2:$W$2028,1)+COUNTIF($W$2:W1160,W1160))-1,""))</f>
        <v/>
      </c>
      <c r="Y1160" s="134" t="str">
        <f t="shared" si="433"/>
        <v/>
      </c>
      <c r="Z1160" s="134" t="str">
        <f>IF(Y1160="","",IFERROR((RANK(Y1160,$Y$2:$Y$2028,1)+COUNTIF($Y$2:Y1160,Y1160))-1,""))</f>
        <v/>
      </c>
      <c r="AA1160" s="134" t="str">
        <f t="shared" si="434"/>
        <v/>
      </c>
      <c r="AB1160" s="134" t="str">
        <f>IF(AA1160="","",IFERROR((RANK(AA1160,$AA$2:$AA$2028,1)+COUNTIF($AA$2:AA1160,AA1160))-1,""))</f>
        <v/>
      </c>
      <c r="AC1160" s="134" t="str">
        <f t="shared" si="435"/>
        <v/>
      </c>
      <c r="AD1160" s="134" t="str">
        <f>IF(AC1160="","",IFERROR((RANK(AC1160,$AC$2:$AC$2028,1)+COUNTIF($AC$2:AC1160,AC1160))-1,""))</f>
        <v/>
      </c>
      <c r="AE1160" s="144" t="str">
        <f t="shared" si="439"/>
        <v/>
      </c>
      <c r="AF1160" s="144" t="str">
        <f>IF(AE1160="","",SUM($AE$2:AE1160))</f>
        <v/>
      </c>
    </row>
    <row r="1161" spans="14:32" x14ac:dyDescent="0.35">
      <c r="N1161" s="134" t="str">
        <f t="shared" si="437"/>
        <v/>
      </c>
      <c r="O1161" s="82" t="str">
        <f t="shared" si="428"/>
        <v/>
      </c>
      <c r="P1161" s="81" t="str">
        <f t="shared" si="438"/>
        <v/>
      </c>
      <c r="Q1161" s="81" t="str">
        <f t="shared" si="429"/>
        <v/>
      </c>
      <c r="R1161" s="135" t="str">
        <f t="shared" ca="1" si="430"/>
        <v/>
      </c>
      <c r="S1161" s="134" t="str">
        <f t="shared" ca="1" si="431"/>
        <v/>
      </c>
      <c r="T1161" s="134" t="str">
        <f ca="1">IF(S1161=Dashboard!$D$12,S1161,"")</f>
        <v/>
      </c>
      <c r="U1161" s="134" t="str">
        <f t="shared" ca="1" si="432"/>
        <v/>
      </c>
      <c r="V1161" s="83" t="str">
        <f ca="1">IF(U1161="","",IFERROR((RANK(U1161,$U$2:$U$2028,1)+COUNTIF($U$2:U1161,U1161))-1,""))</f>
        <v/>
      </c>
      <c r="W1161" s="134" t="str">
        <f t="shared" si="436"/>
        <v/>
      </c>
      <c r="X1161" s="134" t="str">
        <f>IF(W1161="","",IFERROR((RANK(W1161,$W$2:$W$2028,1)+COUNTIF($W$2:W1161,W1161))-1,""))</f>
        <v/>
      </c>
      <c r="Y1161" s="134" t="str">
        <f t="shared" si="433"/>
        <v/>
      </c>
      <c r="Z1161" s="134" t="str">
        <f>IF(Y1161="","",IFERROR((RANK(Y1161,$Y$2:$Y$2028,1)+COUNTIF($Y$2:Y1161,Y1161))-1,""))</f>
        <v/>
      </c>
      <c r="AA1161" s="134" t="str">
        <f t="shared" si="434"/>
        <v/>
      </c>
      <c r="AB1161" s="134" t="str">
        <f>IF(AA1161="","",IFERROR((RANK(AA1161,$AA$2:$AA$2028,1)+COUNTIF($AA$2:AA1161,AA1161))-1,""))</f>
        <v/>
      </c>
      <c r="AC1161" s="134" t="str">
        <f t="shared" si="435"/>
        <v/>
      </c>
      <c r="AD1161" s="134" t="str">
        <f>IF(AC1161="","",IFERROR((RANK(AC1161,$AC$2:$AC$2028,1)+COUNTIF($AC$2:AC1161,AC1161))-1,""))</f>
        <v/>
      </c>
      <c r="AE1161" s="144" t="str">
        <f t="shared" si="439"/>
        <v/>
      </c>
      <c r="AF1161" s="144" t="str">
        <f>IF(AE1161="","",SUM($AE$2:AE1161))</f>
        <v/>
      </c>
    </row>
    <row r="1162" spans="14:32" x14ac:dyDescent="0.35">
      <c r="N1162" s="134" t="str">
        <f t="shared" si="437"/>
        <v/>
      </c>
      <c r="O1162" s="82" t="str">
        <f t="shared" si="428"/>
        <v/>
      </c>
      <c r="P1162" s="81" t="str">
        <f t="shared" si="438"/>
        <v/>
      </c>
      <c r="Q1162" s="81" t="str">
        <f t="shared" si="429"/>
        <v/>
      </c>
      <c r="R1162" s="135" t="str">
        <f t="shared" ca="1" si="430"/>
        <v/>
      </c>
      <c r="S1162" s="134" t="str">
        <f t="shared" ca="1" si="431"/>
        <v/>
      </c>
      <c r="T1162" s="134" t="str">
        <f ca="1">IF(S1162=Dashboard!$D$12,S1162,"")</f>
        <v/>
      </c>
      <c r="U1162" s="134" t="str">
        <f t="shared" ca="1" si="432"/>
        <v/>
      </c>
      <c r="V1162" s="83" t="str">
        <f ca="1">IF(U1162="","",IFERROR((RANK(U1162,$U$2:$U$2028,1)+COUNTIF($U$2:U1162,U1162))-1,""))</f>
        <v/>
      </c>
      <c r="W1162" s="134" t="str">
        <f t="shared" si="436"/>
        <v/>
      </c>
      <c r="X1162" s="134" t="str">
        <f>IF(W1162="","",IFERROR((RANK(W1162,$W$2:$W$2028,1)+COUNTIF($W$2:W1162,W1162))-1,""))</f>
        <v/>
      </c>
      <c r="Y1162" s="134" t="str">
        <f t="shared" si="433"/>
        <v/>
      </c>
      <c r="Z1162" s="134" t="str">
        <f>IF(Y1162="","",IFERROR((RANK(Y1162,$Y$2:$Y$2028,1)+COUNTIF($Y$2:Y1162,Y1162))-1,""))</f>
        <v/>
      </c>
      <c r="AA1162" s="134" t="str">
        <f t="shared" si="434"/>
        <v/>
      </c>
      <c r="AB1162" s="134" t="str">
        <f>IF(AA1162="","",IFERROR((RANK(AA1162,$AA$2:$AA$2028,1)+COUNTIF($AA$2:AA1162,AA1162))-1,""))</f>
        <v/>
      </c>
      <c r="AC1162" s="134" t="str">
        <f t="shared" si="435"/>
        <v/>
      </c>
      <c r="AD1162" s="134" t="str">
        <f>IF(AC1162="","",IFERROR((RANK(AC1162,$AC$2:$AC$2028,1)+COUNTIF($AC$2:AC1162,AC1162))-1,""))</f>
        <v/>
      </c>
      <c r="AE1162" s="144" t="str">
        <f t="shared" si="439"/>
        <v/>
      </c>
      <c r="AF1162" s="144" t="str">
        <f>IF(AE1162="","",SUM($AE$2:AE1162))</f>
        <v/>
      </c>
    </row>
    <row r="1163" spans="14:32" x14ac:dyDescent="0.35">
      <c r="N1163" s="134" t="str">
        <f t="shared" si="437"/>
        <v/>
      </c>
      <c r="O1163" s="82" t="str">
        <f t="shared" si="428"/>
        <v/>
      </c>
      <c r="P1163" s="81" t="str">
        <f t="shared" si="438"/>
        <v/>
      </c>
      <c r="Q1163" s="81" t="str">
        <f t="shared" si="429"/>
        <v/>
      </c>
      <c r="R1163" s="135" t="str">
        <f t="shared" ca="1" si="430"/>
        <v/>
      </c>
      <c r="S1163" s="134" t="str">
        <f t="shared" ca="1" si="431"/>
        <v/>
      </c>
      <c r="T1163" s="134" t="str">
        <f ca="1">IF(S1163=Dashboard!$D$12,S1163,"")</f>
        <v/>
      </c>
      <c r="U1163" s="134" t="str">
        <f t="shared" ca="1" si="432"/>
        <v/>
      </c>
      <c r="V1163" s="83" t="str">
        <f ca="1">IF(U1163="","",IFERROR((RANK(U1163,$U$2:$U$2028,1)+COUNTIF($U$2:U1163,U1163))-1,""))</f>
        <v/>
      </c>
      <c r="W1163" s="134" t="str">
        <f t="shared" si="436"/>
        <v/>
      </c>
      <c r="X1163" s="134" t="str">
        <f>IF(W1163="","",IFERROR((RANK(W1163,$W$2:$W$2028,1)+COUNTIF($W$2:W1163,W1163))-1,""))</f>
        <v/>
      </c>
      <c r="Y1163" s="134" t="str">
        <f t="shared" si="433"/>
        <v/>
      </c>
      <c r="Z1163" s="134" t="str">
        <f>IF(Y1163="","",IFERROR((RANK(Y1163,$Y$2:$Y$2028,1)+COUNTIF($Y$2:Y1163,Y1163))-1,""))</f>
        <v/>
      </c>
      <c r="AA1163" s="134" t="str">
        <f t="shared" si="434"/>
        <v/>
      </c>
      <c r="AB1163" s="134" t="str">
        <f>IF(AA1163="","",IFERROR((RANK(AA1163,$AA$2:$AA$2028,1)+COUNTIF($AA$2:AA1163,AA1163))-1,""))</f>
        <v/>
      </c>
      <c r="AC1163" s="134" t="str">
        <f t="shared" si="435"/>
        <v/>
      </c>
      <c r="AD1163" s="134" t="str">
        <f>IF(AC1163="","",IFERROR((RANK(AC1163,$AC$2:$AC$2028,1)+COUNTIF($AC$2:AC1163,AC1163))-1,""))</f>
        <v/>
      </c>
      <c r="AE1163" s="144" t="str">
        <f t="shared" si="439"/>
        <v/>
      </c>
      <c r="AF1163" s="144" t="str">
        <f>IF(AE1163="","",SUM($AE$2:AE1163))</f>
        <v/>
      </c>
    </row>
    <row r="1164" spans="14:32" x14ac:dyDescent="0.35">
      <c r="N1164" s="134" t="str">
        <f t="shared" si="437"/>
        <v/>
      </c>
      <c r="O1164" s="82" t="str">
        <f t="shared" si="428"/>
        <v/>
      </c>
      <c r="P1164" s="81" t="str">
        <f t="shared" si="438"/>
        <v/>
      </c>
      <c r="Q1164" s="81" t="str">
        <f t="shared" si="429"/>
        <v/>
      </c>
      <c r="R1164" s="135" t="str">
        <f t="shared" ca="1" si="430"/>
        <v/>
      </c>
      <c r="S1164" s="134" t="str">
        <f t="shared" ca="1" si="431"/>
        <v/>
      </c>
      <c r="T1164" s="134" t="str">
        <f ca="1">IF(S1164=Dashboard!$D$12,S1164,"")</f>
        <v/>
      </c>
      <c r="U1164" s="134" t="str">
        <f t="shared" ca="1" si="432"/>
        <v/>
      </c>
      <c r="V1164" s="83" t="str">
        <f ca="1">IF(U1164="","",IFERROR((RANK(U1164,$U$2:$U$2028,1)+COUNTIF($U$2:U1164,U1164))-1,""))</f>
        <v/>
      </c>
      <c r="W1164" s="134" t="str">
        <f t="shared" si="436"/>
        <v/>
      </c>
      <c r="X1164" s="134" t="str">
        <f>IF(W1164="","",IFERROR((RANK(W1164,$W$2:$W$2028,1)+COUNTIF($W$2:W1164,W1164))-1,""))</f>
        <v/>
      </c>
      <c r="Y1164" s="134" t="str">
        <f t="shared" si="433"/>
        <v/>
      </c>
      <c r="Z1164" s="134" t="str">
        <f>IF(Y1164="","",IFERROR((RANK(Y1164,$Y$2:$Y$2028,1)+COUNTIF($Y$2:Y1164,Y1164))-1,""))</f>
        <v/>
      </c>
      <c r="AA1164" s="134" t="str">
        <f t="shared" si="434"/>
        <v/>
      </c>
      <c r="AB1164" s="134" t="str">
        <f>IF(AA1164="","",IFERROR((RANK(AA1164,$AA$2:$AA$2028,1)+COUNTIF($AA$2:AA1164,AA1164))-1,""))</f>
        <v/>
      </c>
      <c r="AC1164" s="134" t="str">
        <f t="shared" si="435"/>
        <v/>
      </c>
      <c r="AD1164" s="134" t="str">
        <f>IF(AC1164="","",IFERROR((RANK(AC1164,$AC$2:$AC$2028,1)+COUNTIF($AC$2:AC1164,AC1164))-1,""))</f>
        <v/>
      </c>
      <c r="AE1164" s="144" t="str">
        <f t="shared" si="439"/>
        <v/>
      </c>
      <c r="AF1164" s="144" t="str">
        <f>IF(AE1164="","",SUM($AE$2:AE1164))</f>
        <v/>
      </c>
    </row>
    <row r="1165" spans="14:32" x14ac:dyDescent="0.35">
      <c r="N1165" s="134" t="str">
        <f t="shared" si="437"/>
        <v/>
      </c>
      <c r="O1165" s="82" t="str">
        <f t="shared" si="428"/>
        <v/>
      </c>
      <c r="P1165" s="81" t="str">
        <f t="shared" si="438"/>
        <v/>
      </c>
      <c r="Q1165" s="81" t="str">
        <f t="shared" si="429"/>
        <v/>
      </c>
      <c r="R1165" s="135" t="str">
        <f t="shared" ca="1" si="430"/>
        <v/>
      </c>
      <c r="S1165" s="134" t="str">
        <f t="shared" ca="1" si="431"/>
        <v/>
      </c>
      <c r="T1165" s="134" t="str">
        <f ca="1">IF(S1165=Dashboard!$D$12,S1165,"")</f>
        <v/>
      </c>
      <c r="U1165" s="134" t="str">
        <f t="shared" ca="1" si="432"/>
        <v/>
      </c>
      <c r="V1165" s="83" t="str">
        <f ca="1">IF(U1165="","",IFERROR((RANK(U1165,$U$2:$U$2028,1)+COUNTIF($U$2:U1165,U1165))-1,""))</f>
        <v/>
      </c>
      <c r="W1165" s="134" t="str">
        <f t="shared" si="436"/>
        <v/>
      </c>
      <c r="X1165" s="134" t="str">
        <f>IF(W1165="","",IFERROR((RANK(W1165,$W$2:$W$2028,1)+COUNTIF($W$2:W1165,W1165))-1,""))</f>
        <v/>
      </c>
      <c r="Y1165" s="134" t="str">
        <f t="shared" si="433"/>
        <v/>
      </c>
      <c r="Z1165" s="134" t="str">
        <f>IF(Y1165="","",IFERROR((RANK(Y1165,$Y$2:$Y$2028,1)+COUNTIF($Y$2:Y1165,Y1165))-1,""))</f>
        <v/>
      </c>
      <c r="AA1165" s="134" t="str">
        <f t="shared" si="434"/>
        <v/>
      </c>
      <c r="AB1165" s="134" t="str">
        <f>IF(AA1165="","",IFERROR((RANK(AA1165,$AA$2:$AA$2028,1)+COUNTIF($AA$2:AA1165,AA1165))-1,""))</f>
        <v/>
      </c>
      <c r="AC1165" s="134" t="str">
        <f t="shared" si="435"/>
        <v/>
      </c>
      <c r="AD1165" s="134" t="str">
        <f>IF(AC1165="","",IFERROR((RANK(AC1165,$AC$2:$AC$2028,1)+COUNTIF($AC$2:AC1165,AC1165))-1,""))</f>
        <v/>
      </c>
      <c r="AE1165" s="144" t="str">
        <f t="shared" si="439"/>
        <v/>
      </c>
      <c r="AF1165" s="144" t="str">
        <f>IF(AE1165="","",SUM($AE$2:AE1165))</f>
        <v/>
      </c>
    </row>
    <row r="1166" spans="14:32" x14ac:dyDescent="0.35">
      <c r="N1166" s="134" t="str">
        <f t="shared" si="437"/>
        <v/>
      </c>
      <c r="O1166" s="82" t="str">
        <f t="shared" si="428"/>
        <v/>
      </c>
      <c r="P1166" s="81" t="str">
        <f t="shared" si="438"/>
        <v/>
      </c>
      <c r="Q1166" s="81" t="str">
        <f t="shared" si="429"/>
        <v/>
      </c>
      <c r="R1166" s="135" t="str">
        <f t="shared" ca="1" si="430"/>
        <v/>
      </c>
      <c r="S1166" s="134" t="str">
        <f t="shared" ca="1" si="431"/>
        <v/>
      </c>
      <c r="T1166" s="134" t="str">
        <f ca="1">IF(S1166=Dashboard!$D$12,S1166,"")</f>
        <v/>
      </c>
      <c r="U1166" s="134" t="str">
        <f t="shared" ca="1" si="432"/>
        <v/>
      </c>
      <c r="V1166" s="83" t="str">
        <f ca="1">IF(U1166="","",IFERROR((RANK(U1166,$U$2:$U$2028,1)+COUNTIF($U$2:U1166,U1166))-1,""))</f>
        <v/>
      </c>
      <c r="W1166" s="134" t="str">
        <f t="shared" si="436"/>
        <v/>
      </c>
      <c r="X1166" s="134" t="str">
        <f>IF(W1166="","",IFERROR((RANK(W1166,$W$2:$W$2028,1)+COUNTIF($W$2:W1166,W1166))-1,""))</f>
        <v/>
      </c>
      <c r="Y1166" s="134" t="str">
        <f t="shared" si="433"/>
        <v/>
      </c>
      <c r="Z1166" s="134" t="str">
        <f>IF(Y1166="","",IFERROR((RANK(Y1166,$Y$2:$Y$2028,1)+COUNTIF($Y$2:Y1166,Y1166))-1,""))</f>
        <v/>
      </c>
      <c r="AA1166" s="134" t="str">
        <f t="shared" si="434"/>
        <v/>
      </c>
      <c r="AB1166" s="134" t="str">
        <f>IF(AA1166="","",IFERROR((RANK(AA1166,$AA$2:$AA$2028,1)+COUNTIF($AA$2:AA1166,AA1166))-1,""))</f>
        <v/>
      </c>
      <c r="AC1166" s="134" t="str">
        <f t="shared" si="435"/>
        <v/>
      </c>
      <c r="AD1166" s="134" t="str">
        <f>IF(AC1166="","",IFERROR((RANK(AC1166,$AC$2:$AC$2028,1)+COUNTIF($AC$2:AC1166,AC1166))-1,""))</f>
        <v/>
      </c>
      <c r="AE1166" s="144" t="str">
        <f t="shared" si="439"/>
        <v/>
      </c>
      <c r="AF1166" s="144" t="str">
        <f>IF(AE1166="","",SUM($AE$2:AE1166))</f>
        <v/>
      </c>
    </row>
    <row r="1167" spans="14:32" x14ac:dyDescent="0.35">
      <c r="N1167" s="134" t="str">
        <f t="shared" si="437"/>
        <v/>
      </c>
      <c r="O1167" s="82" t="str">
        <f t="shared" si="428"/>
        <v/>
      </c>
      <c r="P1167" s="81" t="str">
        <f t="shared" si="438"/>
        <v/>
      </c>
      <c r="Q1167" s="81" t="str">
        <f t="shared" si="429"/>
        <v/>
      </c>
      <c r="R1167" s="135" t="str">
        <f t="shared" ca="1" si="430"/>
        <v/>
      </c>
      <c r="S1167" s="134" t="str">
        <f t="shared" ca="1" si="431"/>
        <v/>
      </c>
      <c r="T1167" s="134" t="str">
        <f ca="1">IF(S1167=Dashboard!$D$12,S1167,"")</f>
        <v/>
      </c>
      <c r="U1167" s="134" t="str">
        <f t="shared" ca="1" si="432"/>
        <v/>
      </c>
      <c r="V1167" s="83" t="str">
        <f ca="1">IF(U1167="","",IFERROR((RANK(U1167,$U$2:$U$2028,1)+COUNTIF($U$2:U1167,U1167))-1,""))</f>
        <v/>
      </c>
      <c r="W1167" s="134" t="str">
        <f t="shared" si="436"/>
        <v/>
      </c>
      <c r="X1167" s="134" t="str">
        <f>IF(W1167="","",IFERROR((RANK(W1167,$W$2:$W$2028,1)+COUNTIF($W$2:W1167,W1167))-1,""))</f>
        <v/>
      </c>
      <c r="Y1167" s="134" t="str">
        <f t="shared" si="433"/>
        <v/>
      </c>
      <c r="Z1167" s="134" t="str">
        <f>IF(Y1167="","",IFERROR((RANK(Y1167,$Y$2:$Y$2028,1)+COUNTIF($Y$2:Y1167,Y1167))-1,""))</f>
        <v/>
      </c>
      <c r="AA1167" s="134" t="str">
        <f t="shared" si="434"/>
        <v/>
      </c>
      <c r="AB1167" s="134" t="str">
        <f>IF(AA1167="","",IFERROR((RANK(AA1167,$AA$2:$AA$2028,1)+COUNTIF($AA$2:AA1167,AA1167))-1,""))</f>
        <v/>
      </c>
      <c r="AC1167" s="134" t="str">
        <f t="shared" si="435"/>
        <v/>
      </c>
      <c r="AD1167" s="134" t="str">
        <f>IF(AC1167="","",IFERROR((RANK(AC1167,$AC$2:$AC$2028,1)+COUNTIF($AC$2:AC1167,AC1167))-1,""))</f>
        <v/>
      </c>
      <c r="AE1167" s="144" t="str">
        <f t="shared" si="439"/>
        <v/>
      </c>
      <c r="AF1167" s="144" t="str">
        <f>IF(AE1167="","",SUM($AE$2:AE1167))</f>
        <v/>
      </c>
    </row>
    <row r="1168" spans="14:32" x14ac:dyDescent="0.35">
      <c r="N1168" s="134" t="str">
        <f t="shared" si="437"/>
        <v/>
      </c>
      <c r="O1168" s="82" t="str">
        <f t="shared" si="428"/>
        <v/>
      </c>
      <c r="P1168" s="81" t="str">
        <f t="shared" si="438"/>
        <v/>
      </c>
      <c r="Q1168" s="81" t="str">
        <f t="shared" si="429"/>
        <v/>
      </c>
      <c r="R1168" s="135" t="str">
        <f t="shared" ca="1" si="430"/>
        <v/>
      </c>
      <c r="S1168" s="134" t="str">
        <f t="shared" ca="1" si="431"/>
        <v/>
      </c>
      <c r="T1168" s="134" t="str">
        <f ca="1">IF(S1168=Dashboard!$D$12,S1168,"")</f>
        <v/>
      </c>
      <c r="U1168" s="134" t="str">
        <f t="shared" ca="1" si="432"/>
        <v/>
      </c>
      <c r="V1168" s="83" t="str">
        <f ca="1">IF(U1168="","",IFERROR((RANK(U1168,$U$2:$U$2028,1)+COUNTIF($U$2:U1168,U1168))-1,""))</f>
        <v/>
      </c>
      <c r="W1168" s="134" t="str">
        <f t="shared" si="436"/>
        <v/>
      </c>
      <c r="X1168" s="134" t="str">
        <f>IF(W1168="","",IFERROR((RANK(W1168,$W$2:$W$2028,1)+COUNTIF($W$2:W1168,W1168))-1,""))</f>
        <v/>
      </c>
      <c r="Y1168" s="134" t="str">
        <f t="shared" si="433"/>
        <v/>
      </c>
      <c r="Z1168" s="134" t="str">
        <f>IF(Y1168="","",IFERROR((RANK(Y1168,$Y$2:$Y$2028,1)+COUNTIF($Y$2:Y1168,Y1168))-1,""))</f>
        <v/>
      </c>
      <c r="AA1168" s="134" t="str">
        <f t="shared" si="434"/>
        <v/>
      </c>
      <c r="AB1168" s="134" t="str">
        <f>IF(AA1168="","",IFERROR((RANK(AA1168,$AA$2:$AA$2028,1)+COUNTIF($AA$2:AA1168,AA1168))-1,""))</f>
        <v/>
      </c>
      <c r="AC1168" s="134" t="str">
        <f t="shared" si="435"/>
        <v/>
      </c>
      <c r="AD1168" s="134" t="str">
        <f>IF(AC1168="","",IFERROR((RANK(AC1168,$AC$2:$AC$2028,1)+COUNTIF($AC$2:AC1168,AC1168))-1,""))</f>
        <v/>
      </c>
      <c r="AE1168" s="144" t="str">
        <f t="shared" si="439"/>
        <v/>
      </c>
      <c r="AF1168" s="144" t="str">
        <f>IF(AE1168="","",SUM($AE$2:AE1168))</f>
        <v/>
      </c>
    </row>
    <row r="1169" spans="14:32" x14ac:dyDescent="0.35">
      <c r="N1169" s="134" t="str">
        <f t="shared" si="437"/>
        <v/>
      </c>
      <c r="O1169" s="82" t="str">
        <f t="shared" si="428"/>
        <v/>
      </c>
      <c r="P1169" s="81" t="str">
        <f t="shared" si="438"/>
        <v/>
      </c>
      <c r="Q1169" s="81" t="str">
        <f t="shared" si="429"/>
        <v/>
      </c>
      <c r="R1169" s="135" t="str">
        <f t="shared" ca="1" si="430"/>
        <v/>
      </c>
      <c r="S1169" s="134" t="str">
        <f t="shared" ca="1" si="431"/>
        <v/>
      </c>
      <c r="T1169" s="134" t="str">
        <f ca="1">IF(S1169=Dashboard!$D$12,S1169,"")</f>
        <v/>
      </c>
      <c r="U1169" s="134" t="str">
        <f t="shared" ca="1" si="432"/>
        <v/>
      </c>
      <c r="V1169" s="83" t="str">
        <f ca="1">IF(U1169="","",IFERROR((RANK(U1169,$U$2:$U$2028,1)+COUNTIF($U$2:U1169,U1169))-1,""))</f>
        <v/>
      </c>
      <c r="W1169" s="134" t="str">
        <f t="shared" si="436"/>
        <v/>
      </c>
      <c r="X1169" s="134" t="str">
        <f>IF(W1169="","",IFERROR((RANK(W1169,$W$2:$W$2028,1)+COUNTIF($W$2:W1169,W1169))-1,""))</f>
        <v/>
      </c>
      <c r="Y1169" s="134" t="str">
        <f t="shared" si="433"/>
        <v/>
      </c>
      <c r="Z1169" s="134" t="str">
        <f>IF(Y1169="","",IFERROR((RANK(Y1169,$Y$2:$Y$2028,1)+COUNTIF($Y$2:Y1169,Y1169))-1,""))</f>
        <v/>
      </c>
      <c r="AA1169" s="134" t="str">
        <f t="shared" si="434"/>
        <v/>
      </c>
      <c r="AB1169" s="134" t="str">
        <f>IF(AA1169="","",IFERROR((RANK(AA1169,$AA$2:$AA$2028,1)+COUNTIF($AA$2:AA1169,AA1169))-1,""))</f>
        <v/>
      </c>
      <c r="AC1169" s="134" t="str">
        <f t="shared" si="435"/>
        <v/>
      </c>
      <c r="AD1169" s="134" t="str">
        <f>IF(AC1169="","",IFERROR((RANK(AC1169,$AC$2:$AC$2028,1)+COUNTIF($AC$2:AC1169,AC1169))-1,""))</f>
        <v/>
      </c>
      <c r="AE1169" s="144" t="str">
        <f t="shared" si="439"/>
        <v/>
      </c>
      <c r="AF1169" s="144" t="str">
        <f>IF(AE1169="","",SUM($AE$2:AE1169))</f>
        <v/>
      </c>
    </row>
    <row r="1170" spans="14:32" x14ac:dyDescent="0.35">
      <c r="N1170" s="134" t="str">
        <f t="shared" si="437"/>
        <v/>
      </c>
      <c r="O1170" s="82" t="str">
        <f t="shared" si="428"/>
        <v/>
      </c>
      <c r="P1170" s="81" t="str">
        <f t="shared" si="438"/>
        <v/>
      </c>
      <c r="Q1170" s="81" t="str">
        <f t="shared" si="429"/>
        <v/>
      </c>
      <c r="R1170" s="135" t="str">
        <f t="shared" ca="1" si="430"/>
        <v/>
      </c>
      <c r="S1170" s="134" t="str">
        <f t="shared" ca="1" si="431"/>
        <v/>
      </c>
      <c r="T1170" s="134" t="str">
        <f ca="1">IF(S1170=Dashboard!$D$12,S1170,"")</f>
        <v/>
      </c>
      <c r="U1170" s="134" t="str">
        <f t="shared" ca="1" si="432"/>
        <v/>
      </c>
      <c r="V1170" s="83" t="str">
        <f ca="1">IF(U1170="","",IFERROR((RANK(U1170,$U$2:$U$2028,1)+COUNTIF($U$2:U1170,U1170))-1,""))</f>
        <v/>
      </c>
      <c r="W1170" s="134" t="str">
        <f t="shared" si="436"/>
        <v/>
      </c>
      <c r="X1170" s="134" t="str">
        <f>IF(W1170="","",IFERROR((RANK(W1170,$W$2:$W$2028,1)+COUNTIF($W$2:W1170,W1170))-1,""))</f>
        <v/>
      </c>
      <c r="Y1170" s="134" t="str">
        <f t="shared" si="433"/>
        <v/>
      </c>
      <c r="Z1170" s="134" t="str">
        <f>IF(Y1170="","",IFERROR((RANK(Y1170,$Y$2:$Y$2028,1)+COUNTIF($Y$2:Y1170,Y1170))-1,""))</f>
        <v/>
      </c>
      <c r="AA1170" s="134" t="str">
        <f t="shared" si="434"/>
        <v/>
      </c>
      <c r="AB1170" s="134" t="str">
        <f>IF(AA1170="","",IFERROR((RANK(AA1170,$AA$2:$AA$2028,1)+COUNTIF($AA$2:AA1170,AA1170))-1,""))</f>
        <v/>
      </c>
      <c r="AC1170" s="134" t="str">
        <f t="shared" si="435"/>
        <v/>
      </c>
      <c r="AD1170" s="134" t="str">
        <f>IF(AC1170="","",IFERROR((RANK(AC1170,$AC$2:$AC$2028,1)+COUNTIF($AC$2:AC1170,AC1170))-1,""))</f>
        <v/>
      </c>
      <c r="AE1170" s="144" t="str">
        <f t="shared" si="439"/>
        <v/>
      </c>
      <c r="AF1170" s="144" t="str">
        <f>IF(AE1170="","",SUM($AE$2:AE1170))</f>
        <v/>
      </c>
    </row>
    <row r="1171" spans="14:32" x14ac:dyDescent="0.35">
      <c r="N1171" s="134" t="str">
        <f t="shared" si="437"/>
        <v/>
      </c>
      <c r="O1171" s="82" t="str">
        <f t="shared" si="428"/>
        <v/>
      </c>
      <c r="P1171" s="81" t="str">
        <f t="shared" si="438"/>
        <v/>
      </c>
      <c r="Q1171" s="81" t="str">
        <f t="shared" si="429"/>
        <v/>
      </c>
      <c r="R1171" s="135" t="str">
        <f t="shared" ca="1" si="430"/>
        <v/>
      </c>
      <c r="S1171" s="134" t="str">
        <f t="shared" ca="1" si="431"/>
        <v/>
      </c>
      <c r="T1171" s="134" t="str">
        <f ca="1">IF(S1171=Dashboard!$D$12,S1171,"")</f>
        <v/>
      </c>
      <c r="U1171" s="134" t="str">
        <f t="shared" ca="1" si="432"/>
        <v/>
      </c>
      <c r="V1171" s="83" t="str">
        <f ca="1">IF(U1171="","",IFERROR((RANK(U1171,$U$2:$U$2028,1)+COUNTIF($U$2:U1171,U1171))-1,""))</f>
        <v/>
      </c>
      <c r="W1171" s="134" t="str">
        <f t="shared" si="436"/>
        <v/>
      </c>
      <c r="X1171" s="134" t="str">
        <f>IF(W1171="","",IFERROR((RANK(W1171,$W$2:$W$2028,1)+COUNTIF($W$2:W1171,W1171))-1,""))</f>
        <v/>
      </c>
      <c r="Y1171" s="134" t="str">
        <f t="shared" si="433"/>
        <v/>
      </c>
      <c r="Z1171" s="134" t="str">
        <f>IF(Y1171="","",IFERROR((RANK(Y1171,$Y$2:$Y$2028,1)+COUNTIF($Y$2:Y1171,Y1171))-1,""))</f>
        <v/>
      </c>
      <c r="AA1171" s="134" t="str">
        <f t="shared" si="434"/>
        <v/>
      </c>
      <c r="AB1171" s="134" t="str">
        <f>IF(AA1171="","",IFERROR((RANK(AA1171,$AA$2:$AA$2028,1)+COUNTIF($AA$2:AA1171,AA1171))-1,""))</f>
        <v/>
      </c>
      <c r="AC1171" s="134" t="str">
        <f t="shared" si="435"/>
        <v/>
      </c>
      <c r="AD1171" s="134" t="str">
        <f>IF(AC1171="","",IFERROR((RANK(AC1171,$AC$2:$AC$2028,1)+COUNTIF($AC$2:AC1171,AC1171))-1,""))</f>
        <v/>
      </c>
      <c r="AE1171" s="144" t="str">
        <f t="shared" si="439"/>
        <v/>
      </c>
      <c r="AF1171" s="144" t="str">
        <f>IF(AE1171="","",SUM($AE$2:AE1171))</f>
        <v/>
      </c>
    </row>
    <row r="1172" spans="14:32" x14ac:dyDescent="0.35">
      <c r="N1172" s="134" t="str">
        <f t="shared" si="437"/>
        <v/>
      </c>
      <c r="O1172" s="82" t="str">
        <f t="shared" si="428"/>
        <v/>
      </c>
      <c r="P1172" s="81" t="str">
        <f t="shared" si="438"/>
        <v/>
      </c>
      <c r="Q1172" s="81" t="str">
        <f t="shared" si="429"/>
        <v/>
      </c>
      <c r="R1172" s="135" t="str">
        <f t="shared" ca="1" si="430"/>
        <v/>
      </c>
      <c r="S1172" s="134" t="str">
        <f t="shared" ca="1" si="431"/>
        <v/>
      </c>
      <c r="T1172" s="134" t="str">
        <f ca="1">IF(S1172=Dashboard!$D$12,S1172,"")</f>
        <v/>
      </c>
      <c r="U1172" s="134" t="str">
        <f t="shared" ca="1" si="432"/>
        <v/>
      </c>
      <c r="V1172" s="83" t="str">
        <f ca="1">IF(U1172="","",IFERROR((RANK(U1172,$U$2:$U$2028,1)+COUNTIF($U$2:U1172,U1172))-1,""))</f>
        <v/>
      </c>
      <c r="W1172" s="134" t="str">
        <f t="shared" si="436"/>
        <v/>
      </c>
      <c r="X1172" s="134" t="str">
        <f>IF(W1172="","",IFERROR((RANK(W1172,$W$2:$W$2028,1)+COUNTIF($W$2:W1172,W1172))-1,""))</f>
        <v/>
      </c>
      <c r="Y1172" s="134" t="str">
        <f t="shared" si="433"/>
        <v/>
      </c>
      <c r="Z1172" s="134" t="str">
        <f>IF(Y1172="","",IFERROR((RANK(Y1172,$Y$2:$Y$2028,1)+COUNTIF($Y$2:Y1172,Y1172))-1,""))</f>
        <v/>
      </c>
      <c r="AA1172" s="134" t="str">
        <f t="shared" si="434"/>
        <v/>
      </c>
      <c r="AB1172" s="134" t="str">
        <f>IF(AA1172="","",IFERROR((RANK(AA1172,$AA$2:$AA$2028,1)+COUNTIF($AA$2:AA1172,AA1172))-1,""))</f>
        <v/>
      </c>
      <c r="AC1172" s="134" t="str">
        <f t="shared" si="435"/>
        <v/>
      </c>
      <c r="AD1172" s="134" t="str">
        <f>IF(AC1172="","",IFERROR((RANK(AC1172,$AC$2:$AC$2028,1)+COUNTIF($AC$2:AC1172,AC1172))-1,""))</f>
        <v/>
      </c>
      <c r="AE1172" s="144" t="str">
        <f t="shared" si="439"/>
        <v/>
      </c>
      <c r="AF1172" s="144" t="str">
        <f>IF(AE1172="","",SUM($AE$2:AE1172))</f>
        <v/>
      </c>
    </row>
    <row r="1173" spans="14:32" x14ac:dyDescent="0.35">
      <c r="N1173" s="134" t="str">
        <f t="shared" si="437"/>
        <v/>
      </c>
      <c r="O1173" s="82" t="str">
        <f t="shared" si="428"/>
        <v/>
      </c>
      <c r="P1173" s="81" t="str">
        <f t="shared" si="438"/>
        <v/>
      </c>
      <c r="Q1173" s="81" t="str">
        <f t="shared" si="429"/>
        <v/>
      </c>
      <c r="R1173" s="135" t="str">
        <f t="shared" ca="1" si="430"/>
        <v/>
      </c>
      <c r="S1173" s="134" t="str">
        <f t="shared" ca="1" si="431"/>
        <v/>
      </c>
      <c r="T1173" s="134" t="str">
        <f ca="1">IF(S1173=Dashboard!$D$12,S1173,"")</f>
        <v/>
      </c>
      <c r="U1173" s="134" t="str">
        <f t="shared" ca="1" si="432"/>
        <v/>
      </c>
      <c r="V1173" s="83" t="str">
        <f ca="1">IF(U1173="","",IFERROR((RANK(U1173,$U$2:$U$2028,1)+COUNTIF($U$2:U1173,U1173))-1,""))</f>
        <v/>
      </c>
      <c r="W1173" s="134" t="str">
        <f t="shared" si="436"/>
        <v/>
      </c>
      <c r="X1173" s="134" t="str">
        <f>IF(W1173="","",IFERROR((RANK(W1173,$W$2:$W$2028,1)+COUNTIF($W$2:W1173,W1173))-1,""))</f>
        <v/>
      </c>
      <c r="Y1173" s="134" t="str">
        <f t="shared" si="433"/>
        <v/>
      </c>
      <c r="Z1173" s="134" t="str">
        <f>IF(Y1173="","",IFERROR((RANK(Y1173,$Y$2:$Y$2028,1)+COUNTIF($Y$2:Y1173,Y1173))-1,""))</f>
        <v/>
      </c>
      <c r="AA1173" s="134" t="str">
        <f t="shared" si="434"/>
        <v/>
      </c>
      <c r="AB1173" s="134" t="str">
        <f>IF(AA1173="","",IFERROR((RANK(AA1173,$AA$2:$AA$2028,1)+COUNTIF($AA$2:AA1173,AA1173))-1,""))</f>
        <v/>
      </c>
      <c r="AC1173" s="134" t="str">
        <f t="shared" si="435"/>
        <v/>
      </c>
      <c r="AD1173" s="134" t="str">
        <f>IF(AC1173="","",IFERROR((RANK(AC1173,$AC$2:$AC$2028,1)+COUNTIF($AC$2:AC1173,AC1173))-1,""))</f>
        <v/>
      </c>
      <c r="AE1173" s="144" t="str">
        <f t="shared" si="439"/>
        <v/>
      </c>
      <c r="AF1173" s="144" t="str">
        <f>IF(AE1173="","",SUM($AE$2:AE1173))</f>
        <v/>
      </c>
    </row>
    <row r="1174" spans="14:32" x14ac:dyDescent="0.35">
      <c r="N1174" s="134" t="str">
        <f t="shared" si="437"/>
        <v/>
      </c>
      <c r="O1174" s="82" t="str">
        <f t="shared" si="428"/>
        <v/>
      </c>
      <c r="P1174" s="81" t="str">
        <f t="shared" si="438"/>
        <v/>
      </c>
      <c r="Q1174" s="81" t="str">
        <f t="shared" si="429"/>
        <v/>
      </c>
      <c r="R1174" s="135" t="str">
        <f t="shared" ca="1" si="430"/>
        <v/>
      </c>
      <c r="S1174" s="134" t="str">
        <f t="shared" ca="1" si="431"/>
        <v/>
      </c>
      <c r="T1174" s="134" t="str">
        <f ca="1">IF(S1174=Dashboard!$D$12,S1174,"")</f>
        <v/>
      </c>
      <c r="U1174" s="134" t="str">
        <f t="shared" ca="1" si="432"/>
        <v/>
      </c>
      <c r="V1174" s="83" t="str">
        <f ca="1">IF(U1174="","",IFERROR((RANK(U1174,$U$2:$U$2028,1)+COUNTIF($U$2:U1174,U1174))-1,""))</f>
        <v/>
      </c>
      <c r="W1174" s="134" t="str">
        <f t="shared" si="436"/>
        <v/>
      </c>
      <c r="X1174" s="134" t="str">
        <f>IF(W1174="","",IFERROR((RANK(W1174,$W$2:$W$2028,1)+COUNTIF($W$2:W1174,W1174))-1,""))</f>
        <v/>
      </c>
      <c r="Y1174" s="134" t="str">
        <f t="shared" si="433"/>
        <v/>
      </c>
      <c r="Z1174" s="134" t="str">
        <f>IF(Y1174="","",IFERROR((RANK(Y1174,$Y$2:$Y$2028,1)+COUNTIF($Y$2:Y1174,Y1174))-1,""))</f>
        <v/>
      </c>
      <c r="AA1174" s="134" t="str">
        <f t="shared" si="434"/>
        <v/>
      </c>
      <c r="AB1174" s="134" t="str">
        <f>IF(AA1174="","",IFERROR((RANK(AA1174,$AA$2:$AA$2028,1)+COUNTIF($AA$2:AA1174,AA1174))-1,""))</f>
        <v/>
      </c>
      <c r="AC1174" s="134" t="str">
        <f t="shared" si="435"/>
        <v/>
      </c>
      <c r="AD1174" s="134" t="str">
        <f>IF(AC1174="","",IFERROR((RANK(AC1174,$AC$2:$AC$2028,1)+COUNTIF($AC$2:AC1174,AC1174))-1,""))</f>
        <v/>
      </c>
      <c r="AE1174" s="144" t="str">
        <f t="shared" si="439"/>
        <v/>
      </c>
      <c r="AF1174" s="144" t="str">
        <f>IF(AE1174="","",SUM($AE$2:AE1174))</f>
        <v/>
      </c>
    </row>
    <row r="1175" spans="14:32" x14ac:dyDescent="0.35">
      <c r="N1175" s="134" t="str">
        <f t="shared" si="437"/>
        <v/>
      </c>
      <c r="O1175" s="82" t="str">
        <f t="shared" si="428"/>
        <v/>
      </c>
      <c r="P1175" s="81" t="str">
        <f t="shared" si="438"/>
        <v/>
      </c>
      <c r="Q1175" s="81" t="str">
        <f t="shared" si="429"/>
        <v/>
      </c>
      <c r="R1175" s="135" t="str">
        <f t="shared" ca="1" si="430"/>
        <v/>
      </c>
      <c r="S1175" s="134" t="str">
        <f t="shared" ca="1" si="431"/>
        <v/>
      </c>
      <c r="T1175" s="134" t="str">
        <f ca="1">IF(S1175=Dashboard!$D$12,S1175,"")</f>
        <v/>
      </c>
      <c r="U1175" s="134" t="str">
        <f t="shared" ca="1" si="432"/>
        <v/>
      </c>
      <c r="V1175" s="83" t="str">
        <f ca="1">IF(U1175="","",IFERROR((RANK(U1175,$U$2:$U$2028,1)+COUNTIF($U$2:U1175,U1175))-1,""))</f>
        <v/>
      </c>
      <c r="W1175" s="134" t="str">
        <f t="shared" si="436"/>
        <v/>
      </c>
      <c r="X1175" s="134" t="str">
        <f>IF(W1175="","",IFERROR((RANK(W1175,$W$2:$W$2028,1)+COUNTIF($W$2:W1175,W1175))-1,""))</f>
        <v/>
      </c>
      <c r="Y1175" s="134" t="str">
        <f t="shared" si="433"/>
        <v/>
      </c>
      <c r="Z1175" s="134" t="str">
        <f>IF(Y1175="","",IFERROR((RANK(Y1175,$Y$2:$Y$2028,1)+COUNTIF($Y$2:Y1175,Y1175))-1,""))</f>
        <v/>
      </c>
      <c r="AA1175" s="134" t="str">
        <f t="shared" si="434"/>
        <v/>
      </c>
      <c r="AB1175" s="134" t="str">
        <f>IF(AA1175="","",IFERROR((RANK(AA1175,$AA$2:$AA$2028,1)+COUNTIF($AA$2:AA1175,AA1175))-1,""))</f>
        <v/>
      </c>
      <c r="AC1175" s="134" t="str">
        <f t="shared" si="435"/>
        <v/>
      </c>
      <c r="AD1175" s="134" t="str">
        <f>IF(AC1175="","",IFERROR((RANK(AC1175,$AC$2:$AC$2028,1)+COUNTIF($AC$2:AC1175,AC1175))-1,""))</f>
        <v/>
      </c>
      <c r="AE1175" s="144" t="str">
        <f t="shared" si="439"/>
        <v/>
      </c>
      <c r="AF1175" s="144" t="str">
        <f>IF(AE1175="","",SUM($AE$2:AE1175))</f>
        <v/>
      </c>
    </row>
    <row r="1176" spans="14:32" x14ac:dyDescent="0.35">
      <c r="N1176" s="134" t="str">
        <f t="shared" si="437"/>
        <v/>
      </c>
      <c r="O1176" s="82" t="str">
        <f t="shared" si="428"/>
        <v/>
      </c>
      <c r="P1176" s="81" t="str">
        <f t="shared" si="438"/>
        <v/>
      </c>
      <c r="Q1176" s="81" t="str">
        <f t="shared" si="429"/>
        <v/>
      </c>
      <c r="R1176" s="135" t="str">
        <f t="shared" ca="1" si="430"/>
        <v/>
      </c>
      <c r="S1176" s="134" t="str">
        <f t="shared" ca="1" si="431"/>
        <v/>
      </c>
      <c r="T1176" s="134" t="str">
        <f ca="1">IF(S1176=Dashboard!$D$12,S1176,"")</f>
        <v/>
      </c>
      <c r="U1176" s="134" t="str">
        <f t="shared" ca="1" si="432"/>
        <v/>
      </c>
      <c r="V1176" s="83" t="str">
        <f ca="1">IF(U1176="","",IFERROR((RANK(U1176,$U$2:$U$2028,1)+COUNTIF($U$2:U1176,U1176))-1,""))</f>
        <v/>
      </c>
      <c r="W1176" s="134" t="str">
        <f t="shared" si="436"/>
        <v/>
      </c>
      <c r="X1176" s="134" t="str">
        <f>IF(W1176="","",IFERROR((RANK(W1176,$W$2:$W$2028,1)+COUNTIF($W$2:W1176,W1176))-1,""))</f>
        <v/>
      </c>
      <c r="Y1176" s="134" t="str">
        <f t="shared" si="433"/>
        <v/>
      </c>
      <c r="Z1176" s="134" t="str">
        <f>IF(Y1176="","",IFERROR((RANK(Y1176,$Y$2:$Y$2028,1)+COUNTIF($Y$2:Y1176,Y1176))-1,""))</f>
        <v/>
      </c>
      <c r="AA1176" s="134" t="str">
        <f t="shared" si="434"/>
        <v/>
      </c>
      <c r="AB1176" s="134" t="str">
        <f>IF(AA1176="","",IFERROR((RANK(AA1176,$AA$2:$AA$2028,1)+COUNTIF($AA$2:AA1176,AA1176))-1,""))</f>
        <v/>
      </c>
      <c r="AC1176" s="134" t="str">
        <f t="shared" si="435"/>
        <v/>
      </c>
      <c r="AD1176" s="134" t="str">
        <f>IF(AC1176="","",IFERROR((RANK(AC1176,$AC$2:$AC$2028,1)+COUNTIF($AC$2:AC1176,AC1176))-1,""))</f>
        <v/>
      </c>
      <c r="AE1176" s="144" t="str">
        <f t="shared" si="439"/>
        <v/>
      </c>
      <c r="AF1176" s="144" t="str">
        <f>IF(AE1176="","",SUM($AE$2:AE1176))</f>
        <v/>
      </c>
    </row>
    <row r="1177" spans="14:32" x14ac:dyDescent="0.35">
      <c r="N1177" s="134" t="str">
        <f t="shared" si="437"/>
        <v/>
      </c>
      <c r="O1177" s="82" t="str">
        <f t="shared" si="428"/>
        <v/>
      </c>
      <c r="P1177" s="81" t="str">
        <f t="shared" si="438"/>
        <v/>
      </c>
      <c r="Q1177" s="81" t="str">
        <f t="shared" si="429"/>
        <v/>
      </c>
      <c r="R1177" s="135" t="str">
        <f t="shared" ca="1" si="430"/>
        <v/>
      </c>
      <c r="S1177" s="134" t="str">
        <f t="shared" ca="1" si="431"/>
        <v/>
      </c>
      <c r="T1177" s="134" t="str">
        <f ca="1">IF(S1177=Dashboard!$D$12,S1177,"")</f>
        <v/>
      </c>
      <c r="U1177" s="134" t="str">
        <f t="shared" ca="1" si="432"/>
        <v/>
      </c>
      <c r="V1177" s="83" t="str">
        <f ca="1">IF(U1177="","",IFERROR((RANK(U1177,$U$2:$U$2028,1)+COUNTIF($U$2:U1177,U1177))-1,""))</f>
        <v/>
      </c>
      <c r="W1177" s="134" t="str">
        <f t="shared" si="436"/>
        <v/>
      </c>
      <c r="X1177" s="134" t="str">
        <f>IF(W1177="","",IFERROR((RANK(W1177,$W$2:$W$2028,1)+COUNTIF($W$2:W1177,W1177))-1,""))</f>
        <v/>
      </c>
      <c r="Y1177" s="134" t="str">
        <f t="shared" si="433"/>
        <v/>
      </c>
      <c r="Z1177" s="134" t="str">
        <f>IF(Y1177="","",IFERROR((RANK(Y1177,$Y$2:$Y$2028,1)+COUNTIF($Y$2:Y1177,Y1177))-1,""))</f>
        <v/>
      </c>
      <c r="AA1177" s="134" t="str">
        <f t="shared" si="434"/>
        <v/>
      </c>
      <c r="AB1177" s="134" t="str">
        <f>IF(AA1177="","",IFERROR((RANK(AA1177,$AA$2:$AA$2028,1)+COUNTIF($AA$2:AA1177,AA1177))-1,""))</f>
        <v/>
      </c>
      <c r="AC1177" s="134" t="str">
        <f t="shared" si="435"/>
        <v/>
      </c>
      <c r="AD1177" s="134" t="str">
        <f>IF(AC1177="","",IFERROR((RANK(AC1177,$AC$2:$AC$2028,1)+COUNTIF($AC$2:AC1177,AC1177))-1,""))</f>
        <v/>
      </c>
      <c r="AE1177" s="144" t="str">
        <f t="shared" si="439"/>
        <v/>
      </c>
      <c r="AF1177" s="144" t="str">
        <f>IF(AE1177="","",SUM($AE$2:AE1177))</f>
        <v/>
      </c>
    </row>
    <row r="1178" spans="14:32" x14ac:dyDescent="0.35">
      <c r="N1178" s="134" t="str">
        <f t="shared" si="437"/>
        <v/>
      </c>
      <c r="O1178" s="82" t="str">
        <f t="shared" si="428"/>
        <v/>
      </c>
      <c r="P1178" s="81" t="str">
        <f t="shared" si="438"/>
        <v/>
      </c>
      <c r="Q1178" s="81" t="str">
        <f t="shared" si="429"/>
        <v/>
      </c>
      <c r="R1178" s="135" t="str">
        <f t="shared" ca="1" si="430"/>
        <v/>
      </c>
      <c r="S1178" s="134" t="str">
        <f t="shared" ca="1" si="431"/>
        <v/>
      </c>
      <c r="T1178" s="134" t="str">
        <f ca="1">IF(S1178=Dashboard!$D$12,S1178,"")</f>
        <v/>
      </c>
      <c r="U1178" s="134" t="str">
        <f t="shared" ca="1" si="432"/>
        <v/>
      </c>
      <c r="V1178" s="83" t="str">
        <f ca="1">IF(U1178="","",IFERROR((RANK(U1178,$U$2:$U$2028,1)+COUNTIF($U$2:U1178,U1178))-1,""))</f>
        <v/>
      </c>
      <c r="W1178" s="134" t="str">
        <f t="shared" si="436"/>
        <v/>
      </c>
      <c r="X1178" s="134" t="str">
        <f>IF(W1178="","",IFERROR((RANK(W1178,$W$2:$W$2028,1)+COUNTIF($W$2:W1178,W1178))-1,""))</f>
        <v/>
      </c>
      <c r="Y1178" s="134" t="str">
        <f t="shared" si="433"/>
        <v/>
      </c>
      <c r="Z1178" s="134" t="str">
        <f>IF(Y1178="","",IFERROR((RANK(Y1178,$Y$2:$Y$2028,1)+COUNTIF($Y$2:Y1178,Y1178))-1,""))</f>
        <v/>
      </c>
      <c r="AA1178" s="134" t="str">
        <f t="shared" si="434"/>
        <v/>
      </c>
      <c r="AB1178" s="134" t="str">
        <f>IF(AA1178="","",IFERROR((RANK(AA1178,$AA$2:$AA$2028,1)+COUNTIF($AA$2:AA1178,AA1178))-1,""))</f>
        <v/>
      </c>
      <c r="AC1178" s="134" t="str">
        <f t="shared" si="435"/>
        <v/>
      </c>
      <c r="AD1178" s="134" t="str">
        <f>IF(AC1178="","",IFERROR((RANK(AC1178,$AC$2:$AC$2028,1)+COUNTIF($AC$2:AC1178,AC1178))-1,""))</f>
        <v/>
      </c>
      <c r="AE1178" s="144" t="str">
        <f t="shared" si="439"/>
        <v/>
      </c>
      <c r="AF1178" s="144" t="str">
        <f>IF(AE1178="","",SUM($AE$2:AE1178))</f>
        <v/>
      </c>
    </row>
    <row r="1179" spans="14:32" x14ac:dyDescent="0.35">
      <c r="N1179" s="134" t="str">
        <f t="shared" si="437"/>
        <v/>
      </c>
      <c r="O1179" s="82" t="str">
        <f t="shared" si="428"/>
        <v/>
      </c>
      <c r="P1179" s="81" t="str">
        <f t="shared" si="438"/>
        <v/>
      </c>
      <c r="Q1179" s="81" t="str">
        <f t="shared" si="429"/>
        <v/>
      </c>
      <c r="R1179" s="135" t="str">
        <f t="shared" ca="1" si="430"/>
        <v/>
      </c>
      <c r="S1179" s="134" t="str">
        <f t="shared" ca="1" si="431"/>
        <v/>
      </c>
      <c r="T1179" s="134" t="str">
        <f ca="1">IF(S1179=Dashboard!$D$12,S1179,"")</f>
        <v/>
      </c>
      <c r="U1179" s="134" t="str">
        <f t="shared" ca="1" si="432"/>
        <v/>
      </c>
      <c r="V1179" s="83" t="str">
        <f ca="1">IF(U1179="","",IFERROR((RANK(U1179,$U$2:$U$2028,1)+COUNTIF($U$2:U1179,U1179))-1,""))</f>
        <v/>
      </c>
      <c r="W1179" s="134" t="str">
        <f t="shared" si="436"/>
        <v/>
      </c>
      <c r="X1179" s="134" t="str">
        <f>IF(W1179="","",IFERROR((RANK(W1179,$W$2:$W$2028,1)+COUNTIF($W$2:W1179,W1179))-1,""))</f>
        <v/>
      </c>
      <c r="Y1179" s="134" t="str">
        <f t="shared" si="433"/>
        <v/>
      </c>
      <c r="Z1179" s="134" t="str">
        <f>IF(Y1179="","",IFERROR((RANK(Y1179,$Y$2:$Y$2028,1)+COUNTIF($Y$2:Y1179,Y1179))-1,""))</f>
        <v/>
      </c>
      <c r="AA1179" s="134" t="str">
        <f t="shared" si="434"/>
        <v/>
      </c>
      <c r="AB1179" s="134" t="str">
        <f>IF(AA1179="","",IFERROR((RANK(AA1179,$AA$2:$AA$2028,1)+COUNTIF($AA$2:AA1179,AA1179))-1,""))</f>
        <v/>
      </c>
      <c r="AC1179" s="134" t="str">
        <f t="shared" si="435"/>
        <v/>
      </c>
      <c r="AD1179" s="134" t="str">
        <f>IF(AC1179="","",IFERROR((RANK(AC1179,$AC$2:$AC$2028,1)+COUNTIF($AC$2:AC1179,AC1179))-1,""))</f>
        <v/>
      </c>
      <c r="AE1179" s="144" t="str">
        <f t="shared" si="439"/>
        <v/>
      </c>
      <c r="AF1179" s="144" t="str">
        <f>IF(AE1179="","",SUM($AE$2:AE1179))</f>
        <v/>
      </c>
    </row>
    <row r="1180" spans="14:32" x14ac:dyDescent="0.35">
      <c r="N1180" s="134" t="str">
        <f t="shared" si="437"/>
        <v/>
      </c>
      <c r="O1180" s="82" t="str">
        <f t="shared" si="428"/>
        <v/>
      </c>
      <c r="P1180" s="81" t="str">
        <f t="shared" si="438"/>
        <v/>
      </c>
      <c r="Q1180" s="81" t="str">
        <f t="shared" si="429"/>
        <v/>
      </c>
      <c r="R1180" s="135" t="str">
        <f t="shared" ca="1" si="430"/>
        <v/>
      </c>
      <c r="S1180" s="134" t="str">
        <f t="shared" ca="1" si="431"/>
        <v/>
      </c>
      <c r="T1180" s="134" t="str">
        <f ca="1">IF(S1180=Dashboard!$D$12,S1180,"")</f>
        <v/>
      </c>
      <c r="U1180" s="134" t="str">
        <f t="shared" ca="1" si="432"/>
        <v/>
      </c>
      <c r="V1180" s="83" t="str">
        <f ca="1">IF(U1180="","",IFERROR((RANK(U1180,$U$2:$U$2028,1)+COUNTIF($U$2:U1180,U1180))-1,""))</f>
        <v/>
      </c>
      <c r="W1180" s="134" t="str">
        <f t="shared" si="436"/>
        <v/>
      </c>
      <c r="X1180" s="134" t="str">
        <f>IF(W1180="","",IFERROR((RANK(W1180,$W$2:$W$2028,1)+COUNTIF($W$2:W1180,W1180))-1,""))</f>
        <v/>
      </c>
      <c r="Y1180" s="134" t="str">
        <f t="shared" si="433"/>
        <v/>
      </c>
      <c r="Z1180" s="134" t="str">
        <f>IF(Y1180="","",IFERROR((RANK(Y1180,$Y$2:$Y$2028,1)+COUNTIF($Y$2:Y1180,Y1180))-1,""))</f>
        <v/>
      </c>
      <c r="AA1180" s="134" t="str">
        <f t="shared" si="434"/>
        <v/>
      </c>
      <c r="AB1180" s="134" t="str">
        <f>IF(AA1180="","",IFERROR((RANK(AA1180,$AA$2:$AA$2028,1)+COUNTIF($AA$2:AA1180,AA1180))-1,""))</f>
        <v/>
      </c>
      <c r="AC1180" s="134" t="str">
        <f t="shared" si="435"/>
        <v/>
      </c>
      <c r="AD1180" s="134" t="str">
        <f>IF(AC1180="","",IFERROR((RANK(AC1180,$AC$2:$AC$2028,1)+COUNTIF($AC$2:AC1180,AC1180))-1,""))</f>
        <v/>
      </c>
      <c r="AE1180" s="144" t="str">
        <f t="shared" si="439"/>
        <v/>
      </c>
      <c r="AF1180" s="144" t="str">
        <f>IF(AE1180="","",SUM($AE$2:AE1180))</f>
        <v/>
      </c>
    </row>
    <row r="1181" spans="14:32" x14ac:dyDescent="0.35">
      <c r="N1181" s="134" t="str">
        <f t="shared" si="437"/>
        <v/>
      </c>
      <c r="O1181" s="82" t="str">
        <f t="shared" si="428"/>
        <v/>
      </c>
      <c r="P1181" s="81" t="str">
        <f t="shared" si="438"/>
        <v/>
      </c>
      <c r="Q1181" s="81" t="str">
        <f t="shared" si="429"/>
        <v/>
      </c>
      <c r="R1181" s="135" t="str">
        <f t="shared" ca="1" si="430"/>
        <v/>
      </c>
      <c r="S1181" s="134" t="str">
        <f t="shared" ca="1" si="431"/>
        <v/>
      </c>
      <c r="T1181" s="134" t="str">
        <f ca="1">IF(S1181=Dashboard!$D$12,S1181,"")</f>
        <v/>
      </c>
      <c r="U1181" s="134" t="str">
        <f t="shared" ca="1" si="432"/>
        <v/>
      </c>
      <c r="V1181" s="83" t="str">
        <f ca="1">IF(U1181="","",IFERROR((RANK(U1181,$U$2:$U$2028,1)+COUNTIF($U$2:U1181,U1181))-1,""))</f>
        <v/>
      </c>
      <c r="W1181" s="134" t="str">
        <f t="shared" si="436"/>
        <v/>
      </c>
      <c r="X1181" s="134" t="str">
        <f>IF(W1181="","",IFERROR((RANK(W1181,$W$2:$W$2028,1)+COUNTIF($W$2:W1181,W1181))-1,""))</f>
        <v/>
      </c>
      <c r="Y1181" s="134" t="str">
        <f t="shared" si="433"/>
        <v/>
      </c>
      <c r="Z1181" s="134" t="str">
        <f>IF(Y1181="","",IFERROR((RANK(Y1181,$Y$2:$Y$2028,1)+COUNTIF($Y$2:Y1181,Y1181))-1,""))</f>
        <v/>
      </c>
      <c r="AA1181" s="134" t="str">
        <f t="shared" si="434"/>
        <v/>
      </c>
      <c r="AB1181" s="134" t="str">
        <f>IF(AA1181="","",IFERROR((RANK(AA1181,$AA$2:$AA$2028,1)+COUNTIF($AA$2:AA1181,AA1181))-1,""))</f>
        <v/>
      </c>
      <c r="AC1181" s="134" t="str">
        <f t="shared" si="435"/>
        <v/>
      </c>
      <c r="AD1181" s="134" t="str">
        <f>IF(AC1181="","",IFERROR((RANK(AC1181,$AC$2:$AC$2028,1)+COUNTIF($AC$2:AC1181,AC1181))-1,""))</f>
        <v/>
      </c>
      <c r="AE1181" s="144" t="str">
        <f t="shared" si="439"/>
        <v/>
      </c>
      <c r="AF1181" s="144" t="str">
        <f>IF(AE1181="","",SUM($AE$2:AE1181))</f>
        <v/>
      </c>
    </row>
    <row r="1182" spans="14:32" x14ac:dyDescent="0.35">
      <c r="N1182" s="134" t="str">
        <f t="shared" si="437"/>
        <v/>
      </c>
      <c r="O1182" s="82" t="str">
        <f t="shared" ref="O1182:O1245" si="440">IF(A1182="","",N1182&amp;"-"&amp;M1182)</f>
        <v/>
      </c>
      <c r="P1182" s="81" t="str">
        <f t="shared" si="438"/>
        <v/>
      </c>
      <c r="Q1182" s="81" t="str">
        <f t="shared" ref="Q1182:Q1245" si="441">IF(A1182="","",IF(P1182=1,M1182,""))</f>
        <v/>
      </c>
      <c r="R1182" s="135" t="str">
        <f t="shared" ref="R1182:R1245" ca="1" si="442">IF(Q1182="","",I1182-TODAY())</f>
        <v/>
      </c>
      <c r="S1182" s="134" t="str">
        <f t="shared" ref="S1182:S1245" ca="1" si="443">IF(R1182="","",
IF(R1182&lt;-90,"Pass&gt;90",IF(R1182&lt;-60,"Pass 61-90",IF(R1182&lt;-30,"Pass 31-60",IF(R1182&lt;0,"Pass 0-30",IF(R1182&lt;31,"Run 0-30",IF(R1182&lt;61,"Run 31-60",IF(R1182&lt;91,"Run 60-90","Run &gt;90"))))))))</f>
        <v/>
      </c>
      <c r="T1182" s="134" t="str">
        <f ca="1">IF(S1182=Dashboard!$D$12,S1182,"")</f>
        <v/>
      </c>
      <c r="U1182" s="134" t="str">
        <f t="shared" ref="U1182:U1245" ca="1" si="444">IF(T1182="","",R1182)</f>
        <v/>
      </c>
      <c r="V1182" s="83" t="str">
        <f ca="1">IF(U1182="","",IFERROR((RANK(U1182,$U$2:$U$2028,1)+COUNTIF($U$2:U1182,U1182))-1,""))</f>
        <v/>
      </c>
      <c r="W1182" s="134" t="str">
        <f t="shared" si="436"/>
        <v/>
      </c>
      <c r="X1182" s="134" t="str">
        <f>IF(W1182="","",IFERROR((RANK(W1182,$W$2:$W$2028,1)+COUNTIF($W$2:W1182,W1182))-1,""))</f>
        <v/>
      </c>
      <c r="Y1182" s="134" t="str">
        <f t="shared" ref="Y1182:Y1245" si="445">IF($J1182=Y$1,$U1182,"")</f>
        <v/>
      </c>
      <c r="Z1182" s="134" t="str">
        <f>IF(Y1182="","",IFERROR((RANK(Y1182,$Y$2:$Y$2028,1)+COUNTIF($Y$2:Y1182,Y1182))-1,""))</f>
        <v/>
      </c>
      <c r="AA1182" s="134" t="str">
        <f t="shared" ref="AA1182:AA1245" si="446">IF($J1182=AA$1,$U1182,"")</f>
        <v/>
      </c>
      <c r="AB1182" s="134" t="str">
        <f>IF(AA1182="","",IFERROR((RANK(AA1182,$AA$2:$AA$2028,1)+COUNTIF($AA$2:AA1182,AA1182))-1,""))</f>
        <v/>
      </c>
      <c r="AC1182" s="134" t="str">
        <f t="shared" ref="AC1182:AC1245" si="447">IF($J1182=AC$1,$U1182,"")</f>
        <v/>
      </c>
      <c r="AD1182" s="134" t="str">
        <f>IF(AC1182="","",IFERROR((RANK(AC1182,$AC$2:$AC$2028,1)+COUNTIF($AC$2:AC1182,AC1182))-1,""))</f>
        <v/>
      </c>
      <c r="AE1182" s="144" t="str">
        <f t="shared" si="439"/>
        <v/>
      </c>
      <c r="AF1182" s="144" t="str">
        <f>IF(AE1182="","",SUM($AE$2:AE1182))</f>
        <v/>
      </c>
    </row>
    <row r="1183" spans="14:32" x14ac:dyDescent="0.35">
      <c r="N1183" s="134" t="str">
        <f t="shared" si="437"/>
        <v/>
      </c>
      <c r="O1183" s="82" t="str">
        <f t="shared" si="440"/>
        <v/>
      </c>
      <c r="P1183" s="81" t="str">
        <f t="shared" si="438"/>
        <v/>
      </c>
      <c r="Q1183" s="81" t="str">
        <f t="shared" si="441"/>
        <v/>
      </c>
      <c r="R1183" s="135" t="str">
        <f t="shared" ca="1" si="442"/>
        <v/>
      </c>
      <c r="S1183" s="134" t="str">
        <f t="shared" ca="1" si="443"/>
        <v/>
      </c>
      <c r="T1183" s="134" t="str">
        <f ca="1">IF(S1183=Dashboard!$D$12,S1183,"")</f>
        <v/>
      </c>
      <c r="U1183" s="134" t="str">
        <f t="shared" ca="1" si="444"/>
        <v/>
      </c>
      <c r="V1183" s="83" t="str">
        <f ca="1">IF(U1183="","",IFERROR((RANK(U1183,$U$2:$U$2028,1)+COUNTIF($U$2:U1183,U1183))-1,""))</f>
        <v/>
      </c>
      <c r="W1183" s="134" t="str">
        <f t="shared" ref="W1183:W1246" si="448">IF($J1183=$W$1,U1183,"")</f>
        <v/>
      </c>
      <c r="X1183" s="134" t="str">
        <f>IF(W1183="","",IFERROR((RANK(W1183,$W$2:$W$2028,1)+COUNTIF($W$2:W1183,W1183))-1,""))</f>
        <v/>
      </c>
      <c r="Y1183" s="134" t="str">
        <f t="shared" si="445"/>
        <v/>
      </c>
      <c r="Z1183" s="134" t="str">
        <f>IF(Y1183="","",IFERROR((RANK(Y1183,$Y$2:$Y$2028,1)+COUNTIF($Y$2:Y1183,Y1183))-1,""))</f>
        <v/>
      </c>
      <c r="AA1183" s="134" t="str">
        <f t="shared" si="446"/>
        <v/>
      </c>
      <c r="AB1183" s="134" t="str">
        <f>IF(AA1183="","",IFERROR((RANK(AA1183,$AA$2:$AA$2028,1)+COUNTIF($AA$2:AA1183,AA1183))-1,""))</f>
        <v/>
      </c>
      <c r="AC1183" s="134" t="str">
        <f t="shared" si="447"/>
        <v/>
      </c>
      <c r="AD1183" s="134" t="str">
        <f>IF(AC1183="","",IFERROR((RANK(AC1183,$AC$2:$AC$2028,1)+COUNTIF($AC$2:AC1183,AC1183))-1,""))</f>
        <v/>
      </c>
      <c r="AE1183" s="144" t="str">
        <f t="shared" si="439"/>
        <v/>
      </c>
      <c r="AF1183" s="144" t="str">
        <f>IF(AE1183="","",SUM($AE$2:AE1183))</f>
        <v/>
      </c>
    </row>
    <row r="1184" spans="14:32" x14ac:dyDescent="0.35">
      <c r="N1184" s="134" t="str">
        <f t="shared" si="437"/>
        <v/>
      </c>
      <c r="O1184" s="82" t="str">
        <f t="shared" si="440"/>
        <v/>
      </c>
      <c r="P1184" s="81" t="str">
        <f t="shared" si="438"/>
        <v/>
      </c>
      <c r="Q1184" s="81" t="str">
        <f t="shared" si="441"/>
        <v/>
      </c>
      <c r="R1184" s="135" t="str">
        <f t="shared" ca="1" si="442"/>
        <v/>
      </c>
      <c r="S1184" s="134" t="str">
        <f t="shared" ca="1" si="443"/>
        <v/>
      </c>
      <c r="T1184" s="134" t="str">
        <f ca="1">IF(S1184=Dashboard!$D$12,S1184,"")</f>
        <v/>
      </c>
      <c r="U1184" s="134" t="str">
        <f t="shared" ca="1" si="444"/>
        <v/>
      </c>
      <c r="V1184" s="83" t="str">
        <f ca="1">IF(U1184="","",IFERROR((RANK(U1184,$U$2:$U$2028,1)+COUNTIF($U$2:U1184,U1184))-1,""))</f>
        <v/>
      </c>
      <c r="W1184" s="134" t="str">
        <f t="shared" si="448"/>
        <v/>
      </c>
      <c r="X1184" s="134" t="str">
        <f>IF(W1184="","",IFERROR((RANK(W1184,$W$2:$W$2028,1)+COUNTIF($W$2:W1184,W1184))-1,""))</f>
        <v/>
      </c>
      <c r="Y1184" s="134" t="str">
        <f t="shared" si="445"/>
        <v/>
      </c>
      <c r="Z1184" s="134" t="str">
        <f>IF(Y1184="","",IFERROR((RANK(Y1184,$Y$2:$Y$2028,1)+COUNTIF($Y$2:Y1184,Y1184))-1,""))</f>
        <v/>
      </c>
      <c r="AA1184" s="134" t="str">
        <f t="shared" si="446"/>
        <v/>
      </c>
      <c r="AB1184" s="134" t="str">
        <f>IF(AA1184="","",IFERROR((RANK(AA1184,$AA$2:$AA$2028,1)+COUNTIF($AA$2:AA1184,AA1184))-1,""))</f>
        <v/>
      </c>
      <c r="AC1184" s="134" t="str">
        <f t="shared" si="447"/>
        <v/>
      </c>
      <c r="AD1184" s="134" t="str">
        <f>IF(AC1184="","",IFERROR((RANK(AC1184,$AC$2:$AC$2028,1)+COUNTIF($AC$2:AC1184,AC1184))-1,""))</f>
        <v/>
      </c>
      <c r="AE1184" s="144" t="str">
        <f t="shared" si="439"/>
        <v/>
      </c>
      <c r="AF1184" s="144" t="str">
        <f>IF(AE1184="","",SUM($AE$2:AE1184))</f>
        <v/>
      </c>
    </row>
    <row r="1185" spans="14:32" x14ac:dyDescent="0.35">
      <c r="N1185" s="134" t="str">
        <f t="shared" si="437"/>
        <v/>
      </c>
      <c r="O1185" s="82" t="str">
        <f t="shared" si="440"/>
        <v/>
      </c>
      <c r="P1185" s="81" t="str">
        <f t="shared" si="438"/>
        <v/>
      </c>
      <c r="Q1185" s="81" t="str">
        <f t="shared" si="441"/>
        <v/>
      </c>
      <c r="R1185" s="135" t="str">
        <f t="shared" ca="1" si="442"/>
        <v/>
      </c>
      <c r="S1185" s="134" t="str">
        <f t="shared" ca="1" si="443"/>
        <v/>
      </c>
      <c r="T1185" s="134" t="str">
        <f ca="1">IF(S1185=Dashboard!$D$12,S1185,"")</f>
        <v/>
      </c>
      <c r="U1185" s="134" t="str">
        <f t="shared" ca="1" si="444"/>
        <v/>
      </c>
      <c r="V1185" s="83" t="str">
        <f ca="1">IF(U1185="","",IFERROR((RANK(U1185,$U$2:$U$2028,1)+COUNTIF($U$2:U1185,U1185))-1,""))</f>
        <v/>
      </c>
      <c r="W1185" s="134" t="str">
        <f t="shared" si="448"/>
        <v/>
      </c>
      <c r="X1185" s="134" t="str">
        <f>IF(W1185="","",IFERROR((RANK(W1185,$W$2:$W$2028,1)+COUNTIF($W$2:W1185,W1185))-1,""))</f>
        <v/>
      </c>
      <c r="Y1185" s="134" t="str">
        <f t="shared" si="445"/>
        <v/>
      </c>
      <c r="Z1185" s="134" t="str">
        <f>IF(Y1185="","",IFERROR((RANK(Y1185,$Y$2:$Y$2028,1)+COUNTIF($Y$2:Y1185,Y1185))-1,""))</f>
        <v/>
      </c>
      <c r="AA1185" s="134" t="str">
        <f t="shared" si="446"/>
        <v/>
      </c>
      <c r="AB1185" s="134" t="str">
        <f>IF(AA1185="","",IFERROR((RANK(AA1185,$AA$2:$AA$2028,1)+COUNTIF($AA$2:AA1185,AA1185))-1,""))</f>
        <v/>
      </c>
      <c r="AC1185" s="134" t="str">
        <f t="shared" si="447"/>
        <v/>
      </c>
      <c r="AD1185" s="134" t="str">
        <f>IF(AC1185="","",IFERROR((RANK(AC1185,$AC$2:$AC$2028,1)+COUNTIF($AC$2:AC1185,AC1185))-1,""))</f>
        <v/>
      </c>
      <c r="AE1185" s="144" t="str">
        <f t="shared" si="439"/>
        <v/>
      </c>
      <c r="AF1185" s="144" t="str">
        <f>IF(AE1185="","",SUM($AE$2:AE1185))</f>
        <v/>
      </c>
    </row>
    <row r="1186" spans="14:32" x14ac:dyDescent="0.35">
      <c r="N1186" s="134" t="str">
        <f t="shared" si="437"/>
        <v/>
      </c>
      <c r="O1186" s="82" t="str">
        <f t="shared" si="440"/>
        <v/>
      </c>
      <c r="P1186" s="81" t="str">
        <f t="shared" si="438"/>
        <v/>
      </c>
      <c r="Q1186" s="81" t="str">
        <f t="shared" si="441"/>
        <v/>
      </c>
      <c r="R1186" s="135" t="str">
        <f t="shared" ca="1" si="442"/>
        <v/>
      </c>
      <c r="S1186" s="134" t="str">
        <f t="shared" ca="1" si="443"/>
        <v/>
      </c>
      <c r="T1186" s="134" t="str">
        <f ca="1">IF(S1186=Dashboard!$D$12,S1186,"")</f>
        <v/>
      </c>
      <c r="U1186" s="134" t="str">
        <f t="shared" ca="1" si="444"/>
        <v/>
      </c>
      <c r="V1186" s="83" t="str">
        <f ca="1">IF(U1186="","",IFERROR((RANK(U1186,$U$2:$U$2028,1)+COUNTIF($U$2:U1186,U1186))-1,""))</f>
        <v/>
      </c>
      <c r="W1186" s="134" t="str">
        <f t="shared" si="448"/>
        <v/>
      </c>
      <c r="X1186" s="134" t="str">
        <f>IF(W1186="","",IFERROR((RANK(W1186,$W$2:$W$2028,1)+COUNTIF($W$2:W1186,W1186))-1,""))</f>
        <v/>
      </c>
      <c r="Y1186" s="134" t="str">
        <f t="shared" si="445"/>
        <v/>
      </c>
      <c r="Z1186" s="134" t="str">
        <f>IF(Y1186="","",IFERROR((RANK(Y1186,$Y$2:$Y$2028,1)+COUNTIF($Y$2:Y1186,Y1186))-1,""))</f>
        <v/>
      </c>
      <c r="AA1186" s="134" t="str">
        <f t="shared" si="446"/>
        <v/>
      </c>
      <c r="AB1186" s="134" t="str">
        <f>IF(AA1186="","",IFERROR((RANK(AA1186,$AA$2:$AA$2028,1)+COUNTIF($AA$2:AA1186,AA1186))-1,""))</f>
        <v/>
      </c>
      <c r="AC1186" s="134" t="str">
        <f t="shared" si="447"/>
        <v/>
      </c>
      <c r="AD1186" s="134" t="str">
        <f>IF(AC1186="","",IFERROR((RANK(AC1186,$AC$2:$AC$2028,1)+COUNTIF($AC$2:AC1186,AC1186))-1,""))</f>
        <v/>
      </c>
      <c r="AE1186" s="144" t="str">
        <f t="shared" si="439"/>
        <v/>
      </c>
      <c r="AF1186" s="144" t="str">
        <f>IF(AE1186="","",SUM($AE$2:AE1186))</f>
        <v/>
      </c>
    </row>
    <row r="1187" spans="14:32" x14ac:dyDescent="0.35">
      <c r="N1187" s="134" t="str">
        <f t="shared" si="437"/>
        <v/>
      </c>
      <c r="O1187" s="82" t="str">
        <f t="shared" si="440"/>
        <v/>
      </c>
      <c r="P1187" s="81" t="str">
        <f t="shared" si="438"/>
        <v/>
      </c>
      <c r="Q1187" s="81" t="str">
        <f t="shared" si="441"/>
        <v/>
      </c>
      <c r="R1187" s="135" t="str">
        <f t="shared" ca="1" si="442"/>
        <v/>
      </c>
      <c r="S1187" s="134" t="str">
        <f t="shared" ca="1" si="443"/>
        <v/>
      </c>
      <c r="T1187" s="134" t="str">
        <f ca="1">IF(S1187=Dashboard!$D$12,S1187,"")</f>
        <v/>
      </c>
      <c r="U1187" s="134" t="str">
        <f t="shared" ca="1" si="444"/>
        <v/>
      </c>
      <c r="V1187" s="83" t="str">
        <f ca="1">IF(U1187="","",IFERROR((RANK(U1187,$U$2:$U$2028,1)+COUNTIF($U$2:U1187,U1187))-1,""))</f>
        <v/>
      </c>
      <c r="W1187" s="134" t="str">
        <f t="shared" si="448"/>
        <v/>
      </c>
      <c r="X1187" s="134" t="str">
        <f>IF(W1187="","",IFERROR((RANK(W1187,$W$2:$W$2028,1)+COUNTIF($W$2:W1187,W1187))-1,""))</f>
        <v/>
      </c>
      <c r="Y1187" s="134" t="str">
        <f t="shared" si="445"/>
        <v/>
      </c>
      <c r="Z1187" s="134" t="str">
        <f>IF(Y1187="","",IFERROR((RANK(Y1187,$Y$2:$Y$2028,1)+COUNTIF($Y$2:Y1187,Y1187))-1,""))</f>
        <v/>
      </c>
      <c r="AA1187" s="134" t="str">
        <f t="shared" si="446"/>
        <v/>
      </c>
      <c r="AB1187" s="134" t="str">
        <f>IF(AA1187="","",IFERROR((RANK(AA1187,$AA$2:$AA$2028,1)+COUNTIF($AA$2:AA1187,AA1187))-1,""))</f>
        <v/>
      </c>
      <c r="AC1187" s="134" t="str">
        <f t="shared" si="447"/>
        <v/>
      </c>
      <c r="AD1187" s="134" t="str">
        <f>IF(AC1187="","",IFERROR((RANK(AC1187,$AC$2:$AC$2028,1)+COUNTIF($AC$2:AC1187,AC1187))-1,""))</f>
        <v/>
      </c>
      <c r="AE1187" s="144" t="str">
        <f t="shared" si="439"/>
        <v/>
      </c>
      <c r="AF1187" s="144" t="str">
        <f>IF(AE1187="","",SUM($AE$2:AE1187))</f>
        <v/>
      </c>
    </row>
    <row r="1188" spans="14:32" x14ac:dyDescent="0.35">
      <c r="N1188" s="134" t="str">
        <f t="shared" si="437"/>
        <v/>
      </c>
      <c r="O1188" s="82" t="str">
        <f t="shared" si="440"/>
        <v/>
      </c>
      <c r="P1188" s="81" t="str">
        <f t="shared" si="438"/>
        <v/>
      </c>
      <c r="Q1188" s="81" t="str">
        <f t="shared" si="441"/>
        <v/>
      </c>
      <c r="R1188" s="135" t="str">
        <f t="shared" ca="1" si="442"/>
        <v/>
      </c>
      <c r="S1188" s="134" t="str">
        <f t="shared" ca="1" si="443"/>
        <v/>
      </c>
      <c r="T1188" s="134" t="str">
        <f ca="1">IF(S1188=Dashboard!$D$12,S1188,"")</f>
        <v/>
      </c>
      <c r="U1188" s="134" t="str">
        <f t="shared" ca="1" si="444"/>
        <v/>
      </c>
      <c r="V1188" s="83" t="str">
        <f ca="1">IF(U1188="","",IFERROR((RANK(U1188,$U$2:$U$2028,1)+COUNTIF($U$2:U1188,U1188))-1,""))</f>
        <v/>
      </c>
      <c r="W1188" s="134" t="str">
        <f t="shared" si="448"/>
        <v/>
      </c>
      <c r="X1188" s="134" t="str">
        <f>IF(W1188="","",IFERROR((RANK(W1188,$W$2:$W$2028,1)+COUNTIF($W$2:W1188,W1188))-1,""))</f>
        <v/>
      </c>
      <c r="Y1188" s="134" t="str">
        <f t="shared" si="445"/>
        <v/>
      </c>
      <c r="Z1188" s="134" t="str">
        <f>IF(Y1188="","",IFERROR((RANK(Y1188,$Y$2:$Y$2028,1)+COUNTIF($Y$2:Y1188,Y1188))-1,""))</f>
        <v/>
      </c>
      <c r="AA1188" s="134" t="str">
        <f t="shared" si="446"/>
        <v/>
      </c>
      <c r="AB1188" s="134" t="str">
        <f>IF(AA1188="","",IFERROR((RANK(AA1188,$AA$2:$AA$2028,1)+COUNTIF($AA$2:AA1188,AA1188))-1,""))</f>
        <v/>
      </c>
      <c r="AC1188" s="134" t="str">
        <f t="shared" si="447"/>
        <v/>
      </c>
      <c r="AD1188" s="134" t="str">
        <f>IF(AC1188="","",IFERROR((RANK(AC1188,$AC$2:$AC$2028,1)+COUNTIF($AC$2:AC1188,AC1188))-1,""))</f>
        <v/>
      </c>
      <c r="AE1188" s="144" t="str">
        <f t="shared" si="439"/>
        <v/>
      </c>
      <c r="AF1188" s="144" t="str">
        <f>IF(AE1188="","",SUM($AE$2:AE1188))</f>
        <v/>
      </c>
    </row>
    <row r="1189" spans="14:32" x14ac:dyDescent="0.35">
      <c r="N1189" s="134" t="str">
        <f t="shared" si="437"/>
        <v/>
      </c>
      <c r="O1189" s="82" t="str">
        <f t="shared" si="440"/>
        <v/>
      </c>
      <c r="P1189" s="81" t="str">
        <f t="shared" si="438"/>
        <v/>
      </c>
      <c r="Q1189" s="81" t="str">
        <f t="shared" si="441"/>
        <v/>
      </c>
      <c r="R1189" s="135" t="str">
        <f t="shared" ca="1" si="442"/>
        <v/>
      </c>
      <c r="S1189" s="134" t="str">
        <f t="shared" ca="1" si="443"/>
        <v/>
      </c>
      <c r="T1189" s="134" t="str">
        <f ca="1">IF(S1189=Dashboard!$D$12,S1189,"")</f>
        <v/>
      </c>
      <c r="U1189" s="134" t="str">
        <f t="shared" ca="1" si="444"/>
        <v/>
      </c>
      <c r="V1189" s="83" t="str">
        <f ca="1">IF(U1189="","",IFERROR((RANK(U1189,$U$2:$U$2028,1)+COUNTIF($U$2:U1189,U1189))-1,""))</f>
        <v/>
      </c>
      <c r="W1189" s="134" t="str">
        <f t="shared" si="448"/>
        <v/>
      </c>
      <c r="X1189" s="134" t="str">
        <f>IF(W1189="","",IFERROR((RANK(W1189,$W$2:$W$2028,1)+COUNTIF($W$2:W1189,W1189))-1,""))</f>
        <v/>
      </c>
      <c r="Y1189" s="134" t="str">
        <f t="shared" si="445"/>
        <v/>
      </c>
      <c r="Z1189" s="134" t="str">
        <f>IF(Y1189="","",IFERROR((RANK(Y1189,$Y$2:$Y$2028,1)+COUNTIF($Y$2:Y1189,Y1189))-1,""))</f>
        <v/>
      </c>
      <c r="AA1189" s="134" t="str">
        <f t="shared" si="446"/>
        <v/>
      </c>
      <c r="AB1189" s="134" t="str">
        <f>IF(AA1189="","",IFERROR((RANK(AA1189,$AA$2:$AA$2028,1)+COUNTIF($AA$2:AA1189,AA1189))-1,""))</f>
        <v/>
      </c>
      <c r="AC1189" s="134" t="str">
        <f t="shared" si="447"/>
        <v/>
      </c>
      <c r="AD1189" s="134" t="str">
        <f>IF(AC1189="","",IFERROR((RANK(AC1189,$AC$2:$AC$2028,1)+COUNTIF($AC$2:AC1189,AC1189))-1,""))</f>
        <v/>
      </c>
      <c r="AE1189" s="144" t="str">
        <f t="shared" si="439"/>
        <v/>
      </c>
      <c r="AF1189" s="144" t="str">
        <f>IF(AE1189="","",SUM($AE$2:AE1189))</f>
        <v/>
      </c>
    </row>
    <row r="1190" spans="14:32" x14ac:dyDescent="0.35">
      <c r="N1190" s="134" t="str">
        <f t="shared" si="437"/>
        <v/>
      </c>
      <c r="O1190" s="82" t="str">
        <f t="shared" si="440"/>
        <v/>
      </c>
      <c r="P1190" s="81" t="str">
        <f t="shared" si="438"/>
        <v/>
      </c>
      <c r="Q1190" s="81" t="str">
        <f t="shared" si="441"/>
        <v/>
      </c>
      <c r="R1190" s="135" t="str">
        <f t="shared" ca="1" si="442"/>
        <v/>
      </c>
      <c r="S1190" s="134" t="str">
        <f t="shared" ca="1" si="443"/>
        <v/>
      </c>
      <c r="T1190" s="134" t="str">
        <f ca="1">IF(S1190=Dashboard!$D$12,S1190,"")</f>
        <v/>
      </c>
      <c r="U1190" s="134" t="str">
        <f t="shared" ca="1" si="444"/>
        <v/>
      </c>
      <c r="V1190" s="83" t="str">
        <f ca="1">IF(U1190="","",IFERROR((RANK(U1190,$U$2:$U$2028,1)+COUNTIF($U$2:U1190,U1190))-1,""))</f>
        <v/>
      </c>
      <c r="W1190" s="134" t="str">
        <f t="shared" si="448"/>
        <v/>
      </c>
      <c r="X1190" s="134" t="str">
        <f>IF(W1190="","",IFERROR((RANK(W1190,$W$2:$W$2028,1)+COUNTIF($W$2:W1190,W1190))-1,""))</f>
        <v/>
      </c>
      <c r="Y1190" s="134" t="str">
        <f t="shared" si="445"/>
        <v/>
      </c>
      <c r="Z1190" s="134" t="str">
        <f>IF(Y1190="","",IFERROR((RANK(Y1190,$Y$2:$Y$2028,1)+COUNTIF($Y$2:Y1190,Y1190))-1,""))</f>
        <v/>
      </c>
      <c r="AA1190" s="134" t="str">
        <f t="shared" si="446"/>
        <v/>
      </c>
      <c r="AB1190" s="134" t="str">
        <f>IF(AA1190="","",IFERROR((RANK(AA1190,$AA$2:$AA$2028,1)+COUNTIF($AA$2:AA1190,AA1190))-1,""))</f>
        <v/>
      </c>
      <c r="AC1190" s="134" t="str">
        <f t="shared" si="447"/>
        <v/>
      </c>
      <c r="AD1190" s="134" t="str">
        <f>IF(AC1190="","",IFERROR((RANK(AC1190,$AC$2:$AC$2028,1)+COUNTIF($AC$2:AC1190,AC1190))-1,""))</f>
        <v/>
      </c>
      <c r="AE1190" s="144" t="str">
        <f t="shared" si="439"/>
        <v/>
      </c>
      <c r="AF1190" s="144" t="str">
        <f>IF(AE1190="","",SUM($AE$2:AE1190))</f>
        <v/>
      </c>
    </row>
    <row r="1191" spans="14:32" x14ac:dyDescent="0.35">
      <c r="N1191" s="134" t="str">
        <f t="shared" si="437"/>
        <v/>
      </c>
      <c r="O1191" s="82" t="str">
        <f t="shared" si="440"/>
        <v/>
      </c>
      <c r="P1191" s="81" t="str">
        <f t="shared" si="438"/>
        <v/>
      </c>
      <c r="Q1191" s="81" t="str">
        <f t="shared" si="441"/>
        <v/>
      </c>
      <c r="R1191" s="135" t="str">
        <f t="shared" ca="1" si="442"/>
        <v/>
      </c>
      <c r="S1191" s="134" t="str">
        <f t="shared" ca="1" si="443"/>
        <v/>
      </c>
      <c r="T1191" s="134" t="str">
        <f ca="1">IF(S1191=Dashboard!$D$12,S1191,"")</f>
        <v/>
      </c>
      <c r="U1191" s="134" t="str">
        <f t="shared" ca="1" si="444"/>
        <v/>
      </c>
      <c r="V1191" s="83" t="str">
        <f ca="1">IF(U1191="","",IFERROR((RANK(U1191,$U$2:$U$2028,1)+COUNTIF($U$2:U1191,U1191))-1,""))</f>
        <v/>
      </c>
      <c r="W1191" s="134" t="str">
        <f t="shared" si="448"/>
        <v/>
      </c>
      <c r="X1191" s="134" t="str">
        <f>IF(W1191="","",IFERROR((RANK(W1191,$W$2:$W$2028,1)+COUNTIF($W$2:W1191,W1191))-1,""))</f>
        <v/>
      </c>
      <c r="Y1191" s="134" t="str">
        <f t="shared" si="445"/>
        <v/>
      </c>
      <c r="Z1191" s="134" t="str">
        <f>IF(Y1191="","",IFERROR((RANK(Y1191,$Y$2:$Y$2028,1)+COUNTIF($Y$2:Y1191,Y1191))-1,""))</f>
        <v/>
      </c>
      <c r="AA1191" s="134" t="str">
        <f t="shared" si="446"/>
        <v/>
      </c>
      <c r="AB1191" s="134" t="str">
        <f>IF(AA1191="","",IFERROR((RANK(AA1191,$AA$2:$AA$2028,1)+COUNTIF($AA$2:AA1191,AA1191))-1,""))</f>
        <v/>
      </c>
      <c r="AC1191" s="134" t="str">
        <f t="shared" si="447"/>
        <v/>
      </c>
      <c r="AD1191" s="134" t="str">
        <f>IF(AC1191="","",IFERROR((RANK(AC1191,$AC$2:$AC$2028,1)+COUNTIF($AC$2:AC1191,AC1191))-1,""))</f>
        <v/>
      </c>
      <c r="AE1191" s="144" t="str">
        <f t="shared" si="439"/>
        <v/>
      </c>
      <c r="AF1191" s="144" t="str">
        <f>IF(AE1191="","",SUM($AE$2:AE1191))</f>
        <v/>
      </c>
    </row>
    <row r="1192" spans="14:32" x14ac:dyDescent="0.35">
      <c r="N1192" s="134" t="str">
        <f t="shared" si="437"/>
        <v/>
      </c>
      <c r="O1192" s="82" t="str">
        <f t="shared" si="440"/>
        <v/>
      </c>
      <c r="P1192" s="81" t="str">
        <f t="shared" si="438"/>
        <v/>
      </c>
      <c r="Q1192" s="81" t="str">
        <f t="shared" si="441"/>
        <v/>
      </c>
      <c r="R1192" s="135" t="str">
        <f t="shared" ca="1" si="442"/>
        <v/>
      </c>
      <c r="S1192" s="134" t="str">
        <f t="shared" ca="1" si="443"/>
        <v/>
      </c>
      <c r="T1192" s="134" t="str">
        <f ca="1">IF(S1192=Dashboard!$D$12,S1192,"")</f>
        <v/>
      </c>
      <c r="U1192" s="134" t="str">
        <f t="shared" ca="1" si="444"/>
        <v/>
      </c>
      <c r="V1192" s="83" t="str">
        <f ca="1">IF(U1192="","",IFERROR((RANK(U1192,$U$2:$U$2028,1)+COUNTIF($U$2:U1192,U1192))-1,""))</f>
        <v/>
      </c>
      <c r="W1192" s="134" t="str">
        <f t="shared" si="448"/>
        <v/>
      </c>
      <c r="X1192" s="134" t="str">
        <f>IF(W1192="","",IFERROR((RANK(W1192,$W$2:$W$2028,1)+COUNTIF($W$2:W1192,W1192))-1,""))</f>
        <v/>
      </c>
      <c r="Y1192" s="134" t="str">
        <f t="shared" si="445"/>
        <v/>
      </c>
      <c r="Z1192" s="134" t="str">
        <f>IF(Y1192="","",IFERROR((RANK(Y1192,$Y$2:$Y$2028,1)+COUNTIF($Y$2:Y1192,Y1192))-1,""))</f>
        <v/>
      </c>
      <c r="AA1192" s="134" t="str">
        <f t="shared" si="446"/>
        <v/>
      </c>
      <c r="AB1192" s="134" t="str">
        <f>IF(AA1192="","",IFERROR((RANK(AA1192,$AA$2:$AA$2028,1)+COUNTIF($AA$2:AA1192,AA1192))-1,""))</f>
        <v/>
      </c>
      <c r="AC1192" s="134" t="str">
        <f t="shared" si="447"/>
        <v/>
      </c>
      <c r="AD1192" s="134" t="str">
        <f>IF(AC1192="","",IFERROR((RANK(AC1192,$AC$2:$AC$2028,1)+COUNTIF($AC$2:AC1192,AC1192))-1,""))</f>
        <v/>
      </c>
      <c r="AE1192" s="144" t="str">
        <f t="shared" si="439"/>
        <v/>
      </c>
      <c r="AF1192" s="144" t="str">
        <f>IF(AE1192="","",SUM($AE$2:AE1192))</f>
        <v/>
      </c>
    </row>
    <row r="1193" spans="14:32" x14ac:dyDescent="0.35">
      <c r="N1193" s="134" t="str">
        <f t="shared" si="437"/>
        <v/>
      </c>
      <c r="O1193" s="82" t="str">
        <f t="shared" si="440"/>
        <v/>
      </c>
      <c r="P1193" s="81" t="str">
        <f t="shared" si="438"/>
        <v/>
      </c>
      <c r="Q1193" s="81" t="str">
        <f t="shared" si="441"/>
        <v/>
      </c>
      <c r="R1193" s="135" t="str">
        <f t="shared" ca="1" si="442"/>
        <v/>
      </c>
      <c r="S1193" s="134" t="str">
        <f t="shared" ca="1" si="443"/>
        <v/>
      </c>
      <c r="T1193" s="134" t="str">
        <f ca="1">IF(S1193=Dashboard!$D$12,S1193,"")</f>
        <v/>
      </c>
      <c r="U1193" s="134" t="str">
        <f t="shared" ca="1" si="444"/>
        <v/>
      </c>
      <c r="V1193" s="83" t="str">
        <f ca="1">IF(U1193="","",IFERROR((RANK(U1193,$U$2:$U$2028,1)+COUNTIF($U$2:U1193,U1193))-1,""))</f>
        <v/>
      </c>
      <c r="W1193" s="134" t="str">
        <f t="shared" si="448"/>
        <v/>
      </c>
      <c r="X1193" s="134" t="str">
        <f>IF(W1193="","",IFERROR((RANK(W1193,$W$2:$W$2028,1)+COUNTIF($W$2:W1193,W1193))-1,""))</f>
        <v/>
      </c>
      <c r="Y1193" s="134" t="str">
        <f t="shared" si="445"/>
        <v/>
      </c>
      <c r="Z1193" s="134" t="str">
        <f>IF(Y1193="","",IFERROR((RANK(Y1193,$Y$2:$Y$2028,1)+COUNTIF($Y$2:Y1193,Y1193))-1,""))</f>
        <v/>
      </c>
      <c r="AA1193" s="134" t="str">
        <f t="shared" si="446"/>
        <v/>
      </c>
      <c r="AB1193" s="134" t="str">
        <f>IF(AA1193="","",IFERROR((RANK(AA1193,$AA$2:$AA$2028,1)+COUNTIF($AA$2:AA1193,AA1193))-1,""))</f>
        <v/>
      </c>
      <c r="AC1193" s="134" t="str">
        <f t="shared" si="447"/>
        <v/>
      </c>
      <c r="AD1193" s="134" t="str">
        <f>IF(AC1193="","",IFERROR((RANK(AC1193,$AC$2:$AC$2028,1)+COUNTIF($AC$2:AC1193,AC1193))-1,""))</f>
        <v/>
      </c>
      <c r="AE1193" s="144" t="str">
        <f t="shared" si="439"/>
        <v/>
      </c>
      <c r="AF1193" s="144" t="str">
        <f>IF(AE1193="","",SUM($AE$2:AE1193))</f>
        <v/>
      </c>
    </row>
    <row r="1194" spans="14:32" x14ac:dyDescent="0.35">
      <c r="N1194" s="134" t="str">
        <f t="shared" si="437"/>
        <v/>
      </c>
      <c r="O1194" s="82" t="str">
        <f t="shared" si="440"/>
        <v/>
      </c>
      <c r="P1194" s="81" t="str">
        <f t="shared" si="438"/>
        <v/>
      </c>
      <c r="Q1194" s="81" t="str">
        <f t="shared" si="441"/>
        <v/>
      </c>
      <c r="R1194" s="135" t="str">
        <f t="shared" ca="1" si="442"/>
        <v/>
      </c>
      <c r="S1194" s="134" t="str">
        <f t="shared" ca="1" si="443"/>
        <v/>
      </c>
      <c r="T1194" s="134" t="str">
        <f ca="1">IF(S1194=Dashboard!$D$12,S1194,"")</f>
        <v/>
      </c>
      <c r="U1194" s="134" t="str">
        <f t="shared" ca="1" si="444"/>
        <v/>
      </c>
      <c r="V1194" s="83" t="str">
        <f ca="1">IF(U1194="","",IFERROR((RANK(U1194,$U$2:$U$2028,1)+COUNTIF($U$2:U1194,U1194))-1,""))</f>
        <v/>
      </c>
      <c r="W1194" s="134" t="str">
        <f t="shared" si="448"/>
        <v/>
      </c>
      <c r="X1194" s="134" t="str">
        <f>IF(W1194="","",IFERROR((RANK(W1194,$W$2:$W$2028,1)+COUNTIF($W$2:W1194,W1194))-1,""))</f>
        <v/>
      </c>
      <c r="Y1194" s="134" t="str">
        <f t="shared" si="445"/>
        <v/>
      </c>
      <c r="Z1194" s="134" t="str">
        <f>IF(Y1194="","",IFERROR((RANK(Y1194,$Y$2:$Y$2028,1)+COUNTIF($Y$2:Y1194,Y1194))-1,""))</f>
        <v/>
      </c>
      <c r="AA1194" s="134" t="str">
        <f t="shared" si="446"/>
        <v/>
      </c>
      <c r="AB1194" s="134" t="str">
        <f>IF(AA1194="","",IFERROR((RANK(AA1194,$AA$2:$AA$2028,1)+COUNTIF($AA$2:AA1194,AA1194))-1,""))</f>
        <v/>
      </c>
      <c r="AC1194" s="134" t="str">
        <f t="shared" si="447"/>
        <v/>
      </c>
      <c r="AD1194" s="134" t="str">
        <f>IF(AC1194="","",IFERROR((RANK(AC1194,$AC$2:$AC$2028,1)+COUNTIF($AC$2:AC1194,AC1194))-1,""))</f>
        <v/>
      </c>
      <c r="AE1194" s="144" t="str">
        <f t="shared" si="439"/>
        <v/>
      </c>
      <c r="AF1194" s="144" t="str">
        <f>IF(AE1194="","",SUM($AE$2:AE1194))</f>
        <v/>
      </c>
    </row>
    <row r="1195" spans="14:32" x14ac:dyDescent="0.35">
      <c r="N1195" s="134" t="str">
        <f t="shared" si="437"/>
        <v/>
      </c>
      <c r="O1195" s="82" t="str">
        <f t="shared" si="440"/>
        <v/>
      </c>
      <c r="P1195" s="81" t="str">
        <f t="shared" si="438"/>
        <v/>
      </c>
      <c r="Q1195" s="81" t="str">
        <f t="shared" si="441"/>
        <v/>
      </c>
      <c r="R1195" s="135" t="str">
        <f t="shared" ca="1" si="442"/>
        <v/>
      </c>
      <c r="S1195" s="134" t="str">
        <f t="shared" ca="1" si="443"/>
        <v/>
      </c>
      <c r="T1195" s="134" t="str">
        <f ca="1">IF(S1195=Dashboard!$D$12,S1195,"")</f>
        <v/>
      </c>
      <c r="U1195" s="134" t="str">
        <f t="shared" ca="1" si="444"/>
        <v/>
      </c>
      <c r="V1195" s="83" t="str">
        <f ca="1">IF(U1195="","",IFERROR((RANK(U1195,$U$2:$U$2028,1)+COUNTIF($U$2:U1195,U1195))-1,""))</f>
        <v/>
      </c>
      <c r="W1195" s="134" t="str">
        <f t="shared" si="448"/>
        <v/>
      </c>
      <c r="X1195" s="134" t="str">
        <f>IF(W1195="","",IFERROR((RANK(W1195,$W$2:$W$2028,1)+COUNTIF($W$2:W1195,W1195))-1,""))</f>
        <v/>
      </c>
      <c r="Y1195" s="134" t="str">
        <f t="shared" si="445"/>
        <v/>
      </c>
      <c r="Z1195" s="134" t="str">
        <f>IF(Y1195="","",IFERROR((RANK(Y1195,$Y$2:$Y$2028,1)+COUNTIF($Y$2:Y1195,Y1195))-1,""))</f>
        <v/>
      </c>
      <c r="AA1195" s="134" t="str">
        <f t="shared" si="446"/>
        <v/>
      </c>
      <c r="AB1195" s="134" t="str">
        <f>IF(AA1195="","",IFERROR((RANK(AA1195,$AA$2:$AA$2028,1)+COUNTIF($AA$2:AA1195,AA1195))-1,""))</f>
        <v/>
      </c>
      <c r="AC1195" s="134" t="str">
        <f t="shared" si="447"/>
        <v/>
      </c>
      <c r="AD1195" s="134" t="str">
        <f>IF(AC1195="","",IFERROR((RANK(AC1195,$AC$2:$AC$2028,1)+COUNTIF($AC$2:AC1195,AC1195))-1,""))</f>
        <v/>
      </c>
      <c r="AE1195" s="144" t="str">
        <f t="shared" si="439"/>
        <v/>
      </c>
      <c r="AF1195" s="144" t="str">
        <f>IF(AE1195="","",SUM($AE$2:AE1195))</f>
        <v/>
      </c>
    </row>
    <row r="1196" spans="14:32" x14ac:dyDescent="0.35">
      <c r="N1196" s="134" t="str">
        <f t="shared" si="437"/>
        <v/>
      </c>
      <c r="O1196" s="82" t="str">
        <f t="shared" si="440"/>
        <v/>
      </c>
      <c r="P1196" s="81" t="str">
        <f t="shared" si="438"/>
        <v/>
      </c>
      <c r="Q1196" s="81" t="str">
        <f t="shared" si="441"/>
        <v/>
      </c>
      <c r="R1196" s="135" t="str">
        <f t="shared" ca="1" si="442"/>
        <v/>
      </c>
      <c r="S1196" s="134" t="str">
        <f t="shared" ca="1" si="443"/>
        <v/>
      </c>
      <c r="T1196" s="134" t="str">
        <f ca="1">IF(S1196=Dashboard!$D$12,S1196,"")</f>
        <v/>
      </c>
      <c r="U1196" s="134" t="str">
        <f t="shared" ca="1" si="444"/>
        <v/>
      </c>
      <c r="V1196" s="83" t="str">
        <f ca="1">IF(U1196="","",IFERROR((RANK(U1196,$U$2:$U$2028,1)+COUNTIF($U$2:U1196,U1196))-1,""))</f>
        <v/>
      </c>
      <c r="W1196" s="134" t="str">
        <f t="shared" si="448"/>
        <v/>
      </c>
      <c r="X1196" s="134" t="str">
        <f>IF(W1196="","",IFERROR((RANK(W1196,$W$2:$W$2028,1)+COUNTIF($W$2:W1196,W1196))-1,""))</f>
        <v/>
      </c>
      <c r="Y1196" s="134" t="str">
        <f t="shared" si="445"/>
        <v/>
      </c>
      <c r="Z1196" s="134" t="str">
        <f>IF(Y1196="","",IFERROR((RANK(Y1196,$Y$2:$Y$2028,1)+COUNTIF($Y$2:Y1196,Y1196))-1,""))</f>
        <v/>
      </c>
      <c r="AA1196" s="134" t="str">
        <f t="shared" si="446"/>
        <v/>
      </c>
      <c r="AB1196" s="134" t="str">
        <f>IF(AA1196="","",IFERROR((RANK(AA1196,$AA$2:$AA$2028,1)+COUNTIF($AA$2:AA1196,AA1196))-1,""))</f>
        <v/>
      </c>
      <c r="AC1196" s="134" t="str">
        <f t="shared" si="447"/>
        <v/>
      </c>
      <c r="AD1196" s="134" t="str">
        <f>IF(AC1196="","",IFERROR((RANK(AC1196,$AC$2:$AC$2028,1)+COUNTIF($AC$2:AC1196,AC1196))-1,""))</f>
        <v/>
      </c>
      <c r="AE1196" s="144" t="str">
        <f t="shared" si="439"/>
        <v/>
      </c>
      <c r="AF1196" s="144" t="str">
        <f>IF(AE1196="","",SUM($AE$2:AE1196))</f>
        <v/>
      </c>
    </row>
    <row r="1197" spans="14:32" x14ac:dyDescent="0.35">
      <c r="N1197" s="134" t="str">
        <f t="shared" si="437"/>
        <v/>
      </c>
      <c r="O1197" s="82" t="str">
        <f t="shared" si="440"/>
        <v/>
      </c>
      <c r="P1197" s="81" t="str">
        <f t="shared" si="438"/>
        <v/>
      </c>
      <c r="Q1197" s="81" t="str">
        <f t="shared" si="441"/>
        <v/>
      </c>
      <c r="R1197" s="135" t="str">
        <f t="shared" ca="1" si="442"/>
        <v/>
      </c>
      <c r="S1197" s="134" t="str">
        <f t="shared" ca="1" si="443"/>
        <v/>
      </c>
      <c r="T1197" s="134" t="str">
        <f ca="1">IF(S1197=Dashboard!$D$12,S1197,"")</f>
        <v/>
      </c>
      <c r="U1197" s="134" t="str">
        <f t="shared" ca="1" si="444"/>
        <v/>
      </c>
      <c r="V1197" s="83" t="str">
        <f ca="1">IF(U1197="","",IFERROR((RANK(U1197,$U$2:$U$2028,1)+COUNTIF($U$2:U1197,U1197))-1,""))</f>
        <v/>
      </c>
      <c r="W1197" s="134" t="str">
        <f t="shared" si="448"/>
        <v/>
      </c>
      <c r="X1197" s="134" t="str">
        <f>IF(W1197="","",IFERROR((RANK(W1197,$W$2:$W$2028,1)+COUNTIF($W$2:W1197,W1197))-1,""))</f>
        <v/>
      </c>
      <c r="Y1197" s="134" t="str">
        <f t="shared" si="445"/>
        <v/>
      </c>
      <c r="Z1197" s="134" t="str">
        <f>IF(Y1197="","",IFERROR((RANK(Y1197,$Y$2:$Y$2028,1)+COUNTIF($Y$2:Y1197,Y1197))-1,""))</f>
        <v/>
      </c>
      <c r="AA1197" s="134" t="str">
        <f t="shared" si="446"/>
        <v/>
      </c>
      <c r="AB1197" s="134" t="str">
        <f>IF(AA1197="","",IFERROR((RANK(AA1197,$AA$2:$AA$2028,1)+COUNTIF($AA$2:AA1197,AA1197))-1,""))</f>
        <v/>
      </c>
      <c r="AC1197" s="134" t="str">
        <f t="shared" si="447"/>
        <v/>
      </c>
      <c r="AD1197" s="134" t="str">
        <f>IF(AC1197="","",IFERROR((RANK(AC1197,$AC$2:$AC$2028,1)+COUNTIF($AC$2:AC1197,AC1197))-1,""))</f>
        <v/>
      </c>
      <c r="AE1197" s="144" t="str">
        <f t="shared" si="439"/>
        <v/>
      </c>
      <c r="AF1197" s="144" t="str">
        <f>IF(AE1197="","",SUM($AE$2:AE1197))</f>
        <v/>
      </c>
    </row>
    <row r="1198" spans="14:32" x14ac:dyDescent="0.35">
      <c r="N1198" s="134" t="str">
        <f t="shared" si="437"/>
        <v/>
      </c>
      <c r="O1198" s="82" t="str">
        <f t="shared" si="440"/>
        <v/>
      </c>
      <c r="P1198" s="81" t="str">
        <f t="shared" si="438"/>
        <v/>
      </c>
      <c r="Q1198" s="81" t="str">
        <f t="shared" si="441"/>
        <v/>
      </c>
      <c r="R1198" s="135" t="str">
        <f t="shared" ca="1" si="442"/>
        <v/>
      </c>
      <c r="S1198" s="134" t="str">
        <f t="shared" ca="1" si="443"/>
        <v/>
      </c>
      <c r="T1198" s="134" t="str">
        <f ca="1">IF(S1198=Dashboard!$D$12,S1198,"")</f>
        <v/>
      </c>
      <c r="U1198" s="134" t="str">
        <f t="shared" ca="1" si="444"/>
        <v/>
      </c>
      <c r="V1198" s="83" t="str">
        <f ca="1">IF(U1198="","",IFERROR((RANK(U1198,$U$2:$U$2028,1)+COUNTIF($U$2:U1198,U1198))-1,""))</f>
        <v/>
      </c>
      <c r="W1198" s="134" t="str">
        <f t="shared" si="448"/>
        <v/>
      </c>
      <c r="X1198" s="134" t="str">
        <f>IF(W1198="","",IFERROR((RANK(W1198,$W$2:$W$2028,1)+COUNTIF($W$2:W1198,W1198))-1,""))</f>
        <v/>
      </c>
      <c r="Y1198" s="134" t="str">
        <f t="shared" si="445"/>
        <v/>
      </c>
      <c r="Z1198" s="134" t="str">
        <f>IF(Y1198="","",IFERROR((RANK(Y1198,$Y$2:$Y$2028,1)+COUNTIF($Y$2:Y1198,Y1198))-1,""))</f>
        <v/>
      </c>
      <c r="AA1198" s="134" t="str">
        <f t="shared" si="446"/>
        <v/>
      </c>
      <c r="AB1198" s="134" t="str">
        <f>IF(AA1198="","",IFERROR((RANK(AA1198,$AA$2:$AA$2028,1)+COUNTIF($AA$2:AA1198,AA1198))-1,""))</f>
        <v/>
      </c>
      <c r="AC1198" s="134" t="str">
        <f t="shared" si="447"/>
        <v/>
      </c>
      <c r="AD1198" s="134" t="str">
        <f>IF(AC1198="","",IFERROR((RANK(AC1198,$AC$2:$AC$2028,1)+COUNTIF($AC$2:AC1198,AC1198))-1,""))</f>
        <v/>
      </c>
      <c r="AE1198" s="144" t="str">
        <f t="shared" si="439"/>
        <v/>
      </c>
      <c r="AF1198" s="144" t="str">
        <f>IF(AE1198="","",SUM($AE$2:AE1198))</f>
        <v/>
      </c>
    </row>
    <row r="1199" spans="14:32" x14ac:dyDescent="0.35">
      <c r="N1199" s="134" t="str">
        <f t="shared" si="437"/>
        <v/>
      </c>
      <c r="O1199" s="82" t="str">
        <f t="shared" si="440"/>
        <v/>
      </c>
      <c r="P1199" s="81" t="str">
        <f t="shared" si="438"/>
        <v/>
      </c>
      <c r="Q1199" s="81" t="str">
        <f t="shared" si="441"/>
        <v/>
      </c>
      <c r="R1199" s="135" t="str">
        <f t="shared" ca="1" si="442"/>
        <v/>
      </c>
      <c r="S1199" s="134" t="str">
        <f t="shared" ca="1" si="443"/>
        <v/>
      </c>
      <c r="T1199" s="134" t="str">
        <f ca="1">IF(S1199=Dashboard!$D$12,S1199,"")</f>
        <v/>
      </c>
      <c r="U1199" s="134" t="str">
        <f t="shared" ca="1" si="444"/>
        <v/>
      </c>
      <c r="V1199" s="83" t="str">
        <f ca="1">IF(U1199="","",IFERROR((RANK(U1199,$U$2:$U$2028,1)+COUNTIF($U$2:U1199,U1199))-1,""))</f>
        <v/>
      </c>
      <c r="W1199" s="134" t="str">
        <f t="shared" si="448"/>
        <v/>
      </c>
      <c r="X1199" s="134" t="str">
        <f>IF(W1199="","",IFERROR((RANK(W1199,$W$2:$W$2028,1)+COUNTIF($W$2:W1199,W1199))-1,""))</f>
        <v/>
      </c>
      <c r="Y1199" s="134" t="str">
        <f t="shared" si="445"/>
        <v/>
      </c>
      <c r="Z1199" s="134" t="str">
        <f>IF(Y1199="","",IFERROR((RANK(Y1199,$Y$2:$Y$2028,1)+COUNTIF($Y$2:Y1199,Y1199))-1,""))</f>
        <v/>
      </c>
      <c r="AA1199" s="134" t="str">
        <f t="shared" si="446"/>
        <v/>
      </c>
      <c r="AB1199" s="134" t="str">
        <f>IF(AA1199="","",IFERROR((RANK(AA1199,$AA$2:$AA$2028,1)+COUNTIF($AA$2:AA1199,AA1199))-1,""))</f>
        <v/>
      </c>
      <c r="AC1199" s="134" t="str">
        <f t="shared" si="447"/>
        <v/>
      </c>
      <c r="AD1199" s="134" t="str">
        <f>IF(AC1199="","",IFERROR((RANK(AC1199,$AC$2:$AC$2028,1)+COUNTIF($AC$2:AC1199,AC1199))-1,""))</f>
        <v/>
      </c>
      <c r="AE1199" s="144" t="str">
        <f t="shared" si="439"/>
        <v/>
      </c>
      <c r="AF1199" s="144" t="str">
        <f>IF(AE1199="","",SUM($AE$2:AE1199))</f>
        <v/>
      </c>
    </row>
    <row r="1200" spans="14:32" x14ac:dyDescent="0.35">
      <c r="N1200" s="134" t="str">
        <f t="shared" si="437"/>
        <v/>
      </c>
      <c r="O1200" s="82" t="str">
        <f t="shared" si="440"/>
        <v/>
      </c>
      <c r="P1200" s="81" t="str">
        <f t="shared" si="438"/>
        <v/>
      </c>
      <c r="Q1200" s="81" t="str">
        <f t="shared" si="441"/>
        <v/>
      </c>
      <c r="R1200" s="135" t="str">
        <f t="shared" ca="1" si="442"/>
        <v/>
      </c>
      <c r="S1200" s="134" t="str">
        <f t="shared" ca="1" si="443"/>
        <v/>
      </c>
      <c r="T1200" s="134" t="str">
        <f ca="1">IF(S1200=Dashboard!$D$12,S1200,"")</f>
        <v/>
      </c>
      <c r="U1200" s="134" t="str">
        <f t="shared" ca="1" si="444"/>
        <v/>
      </c>
      <c r="V1200" s="83" t="str">
        <f ca="1">IF(U1200="","",IFERROR((RANK(U1200,$U$2:$U$2028,1)+COUNTIF($U$2:U1200,U1200))-1,""))</f>
        <v/>
      </c>
      <c r="W1200" s="134" t="str">
        <f t="shared" si="448"/>
        <v/>
      </c>
      <c r="X1200" s="134" t="str">
        <f>IF(W1200="","",IFERROR((RANK(W1200,$W$2:$W$2028,1)+COUNTIF($W$2:W1200,W1200))-1,""))</f>
        <v/>
      </c>
      <c r="Y1200" s="134" t="str">
        <f t="shared" si="445"/>
        <v/>
      </c>
      <c r="Z1200" s="134" t="str">
        <f>IF(Y1200="","",IFERROR((RANK(Y1200,$Y$2:$Y$2028,1)+COUNTIF($Y$2:Y1200,Y1200))-1,""))</f>
        <v/>
      </c>
      <c r="AA1200" s="134" t="str">
        <f t="shared" si="446"/>
        <v/>
      </c>
      <c r="AB1200" s="134" t="str">
        <f>IF(AA1200="","",IFERROR((RANK(AA1200,$AA$2:$AA$2028,1)+COUNTIF($AA$2:AA1200,AA1200))-1,""))</f>
        <v/>
      </c>
      <c r="AC1200" s="134" t="str">
        <f t="shared" si="447"/>
        <v/>
      </c>
      <c r="AD1200" s="134" t="str">
        <f>IF(AC1200="","",IFERROR((RANK(AC1200,$AC$2:$AC$2028,1)+COUNTIF($AC$2:AC1200,AC1200))-1,""))</f>
        <v/>
      </c>
      <c r="AE1200" s="144" t="str">
        <f t="shared" si="439"/>
        <v/>
      </c>
      <c r="AF1200" s="144" t="str">
        <f>IF(AE1200="","",SUM($AE$2:AE1200))</f>
        <v/>
      </c>
    </row>
    <row r="1201" spans="14:32" x14ac:dyDescent="0.35">
      <c r="N1201" s="134" t="str">
        <f t="shared" si="437"/>
        <v/>
      </c>
      <c r="O1201" s="82" t="str">
        <f t="shared" si="440"/>
        <v/>
      </c>
      <c r="P1201" s="81" t="str">
        <f t="shared" si="438"/>
        <v/>
      </c>
      <c r="Q1201" s="81" t="str">
        <f t="shared" si="441"/>
        <v/>
      </c>
      <c r="R1201" s="135" t="str">
        <f t="shared" ca="1" si="442"/>
        <v/>
      </c>
      <c r="S1201" s="134" t="str">
        <f t="shared" ca="1" si="443"/>
        <v/>
      </c>
      <c r="T1201" s="134" t="str">
        <f ca="1">IF(S1201=Dashboard!$D$12,S1201,"")</f>
        <v/>
      </c>
      <c r="U1201" s="134" t="str">
        <f t="shared" ca="1" si="444"/>
        <v/>
      </c>
      <c r="V1201" s="83" t="str">
        <f ca="1">IF(U1201="","",IFERROR((RANK(U1201,$U$2:$U$2028,1)+COUNTIF($U$2:U1201,U1201))-1,""))</f>
        <v/>
      </c>
      <c r="W1201" s="134" t="str">
        <f t="shared" si="448"/>
        <v/>
      </c>
      <c r="X1201" s="134" t="str">
        <f>IF(W1201="","",IFERROR((RANK(W1201,$W$2:$W$2028,1)+COUNTIF($W$2:W1201,W1201))-1,""))</f>
        <v/>
      </c>
      <c r="Y1201" s="134" t="str">
        <f t="shared" si="445"/>
        <v/>
      </c>
      <c r="Z1201" s="134" t="str">
        <f>IF(Y1201="","",IFERROR((RANK(Y1201,$Y$2:$Y$2028,1)+COUNTIF($Y$2:Y1201,Y1201))-1,""))</f>
        <v/>
      </c>
      <c r="AA1201" s="134" t="str">
        <f t="shared" si="446"/>
        <v/>
      </c>
      <c r="AB1201" s="134" t="str">
        <f>IF(AA1201="","",IFERROR((RANK(AA1201,$AA$2:$AA$2028,1)+COUNTIF($AA$2:AA1201,AA1201))-1,""))</f>
        <v/>
      </c>
      <c r="AC1201" s="134" t="str">
        <f t="shared" si="447"/>
        <v/>
      </c>
      <c r="AD1201" s="134" t="str">
        <f>IF(AC1201="","",IFERROR((RANK(AC1201,$AC$2:$AC$2028,1)+COUNTIF($AC$2:AC1201,AC1201))-1,""))</f>
        <v/>
      </c>
      <c r="AE1201" s="144" t="str">
        <f t="shared" si="439"/>
        <v/>
      </c>
      <c r="AF1201" s="144" t="str">
        <f>IF(AE1201="","",SUM($AE$2:AE1201))</f>
        <v/>
      </c>
    </row>
    <row r="1202" spans="14:32" x14ac:dyDescent="0.35">
      <c r="N1202" s="134" t="str">
        <f t="shared" si="437"/>
        <v/>
      </c>
      <c r="O1202" s="82" t="str">
        <f t="shared" si="440"/>
        <v/>
      </c>
      <c r="P1202" s="81" t="str">
        <f t="shared" si="438"/>
        <v/>
      </c>
      <c r="Q1202" s="81" t="str">
        <f t="shared" si="441"/>
        <v/>
      </c>
      <c r="R1202" s="135" t="str">
        <f t="shared" ca="1" si="442"/>
        <v/>
      </c>
      <c r="S1202" s="134" t="str">
        <f t="shared" ca="1" si="443"/>
        <v/>
      </c>
      <c r="T1202" s="134" t="str">
        <f ca="1">IF(S1202=Dashboard!$D$12,S1202,"")</f>
        <v/>
      </c>
      <c r="U1202" s="134" t="str">
        <f t="shared" ca="1" si="444"/>
        <v/>
      </c>
      <c r="V1202" s="83" t="str">
        <f ca="1">IF(U1202="","",IFERROR((RANK(U1202,$U$2:$U$2028,1)+COUNTIF($U$2:U1202,U1202))-1,""))</f>
        <v/>
      </c>
      <c r="W1202" s="134" t="str">
        <f t="shared" si="448"/>
        <v/>
      </c>
      <c r="X1202" s="134" t="str">
        <f>IF(W1202="","",IFERROR((RANK(W1202,$W$2:$W$2028,1)+COUNTIF($W$2:W1202,W1202))-1,""))</f>
        <v/>
      </c>
      <c r="Y1202" s="134" t="str">
        <f t="shared" si="445"/>
        <v/>
      </c>
      <c r="Z1202" s="134" t="str">
        <f>IF(Y1202="","",IFERROR((RANK(Y1202,$Y$2:$Y$2028,1)+COUNTIF($Y$2:Y1202,Y1202))-1,""))</f>
        <v/>
      </c>
      <c r="AA1202" s="134" t="str">
        <f t="shared" si="446"/>
        <v/>
      </c>
      <c r="AB1202" s="134" t="str">
        <f>IF(AA1202="","",IFERROR((RANK(AA1202,$AA$2:$AA$2028,1)+COUNTIF($AA$2:AA1202,AA1202))-1,""))</f>
        <v/>
      </c>
      <c r="AC1202" s="134" t="str">
        <f t="shared" si="447"/>
        <v/>
      </c>
      <c r="AD1202" s="134" t="str">
        <f>IF(AC1202="","",IFERROR((RANK(AC1202,$AC$2:$AC$2028,1)+COUNTIF($AC$2:AC1202,AC1202))-1,""))</f>
        <v/>
      </c>
      <c r="AE1202" s="144" t="str">
        <f t="shared" si="439"/>
        <v/>
      </c>
      <c r="AF1202" s="144" t="str">
        <f>IF(AE1202="","",SUM($AE$2:AE1202))</f>
        <v/>
      </c>
    </row>
    <row r="1203" spans="14:32" x14ac:dyDescent="0.35">
      <c r="N1203" s="134" t="str">
        <f t="shared" si="437"/>
        <v/>
      </c>
      <c r="O1203" s="82" t="str">
        <f t="shared" si="440"/>
        <v/>
      </c>
      <c r="P1203" s="81" t="str">
        <f t="shared" si="438"/>
        <v/>
      </c>
      <c r="Q1203" s="81" t="str">
        <f t="shared" si="441"/>
        <v/>
      </c>
      <c r="R1203" s="135" t="str">
        <f t="shared" ca="1" si="442"/>
        <v/>
      </c>
      <c r="S1203" s="134" t="str">
        <f t="shared" ca="1" si="443"/>
        <v/>
      </c>
      <c r="T1203" s="134" t="str">
        <f ca="1">IF(S1203=Dashboard!$D$12,S1203,"")</f>
        <v/>
      </c>
      <c r="U1203" s="134" t="str">
        <f t="shared" ca="1" si="444"/>
        <v/>
      </c>
      <c r="V1203" s="83" t="str">
        <f ca="1">IF(U1203="","",IFERROR((RANK(U1203,$U$2:$U$2028,1)+COUNTIF($U$2:U1203,U1203))-1,""))</f>
        <v/>
      </c>
      <c r="W1203" s="134" t="str">
        <f t="shared" si="448"/>
        <v/>
      </c>
      <c r="X1203" s="134" t="str">
        <f>IF(W1203="","",IFERROR((RANK(W1203,$W$2:$W$2028,1)+COUNTIF($W$2:W1203,W1203))-1,""))</f>
        <v/>
      </c>
      <c r="Y1203" s="134" t="str">
        <f t="shared" si="445"/>
        <v/>
      </c>
      <c r="Z1203" s="134" t="str">
        <f>IF(Y1203="","",IFERROR((RANK(Y1203,$Y$2:$Y$2028,1)+COUNTIF($Y$2:Y1203,Y1203))-1,""))</f>
        <v/>
      </c>
      <c r="AA1203" s="134" t="str">
        <f t="shared" si="446"/>
        <v/>
      </c>
      <c r="AB1203" s="134" t="str">
        <f>IF(AA1203="","",IFERROR((RANK(AA1203,$AA$2:$AA$2028,1)+COUNTIF($AA$2:AA1203,AA1203))-1,""))</f>
        <v/>
      </c>
      <c r="AC1203" s="134" t="str">
        <f t="shared" si="447"/>
        <v/>
      </c>
      <c r="AD1203" s="134" t="str">
        <f>IF(AC1203="","",IFERROR((RANK(AC1203,$AC$2:$AC$2028,1)+COUNTIF($AC$2:AC1203,AC1203))-1,""))</f>
        <v/>
      </c>
      <c r="AE1203" s="144" t="str">
        <f t="shared" si="439"/>
        <v/>
      </c>
      <c r="AF1203" s="144" t="str">
        <f>IF(AE1203="","",SUM($AE$2:AE1203))</f>
        <v/>
      </c>
    </row>
    <row r="1204" spans="14:32" x14ac:dyDescent="0.35">
      <c r="N1204" s="134" t="str">
        <f t="shared" si="437"/>
        <v/>
      </c>
      <c r="O1204" s="82" t="str">
        <f t="shared" si="440"/>
        <v/>
      </c>
      <c r="P1204" s="81" t="str">
        <f t="shared" si="438"/>
        <v/>
      </c>
      <c r="Q1204" s="81" t="str">
        <f t="shared" si="441"/>
        <v/>
      </c>
      <c r="R1204" s="135" t="str">
        <f t="shared" ca="1" si="442"/>
        <v/>
      </c>
      <c r="S1204" s="134" t="str">
        <f t="shared" ca="1" si="443"/>
        <v/>
      </c>
      <c r="T1204" s="134" t="str">
        <f ca="1">IF(S1204=Dashboard!$D$12,S1204,"")</f>
        <v/>
      </c>
      <c r="U1204" s="134" t="str">
        <f t="shared" ca="1" si="444"/>
        <v/>
      </c>
      <c r="V1204" s="83" t="str">
        <f ca="1">IF(U1204="","",IFERROR((RANK(U1204,$U$2:$U$2028,1)+COUNTIF($U$2:U1204,U1204))-1,""))</f>
        <v/>
      </c>
      <c r="W1204" s="134" t="str">
        <f t="shared" si="448"/>
        <v/>
      </c>
      <c r="X1204" s="134" t="str">
        <f>IF(W1204="","",IFERROR((RANK(W1204,$W$2:$W$2028,1)+COUNTIF($W$2:W1204,W1204))-1,""))</f>
        <v/>
      </c>
      <c r="Y1204" s="134" t="str">
        <f t="shared" si="445"/>
        <v/>
      </c>
      <c r="Z1204" s="134" t="str">
        <f>IF(Y1204="","",IFERROR((RANK(Y1204,$Y$2:$Y$2028,1)+COUNTIF($Y$2:Y1204,Y1204))-1,""))</f>
        <v/>
      </c>
      <c r="AA1204" s="134" t="str">
        <f t="shared" si="446"/>
        <v/>
      </c>
      <c r="AB1204" s="134" t="str">
        <f>IF(AA1204="","",IFERROR((RANK(AA1204,$AA$2:$AA$2028,1)+COUNTIF($AA$2:AA1204,AA1204))-1,""))</f>
        <v/>
      </c>
      <c r="AC1204" s="134" t="str">
        <f t="shared" si="447"/>
        <v/>
      </c>
      <c r="AD1204" s="134" t="str">
        <f>IF(AC1204="","",IFERROR((RANK(AC1204,$AC$2:$AC$2028,1)+COUNTIF($AC$2:AC1204,AC1204))-1,""))</f>
        <v/>
      </c>
      <c r="AE1204" s="144" t="str">
        <f t="shared" si="439"/>
        <v/>
      </c>
      <c r="AF1204" s="144" t="str">
        <f>IF(AE1204="","",SUM($AE$2:AE1204))</f>
        <v/>
      </c>
    </row>
    <row r="1205" spans="14:32" x14ac:dyDescent="0.35">
      <c r="N1205" s="134" t="str">
        <f t="shared" si="437"/>
        <v/>
      </c>
      <c r="O1205" s="82" t="str">
        <f t="shared" si="440"/>
        <v/>
      </c>
      <c r="P1205" s="81" t="str">
        <f t="shared" si="438"/>
        <v/>
      </c>
      <c r="Q1205" s="81" t="str">
        <f t="shared" si="441"/>
        <v/>
      </c>
      <c r="R1205" s="135" t="str">
        <f t="shared" ca="1" si="442"/>
        <v/>
      </c>
      <c r="S1205" s="134" t="str">
        <f t="shared" ca="1" si="443"/>
        <v/>
      </c>
      <c r="T1205" s="134" t="str">
        <f ca="1">IF(S1205=Dashboard!$D$12,S1205,"")</f>
        <v/>
      </c>
      <c r="U1205" s="134" t="str">
        <f t="shared" ca="1" si="444"/>
        <v/>
      </c>
      <c r="V1205" s="83" t="str">
        <f ca="1">IF(U1205="","",IFERROR((RANK(U1205,$U$2:$U$2028,1)+COUNTIF($U$2:U1205,U1205))-1,""))</f>
        <v/>
      </c>
      <c r="W1205" s="134" t="str">
        <f t="shared" si="448"/>
        <v/>
      </c>
      <c r="X1205" s="134" t="str">
        <f>IF(W1205="","",IFERROR((RANK(W1205,$W$2:$W$2028,1)+COUNTIF($W$2:W1205,W1205))-1,""))</f>
        <v/>
      </c>
      <c r="Y1205" s="134" t="str">
        <f t="shared" si="445"/>
        <v/>
      </c>
      <c r="Z1205" s="134" t="str">
        <f>IF(Y1205="","",IFERROR((RANK(Y1205,$Y$2:$Y$2028,1)+COUNTIF($Y$2:Y1205,Y1205))-1,""))</f>
        <v/>
      </c>
      <c r="AA1205" s="134" t="str">
        <f t="shared" si="446"/>
        <v/>
      </c>
      <c r="AB1205" s="134" t="str">
        <f>IF(AA1205="","",IFERROR((RANK(AA1205,$AA$2:$AA$2028,1)+COUNTIF($AA$2:AA1205,AA1205))-1,""))</f>
        <v/>
      </c>
      <c r="AC1205" s="134" t="str">
        <f t="shared" si="447"/>
        <v/>
      </c>
      <c r="AD1205" s="134" t="str">
        <f>IF(AC1205="","",IFERROR((RANK(AC1205,$AC$2:$AC$2028,1)+COUNTIF($AC$2:AC1205,AC1205))-1,""))</f>
        <v/>
      </c>
      <c r="AE1205" s="144" t="str">
        <f t="shared" si="439"/>
        <v/>
      </c>
      <c r="AF1205" s="144" t="str">
        <f>IF(AE1205="","",SUM($AE$2:AE1205))</f>
        <v/>
      </c>
    </row>
    <row r="1206" spans="14:32" x14ac:dyDescent="0.35">
      <c r="N1206" s="134" t="str">
        <f t="shared" si="437"/>
        <v/>
      </c>
      <c r="O1206" s="82" t="str">
        <f t="shared" si="440"/>
        <v/>
      </c>
      <c r="P1206" s="81" t="str">
        <f t="shared" si="438"/>
        <v/>
      </c>
      <c r="Q1206" s="81" t="str">
        <f t="shared" si="441"/>
        <v/>
      </c>
      <c r="R1206" s="135" t="str">
        <f t="shared" ca="1" si="442"/>
        <v/>
      </c>
      <c r="S1206" s="134" t="str">
        <f t="shared" ca="1" si="443"/>
        <v/>
      </c>
      <c r="T1206" s="134" t="str">
        <f ca="1">IF(S1206=Dashboard!$D$12,S1206,"")</f>
        <v/>
      </c>
      <c r="U1206" s="134" t="str">
        <f t="shared" ca="1" si="444"/>
        <v/>
      </c>
      <c r="V1206" s="83" t="str">
        <f ca="1">IF(U1206="","",IFERROR((RANK(U1206,$U$2:$U$2028,1)+COUNTIF($U$2:U1206,U1206))-1,""))</f>
        <v/>
      </c>
      <c r="W1206" s="134" t="str">
        <f t="shared" si="448"/>
        <v/>
      </c>
      <c r="X1206" s="134" t="str">
        <f>IF(W1206="","",IFERROR((RANK(W1206,$W$2:$W$2028,1)+COUNTIF($W$2:W1206,W1206))-1,""))</f>
        <v/>
      </c>
      <c r="Y1206" s="134" t="str">
        <f t="shared" si="445"/>
        <v/>
      </c>
      <c r="Z1206" s="134" t="str">
        <f>IF(Y1206="","",IFERROR((RANK(Y1206,$Y$2:$Y$2028,1)+COUNTIF($Y$2:Y1206,Y1206))-1,""))</f>
        <v/>
      </c>
      <c r="AA1206" s="134" t="str">
        <f t="shared" si="446"/>
        <v/>
      </c>
      <c r="AB1206" s="134" t="str">
        <f>IF(AA1206="","",IFERROR((RANK(AA1206,$AA$2:$AA$2028,1)+COUNTIF($AA$2:AA1206,AA1206))-1,""))</f>
        <v/>
      </c>
      <c r="AC1206" s="134" t="str">
        <f t="shared" si="447"/>
        <v/>
      </c>
      <c r="AD1206" s="134" t="str">
        <f>IF(AC1206="","",IFERROR((RANK(AC1206,$AC$2:$AC$2028,1)+COUNTIF($AC$2:AC1206,AC1206))-1,""))</f>
        <v/>
      </c>
      <c r="AE1206" s="144" t="str">
        <f t="shared" si="439"/>
        <v/>
      </c>
      <c r="AF1206" s="144" t="str">
        <f>IF(AE1206="","",SUM($AE$2:AE1206))</f>
        <v/>
      </c>
    </row>
    <row r="1207" spans="14:32" x14ac:dyDescent="0.35">
      <c r="N1207" s="134" t="str">
        <f t="shared" si="437"/>
        <v/>
      </c>
      <c r="O1207" s="82" t="str">
        <f t="shared" si="440"/>
        <v/>
      </c>
      <c r="P1207" s="81" t="str">
        <f t="shared" si="438"/>
        <v/>
      </c>
      <c r="Q1207" s="81" t="str">
        <f t="shared" si="441"/>
        <v/>
      </c>
      <c r="R1207" s="135" t="str">
        <f t="shared" ca="1" si="442"/>
        <v/>
      </c>
      <c r="S1207" s="134" t="str">
        <f t="shared" ca="1" si="443"/>
        <v/>
      </c>
      <c r="T1207" s="134" t="str">
        <f ca="1">IF(S1207=Dashboard!$D$12,S1207,"")</f>
        <v/>
      </c>
      <c r="U1207" s="134" t="str">
        <f t="shared" ca="1" si="444"/>
        <v/>
      </c>
      <c r="V1207" s="83" t="str">
        <f ca="1">IF(U1207="","",IFERROR((RANK(U1207,$U$2:$U$2028,1)+COUNTIF($U$2:U1207,U1207))-1,""))</f>
        <v/>
      </c>
      <c r="W1207" s="134" t="str">
        <f t="shared" si="448"/>
        <v/>
      </c>
      <c r="X1207" s="134" t="str">
        <f>IF(W1207="","",IFERROR((RANK(W1207,$W$2:$W$2028,1)+COUNTIF($W$2:W1207,W1207))-1,""))</f>
        <v/>
      </c>
      <c r="Y1207" s="134" t="str">
        <f t="shared" si="445"/>
        <v/>
      </c>
      <c r="Z1207" s="134" t="str">
        <f>IF(Y1207="","",IFERROR((RANK(Y1207,$Y$2:$Y$2028,1)+COUNTIF($Y$2:Y1207,Y1207))-1,""))</f>
        <v/>
      </c>
      <c r="AA1207" s="134" t="str">
        <f t="shared" si="446"/>
        <v/>
      </c>
      <c r="AB1207" s="134" t="str">
        <f>IF(AA1207="","",IFERROR((RANK(AA1207,$AA$2:$AA$2028,1)+COUNTIF($AA$2:AA1207,AA1207))-1,""))</f>
        <v/>
      </c>
      <c r="AC1207" s="134" t="str">
        <f t="shared" si="447"/>
        <v/>
      </c>
      <c r="AD1207" s="134" t="str">
        <f>IF(AC1207="","",IFERROR((RANK(AC1207,$AC$2:$AC$2028,1)+COUNTIF($AC$2:AC1207,AC1207))-1,""))</f>
        <v/>
      </c>
      <c r="AE1207" s="144" t="str">
        <f t="shared" si="439"/>
        <v/>
      </c>
      <c r="AF1207" s="144" t="str">
        <f>IF(AE1207="","",SUM($AE$2:AE1207))</f>
        <v/>
      </c>
    </row>
    <row r="1208" spans="14:32" x14ac:dyDescent="0.35">
      <c r="N1208" s="134" t="str">
        <f t="shared" si="437"/>
        <v/>
      </c>
      <c r="O1208" s="82" t="str">
        <f t="shared" si="440"/>
        <v/>
      </c>
      <c r="P1208" s="81" t="str">
        <f t="shared" si="438"/>
        <v/>
      </c>
      <c r="Q1208" s="81" t="str">
        <f t="shared" si="441"/>
        <v/>
      </c>
      <c r="R1208" s="135" t="str">
        <f t="shared" ca="1" si="442"/>
        <v/>
      </c>
      <c r="S1208" s="134" t="str">
        <f t="shared" ca="1" si="443"/>
        <v/>
      </c>
      <c r="T1208" s="134" t="str">
        <f ca="1">IF(S1208=Dashboard!$D$12,S1208,"")</f>
        <v/>
      </c>
      <c r="U1208" s="134" t="str">
        <f t="shared" ca="1" si="444"/>
        <v/>
      </c>
      <c r="V1208" s="83" t="str">
        <f ca="1">IF(U1208="","",IFERROR((RANK(U1208,$U$2:$U$2028,1)+COUNTIF($U$2:U1208,U1208))-1,""))</f>
        <v/>
      </c>
      <c r="W1208" s="134" t="str">
        <f t="shared" si="448"/>
        <v/>
      </c>
      <c r="X1208" s="134" t="str">
        <f>IF(W1208="","",IFERROR((RANK(W1208,$W$2:$W$2028,1)+COUNTIF($W$2:W1208,W1208))-1,""))</f>
        <v/>
      </c>
      <c r="Y1208" s="134" t="str">
        <f t="shared" si="445"/>
        <v/>
      </c>
      <c r="Z1208" s="134" t="str">
        <f>IF(Y1208="","",IFERROR((RANK(Y1208,$Y$2:$Y$2028,1)+COUNTIF($Y$2:Y1208,Y1208))-1,""))</f>
        <v/>
      </c>
      <c r="AA1208" s="134" t="str">
        <f t="shared" si="446"/>
        <v/>
      </c>
      <c r="AB1208" s="134" t="str">
        <f>IF(AA1208="","",IFERROR((RANK(AA1208,$AA$2:$AA$2028,1)+COUNTIF($AA$2:AA1208,AA1208))-1,""))</f>
        <v/>
      </c>
      <c r="AC1208" s="134" t="str">
        <f t="shared" si="447"/>
        <v/>
      </c>
      <c r="AD1208" s="134" t="str">
        <f>IF(AC1208="","",IFERROR((RANK(AC1208,$AC$2:$AC$2028,1)+COUNTIF($AC$2:AC1208,AC1208))-1,""))</f>
        <v/>
      </c>
      <c r="AE1208" s="144" t="str">
        <f t="shared" si="439"/>
        <v/>
      </c>
      <c r="AF1208" s="144" t="str">
        <f>IF(AE1208="","",SUM($AE$2:AE1208))</f>
        <v/>
      </c>
    </row>
    <row r="1209" spans="14:32" x14ac:dyDescent="0.35">
      <c r="N1209" s="134" t="str">
        <f t="shared" si="437"/>
        <v/>
      </c>
      <c r="O1209" s="82" t="str">
        <f t="shared" si="440"/>
        <v/>
      </c>
      <c r="P1209" s="81" t="str">
        <f t="shared" si="438"/>
        <v/>
      </c>
      <c r="Q1209" s="81" t="str">
        <f t="shared" si="441"/>
        <v/>
      </c>
      <c r="R1209" s="135" t="str">
        <f t="shared" ca="1" si="442"/>
        <v/>
      </c>
      <c r="S1209" s="134" t="str">
        <f t="shared" ca="1" si="443"/>
        <v/>
      </c>
      <c r="T1209" s="134" t="str">
        <f ca="1">IF(S1209=Dashboard!$D$12,S1209,"")</f>
        <v/>
      </c>
      <c r="U1209" s="134" t="str">
        <f t="shared" ca="1" si="444"/>
        <v/>
      </c>
      <c r="V1209" s="83" t="str">
        <f ca="1">IF(U1209="","",IFERROR((RANK(U1209,$U$2:$U$2028,1)+COUNTIF($U$2:U1209,U1209))-1,""))</f>
        <v/>
      </c>
      <c r="W1209" s="134" t="str">
        <f t="shared" si="448"/>
        <v/>
      </c>
      <c r="X1209" s="134" t="str">
        <f>IF(W1209="","",IFERROR((RANK(W1209,$W$2:$W$2028,1)+COUNTIF($W$2:W1209,W1209))-1,""))</f>
        <v/>
      </c>
      <c r="Y1209" s="134" t="str">
        <f t="shared" si="445"/>
        <v/>
      </c>
      <c r="Z1209" s="134" t="str">
        <f>IF(Y1209="","",IFERROR((RANK(Y1209,$Y$2:$Y$2028,1)+COUNTIF($Y$2:Y1209,Y1209))-1,""))</f>
        <v/>
      </c>
      <c r="AA1209" s="134" t="str">
        <f t="shared" si="446"/>
        <v/>
      </c>
      <c r="AB1209" s="134" t="str">
        <f>IF(AA1209="","",IFERROR((RANK(AA1209,$AA$2:$AA$2028,1)+COUNTIF($AA$2:AA1209,AA1209))-1,""))</f>
        <v/>
      </c>
      <c r="AC1209" s="134" t="str">
        <f t="shared" si="447"/>
        <v/>
      </c>
      <c r="AD1209" s="134" t="str">
        <f>IF(AC1209="","",IFERROR((RANK(AC1209,$AC$2:$AC$2028,1)+COUNTIF($AC$2:AC1209,AC1209))-1,""))</f>
        <v/>
      </c>
      <c r="AE1209" s="144" t="str">
        <f t="shared" si="439"/>
        <v/>
      </c>
      <c r="AF1209" s="144" t="str">
        <f>IF(AE1209="","",SUM($AE$2:AE1209))</f>
        <v/>
      </c>
    </row>
    <row r="1210" spans="14:32" x14ac:dyDescent="0.35">
      <c r="N1210" s="134" t="str">
        <f t="shared" si="437"/>
        <v/>
      </c>
      <c r="O1210" s="82" t="str">
        <f t="shared" si="440"/>
        <v/>
      </c>
      <c r="P1210" s="81" t="str">
        <f t="shared" si="438"/>
        <v/>
      </c>
      <c r="Q1210" s="81" t="str">
        <f t="shared" si="441"/>
        <v/>
      </c>
      <c r="R1210" s="135" t="str">
        <f t="shared" ca="1" si="442"/>
        <v/>
      </c>
      <c r="S1210" s="134" t="str">
        <f t="shared" ca="1" si="443"/>
        <v/>
      </c>
      <c r="T1210" s="134" t="str">
        <f ca="1">IF(S1210=Dashboard!$D$12,S1210,"")</f>
        <v/>
      </c>
      <c r="U1210" s="134" t="str">
        <f t="shared" ca="1" si="444"/>
        <v/>
      </c>
      <c r="V1210" s="83" t="str">
        <f ca="1">IF(U1210="","",IFERROR((RANK(U1210,$U$2:$U$2028,1)+COUNTIF($U$2:U1210,U1210))-1,""))</f>
        <v/>
      </c>
      <c r="W1210" s="134" t="str">
        <f t="shared" si="448"/>
        <v/>
      </c>
      <c r="X1210" s="134" t="str">
        <f>IF(W1210="","",IFERROR((RANK(W1210,$W$2:$W$2028,1)+COUNTIF($W$2:W1210,W1210))-1,""))</f>
        <v/>
      </c>
      <c r="Y1210" s="134" t="str">
        <f t="shared" si="445"/>
        <v/>
      </c>
      <c r="Z1210" s="134" t="str">
        <f>IF(Y1210="","",IFERROR((RANK(Y1210,$Y$2:$Y$2028,1)+COUNTIF($Y$2:Y1210,Y1210))-1,""))</f>
        <v/>
      </c>
      <c r="AA1210" s="134" t="str">
        <f t="shared" si="446"/>
        <v/>
      </c>
      <c r="AB1210" s="134" t="str">
        <f>IF(AA1210="","",IFERROR((RANK(AA1210,$AA$2:$AA$2028,1)+COUNTIF($AA$2:AA1210,AA1210))-1,""))</f>
        <v/>
      </c>
      <c r="AC1210" s="134" t="str">
        <f t="shared" si="447"/>
        <v/>
      </c>
      <c r="AD1210" s="134" t="str">
        <f>IF(AC1210="","",IFERROR((RANK(AC1210,$AC$2:$AC$2028,1)+COUNTIF($AC$2:AC1210,AC1210))-1,""))</f>
        <v/>
      </c>
      <c r="AE1210" s="144" t="str">
        <f t="shared" si="439"/>
        <v/>
      </c>
      <c r="AF1210" s="144" t="str">
        <f>IF(AE1210="","",SUM($AE$2:AE1210))</f>
        <v/>
      </c>
    </row>
    <row r="1211" spans="14:32" x14ac:dyDescent="0.35">
      <c r="N1211" s="134" t="str">
        <f t="shared" si="437"/>
        <v/>
      </c>
      <c r="O1211" s="82" t="str">
        <f t="shared" si="440"/>
        <v/>
      </c>
      <c r="P1211" s="81" t="str">
        <f t="shared" si="438"/>
        <v/>
      </c>
      <c r="Q1211" s="81" t="str">
        <f t="shared" si="441"/>
        <v/>
      </c>
      <c r="R1211" s="135" t="str">
        <f t="shared" ca="1" si="442"/>
        <v/>
      </c>
      <c r="S1211" s="134" t="str">
        <f t="shared" ca="1" si="443"/>
        <v/>
      </c>
      <c r="T1211" s="134" t="str">
        <f ca="1">IF(S1211=Dashboard!$D$12,S1211,"")</f>
        <v/>
      </c>
      <c r="U1211" s="134" t="str">
        <f t="shared" ca="1" si="444"/>
        <v/>
      </c>
      <c r="V1211" s="83" t="str">
        <f ca="1">IF(U1211="","",IFERROR((RANK(U1211,$U$2:$U$2028,1)+COUNTIF($U$2:U1211,U1211))-1,""))</f>
        <v/>
      </c>
      <c r="W1211" s="134" t="str">
        <f t="shared" si="448"/>
        <v/>
      </c>
      <c r="X1211" s="134" t="str">
        <f>IF(W1211="","",IFERROR((RANK(W1211,$W$2:$W$2028,1)+COUNTIF($W$2:W1211,W1211))-1,""))</f>
        <v/>
      </c>
      <c r="Y1211" s="134" t="str">
        <f t="shared" si="445"/>
        <v/>
      </c>
      <c r="Z1211" s="134" t="str">
        <f>IF(Y1211="","",IFERROR((RANK(Y1211,$Y$2:$Y$2028,1)+COUNTIF($Y$2:Y1211,Y1211))-1,""))</f>
        <v/>
      </c>
      <c r="AA1211" s="134" t="str">
        <f t="shared" si="446"/>
        <v/>
      </c>
      <c r="AB1211" s="134" t="str">
        <f>IF(AA1211="","",IFERROR((RANK(AA1211,$AA$2:$AA$2028,1)+COUNTIF($AA$2:AA1211,AA1211))-1,""))</f>
        <v/>
      </c>
      <c r="AC1211" s="134" t="str">
        <f t="shared" si="447"/>
        <v/>
      </c>
      <c r="AD1211" s="134" t="str">
        <f>IF(AC1211="","",IFERROR((RANK(AC1211,$AC$2:$AC$2028,1)+COUNTIF($AC$2:AC1211,AC1211))-1,""))</f>
        <v/>
      </c>
      <c r="AE1211" s="144" t="str">
        <f t="shared" si="439"/>
        <v/>
      </c>
      <c r="AF1211" s="144" t="str">
        <f>IF(AE1211="","",SUM($AE$2:AE1211))</f>
        <v/>
      </c>
    </row>
    <row r="1212" spans="14:32" x14ac:dyDescent="0.35">
      <c r="N1212" s="134" t="str">
        <f t="shared" si="437"/>
        <v/>
      </c>
      <c r="O1212" s="82" t="str">
        <f t="shared" si="440"/>
        <v/>
      </c>
      <c r="P1212" s="81" t="str">
        <f t="shared" si="438"/>
        <v/>
      </c>
      <c r="Q1212" s="81" t="str">
        <f t="shared" si="441"/>
        <v/>
      </c>
      <c r="R1212" s="135" t="str">
        <f t="shared" ca="1" si="442"/>
        <v/>
      </c>
      <c r="S1212" s="134" t="str">
        <f t="shared" ca="1" si="443"/>
        <v/>
      </c>
      <c r="T1212" s="134" t="str">
        <f ca="1">IF(S1212=Dashboard!$D$12,S1212,"")</f>
        <v/>
      </c>
      <c r="U1212" s="134" t="str">
        <f t="shared" ca="1" si="444"/>
        <v/>
      </c>
      <c r="V1212" s="83" t="str">
        <f ca="1">IF(U1212="","",IFERROR((RANK(U1212,$U$2:$U$2028,1)+COUNTIF($U$2:U1212,U1212))-1,""))</f>
        <v/>
      </c>
      <c r="W1212" s="134" t="str">
        <f t="shared" si="448"/>
        <v/>
      </c>
      <c r="X1212" s="134" t="str">
        <f>IF(W1212="","",IFERROR((RANK(W1212,$W$2:$W$2028,1)+COUNTIF($W$2:W1212,W1212))-1,""))</f>
        <v/>
      </c>
      <c r="Y1212" s="134" t="str">
        <f t="shared" si="445"/>
        <v/>
      </c>
      <c r="Z1212" s="134" t="str">
        <f>IF(Y1212="","",IFERROR((RANK(Y1212,$Y$2:$Y$2028,1)+COUNTIF($Y$2:Y1212,Y1212))-1,""))</f>
        <v/>
      </c>
      <c r="AA1212" s="134" t="str">
        <f t="shared" si="446"/>
        <v/>
      </c>
      <c r="AB1212" s="134" t="str">
        <f>IF(AA1212="","",IFERROR((RANK(AA1212,$AA$2:$AA$2028,1)+COUNTIF($AA$2:AA1212,AA1212))-1,""))</f>
        <v/>
      </c>
      <c r="AC1212" s="134" t="str">
        <f t="shared" si="447"/>
        <v/>
      </c>
      <c r="AD1212" s="134" t="str">
        <f>IF(AC1212="","",IFERROR((RANK(AC1212,$AC$2:$AC$2028,1)+COUNTIF($AC$2:AC1212,AC1212))-1,""))</f>
        <v/>
      </c>
      <c r="AE1212" s="144" t="str">
        <f t="shared" si="439"/>
        <v/>
      </c>
      <c r="AF1212" s="144" t="str">
        <f>IF(AE1212="","",SUM($AE$2:AE1212))</f>
        <v/>
      </c>
    </row>
    <row r="1213" spans="14:32" x14ac:dyDescent="0.35">
      <c r="N1213" s="134" t="str">
        <f t="shared" si="437"/>
        <v/>
      </c>
      <c r="O1213" s="82" t="str">
        <f t="shared" si="440"/>
        <v/>
      </c>
      <c r="P1213" s="81" t="str">
        <f t="shared" si="438"/>
        <v/>
      </c>
      <c r="Q1213" s="81" t="str">
        <f t="shared" si="441"/>
        <v/>
      </c>
      <c r="R1213" s="135" t="str">
        <f t="shared" ca="1" si="442"/>
        <v/>
      </c>
      <c r="S1213" s="134" t="str">
        <f t="shared" ca="1" si="443"/>
        <v/>
      </c>
      <c r="T1213" s="134" t="str">
        <f ca="1">IF(S1213=Dashboard!$D$12,S1213,"")</f>
        <v/>
      </c>
      <c r="U1213" s="134" t="str">
        <f t="shared" ca="1" si="444"/>
        <v/>
      </c>
      <c r="V1213" s="83" t="str">
        <f ca="1">IF(U1213="","",IFERROR((RANK(U1213,$U$2:$U$2028,1)+COUNTIF($U$2:U1213,U1213))-1,""))</f>
        <v/>
      </c>
      <c r="W1213" s="134" t="str">
        <f t="shared" si="448"/>
        <v/>
      </c>
      <c r="X1213" s="134" t="str">
        <f>IF(W1213="","",IFERROR((RANK(W1213,$W$2:$W$2028,1)+COUNTIF($W$2:W1213,W1213))-1,""))</f>
        <v/>
      </c>
      <c r="Y1213" s="134" t="str">
        <f t="shared" si="445"/>
        <v/>
      </c>
      <c r="Z1213" s="134" t="str">
        <f>IF(Y1213="","",IFERROR((RANK(Y1213,$Y$2:$Y$2028,1)+COUNTIF($Y$2:Y1213,Y1213))-1,""))</f>
        <v/>
      </c>
      <c r="AA1213" s="134" t="str">
        <f t="shared" si="446"/>
        <v/>
      </c>
      <c r="AB1213" s="134" t="str">
        <f>IF(AA1213="","",IFERROR((RANK(AA1213,$AA$2:$AA$2028,1)+COUNTIF($AA$2:AA1213,AA1213))-1,""))</f>
        <v/>
      </c>
      <c r="AC1213" s="134" t="str">
        <f t="shared" si="447"/>
        <v/>
      </c>
      <c r="AD1213" s="134" t="str">
        <f>IF(AC1213="","",IFERROR((RANK(AC1213,$AC$2:$AC$2028,1)+COUNTIF($AC$2:AC1213,AC1213))-1,""))</f>
        <v/>
      </c>
      <c r="AE1213" s="144" t="str">
        <f t="shared" si="439"/>
        <v/>
      </c>
      <c r="AF1213" s="144" t="str">
        <f>IF(AE1213="","",SUM($AE$2:AE1213))</f>
        <v/>
      </c>
    </row>
    <row r="1214" spans="14:32" x14ac:dyDescent="0.35">
      <c r="N1214" s="134" t="str">
        <f t="shared" si="437"/>
        <v/>
      </c>
      <c r="O1214" s="82" t="str">
        <f t="shared" si="440"/>
        <v/>
      </c>
      <c r="P1214" s="81" t="str">
        <f t="shared" si="438"/>
        <v/>
      </c>
      <c r="Q1214" s="81" t="str">
        <f t="shared" si="441"/>
        <v/>
      </c>
      <c r="R1214" s="135" t="str">
        <f t="shared" ca="1" si="442"/>
        <v/>
      </c>
      <c r="S1214" s="134" t="str">
        <f t="shared" ca="1" si="443"/>
        <v/>
      </c>
      <c r="T1214" s="134" t="str">
        <f ca="1">IF(S1214=Dashboard!$D$12,S1214,"")</f>
        <v/>
      </c>
      <c r="U1214" s="134" t="str">
        <f t="shared" ca="1" si="444"/>
        <v/>
      </c>
      <c r="V1214" s="83" t="str">
        <f ca="1">IF(U1214="","",IFERROR((RANK(U1214,$U$2:$U$2028,1)+COUNTIF($U$2:U1214,U1214))-1,""))</f>
        <v/>
      </c>
      <c r="W1214" s="134" t="str">
        <f t="shared" si="448"/>
        <v/>
      </c>
      <c r="X1214" s="134" t="str">
        <f>IF(W1214="","",IFERROR((RANK(W1214,$W$2:$W$2028,1)+COUNTIF($W$2:W1214,W1214))-1,""))</f>
        <v/>
      </c>
      <c r="Y1214" s="134" t="str">
        <f t="shared" si="445"/>
        <v/>
      </c>
      <c r="Z1214" s="134" t="str">
        <f>IF(Y1214="","",IFERROR((RANK(Y1214,$Y$2:$Y$2028,1)+COUNTIF($Y$2:Y1214,Y1214))-1,""))</f>
        <v/>
      </c>
      <c r="AA1214" s="134" t="str">
        <f t="shared" si="446"/>
        <v/>
      </c>
      <c r="AB1214" s="134" t="str">
        <f>IF(AA1214="","",IFERROR((RANK(AA1214,$AA$2:$AA$2028,1)+COUNTIF($AA$2:AA1214,AA1214))-1,""))</f>
        <v/>
      </c>
      <c r="AC1214" s="134" t="str">
        <f t="shared" si="447"/>
        <v/>
      </c>
      <c r="AD1214" s="134" t="str">
        <f>IF(AC1214="","",IFERROR((RANK(AC1214,$AC$2:$AC$2028,1)+COUNTIF($AC$2:AC1214,AC1214))-1,""))</f>
        <v/>
      </c>
      <c r="AE1214" s="144" t="str">
        <f t="shared" si="439"/>
        <v/>
      </c>
      <c r="AF1214" s="144" t="str">
        <f>IF(AE1214="","",SUM($AE$2:AE1214))</f>
        <v/>
      </c>
    </row>
    <row r="1215" spans="14:32" x14ac:dyDescent="0.35">
      <c r="N1215" s="134" t="str">
        <f t="shared" si="437"/>
        <v/>
      </c>
      <c r="O1215" s="82" t="str">
        <f t="shared" si="440"/>
        <v/>
      </c>
      <c r="P1215" s="81" t="str">
        <f t="shared" si="438"/>
        <v/>
      </c>
      <c r="Q1215" s="81" t="str">
        <f t="shared" si="441"/>
        <v/>
      </c>
      <c r="R1215" s="135" t="str">
        <f t="shared" ca="1" si="442"/>
        <v/>
      </c>
      <c r="S1215" s="134" t="str">
        <f t="shared" ca="1" si="443"/>
        <v/>
      </c>
      <c r="T1215" s="134" t="str">
        <f ca="1">IF(S1215=Dashboard!$D$12,S1215,"")</f>
        <v/>
      </c>
      <c r="U1215" s="134" t="str">
        <f t="shared" ca="1" si="444"/>
        <v/>
      </c>
      <c r="V1215" s="83" t="str">
        <f ca="1">IF(U1215="","",IFERROR((RANK(U1215,$U$2:$U$2028,1)+COUNTIF($U$2:U1215,U1215))-1,""))</f>
        <v/>
      </c>
      <c r="W1215" s="134" t="str">
        <f t="shared" si="448"/>
        <v/>
      </c>
      <c r="X1215" s="134" t="str">
        <f>IF(W1215="","",IFERROR((RANK(W1215,$W$2:$W$2028,1)+COUNTIF($W$2:W1215,W1215))-1,""))</f>
        <v/>
      </c>
      <c r="Y1215" s="134" t="str">
        <f t="shared" si="445"/>
        <v/>
      </c>
      <c r="Z1215" s="134" t="str">
        <f>IF(Y1215="","",IFERROR((RANK(Y1215,$Y$2:$Y$2028,1)+COUNTIF($Y$2:Y1215,Y1215))-1,""))</f>
        <v/>
      </c>
      <c r="AA1215" s="134" t="str">
        <f t="shared" si="446"/>
        <v/>
      </c>
      <c r="AB1215" s="134" t="str">
        <f>IF(AA1215="","",IFERROR((RANK(AA1215,$AA$2:$AA$2028,1)+COUNTIF($AA$2:AA1215,AA1215))-1,""))</f>
        <v/>
      </c>
      <c r="AC1215" s="134" t="str">
        <f t="shared" si="447"/>
        <v/>
      </c>
      <c r="AD1215" s="134" t="str">
        <f>IF(AC1215="","",IFERROR((RANK(AC1215,$AC$2:$AC$2028,1)+COUNTIF($AC$2:AC1215,AC1215))-1,""))</f>
        <v/>
      </c>
      <c r="AE1215" s="144" t="str">
        <f t="shared" si="439"/>
        <v/>
      </c>
      <c r="AF1215" s="144" t="str">
        <f>IF(AE1215="","",SUM($AE$2:AE1215))</f>
        <v/>
      </c>
    </row>
    <row r="1216" spans="14:32" x14ac:dyDescent="0.35">
      <c r="N1216" s="134" t="str">
        <f t="shared" si="437"/>
        <v/>
      </c>
      <c r="O1216" s="82" t="str">
        <f t="shared" si="440"/>
        <v/>
      </c>
      <c r="P1216" s="81" t="str">
        <f t="shared" si="438"/>
        <v/>
      </c>
      <c r="Q1216" s="81" t="str">
        <f t="shared" si="441"/>
        <v/>
      </c>
      <c r="R1216" s="135" t="str">
        <f t="shared" ca="1" si="442"/>
        <v/>
      </c>
      <c r="S1216" s="134" t="str">
        <f t="shared" ca="1" si="443"/>
        <v/>
      </c>
      <c r="T1216" s="134" t="str">
        <f ca="1">IF(S1216=Dashboard!$D$12,S1216,"")</f>
        <v/>
      </c>
      <c r="U1216" s="134" t="str">
        <f t="shared" ca="1" si="444"/>
        <v/>
      </c>
      <c r="V1216" s="83" t="str">
        <f ca="1">IF(U1216="","",IFERROR((RANK(U1216,$U$2:$U$2028,1)+COUNTIF($U$2:U1216,U1216))-1,""))</f>
        <v/>
      </c>
      <c r="W1216" s="134" t="str">
        <f t="shared" si="448"/>
        <v/>
      </c>
      <c r="X1216" s="134" t="str">
        <f>IF(W1216="","",IFERROR((RANK(W1216,$W$2:$W$2028,1)+COUNTIF($W$2:W1216,W1216))-1,""))</f>
        <v/>
      </c>
      <c r="Y1216" s="134" t="str">
        <f t="shared" si="445"/>
        <v/>
      </c>
      <c r="Z1216" s="134" t="str">
        <f>IF(Y1216="","",IFERROR((RANK(Y1216,$Y$2:$Y$2028,1)+COUNTIF($Y$2:Y1216,Y1216))-1,""))</f>
        <v/>
      </c>
      <c r="AA1216" s="134" t="str">
        <f t="shared" si="446"/>
        <v/>
      </c>
      <c r="AB1216" s="134" t="str">
        <f>IF(AA1216="","",IFERROR((RANK(AA1216,$AA$2:$AA$2028,1)+COUNTIF($AA$2:AA1216,AA1216))-1,""))</f>
        <v/>
      </c>
      <c r="AC1216" s="134" t="str">
        <f t="shared" si="447"/>
        <v/>
      </c>
      <c r="AD1216" s="134" t="str">
        <f>IF(AC1216="","",IFERROR((RANK(AC1216,$AC$2:$AC$2028,1)+COUNTIF($AC$2:AC1216,AC1216))-1,""))</f>
        <v/>
      </c>
      <c r="AE1216" s="144" t="str">
        <f t="shared" si="439"/>
        <v/>
      </c>
      <c r="AF1216" s="144" t="str">
        <f>IF(AE1216="","",SUM($AE$2:AE1216))</f>
        <v/>
      </c>
    </row>
    <row r="1217" spans="14:32" x14ac:dyDescent="0.35">
      <c r="N1217" s="134" t="str">
        <f t="shared" si="437"/>
        <v/>
      </c>
      <c r="O1217" s="82" t="str">
        <f t="shared" si="440"/>
        <v/>
      </c>
      <c r="P1217" s="81" t="str">
        <f t="shared" si="438"/>
        <v/>
      </c>
      <c r="Q1217" s="81" t="str">
        <f t="shared" si="441"/>
        <v/>
      </c>
      <c r="R1217" s="135" t="str">
        <f t="shared" ca="1" si="442"/>
        <v/>
      </c>
      <c r="S1217" s="134" t="str">
        <f t="shared" ca="1" si="443"/>
        <v/>
      </c>
      <c r="T1217" s="134" t="str">
        <f ca="1">IF(S1217=Dashboard!$D$12,S1217,"")</f>
        <v/>
      </c>
      <c r="U1217" s="134" t="str">
        <f t="shared" ca="1" si="444"/>
        <v/>
      </c>
      <c r="V1217" s="83" t="str">
        <f ca="1">IF(U1217="","",IFERROR((RANK(U1217,$U$2:$U$2028,1)+COUNTIF($U$2:U1217,U1217))-1,""))</f>
        <v/>
      </c>
      <c r="W1217" s="134" t="str">
        <f t="shared" si="448"/>
        <v/>
      </c>
      <c r="X1217" s="134" t="str">
        <f>IF(W1217="","",IFERROR((RANK(W1217,$W$2:$W$2028,1)+COUNTIF($W$2:W1217,W1217))-1,""))</f>
        <v/>
      </c>
      <c r="Y1217" s="134" t="str">
        <f t="shared" si="445"/>
        <v/>
      </c>
      <c r="Z1217" s="134" t="str">
        <f>IF(Y1217="","",IFERROR((RANK(Y1217,$Y$2:$Y$2028,1)+COUNTIF($Y$2:Y1217,Y1217))-1,""))</f>
        <v/>
      </c>
      <c r="AA1217" s="134" t="str">
        <f t="shared" si="446"/>
        <v/>
      </c>
      <c r="AB1217" s="134" t="str">
        <f>IF(AA1217="","",IFERROR((RANK(AA1217,$AA$2:$AA$2028,1)+COUNTIF($AA$2:AA1217,AA1217))-1,""))</f>
        <v/>
      </c>
      <c r="AC1217" s="134" t="str">
        <f t="shared" si="447"/>
        <v/>
      </c>
      <c r="AD1217" s="134" t="str">
        <f>IF(AC1217="","",IFERROR((RANK(AC1217,$AC$2:$AC$2028,1)+COUNTIF($AC$2:AC1217,AC1217))-1,""))</f>
        <v/>
      </c>
      <c r="AE1217" s="144" t="str">
        <f t="shared" si="439"/>
        <v/>
      </c>
      <c r="AF1217" s="144" t="str">
        <f>IF(AE1217="","",SUM($AE$2:AE1217))</f>
        <v/>
      </c>
    </row>
    <row r="1218" spans="14:32" x14ac:dyDescent="0.35">
      <c r="N1218" s="134" t="str">
        <f t="shared" ref="N1218:N1281" si="449">IF(A1218="","",COUNTIFS(M:M,M1218,H:H,"&lt;"&amp;H1218)+1)</f>
        <v/>
      </c>
      <c r="O1218" s="82" t="str">
        <f t="shared" si="440"/>
        <v/>
      </c>
      <c r="P1218" s="81" t="str">
        <f t="shared" ref="P1218:P1281" si="450">IF(A1218="","",COUNTIFS(M:M,M1218,H:H,"&gt;"&amp;H1218)+1)</f>
        <v/>
      </c>
      <c r="Q1218" s="81" t="str">
        <f t="shared" si="441"/>
        <v/>
      </c>
      <c r="R1218" s="135" t="str">
        <f t="shared" ca="1" si="442"/>
        <v/>
      </c>
      <c r="S1218" s="134" t="str">
        <f t="shared" ca="1" si="443"/>
        <v/>
      </c>
      <c r="T1218" s="134" t="str">
        <f ca="1">IF(S1218=Dashboard!$D$12,S1218,"")</f>
        <v/>
      </c>
      <c r="U1218" s="134" t="str">
        <f t="shared" ca="1" si="444"/>
        <v/>
      </c>
      <c r="V1218" s="83" t="str">
        <f ca="1">IF(U1218="","",IFERROR((RANK(U1218,$U$2:$U$2028,1)+COUNTIF($U$2:U1218,U1218))-1,""))</f>
        <v/>
      </c>
      <c r="W1218" s="134" t="str">
        <f t="shared" si="448"/>
        <v/>
      </c>
      <c r="X1218" s="134" t="str">
        <f>IF(W1218="","",IFERROR((RANK(W1218,$W$2:$W$2028,1)+COUNTIF($W$2:W1218,W1218))-1,""))</f>
        <v/>
      </c>
      <c r="Y1218" s="134" t="str">
        <f t="shared" si="445"/>
        <v/>
      </c>
      <c r="Z1218" s="134" t="str">
        <f>IF(Y1218="","",IFERROR((RANK(Y1218,$Y$2:$Y$2028,1)+COUNTIF($Y$2:Y1218,Y1218))-1,""))</f>
        <v/>
      </c>
      <c r="AA1218" s="134" t="str">
        <f t="shared" si="446"/>
        <v/>
      </c>
      <c r="AB1218" s="134" t="str">
        <f>IF(AA1218="","",IFERROR((RANK(AA1218,$AA$2:$AA$2028,1)+COUNTIF($AA$2:AA1218,AA1218))-1,""))</f>
        <v/>
      </c>
      <c r="AC1218" s="134" t="str">
        <f t="shared" si="447"/>
        <v/>
      </c>
      <c r="AD1218" s="134" t="str">
        <f>IF(AC1218="","",IFERROR((RANK(AC1218,$AC$2:$AC$2028,1)+COUNTIF($AC$2:AC1218,AC1218))-1,""))</f>
        <v/>
      </c>
      <c r="AE1218" s="144" t="str">
        <f t="shared" si="439"/>
        <v/>
      </c>
      <c r="AF1218" s="144" t="str">
        <f>IF(AE1218="","",SUM($AE$2:AE1218))</f>
        <v/>
      </c>
    </row>
    <row r="1219" spans="14:32" x14ac:dyDescent="0.35">
      <c r="N1219" s="134" t="str">
        <f t="shared" si="449"/>
        <v/>
      </c>
      <c r="O1219" s="82" t="str">
        <f t="shared" si="440"/>
        <v/>
      </c>
      <c r="P1219" s="81" t="str">
        <f t="shared" si="450"/>
        <v/>
      </c>
      <c r="Q1219" s="81" t="str">
        <f t="shared" si="441"/>
        <v/>
      </c>
      <c r="R1219" s="135" t="str">
        <f t="shared" ca="1" si="442"/>
        <v/>
      </c>
      <c r="S1219" s="134" t="str">
        <f t="shared" ca="1" si="443"/>
        <v/>
      </c>
      <c r="T1219" s="134" t="str">
        <f ca="1">IF(S1219=Dashboard!$D$12,S1219,"")</f>
        <v/>
      </c>
      <c r="U1219" s="134" t="str">
        <f t="shared" ca="1" si="444"/>
        <v/>
      </c>
      <c r="V1219" s="83" t="str">
        <f ca="1">IF(U1219="","",IFERROR((RANK(U1219,$U$2:$U$2028,1)+COUNTIF($U$2:U1219,U1219))-1,""))</f>
        <v/>
      </c>
      <c r="W1219" s="134" t="str">
        <f t="shared" si="448"/>
        <v/>
      </c>
      <c r="X1219" s="134" t="str">
        <f>IF(W1219="","",IFERROR((RANK(W1219,$W$2:$W$2028,1)+COUNTIF($W$2:W1219,W1219))-1,""))</f>
        <v/>
      </c>
      <c r="Y1219" s="134" t="str">
        <f t="shared" si="445"/>
        <v/>
      </c>
      <c r="Z1219" s="134" t="str">
        <f>IF(Y1219="","",IFERROR((RANK(Y1219,$Y$2:$Y$2028,1)+COUNTIF($Y$2:Y1219,Y1219))-1,""))</f>
        <v/>
      </c>
      <c r="AA1219" s="134" t="str">
        <f t="shared" si="446"/>
        <v/>
      </c>
      <c r="AB1219" s="134" t="str">
        <f>IF(AA1219="","",IFERROR((RANK(AA1219,$AA$2:$AA$2028,1)+COUNTIF($AA$2:AA1219,AA1219))-1,""))</f>
        <v/>
      </c>
      <c r="AC1219" s="134" t="str">
        <f t="shared" si="447"/>
        <v/>
      </c>
      <c r="AD1219" s="134" t="str">
        <f>IF(AC1219="","",IFERROR((RANK(AC1219,$AC$2:$AC$2028,1)+COUNTIF($AC$2:AC1219,AC1219))-1,""))</f>
        <v/>
      </c>
      <c r="AE1219" s="144" t="str">
        <f t="shared" si="439"/>
        <v/>
      </c>
      <c r="AF1219" s="144" t="str">
        <f>IF(AE1219="","",SUM($AE$2:AE1219))</f>
        <v/>
      </c>
    </row>
    <row r="1220" spans="14:32" x14ac:dyDescent="0.35">
      <c r="N1220" s="134" t="str">
        <f t="shared" si="449"/>
        <v/>
      </c>
      <c r="O1220" s="82" t="str">
        <f t="shared" si="440"/>
        <v/>
      </c>
      <c r="P1220" s="81" t="str">
        <f t="shared" si="450"/>
        <v/>
      </c>
      <c r="Q1220" s="81" t="str">
        <f t="shared" si="441"/>
        <v/>
      </c>
      <c r="R1220" s="135" t="str">
        <f t="shared" ca="1" si="442"/>
        <v/>
      </c>
      <c r="S1220" s="134" t="str">
        <f t="shared" ca="1" si="443"/>
        <v/>
      </c>
      <c r="T1220" s="134" t="str">
        <f ca="1">IF(S1220=Dashboard!$D$12,S1220,"")</f>
        <v/>
      </c>
      <c r="U1220" s="134" t="str">
        <f t="shared" ca="1" si="444"/>
        <v/>
      </c>
      <c r="V1220" s="83" t="str">
        <f ca="1">IF(U1220="","",IFERROR((RANK(U1220,$U$2:$U$2028,1)+COUNTIF($U$2:U1220,U1220))-1,""))</f>
        <v/>
      </c>
      <c r="W1220" s="134" t="str">
        <f t="shared" si="448"/>
        <v/>
      </c>
      <c r="X1220" s="134" t="str">
        <f>IF(W1220="","",IFERROR((RANK(W1220,$W$2:$W$2028,1)+COUNTIF($W$2:W1220,W1220))-1,""))</f>
        <v/>
      </c>
      <c r="Y1220" s="134" t="str">
        <f t="shared" si="445"/>
        <v/>
      </c>
      <c r="Z1220" s="134" t="str">
        <f>IF(Y1220="","",IFERROR((RANK(Y1220,$Y$2:$Y$2028,1)+COUNTIF($Y$2:Y1220,Y1220))-1,""))</f>
        <v/>
      </c>
      <c r="AA1220" s="134" t="str">
        <f t="shared" si="446"/>
        <v/>
      </c>
      <c r="AB1220" s="134" t="str">
        <f>IF(AA1220="","",IFERROR((RANK(AA1220,$AA$2:$AA$2028,1)+COUNTIF($AA$2:AA1220,AA1220))-1,""))</f>
        <v/>
      </c>
      <c r="AC1220" s="134" t="str">
        <f t="shared" si="447"/>
        <v/>
      </c>
      <c r="AD1220" s="134" t="str">
        <f>IF(AC1220="","",IFERROR((RANK(AC1220,$AC$2:$AC$2028,1)+COUNTIF($AC$2:AC1220,AC1220))-1,""))</f>
        <v/>
      </c>
      <c r="AE1220" s="144" t="str">
        <f t="shared" si="439"/>
        <v/>
      </c>
      <c r="AF1220" s="144" t="str">
        <f>IF(AE1220="","",SUM($AE$2:AE1220))</f>
        <v/>
      </c>
    </row>
    <row r="1221" spans="14:32" x14ac:dyDescent="0.35">
      <c r="N1221" s="134" t="str">
        <f t="shared" si="449"/>
        <v/>
      </c>
      <c r="O1221" s="82" t="str">
        <f t="shared" si="440"/>
        <v/>
      </c>
      <c r="P1221" s="81" t="str">
        <f t="shared" si="450"/>
        <v/>
      </c>
      <c r="Q1221" s="81" t="str">
        <f t="shared" si="441"/>
        <v/>
      </c>
      <c r="R1221" s="135" t="str">
        <f t="shared" ca="1" si="442"/>
        <v/>
      </c>
      <c r="S1221" s="134" t="str">
        <f t="shared" ca="1" si="443"/>
        <v/>
      </c>
      <c r="T1221" s="134" t="str">
        <f ca="1">IF(S1221=Dashboard!$D$12,S1221,"")</f>
        <v/>
      </c>
      <c r="U1221" s="134" t="str">
        <f t="shared" ca="1" si="444"/>
        <v/>
      </c>
      <c r="V1221" s="83" t="str">
        <f ca="1">IF(U1221="","",IFERROR((RANK(U1221,$U$2:$U$2028,1)+COUNTIF($U$2:U1221,U1221))-1,""))</f>
        <v/>
      </c>
      <c r="W1221" s="134" t="str">
        <f t="shared" si="448"/>
        <v/>
      </c>
      <c r="X1221" s="134" t="str">
        <f>IF(W1221="","",IFERROR((RANK(W1221,$W$2:$W$2028,1)+COUNTIF($W$2:W1221,W1221))-1,""))</f>
        <v/>
      </c>
      <c r="Y1221" s="134" t="str">
        <f t="shared" si="445"/>
        <v/>
      </c>
      <c r="Z1221" s="134" t="str">
        <f>IF(Y1221="","",IFERROR((RANK(Y1221,$Y$2:$Y$2028,1)+COUNTIF($Y$2:Y1221,Y1221))-1,""))</f>
        <v/>
      </c>
      <c r="AA1221" s="134" t="str">
        <f t="shared" si="446"/>
        <v/>
      </c>
      <c r="AB1221" s="134" t="str">
        <f>IF(AA1221="","",IFERROR((RANK(AA1221,$AA$2:$AA$2028,1)+COUNTIF($AA$2:AA1221,AA1221))-1,""))</f>
        <v/>
      </c>
      <c r="AC1221" s="134" t="str">
        <f t="shared" si="447"/>
        <v/>
      </c>
      <c r="AD1221" s="134" t="str">
        <f>IF(AC1221="","",IFERROR((RANK(AC1221,$AC$2:$AC$2028,1)+COUNTIF($AC$2:AC1221,AC1221))-1,""))</f>
        <v/>
      </c>
      <c r="AE1221" s="144" t="str">
        <f t="shared" si="439"/>
        <v/>
      </c>
      <c r="AF1221" s="144" t="str">
        <f>IF(AE1221="","",SUM($AE$2:AE1221))</f>
        <v/>
      </c>
    </row>
    <row r="1222" spans="14:32" x14ac:dyDescent="0.35">
      <c r="N1222" s="134" t="str">
        <f t="shared" si="449"/>
        <v/>
      </c>
      <c r="O1222" s="82" t="str">
        <f t="shared" si="440"/>
        <v/>
      </c>
      <c r="P1222" s="81" t="str">
        <f t="shared" si="450"/>
        <v/>
      </c>
      <c r="Q1222" s="81" t="str">
        <f t="shared" si="441"/>
        <v/>
      </c>
      <c r="R1222" s="135" t="str">
        <f t="shared" ca="1" si="442"/>
        <v/>
      </c>
      <c r="S1222" s="134" t="str">
        <f t="shared" ca="1" si="443"/>
        <v/>
      </c>
      <c r="T1222" s="134" t="str">
        <f ca="1">IF(S1222=Dashboard!$D$12,S1222,"")</f>
        <v/>
      </c>
      <c r="U1222" s="134" t="str">
        <f t="shared" ca="1" si="444"/>
        <v/>
      </c>
      <c r="V1222" s="83" t="str">
        <f ca="1">IF(U1222="","",IFERROR((RANK(U1222,$U$2:$U$2028,1)+COUNTIF($U$2:U1222,U1222))-1,""))</f>
        <v/>
      </c>
      <c r="W1222" s="134" t="str">
        <f t="shared" si="448"/>
        <v/>
      </c>
      <c r="X1222" s="134" t="str">
        <f>IF(W1222="","",IFERROR((RANK(W1222,$W$2:$W$2028,1)+COUNTIF($W$2:W1222,W1222))-1,""))</f>
        <v/>
      </c>
      <c r="Y1222" s="134" t="str">
        <f t="shared" si="445"/>
        <v/>
      </c>
      <c r="Z1222" s="134" t="str">
        <f>IF(Y1222="","",IFERROR((RANK(Y1222,$Y$2:$Y$2028,1)+COUNTIF($Y$2:Y1222,Y1222))-1,""))</f>
        <v/>
      </c>
      <c r="AA1222" s="134" t="str">
        <f t="shared" si="446"/>
        <v/>
      </c>
      <c r="AB1222" s="134" t="str">
        <f>IF(AA1222="","",IFERROR((RANK(AA1222,$AA$2:$AA$2028,1)+COUNTIF($AA$2:AA1222,AA1222))-1,""))</f>
        <v/>
      </c>
      <c r="AC1222" s="134" t="str">
        <f t="shared" si="447"/>
        <v/>
      </c>
      <c r="AD1222" s="134" t="str">
        <f>IF(AC1222="","",IFERROR((RANK(AC1222,$AC$2:$AC$2028,1)+COUNTIF($AC$2:AC1222,AC1222))-1,""))</f>
        <v/>
      </c>
      <c r="AE1222" s="144" t="str">
        <f t="shared" si="439"/>
        <v/>
      </c>
      <c r="AF1222" s="144" t="str">
        <f>IF(AE1222="","",SUM($AE$2:AE1222))</f>
        <v/>
      </c>
    </row>
    <row r="1223" spans="14:32" x14ac:dyDescent="0.35">
      <c r="N1223" s="134" t="str">
        <f t="shared" si="449"/>
        <v/>
      </c>
      <c r="O1223" s="82" t="str">
        <f t="shared" si="440"/>
        <v/>
      </c>
      <c r="P1223" s="81" t="str">
        <f t="shared" si="450"/>
        <v/>
      </c>
      <c r="Q1223" s="81" t="str">
        <f t="shared" si="441"/>
        <v/>
      </c>
      <c r="R1223" s="135" t="str">
        <f t="shared" ca="1" si="442"/>
        <v/>
      </c>
      <c r="S1223" s="134" t="str">
        <f t="shared" ca="1" si="443"/>
        <v/>
      </c>
      <c r="T1223" s="134" t="str">
        <f ca="1">IF(S1223=Dashboard!$D$12,S1223,"")</f>
        <v/>
      </c>
      <c r="U1223" s="134" t="str">
        <f t="shared" ca="1" si="444"/>
        <v/>
      </c>
      <c r="V1223" s="83" t="str">
        <f ca="1">IF(U1223="","",IFERROR((RANK(U1223,$U$2:$U$2028,1)+COUNTIF($U$2:U1223,U1223))-1,""))</f>
        <v/>
      </c>
      <c r="W1223" s="134" t="str">
        <f t="shared" si="448"/>
        <v/>
      </c>
      <c r="X1223" s="134" t="str">
        <f>IF(W1223="","",IFERROR((RANK(W1223,$W$2:$W$2028,1)+COUNTIF($W$2:W1223,W1223))-1,""))</f>
        <v/>
      </c>
      <c r="Y1223" s="134" t="str">
        <f t="shared" si="445"/>
        <v/>
      </c>
      <c r="Z1223" s="134" t="str">
        <f>IF(Y1223="","",IFERROR((RANK(Y1223,$Y$2:$Y$2028,1)+COUNTIF($Y$2:Y1223,Y1223))-1,""))</f>
        <v/>
      </c>
      <c r="AA1223" s="134" t="str">
        <f t="shared" si="446"/>
        <v/>
      </c>
      <c r="AB1223" s="134" t="str">
        <f>IF(AA1223="","",IFERROR((RANK(AA1223,$AA$2:$AA$2028,1)+COUNTIF($AA$2:AA1223,AA1223))-1,""))</f>
        <v/>
      </c>
      <c r="AC1223" s="134" t="str">
        <f t="shared" si="447"/>
        <v/>
      </c>
      <c r="AD1223" s="134" t="str">
        <f>IF(AC1223="","",IFERROR((RANK(AC1223,$AC$2:$AC$2028,1)+COUNTIF($AC$2:AC1223,AC1223))-1,""))</f>
        <v/>
      </c>
      <c r="AE1223" s="144" t="str">
        <f t="shared" ref="AE1223:AE1286" si="451">IF(P1223=1,P1223,"")</f>
        <v/>
      </c>
      <c r="AF1223" s="144" t="str">
        <f>IF(AE1223="","",SUM($AE$2:AE1223))</f>
        <v/>
      </c>
    </row>
    <row r="1224" spans="14:32" x14ac:dyDescent="0.35">
      <c r="N1224" s="134" t="str">
        <f t="shared" si="449"/>
        <v/>
      </c>
      <c r="O1224" s="82" t="str">
        <f t="shared" si="440"/>
        <v/>
      </c>
      <c r="P1224" s="81" t="str">
        <f t="shared" si="450"/>
        <v/>
      </c>
      <c r="Q1224" s="81" t="str">
        <f t="shared" si="441"/>
        <v/>
      </c>
      <c r="R1224" s="135" t="str">
        <f t="shared" ca="1" si="442"/>
        <v/>
      </c>
      <c r="S1224" s="134" t="str">
        <f t="shared" ca="1" si="443"/>
        <v/>
      </c>
      <c r="T1224" s="134" t="str">
        <f ca="1">IF(S1224=Dashboard!$D$12,S1224,"")</f>
        <v/>
      </c>
      <c r="U1224" s="134" t="str">
        <f t="shared" ca="1" si="444"/>
        <v/>
      </c>
      <c r="V1224" s="83" t="str">
        <f ca="1">IF(U1224="","",IFERROR((RANK(U1224,$U$2:$U$2028,1)+COUNTIF($U$2:U1224,U1224))-1,""))</f>
        <v/>
      </c>
      <c r="W1224" s="134" t="str">
        <f t="shared" si="448"/>
        <v/>
      </c>
      <c r="X1224" s="134" t="str">
        <f>IF(W1224="","",IFERROR((RANK(W1224,$W$2:$W$2028,1)+COUNTIF($W$2:W1224,W1224))-1,""))</f>
        <v/>
      </c>
      <c r="Y1224" s="134" t="str">
        <f t="shared" si="445"/>
        <v/>
      </c>
      <c r="Z1224" s="134" t="str">
        <f>IF(Y1224="","",IFERROR((RANK(Y1224,$Y$2:$Y$2028,1)+COUNTIF($Y$2:Y1224,Y1224))-1,""))</f>
        <v/>
      </c>
      <c r="AA1224" s="134" t="str">
        <f t="shared" si="446"/>
        <v/>
      </c>
      <c r="AB1224" s="134" t="str">
        <f>IF(AA1224="","",IFERROR((RANK(AA1224,$AA$2:$AA$2028,1)+COUNTIF($AA$2:AA1224,AA1224))-1,""))</f>
        <v/>
      </c>
      <c r="AC1224" s="134" t="str">
        <f t="shared" si="447"/>
        <v/>
      </c>
      <c r="AD1224" s="134" t="str">
        <f>IF(AC1224="","",IFERROR((RANK(AC1224,$AC$2:$AC$2028,1)+COUNTIF($AC$2:AC1224,AC1224))-1,""))</f>
        <v/>
      </c>
      <c r="AE1224" s="144" t="str">
        <f t="shared" si="451"/>
        <v/>
      </c>
      <c r="AF1224" s="144" t="str">
        <f>IF(AE1224="","",SUM($AE$2:AE1224))</f>
        <v/>
      </c>
    </row>
    <row r="1225" spans="14:32" x14ac:dyDescent="0.35">
      <c r="N1225" s="134" t="str">
        <f t="shared" si="449"/>
        <v/>
      </c>
      <c r="O1225" s="82" t="str">
        <f t="shared" si="440"/>
        <v/>
      </c>
      <c r="P1225" s="81" t="str">
        <f t="shared" si="450"/>
        <v/>
      </c>
      <c r="Q1225" s="81" t="str">
        <f t="shared" si="441"/>
        <v/>
      </c>
      <c r="R1225" s="135" t="str">
        <f t="shared" ca="1" si="442"/>
        <v/>
      </c>
      <c r="S1225" s="134" t="str">
        <f t="shared" ca="1" si="443"/>
        <v/>
      </c>
      <c r="T1225" s="134" t="str">
        <f ca="1">IF(S1225=Dashboard!$D$12,S1225,"")</f>
        <v/>
      </c>
      <c r="U1225" s="134" t="str">
        <f t="shared" ca="1" si="444"/>
        <v/>
      </c>
      <c r="V1225" s="83" t="str">
        <f ca="1">IF(U1225="","",IFERROR((RANK(U1225,$U$2:$U$2028,1)+COUNTIF($U$2:U1225,U1225))-1,""))</f>
        <v/>
      </c>
      <c r="W1225" s="134" t="str">
        <f t="shared" si="448"/>
        <v/>
      </c>
      <c r="X1225" s="134" t="str">
        <f>IF(W1225="","",IFERROR((RANK(W1225,$W$2:$W$2028,1)+COUNTIF($W$2:W1225,W1225))-1,""))</f>
        <v/>
      </c>
      <c r="Y1225" s="134" t="str">
        <f t="shared" si="445"/>
        <v/>
      </c>
      <c r="Z1225" s="134" t="str">
        <f>IF(Y1225="","",IFERROR((RANK(Y1225,$Y$2:$Y$2028,1)+COUNTIF($Y$2:Y1225,Y1225))-1,""))</f>
        <v/>
      </c>
      <c r="AA1225" s="134" t="str">
        <f t="shared" si="446"/>
        <v/>
      </c>
      <c r="AB1225" s="134" t="str">
        <f>IF(AA1225="","",IFERROR((RANK(AA1225,$AA$2:$AA$2028,1)+COUNTIF($AA$2:AA1225,AA1225))-1,""))</f>
        <v/>
      </c>
      <c r="AC1225" s="134" t="str">
        <f t="shared" si="447"/>
        <v/>
      </c>
      <c r="AD1225" s="134" t="str">
        <f>IF(AC1225="","",IFERROR((RANK(AC1225,$AC$2:$AC$2028,1)+COUNTIF($AC$2:AC1225,AC1225))-1,""))</f>
        <v/>
      </c>
      <c r="AE1225" s="144" t="str">
        <f t="shared" si="451"/>
        <v/>
      </c>
      <c r="AF1225" s="144" t="str">
        <f>IF(AE1225="","",SUM($AE$2:AE1225))</f>
        <v/>
      </c>
    </row>
    <row r="1226" spans="14:32" x14ac:dyDescent="0.35">
      <c r="N1226" s="134" t="str">
        <f t="shared" si="449"/>
        <v/>
      </c>
      <c r="O1226" s="82" t="str">
        <f t="shared" si="440"/>
        <v/>
      </c>
      <c r="P1226" s="81" t="str">
        <f t="shared" si="450"/>
        <v/>
      </c>
      <c r="Q1226" s="81" t="str">
        <f t="shared" si="441"/>
        <v/>
      </c>
      <c r="R1226" s="135" t="str">
        <f t="shared" ca="1" si="442"/>
        <v/>
      </c>
      <c r="S1226" s="134" t="str">
        <f t="shared" ca="1" si="443"/>
        <v/>
      </c>
      <c r="T1226" s="134" t="str">
        <f ca="1">IF(S1226=Dashboard!$D$12,S1226,"")</f>
        <v/>
      </c>
      <c r="U1226" s="134" t="str">
        <f t="shared" ca="1" si="444"/>
        <v/>
      </c>
      <c r="V1226" s="83" t="str">
        <f ca="1">IF(U1226="","",IFERROR((RANK(U1226,$U$2:$U$2028,1)+COUNTIF($U$2:U1226,U1226))-1,""))</f>
        <v/>
      </c>
      <c r="W1226" s="134" t="str">
        <f t="shared" si="448"/>
        <v/>
      </c>
      <c r="X1226" s="134" t="str">
        <f>IF(W1226="","",IFERROR((RANK(W1226,$W$2:$W$2028,1)+COUNTIF($W$2:W1226,W1226))-1,""))</f>
        <v/>
      </c>
      <c r="Y1226" s="134" t="str">
        <f t="shared" si="445"/>
        <v/>
      </c>
      <c r="Z1226" s="134" t="str">
        <f>IF(Y1226="","",IFERROR((RANK(Y1226,$Y$2:$Y$2028,1)+COUNTIF($Y$2:Y1226,Y1226))-1,""))</f>
        <v/>
      </c>
      <c r="AA1226" s="134" t="str">
        <f t="shared" si="446"/>
        <v/>
      </c>
      <c r="AB1226" s="134" t="str">
        <f>IF(AA1226="","",IFERROR((RANK(AA1226,$AA$2:$AA$2028,1)+COUNTIF($AA$2:AA1226,AA1226))-1,""))</f>
        <v/>
      </c>
      <c r="AC1226" s="134" t="str">
        <f t="shared" si="447"/>
        <v/>
      </c>
      <c r="AD1226" s="134" t="str">
        <f>IF(AC1226="","",IFERROR((RANK(AC1226,$AC$2:$AC$2028,1)+COUNTIF($AC$2:AC1226,AC1226))-1,""))</f>
        <v/>
      </c>
      <c r="AE1226" s="144" t="str">
        <f t="shared" si="451"/>
        <v/>
      </c>
      <c r="AF1226" s="144" t="str">
        <f>IF(AE1226="","",SUM($AE$2:AE1226))</f>
        <v/>
      </c>
    </row>
    <row r="1227" spans="14:32" x14ac:dyDescent="0.35">
      <c r="N1227" s="134" t="str">
        <f t="shared" si="449"/>
        <v/>
      </c>
      <c r="O1227" s="82" t="str">
        <f t="shared" si="440"/>
        <v/>
      </c>
      <c r="P1227" s="81" t="str">
        <f t="shared" si="450"/>
        <v/>
      </c>
      <c r="Q1227" s="81" t="str">
        <f t="shared" si="441"/>
        <v/>
      </c>
      <c r="R1227" s="135" t="str">
        <f t="shared" ca="1" si="442"/>
        <v/>
      </c>
      <c r="S1227" s="134" t="str">
        <f t="shared" ca="1" si="443"/>
        <v/>
      </c>
      <c r="T1227" s="134" t="str">
        <f ca="1">IF(S1227=Dashboard!$D$12,S1227,"")</f>
        <v/>
      </c>
      <c r="U1227" s="134" t="str">
        <f t="shared" ca="1" si="444"/>
        <v/>
      </c>
      <c r="V1227" s="83" t="str">
        <f ca="1">IF(U1227="","",IFERROR((RANK(U1227,$U$2:$U$2028,1)+COUNTIF($U$2:U1227,U1227))-1,""))</f>
        <v/>
      </c>
      <c r="W1227" s="134" t="str">
        <f t="shared" si="448"/>
        <v/>
      </c>
      <c r="X1227" s="134" t="str">
        <f>IF(W1227="","",IFERROR((RANK(W1227,$W$2:$W$2028,1)+COUNTIF($W$2:W1227,W1227))-1,""))</f>
        <v/>
      </c>
      <c r="Y1227" s="134" t="str">
        <f t="shared" si="445"/>
        <v/>
      </c>
      <c r="Z1227" s="134" t="str">
        <f>IF(Y1227="","",IFERROR((RANK(Y1227,$Y$2:$Y$2028,1)+COUNTIF($Y$2:Y1227,Y1227))-1,""))</f>
        <v/>
      </c>
      <c r="AA1227" s="134" t="str">
        <f t="shared" si="446"/>
        <v/>
      </c>
      <c r="AB1227" s="134" t="str">
        <f>IF(AA1227="","",IFERROR((RANK(AA1227,$AA$2:$AA$2028,1)+COUNTIF($AA$2:AA1227,AA1227))-1,""))</f>
        <v/>
      </c>
      <c r="AC1227" s="134" t="str">
        <f t="shared" si="447"/>
        <v/>
      </c>
      <c r="AD1227" s="134" t="str">
        <f>IF(AC1227="","",IFERROR((RANK(AC1227,$AC$2:$AC$2028,1)+COUNTIF($AC$2:AC1227,AC1227))-1,""))</f>
        <v/>
      </c>
      <c r="AE1227" s="144" t="str">
        <f t="shared" si="451"/>
        <v/>
      </c>
      <c r="AF1227" s="144" t="str">
        <f>IF(AE1227="","",SUM($AE$2:AE1227))</f>
        <v/>
      </c>
    </row>
    <row r="1228" spans="14:32" x14ac:dyDescent="0.35">
      <c r="N1228" s="134" t="str">
        <f t="shared" si="449"/>
        <v/>
      </c>
      <c r="O1228" s="82" t="str">
        <f t="shared" si="440"/>
        <v/>
      </c>
      <c r="P1228" s="81" t="str">
        <f t="shared" si="450"/>
        <v/>
      </c>
      <c r="Q1228" s="81" t="str">
        <f t="shared" si="441"/>
        <v/>
      </c>
      <c r="R1228" s="135" t="str">
        <f t="shared" ca="1" si="442"/>
        <v/>
      </c>
      <c r="S1228" s="134" t="str">
        <f t="shared" ca="1" si="443"/>
        <v/>
      </c>
      <c r="T1228" s="134" t="str">
        <f ca="1">IF(S1228=Dashboard!$D$12,S1228,"")</f>
        <v/>
      </c>
      <c r="U1228" s="134" t="str">
        <f t="shared" ca="1" si="444"/>
        <v/>
      </c>
      <c r="V1228" s="83" t="str">
        <f ca="1">IF(U1228="","",IFERROR((RANK(U1228,$U$2:$U$2028,1)+COUNTIF($U$2:U1228,U1228))-1,""))</f>
        <v/>
      </c>
      <c r="W1228" s="134" t="str">
        <f t="shared" si="448"/>
        <v/>
      </c>
      <c r="X1228" s="134" t="str">
        <f>IF(W1228="","",IFERROR((RANK(W1228,$W$2:$W$2028,1)+COUNTIF($W$2:W1228,W1228))-1,""))</f>
        <v/>
      </c>
      <c r="Y1228" s="134" t="str">
        <f t="shared" si="445"/>
        <v/>
      </c>
      <c r="Z1228" s="134" t="str">
        <f>IF(Y1228="","",IFERROR((RANK(Y1228,$Y$2:$Y$2028,1)+COUNTIF($Y$2:Y1228,Y1228))-1,""))</f>
        <v/>
      </c>
      <c r="AA1228" s="134" t="str">
        <f t="shared" si="446"/>
        <v/>
      </c>
      <c r="AB1228" s="134" t="str">
        <f>IF(AA1228="","",IFERROR((RANK(AA1228,$AA$2:$AA$2028,1)+COUNTIF($AA$2:AA1228,AA1228))-1,""))</f>
        <v/>
      </c>
      <c r="AC1228" s="134" t="str">
        <f t="shared" si="447"/>
        <v/>
      </c>
      <c r="AD1228" s="134" t="str">
        <f>IF(AC1228="","",IFERROR((RANK(AC1228,$AC$2:$AC$2028,1)+COUNTIF($AC$2:AC1228,AC1228))-1,""))</f>
        <v/>
      </c>
      <c r="AE1228" s="144" t="str">
        <f t="shared" si="451"/>
        <v/>
      </c>
      <c r="AF1228" s="144" t="str">
        <f>IF(AE1228="","",SUM($AE$2:AE1228))</f>
        <v/>
      </c>
    </row>
    <row r="1229" spans="14:32" x14ac:dyDescent="0.35">
      <c r="N1229" s="134" t="str">
        <f t="shared" si="449"/>
        <v/>
      </c>
      <c r="O1229" s="82" t="str">
        <f t="shared" si="440"/>
        <v/>
      </c>
      <c r="P1229" s="81" t="str">
        <f t="shared" si="450"/>
        <v/>
      </c>
      <c r="Q1229" s="81" t="str">
        <f t="shared" si="441"/>
        <v/>
      </c>
      <c r="R1229" s="135" t="str">
        <f t="shared" ca="1" si="442"/>
        <v/>
      </c>
      <c r="S1229" s="134" t="str">
        <f t="shared" ca="1" si="443"/>
        <v/>
      </c>
      <c r="T1229" s="134" t="str">
        <f ca="1">IF(S1229=Dashboard!$D$12,S1229,"")</f>
        <v/>
      </c>
      <c r="U1229" s="134" t="str">
        <f t="shared" ca="1" si="444"/>
        <v/>
      </c>
      <c r="V1229" s="83" t="str">
        <f ca="1">IF(U1229="","",IFERROR((RANK(U1229,$U$2:$U$2028,1)+COUNTIF($U$2:U1229,U1229))-1,""))</f>
        <v/>
      </c>
      <c r="W1229" s="134" t="str">
        <f t="shared" si="448"/>
        <v/>
      </c>
      <c r="X1229" s="134" t="str">
        <f>IF(W1229="","",IFERROR((RANK(W1229,$W$2:$W$2028,1)+COUNTIF($W$2:W1229,W1229))-1,""))</f>
        <v/>
      </c>
      <c r="Y1229" s="134" t="str">
        <f t="shared" si="445"/>
        <v/>
      </c>
      <c r="Z1229" s="134" t="str">
        <f>IF(Y1229="","",IFERROR((RANK(Y1229,$Y$2:$Y$2028,1)+COUNTIF($Y$2:Y1229,Y1229))-1,""))</f>
        <v/>
      </c>
      <c r="AA1229" s="134" t="str">
        <f t="shared" si="446"/>
        <v/>
      </c>
      <c r="AB1229" s="134" t="str">
        <f>IF(AA1229="","",IFERROR((RANK(AA1229,$AA$2:$AA$2028,1)+COUNTIF($AA$2:AA1229,AA1229))-1,""))</f>
        <v/>
      </c>
      <c r="AC1229" s="134" t="str">
        <f t="shared" si="447"/>
        <v/>
      </c>
      <c r="AD1229" s="134" t="str">
        <f>IF(AC1229="","",IFERROR((RANK(AC1229,$AC$2:$AC$2028,1)+COUNTIF($AC$2:AC1229,AC1229))-1,""))</f>
        <v/>
      </c>
      <c r="AE1229" s="144" t="str">
        <f t="shared" si="451"/>
        <v/>
      </c>
      <c r="AF1229" s="144" t="str">
        <f>IF(AE1229="","",SUM($AE$2:AE1229))</f>
        <v/>
      </c>
    </row>
    <row r="1230" spans="14:32" x14ac:dyDescent="0.35">
      <c r="N1230" s="134" t="str">
        <f t="shared" si="449"/>
        <v/>
      </c>
      <c r="O1230" s="82" t="str">
        <f t="shared" si="440"/>
        <v/>
      </c>
      <c r="P1230" s="81" t="str">
        <f t="shared" si="450"/>
        <v/>
      </c>
      <c r="Q1230" s="81" t="str">
        <f t="shared" si="441"/>
        <v/>
      </c>
      <c r="R1230" s="135" t="str">
        <f t="shared" ca="1" si="442"/>
        <v/>
      </c>
      <c r="S1230" s="134" t="str">
        <f t="shared" ca="1" si="443"/>
        <v/>
      </c>
      <c r="T1230" s="134" t="str">
        <f ca="1">IF(S1230=Dashboard!$D$12,S1230,"")</f>
        <v/>
      </c>
      <c r="U1230" s="134" t="str">
        <f t="shared" ca="1" si="444"/>
        <v/>
      </c>
      <c r="V1230" s="83" t="str">
        <f ca="1">IF(U1230="","",IFERROR((RANK(U1230,$U$2:$U$2028,1)+COUNTIF($U$2:U1230,U1230))-1,""))</f>
        <v/>
      </c>
      <c r="W1230" s="134" t="str">
        <f t="shared" si="448"/>
        <v/>
      </c>
      <c r="X1230" s="134" t="str">
        <f>IF(W1230="","",IFERROR((RANK(W1230,$W$2:$W$2028,1)+COUNTIF($W$2:W1230,W1230))-1,""))</f>
        <v/>
      </c>
      <c r="Y1230" s="134" t="str">
        <f t="shared" si="445"/>
        <v/>
      </c>
      <c r="Z1230" s="134" t="str">
        <f>IF(Y1230="","",IFERROR((RANK(Y1230,$Y$2:$Y$2028,1)+COUNTIF($Y$2:Y1230,Y1230))-1,""))</f>
        <v/>
      </c>
      <c r="AA1230" s="134" t="str">
        <f t="shared" si="446"/>
        <v/>
      </c>
      <c r="AB1230" s="134" t="str">
        <f>IF(AA1230="","",IFERROR((RANK(AA1230,$AA$2:$AA$2028,1)+COUNTIF($AA$2:AA1230,AA1230))-1,""))</f>
        <v/>
      </c>
      <c r="AC1230" s="134" t="str">
        <f t="shared" si="447"/>
        <v/>
      </c>
      <c r="AD1230" s="134" t="str">
        <f>IF(AC1230="","",IFERROR((RANK(AC1230,$AC$2:$AC$2028,1)+COUNTIF($AC$2:AC1230,AC1230))-1,""))</f>
        <v/>
      </c>
      <c r="AE1230" s="144" t="str">
        <f t="shared" si="451"/>
        <v/>
      </c>
      <c r="AF1230" s="144" t="str">
        <f>IF(AE1230="","",SUM($AE$2:AE1230))</f>
        <v/>
      </c>
    </row>
    <row r="1231" spans="14:32" x14ac:dyDescent="0.35">
      <c r="N1231" s="134" t="str">
        <f t="shared" si="449"/>
        <v/>
      </c>
      <c r="O1231" s="82" t="str">
        <f t="shared" si="440"/>
        <v/>
      </c>
      <c r="P1231" s="81" t="str">
        <f t="shared" si="450"/>
        <v/>
      </c>
      <c r="Q1231" s="81" t="str">
        <f t="shared" si="441"/>
        <v/>
      </c>
      <c r="R1231" s="135" t="str">
        <f t="shared" ca="1" si="442"/>
        <v/>
      </c>
      <c r="S1231" s="134" t="str">
        <f t="shared" ca="1" si="443"/>
        <v/>
      </c>
      <c r="T1231" s="134" t="str">
        <f ca="1">IF(S1231=Dashboard!$D$12,S1231,"")</f>
        <v/>
      </c>
      <c r="U1231" s="134" t="str">
        <f t="shared" ca="1" si="444"/>
        <v/>
      </c>
      <c r="V1231" s="83" t="str">
        <f ca="1">IF(U1231="","",IFERROR((RANK(U1231,$U$2:$U$2028,1)+COUNTIF($U$2:U1231,U1231))-1,""))</f>
        <v/>
      </c>
      <c r="W1231" s="134" t="str">
        <f t="shared" si="448"/>
        <v/>
      </c>
      <c r="X1231" s="134" t="str">
        <f>IF(W1231="","",IFERROR((RANK(W1231,$W$2:$W$2028,1)+COUNTIF($W$2:W1231,W1231))-1,""))</f>
        <v/>
      </c>
      <c r="Y1231" s="134" t="str">
        <f t="shared" si="445"/>
        <v/>
      </c>
      <c r="Z1231" s="134" t="str">
        <f>IF(Y1231="","",IFERROR((RANK(Y1231,$Y$2:$Y$2028,1)+COUNTIF($Y$2:Y1231,Y1231))-1,""))</f>
        <v/>
      </c>
      <c r="AA1231" s="134" t="str">
        <f t="shared" si="446"/>
        <v/>
      </c>
      <c r="AB1231" s="134" t="str">
        <f>IF(AA1231="","",IFERROR((RANK(AA1231,$AA$2:$AA$2028,1)+COUNTIF($AA$2:AA1231,AA1231))-1,""))</f>
        <v/>
      </c>
      <c r="AC1231" s="134" t="str">
        <f t="shared" si="447"/>
        <v/>
      </c>
      <c r="AD1231" s="134" t="str">
        <f>IF(AC1231="","",IFERROR((RANK(AC1231,$AC$2:$AC$2028,1)+COUNTIF($AC$2:AC1231,AC1231))-1,""))</f>
        <v/>
      </c>
      <c r="AE1231" s="144" t="str">
        <f t="shared" si="451"/>
        <v/>
      </c>
      <c r="AF1231" s="144" t="str">
        <f>IF(AE1231="","",SUM($AE$2:AE1231))</f>
        <v/>
      </c>
    </row>
    <row r="1232" spans="14:32" x14ac:dyDescent="0.35">
      <c r="N1232" s="134" t="str">
        <f t="shared" si="449"/>
        <v/>
      </c>
      <c r="O1232" s="82" t="str">
        <f t="shared" si="440"/>
        <v/>
      </c>
      <c r="P1232" s="81" t="str">
        <f t="shared" si="450"/>
        <v/>
      </c>
      <c r="Q1232" s="81" t="str">
        <f t="shared" si="441"/>
        <v/>
      </c>
      <c r="R1232" s="135" t="str">
        <f t="shared" ca="1" si="442"/>
        <v/>
      </c>
      <c r="S1232" s="134" t="str">
        <f t="shared" ca="1" si="443"/>
        <v/>
      </c>
      <c r="T1232" s="134" t="str">
        <f ca="1">IF(S1232=Dashboard!$D$12,S1232,"")</f>
        <v/>
      </c>
      <c r="U1232" s="134" t="str">
        <f t="shared" ca="1" si="444"/>
        <v/>
      </c>
      <c r="V1232" s="83" t="str">
        <f ca="1">IF(U1232="","",IFERROR((RANK(U1232,$U$2:$U$2028,1)+COUNTIF($U$2:U1232,U1232))-1,""))</f>
        <v/>
      </c>
      <c r="W1232" s="134" t="str">
        <f t="shared" si="448"/>
        <v/>
      </c>
      <c r="X1232" s="134" t="str">
        <f>IF(W1232="","",IFERROR((RANK(W1232,$W$2:$W$2028,1)+COUNTIF($W$2:W1232,W1232))-1,""))</f>
        <v/>
      </c>
      <c r="Y1232" s="134" t="str">
        <f t="shared" si="445"/>
        <v/>
      </c>
      <c r="Z1232" s="134" t="str">
        <f>IF(Y1232="","",IFERROR((RANK(Y1232,$Y$2:$Y$2028,1)+COUNTIF($Y$2:Y1232,Y1232))-1,""))</f>
        <v/>
      </c>
      <c r="AA1232" s="134" t="str">
        <f t="shared" si="446"/>
        <v/>
      </c>
      <c r="AB1232" s="134" t="str">
        <f>IF(AA1232="","",IFERROR((RANK(AA1232,$AA$2:$AA$2028,1)+COUNTIF($AA$2:AA1232,AA1232))-1,""))</f>
        <v/>
      </c>
      <c r="AC1232" s="134" t="str">
        <f t="shared" si="447"/>
        <v/>
      </c>
      <c r="AD1232" s="134" t="str">
        <f>IF(AC1232="","",IFERROR((RANK(AC1232,$AC$2:$AC$2028,1)+COUNTIF($AC$2:AC1232,AC1232))-1,""))</f>
        <v/>
      </c>
      <c r="AE1232" s="144" t="str">
        <f t="shared" si="451"/>
        <v/>
      </c>
      <c r="AF1232" s="144" t="str">
        <f>IF(AE1232="","",SUM($AE$2:AE1232))</f>
        <v/>
      </c>
    </row>
    <row r="1233" spans="14:32" x14ac:dyDescent="0.35">
      <c r="N1233" s="134" t="str">
        <f t="shared" si="449"/>
        <v/>
      </c>
      <c r="O1233" s="82" t="str">
        <f t="shared" si="440"/>
        <v/>
      </c>
      <c r="P1233" s="81" t="str">
        <f t="shared" si="450"/>
        <v/>
      </c>
      <c r="Q1233" s="81" t="str">
        <f t="shared" si="441"/>
        <v/>
      </c>
      <c r="R1233" s="135" t="str">
        <f t="shared" ca="1" si="442"/>
        <v/>
      </c>
      <c r="S1233" s="134" t="str">
        <f t="shared" ca="1" si="443"/>
        <v/>
      </c>
      <c r="T1233" s="134" t="str">
        <f ca="1">IF(S1233=Dashboard!$D$12,S1233,"")</f>
        <v/>
      </c>
      <c r="U1233" s="134" t="str">
        <f t="shared" ca="1" si="444"/>
        <v/>
      </c>
      <c r="V1233" s="83" t="str">
        <f ca="1">IF(U1233="","",IFERROR((RANK(U1233,$U$2:$U$2028,1)+COUNTIF($U$2:U1233,U1233))-1,""))</f>
        <v/>
      </c>
      <c r="W1233" s="134" t="str">
        <f t="shared" si="448"/>
        <v/>
      </c>
      <c r="X1233" s="134" t="str">
        <f>IF(W1233="","",IFERROR((RANK(W1233,$W$2:$W$2028,1)+COUNTIF($W$2:W1233,W1233))-1,""))</f>
        <v/>
      </c>
      <c r="Y1233" s="134" t="str">
        <f t="shared" si="445"/>
        <v/>
      </c>
      <c r="Z1233" s="134" t="str">
        <f>IF(Y1233="","",IFERROR((RANK(Y1233,$Y$2:$Y$2028,1)+COUNTIF($Y$2:Y1233,Y1233))-1,""))</f>
        <v/>
      </c>
      <c r="AA1233" s="134" t="str">
        <f t="shared" si="446"/>
        <v/>
      </c>
      <c r="AB1233" s="134" t="str">
        <f>IF(AA1233="","",IFERROR((RANK(AA1233,$AA$2:$AA$2028,1)+COUNTIF($AA$2:AA1233,AA1233))-1,""))</f>
        <v/>
      </c>
      <c r="AC1233" s="134" t="str">
        <f t="shared" si="447"/>
        <v/>
      </c>
      <c r="AD1233" s="134" t="str">
        <f>IF(AC1233="","",IFERROR((RANK(AC1233,$AC$2:$AC$2028,1)+COUNTIF($AC$2:AC1233,AC1233))-1,""))</f>
        <v/>
      </c>
      <c r="AE1233" s="144" t="str">
        <f t="shared" si="451"/>
        <v/>
      </c>
      <c r="AF1233" s="144" t="str">
        <f>IF(AE1233="","",SUM($AE$2:AE1233))</f>
        <v/>
      </c>
    </row>
    <row r="1234" spans="14:32" x14ac:dyDescent="0.35">
      <c r="N1234" s="134" t="str">
        <f t="shared" si="449"/>
        <v/>
      </c>
      <c r="O1234" s="82" t="str">
        <f t="shared" si="440"/>
        <v/>
      </c>
      <c r="P1234" s="81" t="str">
        <f t="shared" si="450"/>
        <v/>
      </c>
      <c r="Q1234" s="81" t="str">
        <f t="shared" si="441"/>
        <v/>
      </c>
      <c r="R1234" s="135" t="str">
        <f t="shared" ca="1" si="442"/>
        <v/>
      </c>
      <c r="S1234" s="134" t="str">
        <f t="shared" ca="1" si="443"/>
        <v/>
      </c>
      <c r="T1234" s="134" t="str">
        <f ca="1">IF(S1234=Dashboard!$D$12,S1234,"")</f>
        <v/>
      </c>
      <c r="U1234" s="134" t="str">
        <f t="shared" ca="1" si="444"/>
        <v/>
      </c>
      <c r="V1234" s="83" t="str">
        <f ca="1">IF(U1234="","",IFERROR((RANK(U1234,$U$2:$U$2028,1)+COUNTIF($U$2:U1234,U1234))-1,""))</f>
        <v/>
      </c>
      <c r="W1234" s="134" t="str">
        <f t="shared" si="448"/>
        <v/>
      </c>
      <c r="X1234" s="134" t="str">
        <f>IF(W1234="","",IFERROR((RANK(W1234,$W$2:$W$2028,1)+COUNTIF($W$2:W1234,W1234))-1,""))</f>
        <v/>
      </c>
      <c r="Y1234" s="134" t="str">
        <f t="shared" si="445"/>
        <v/>
      </c>
      <c r="Z1234" s="134" t="str">
        <f>IF(Y1234="","",IFERROR((RANK(Y1234,$Y$2:$Y$2028,1)+COUNTIF($Y$2:Y1234,Y1234))-1,""))</f>
        <v/>
      </c>
      <c r="AA1234" s="134" t="str">
        <f t="shared" si="446"/>
        <v/>
      </c>
      <c r="AB1234" s="134" t="str">
        <f>IF(AA1234="","",IFERROR((RANK(AA1234,$AA$2:$AA$2028,1)+COUNTIF($AA$2:AA1234,AA1234))-1,""))</f>
        <v/>
      </c>
      <c r="AC1234" s="134" t="str">
        <f t="shared" si="447"/>
        <v/>
      </c>
      <c r="AD1234" s="134" t="str">
        <f>IF(AC1234="","",IFERROR((RANK(AC1234,$AC$2:$AC$2028,1)+COUNTIF($AC$2:AC1234,AC1234))-1,""))</f>
        <v/>
      </c>
      <c r="AE1234" s="144" t="str">
        <f t="shared" si="451"/>
        <v/>
      </c>
      <c r="AF1234" s="144" t="str">
        <f>IF(AE1234="","",SUM($AE$2:AE1234))</f>
        <v/>
      </c>
    </row>
    <row r="1235" spans="14:32" x14ac:dyDescent="0.35">
      <c r="N1235" s="134" t="str">
        <f t="shared" si="449"/>
        <v/>
      </c>
      <c r="O1235" s="82" t="str">
        <f t="shared" si="440"/>
        <v/>
      </c>
      <c r="P1235" s="81" t="str">
        <f t="shared" si="450"/>
        <v/>
      </c>
      <c r="Q1235" s="81" t="str">
        <f t="shared" si="441"/>
        <v/>
      </c>
      <c r="R1235" s="135" t="str">
        <f t="shared" ca="1" si="442"/>
        <v/>
      </c>
      <c r="S1235" s="134" t="str">
        <f t="shared" ca="1" si="443"/>
        <v/>
      </c>
      <c r="T1235" s="134" t="str">
        <f ca="1">IF(S1235=Dashboard!$D$12,S1235,"")</f>
        <v/>
      </c>
      <c r="U1235" s="134" t="str">
        <f t="shared" ca="1" si="444"/>
        <v/>
      </c>
      <c r="V1235" s="83" t="str">
        <f ca="1">IF(U1235="","",IFERROR((RANK(U1235,$U$2:$U$2028,1)+COUNTIF($U$2:U1235,U1235))-1,""))</f>
        <v/>
      </c>
      <c r="W1235" s="134" t="str">
        <f t="shared" si="448"/>
        <v/>
      </c>
      <c r="X1235" s="134" t="str">
        <f>IF(W1235="","",IFERROR((RANK(W1235,$W$2:$W$2028,1)+COUNTIF($W$2:W1235,W1235))-1,""))</f>
        <v/>
      </c>
      <c r="Y1235" s="134" t="str">
        <f t="shared" si="445"/>
        <v/>
      </c>
      <c r="Z1235" s="134" t="str">
        <f>IF(Y1235="","",IFERROR((RANK(Y1235,$Y$2:$Y$2028,1)+COUNTIF($Y$2:Y1235,Y1235))-1,""))</f>
        <v/>
      </c>
      <c r="AA1235" s="134" t="str">
        <f t="shared" si="446"/>
        <v/>
      </c>
      <c r="AB1235" s="134" t="str">
        <f>IF(AA1235="","",IFERROR((RANK(AA1235,$AA$2:$AA$2028,1)+COUNTIF($AA$2:AA1235,AA1235))-1,""))</f>
        <v/>
      </c>
      <c r="AC1235" s="134" t="str">
        <f t="shared" si="447"/>
        <v/>
      </c>
      <c r="AD1235" s="134" t="str">
        <f>IF(AC1235="","",IFERROR((RANK(AC1235,$AC$2:$AC$2028,1)+COUNTIF($AC$2:AC1235,AC1235))-1,""))</f>
        <v/>
      </c>
      <c r="AE1235" s="144" t="str">
        <f t="shared" si="451"/>
        <v/>
      </c>
      <c r="AF1235" s="144" t="str">
        <f>IF(AE1235="","",SUM($AE$2:AE1235))</f>
        <v/>
      </c>
    </row>
    <row r="1236" spans="14:32" x14ac:dyDescent="0.35">
      <c r="N1236" s="134" t="str">
        <f t="shared" si="449"/>
        <v/>
      </c>
      <c r="O1236" s="82" t="str">
        <f t="shared" si="440"/>
        <v/>
      </c>
      <c r="P1236" s="81" t="str">
        <f t="shared" si="450"/>
        <v/>
      </c>
      <c r="Q1236" s="81" t="str">
        <f t="shared" si="441"/>
        <v/>
      </c>
      <c r="R1236" s="135" t="str">
        <f t="shared" ca="1" si="442"/>
        <v/>
      </c>
      <c r="S1236" s="134" t="str">
        <f t="shared" ca="1" si="443"/>
        <v/>
      </c>
      <c r="T1236" s="134" t="str">
        <f ca="1">IF(S1236=Dashboard!$D$12,S1236,"")</f>
        <v/>
      </c>
      <c r="U1236" s="134" t="str">
        <f t="shared" ca="1" si="444"/>
        <v/>
      </c>
      <c r="V1236" s="83" t="str">
        <f ca="1">IF(U1236="","",IFERROR((RANK(U1236,$U$2:$U$2028,1)+COUNTIF($U$2:U1236,U1236))-1,""))</f>
        <v/>
      </c>
      <c r="W1236" s="134" t="str">
        <f t="shared" si="448"/>
        <v/>
      </c>
      <c r="X1236" s="134" t="str">
        <f>IF(W1236="","",IFERROR((RANK(W1236,$W$2:$W$2028,1)+COUNTIF($W$2:W1236,W1236))-1,""))</f>
        <v/>
      </c>
      <c r="Y1236" s="134" t="str">
        <f t="shared" si="445"/>
        <v/>
      </c>
      <c r="Z1236" s="134" t="str">
        <f>IF(Y1236="","",IFERROR((RANK(Y1236,$Y$2:$Y$2028,1)+COUNTIF($Y$2:Y1236,Y1236))-1,""))</f>
        <v/>
      </c>
      <c r="AA1236" s="134" t="str">
        <f t="shared" si="446"/>
        <v/>
      </c>
      <c r="AB1236" s="134" t="str">
        <f>IF(AA1236="","",IFERROR((RANK(AA1236,$AA$2:$AA$2028,1)+COUNTIF($AA$2:AA1236,AA1236))-1,""))</f>
        <v/>
      </c>
      <c r="AC1236" s="134" t="str">
        <f t="shared" si="447"/>
        <v/>
      </c>
      <c r="AD1236" s="134" t="str">
        <f>IF(AC1236="","",IFERROR((RANK(AC1236,$AC$2:$AC$2028,1)+COUNTIF($AC$2:AC1236,AC1236))-1,""))</f>
        <v/>
      </c>
      <c r="AE1236" s="144" t="str">
        <f t="shared" si="451"/>
        <v/>
      </c>
      <c r="AF1236" s="144" t="str">
        <f>IF(AE1236="","",SUM($AE$2:AE1236))</f>
        <v/>
      </c>
    </row>
    <row r="1237" spans="14:32" x14ac:dyDescent="0.35">
      <c r="N1237" s="134" t="str">
        <f t="shared" si="449"/>
        <v/>
      </c>
      <c r="O1237" s="82" t="str">
        <f t="shared" si="440"/>
        <v/>
      </c>
      <c r="P1237" s="81" t="str">
        <f t="shared" si="450"/>
        <v/>
      </c>
      <c r="Q1237" s="81" t="str">
        <f t="shared" si="441"/>
        <v/>
      </c>
      <c r="R1237" s="135" t="str">
        <f t="shared" ca="1" si="442"/>
        <v/>
      </c>
      <c r="S1237" s="134" t="str">
        <f t="shared" ca="1" si="443"/>
        <v/>
      </c>
      <c r="T1237" s="134" t="str">
        <f ca="1">IF(S1237=Dashboard!$D$12,S1237,"")</f>
        <v/>
      </c>
      <c r="U1237" s="134" t="str">
        <f t="shared" ca="1" si="444"/>
        <v/>
      </c>
      <c r="V1237" s="83" t="str">
        <f ca="1">IF(U1237="","",IFERROR((RANK(U1237,$U$2:$U$2028,1)+COUNTIF($U$2:U1237,U1237))-1,""))</f>
        <v/>
      </c>
      <c r="W1237" s="134" t="str">
        <f t="shared" si="448"/>
        <v/>
      </c>
      <c r="X1237" s="134" t="str">
        <f>IF(W1237="","",IFERROR((RANK(W1237,$W$2:$W$2028,1)+COUNTIF($W$2:W1237,W1237))-1,""))</f>
        <v/>
      </c>
      <c r="Y1237" s="134" t="str">
        <f t="shared" si="445"/>
        <v/>
      </c>
      <c r="Z1237" s="134" t="str">
        <f>IF(Y1237="","",IFERROR((RANK(Y1237,$Y$2:$Y$2028,1)+COUNTIF($Y$2:Y1237,Y1237))-1,""))</f>
        <v/>
      </c>
      <c r="AA1237" s="134" t="str">
        <f t="shared" si="446"/>
        <v/>
      </c>
      <c r="AB1237" s="134" t="str">
        <f>IF(AA1237="","",IFERROR((RANK(AA1237,$AA$2:$AA$2028,1)+COUNTIF($AA$2:AA1237,AA1237))-1,""))</f>
        <v/>
      </c>
      <c r="AC1237" s="134" t="str">
        <f t="shared" si="447"/>
        <v/>
      </c>
      <c r="AD1237" s="134" t="str">
        <f>IF(AC1237="","",IFERROR((RANK(AC1237,$AC$2:$AC$2028,1)+COUNTIF($AC$2:AC1237,AC1237))-1,""))</f>
        <v/>
      </c>
      <c r="AE1237" s="144" t="str">
        <f t="shared" si="451"/>
        <v/>
      </c>
      <c r="AF1237" s="144" t="str">
        <f>IF(AE1237="","",SUM($AE$2:AE1237))</f>
        <v/>
      </c>
    </row>
    <row r="1238" spans="14:32" x14ac:dyDescent="0.35">
      <c r="N1238" s="134" t="str">
        <f t="shared" si="449"/>
        <v/>
      </c>
      <c r="O1238" s="82" t="str">
        <f t="shared" si="440"/>
        <v/>
      </c>
      <c r="P1238" s="81" t="str">
        <f t="shared" si="450"/>
        <v/>
      </c>
      <c r="Q1238" s="81" t="str">
        <f t="shared" si="441"/>
        <v/>
      </c>
      <c r="R1238" s="135" t="str">
        <f t="shared" ca="1" si="442"/>
        <v/>
      </c>
      <c r="S1238" s="134" t="str">
        <f t="shared" ca="1" si="443"/>
        <v/>
      </c>
      <c r="T1238" s="134" t="str">
        <f ca="1">IF(S1238=Dashboard!$D$12,S1238,"")</f>
        <v/>
      </c>
      <c r="U1238" s="134" t="str">
        <f t="shared" ca="1" si="444"/>
        <v/>
      </c>
      <c r="V1238" s="83" t="str">
        <f ca="1">IF(U1238="","",IFERROR((RANK(U1238,$U$2:$U$2028,1)+COUNTIF($U$2:U1238,U1238))-1,""))</f>
        <v/>
      </c>
      <c r="W1238" s="134" t="str">
        <f t="shared" si="448"/>
        <v/>
      </c>
      <c r="X1238" s="134" t="str">
        <f>IF(W1238="","",IFERROR((RANK(W1238,$W$2:$W$2028,1)+COUNTIF($W$2:W1238,W1238))-1,""))</f>
        <v/>
      </c>
      <c r="Y1238" s="134" t="str">
        <f t="shared" si="445"/>
        <v/>
      </c>
      <c r="Z1238" s="134" t="str">
        <f>IF(Y1238="","",IFERROR((RANK(Y1238,$Y$2:$Y$2028,1)+COUNTIF($Y$2:Y1238,Y1238))-1,""))</f>
        <v/>
      </c>
      <c r="AA1238" s="134" t="str">
        <f t="shared" si="446"/>
        <v/>
      </c>
      <c r="AB1238" s="134" t="str">
        <f>IF(AA1238="","",IFERROR((RANK(AA1238,$AA$2:$AA$2028,1)+COUNTIF($AA$2:AA1238,AA1238))-1,""))</f>
        <v/>
      </c>
      <c r="AC1238" s="134" t="str">
        <f t="shared" si="447"/>
        <v/>
      </c>
      <c r="AD1238" s="134" t="str">
        <f>IF(AC1238="","",IFERROR((RANK(AC1238,$AC$2:$AC$2028,1)+COUNTIF($AC$2:AC1238,AC1238))-1,""))</f>
        <v/>
      </c>
      <c r="AE1238" s="144" t="str">
        <f t="shared" si="451"/>
        <v/>
      </c>
      <c r="AF1238" s="144" t="str">
        <f>IF(AE1238="","",SUM($AE$2:AE1238))</f>
        <v/>
      </c>
    </row>
    <row r="1239" spans="14:32" x14ac:dyDescent="0.35">
      <c r="N1239" s="134" t="str">
        <f t="shared" si="449"/>
        <v/>
      </c>
      <c r="O1239" s="82" t="str">
        <f t="shared" si="440"/>
        <v/>
      </c>
      <c r="P1239" s="81" t="str">
        <f t="shared" si="450"/>
        <v/>
      </c>
      <c r="Q1239" s="81" t="str">
        <f t="shared" si="441"/>
        <v/>
      </c>
      <c r="R1239" s="135" t="str">
        <f t="shared" ca="1" si="442"/>
        <v/>
      </c>
      <c r="S1239" s="134" t="str">
        <f t="shared" ca="1" si="443"/>
        <v/>
      </c>
      <c r="T1239" s="134" t="str">
        <f ca="1">IF(S1239=Dashboard!$D$12,S1239,"")</f>
        <v/>
      </c>
      <c r="U1239" s="134" t="str">
        <f t="shared" ca="1" si="444"/>
        <v/>
      </c>
      <c r="V1239" s="83" t="str">
        <f ca="1">IF(U1239="","",IFERROR((RANK(U1239,$U$2:$U$2028,1)+COUNTIF($U$2:U1239,U1239))-1,""))</f>
        <v/>
      </c>
      <c r="W1239" s="134" t="str">
        <f t="shared" si="448"/>
        <v/>
      </c>
      <c r="X1239" s="134" t="str">
        <f>IF(W1239="","",IFERROR((RANK(W1239,$W$2:$W$2028,1)+COUNTIF($W$2:W1239,W1239))-1,""))</f>
        <v/>
      </c>
      <c r="Y1239" s="134" t="str">
        <f t="shared" si="445"/>
        <v/>
      </c>
      <c r="Z1239" s="134" t="str">
        <f>IF(Y1239="","",IFERROR((RANK(Y1239,$Y$2:$Y$2028,1)+COUNTIF($Y$2:Y1239,Y1239))-1,""))</f>
        <v/>
      </c>
      <c r="AA1239" s="134" t="str">
        <f t="shared" si="446"/>
        <v/>
      </c>
      <c r="AB1239" s="134" t="str">
        <f>IF(AA1239="","",IFERROR((RANK(AA1239,$AA$2:$AA$2028,1)+COUNTIF($AA$2:AA1239,AA1239))-1,""))</f>
        <v/>
      </c>
      <c r="AC1239" s="134" t="str">
        <f t="shared" si="447"/>
        <v/>
      </c>
      <c r="AD1239" s="134" t="str">
        <f>IF(AC1239="","",IFERROR((RANK(AC1239,$AC$2:$AC$2028,1)+COUNTIF($AC$2:AC1239,AC1239))-1,""))</f>
        <v/>
      </c>
      <c r="AE1239" s="144" t="str">
        <f t="shared" si="451"/>
        <v/>
      </c>
      <c r="AF1239" s="144" t="str">
        <f>IF(AE1239="","",SUM($AE$2:AE1239))</f>
        <v/>
      </c>
    </row>
    <row r="1240" spans="14:32" x14ac:dyDescent="0.35">
      <c r="N1240" s="134" t="str">
        <f t="shared" si="449"/>
        <v/>
      </c>
      <c r="O1240" s="82" t="str">
        <f t="shared" si="440"/>
        <v/>
      </c>
      <c r="P1240" s="81" t="str">
        <f t="shared" si="450"/>
        <v/>
      </c>
      <c r="Q1240" s="81" t="str">
        <f t="shared" si="441"/>
        <v/>
      </c>
      <c r="R1240" s="135" t="str">
        <f t="shared" ca="1" si="442"/>
        <v/>
      </c>
      <c r="S1240" s="134" t="str">
        <f t="shared" ca="1" si="443"/>
        <v/>
      </c>
      <c r="T1240" s="134" t="str">
        <f ca="1">IF(S1240=Dashboard!$D$12,S1240,"")</f>
        <v/>
      </c>
      <c r="U1240" s="134" t="str">
        <f t="shared" ca="1" si="444"/>
        <v/>
      </c>
      <c r="V1240" s="83" t="str">
        <f ca="1">IF(U1240="","",IFERROR((RANK(U1240,$U$2:$U$2028,1)+COUNTIF($U$2:U1240,U1240))-1,""))</f>
        <v/>
      </c>
      <c r="W1240" s="134" t="str">
        <f t="shared" si="448"/>
        <v/>
      </c>
      <c r="X1240" s="134" t="str">
        <f>IF(W1240="","",IFERROR((RANK(W1240,$W$2:$W$2028,1)+COUNTIF($W$2:W1240,W1240))-1,""))</f>
        <v/>
      </c>
      <c r="Y1240" s="134" t="str">
        <f t="shared" si="445"/>
        <v/>
      </c>
      <c r="Z1240" s="134" t="str">
        <f>IF(Y1240="","",IFERROR((RANK(Y1240,$Y$2:$Y$2028,1)+COUNTIF($Y$2:Y1240,Y1240))-1,""))</f>
        <v/>
      </c>
      <c r="AA1240" s="134" t="str">
        <f t="shared" si="446"/>
        <v/>
      </c>
      <c r="AB1240" s="134" t="str">
        <f>IF(AA1240="","",IFERROR((RANK(AA1240,$AA$2:$AA$2028,1)+COUNTIF($AA$2:AA1240,AA1240))-1,""))</f>
        <v/>
      </c>
      <c r="AC1240" s="134" t="str">
        <f t="shared" si="447"/>
        <v/>
      </c>
      <c r="AD1240" s="134" t="str">
        <f>IF(AC1240="","",IFERROR((RANK(AC1240,$AC$2:$AC$2028,1)+COUNTIF($AC$2:AC1240,AC1240))-1,""))</f>
        <v/>
      </c>
      <c r="AE1240" s="144" t="str">
        <f t="shared" si="451"/>
        <v/>
      </c>
      <c r="AF1240" s="144" t="str">
        <f>IF(AE1240="","",SUM($AE$2:AE1240))</f>
        <v/>
      </c>
    </row>
    <row r="1241" spans="14:32" x14ac:dyDescent="0.35">
      <c r="N1241" s="134" t="str">
        <f t="shared" si="449"/>
        <v/>
      </c>
      <c r="O1241" s="82" t="str">
        <f t="shared" si="440"/>
        <v/>
      </c>
      <c r="P1241" s="81" t="str">
        <f t="shared" si="450"/>
        <v/>
      </c>
      <c r="Q1241" s="81" t="str">
        <f t="shared" si="441"/>
        <v/>
      </c>
      <c r="R1241" s="135" t="str">
        <f t="shared" ca="1" si="442"/>
        <v/>
      </c>
      <c r="S1241" s="134" t="str">
        <f t="shared" ca="1" si="443"/>
        <v/>
      </c>
      <c r="T1241" s="134" t="str">
        <f ca="1">IF(S1241=Dashboard!$D$12,S1241,"")</f>
        <v/>
      </c>
      <c r="U1241" s="134" t="str">
        <f t="shared" ca="1" si="444"/>
        <v/>
      </c>
      <c r="V1241" s="83" t="str">
        <f ca="1">IF(U1241="","",IFERROR((RANK(U1241,$U$2:$U$2028,1)+COUNTIF($U$2:U1241,U1241))-1,""))</f>
        <v/>
      </c>
      <c r="W1241" s="134" t="str">
        <f t="shared" si="448"/>
        <v/>
      </c>
      <c r="X1241" s="134" t="str">
        <f>IF(W1241="","",IFERROR((RANK(W1241,$W$2:$W$2028,1)+COUNTIF($W$2:W1241,W1241))-1,""))</f>
        <v/>
      </c>
      <c r="Y1241" s="134" t="str">
        <f t="shared" si="445"/>
        <v/>
      </c>
      <c r="Z1241" s="134" t="str">
        <f>IF(Y1241="","",IFERROR((RANK(Y1241,$Y$2:$Y$2028,1)+COUNTIF($Y$2:Y1241,Y1241))-1,""))</f>
        <v/>
      </c>
      <c r="AA1241" s="134" t="str">
        <f t="shared" si="446"/>
        <v/>
      </c>
      <c r="AB1241" s="134" t="str">
        <f>IF(AA1241="","",IFERROR((RANK(AA1241,$AA$2:$AA$2028,1)+COUNTIF($AA$2:AA1241,AA1241))-1,""))</f>
        <v/>
      </c>
      <c r="AC1241" s="134" t="str">
        <f t="shared" si="447"/>
        <v/>
      </c>
      <c r="AD1241" s="134" t="str">
        <f>IF(AC1241="","",IFERROR((RANK(AC1241,$AC$2:$AC$2028,1)+COUNTIF($AC$2:AC1241,AC1241))-1,""))</f>
        <v/>
      </c>
      <c r="AE1241" s="144" t="str">
        <f t="shared" si="451"/>
        <v/>
      </c>
      <c r="AF1241" s="144" t="str">
        <f>IF(AE1241="","",SUM($AE$2:AE1241))</f>
        <v/>
      </c>
    </row>
    <row r="1242" spans="14:32" x14ac:dyDescent="0.35">
      <c r="N1242" s="134" t="str">
        <f t="shared" si="449"/>
        <v/>
      </c>
      <c r="O1242" s="82" t="str">
        <f t="shared" si="440"/>
        <v/>
      </c>
      <c r="P1242" s="81" t="str">
        <f t="shared" si="450"/>
        <v/>
      </c>
      <c r="Q1242" s="81" t="str">
        <f t="shared" si="441"/>
        <v/>
      </c>
      <c r="R1242" s="135" t="str">
        <f t="shared" ca="1" si="442"/>
        <v/>
      </c>
      <c r="S1242" s="134" t="str">
        <f t="shared" ca="1" si="443"/>
        <v/>
      </c>
      <c r="T1242" s="134" t="str">
        <f ca="1">IF(S1242=Dashboard!$D$12,S1242,"")</f>
        <v/>
      </c>
      <c r="U1242" s="134" t="str">
        <f t="shared" ca="1" si="444"/>
        <v/>
      </c>
      <c r="V1242" s="83" t="str">
        <f ca="1">IF(U1242="","",IFERROR((RANK(U1242,$U$2:$U$2028,1)+COUNTIF($U$2:U1242,U1242))-1,""))</f>
        <v/>
      </c>
      <c r="W1242" s="134" t="str">
        <f t="shared" si="448"/>
        <v/>
      </c>
      <c r="X1242" s="134" t="str">
        <f>IF(W1242="","",IFERROR((RANK(W1242,$W$2:$W$2028,1)+COUNTIF($W$2:W1242,W1242))-1,""))</f>
        <v/>
      </c>
      <c r="Y1242" s="134" t="str">
        <f t="shared" si="445"/>
        <v/>
      </c>
      <c r="Z1242" s="134" t="str">
        <f>IF(Y1242="","",IFERROR((RANK(Y1242,$Y$2:$Y$2028,1)+COUNTIF($Y$2:Y1242,Y1242))-1,""))</f>
        <v/>
      </c>
      <c r="AA1242" s="134" t="str">
        <f t="shared" si="446"/>
        <v/>
      </c>
      <c r="AB1242" s="134" t="str">
        <f>IF(AA1242="","",IFERROR((RANK(AA1242,$AA$2:$AA$2028,1)+COUNTIF($AA$2:AA1242,AA1242))-1,""))</f>
        <v/>
      </c>
      <c r="AC1242" s="134" t="str">
        <f t="shared" si="447"/>
        <v/>
      </c>
      <c r="AD1242" s="134" t="str">
        <f>IF(AC1242="","",IFERROR((RANK(AC1242,$AC$2:$AC$2028,1)+COUNTIF($AC$2:AC1242,AC1242))-1,""))</f>
        <v/>
      </c>
      <c r="AE1242" s="144" t="str">
        <f t="shared" si="451"/>
        <v/>
      </c>
      <c r="AF1242" s="144" t="str">
        <f>IF(AE1242="","",SUM($AE$2:AE1242))</f>
        <v/>
      </c>
    </row>
    <row r="1243" spans="14:32" x14ac:dyDescent="0.35">
      <c r="N1243" s="134" t="str">
        <f t="shared" si="449"/>
        <v/>
      </c>
      <c r="O1243" s="82" t="str">
        <f t="shared" si="440"/>
        <v/>
      </c>
      <c r="P1243" s="81" t="str">
        <f t="shared" si="450"/>
        <v/>
      </c>
      <c r="Q1243" s="81" t="str">
        <f t="shared" si="441"/>
        <v/>
      </c>
      <c r="R1243" s="135" t="str">
        <f t="shared" ca="1" si="442"/>
        <v/>
      </c>
      <c r="S1243" s="134" t="str">
        <f t="shared" ca="1" si="443"/>
        <v/>
      </c>
      <c r="T1243" s="134" t="str">
        <f ca="1">IF(S1243=Dashboard!$D$12,S1243,"")</f>
        <v/>
      </c>
      <c r="U1243" s="134" t="str">
        <f t="shared" ca="1" si="444"/>
        <v/>
      </c>
      <c r="V1243" s="83" t="str">
        <f ca="1">IF(U1243="","",IFERROR((RANK(U1243,$U$2:$U$2028,1)+COUNTIF($U$2:U1243,U1243))-1,""))</f>
        <v/>
      </c>
      <c r="W1243" s="134" t="str">
        <f t="shared" si="448"/>
        <v/>
      </c>
      <c r="X1243" s="134" t="str">
        <f>IF(W1243="","",IFERROR((RANK(W1243,$W$2:$W$2028,1)+COUNTIF($W$2:W1243,W1243))-1,""))</f>
        <v/>
      </c>
      <c r="Y1243" s="134" t="str">
        <f t="shared" si="445"/>
        <v/>
      </c>
      <c r="Z1243" s="134" t="str">
        <f>IF(Y1243="","",IFERROR((RANK(Y1243,$Y$2:$Y$2028,1)+COUNTIF($Y$2:Y1243,Y1243))-1,""))</f>
        <v/>
      </c>
      <c r="AA1243" s="134" t="str">
        <f t="shared" si="446"/>
        <v/>
      </c>
      <c r="AB1243" s="134" t="str">
        <f>IF(AA1243="","",IFERROR((RANK(AA1243,$AA$2:$AA$2028,1)+COUNTIF($AA$2:AA1243,AA1243))-1,""))</f>
        <v/>
      </c>
      <c r="AC1243" s="134" t="str">
        <f t="shared" si="447"/>
        <v/>
      </c>
      <c r="AD1243" s="134" t="str">
        <f>IF(AC1243="","",IFERROR((RANK(AC1243,$AC$2:$AC$2028,1)+COUNTIF($AC$2:AC1243,AC1243))-1,""))</f>
        <v/>
      </c>
      <c r="AE1243" s="144" t="str">
        <f t="shared" si="451"/>
        <v/>
      </c>
      <c r="AF1243" s="144" t="str">
        <f>IF(AE1243="","",SUM($AE$2:AE1243))</f>
        <v/>
      </c>
    </row>
    <row r="1244" spans="14:32" x14ac:dyDescent="0.35">
      <c r="N1244" s="134" t="str">
        <f t="shared" si="449"/>
        <v/>
      </c>
      <c r="O1244" s="82" t="str">
        <f t="shared" si="440"/>
        <v/>
      </c>
      <c r="P1244" s="81" t="str">
        <f t="shared" si="450"/>
        <v/>
      </c>
      <c r="Q1244" s="81" t="str">
        <f t="shared" si="441"/>
        <v/>
      </c>
      <c r="R1244" s="135" t="str">
        <f t="shared" ca="1" si="442"/>
        <v/>
      </c>
      <c r="S1244" s="134" t="str">
        <f t="shared" ca="1" si="443"/>
        <v/>
      </c>
      <c r="T1244" s="134" t="str">
        <f ca="1">IF(S1244=Dashboard!$D$12,S1244,"")</f>
        <v/>
      </c>
      <c r="U1244" s="134" t="str">
        <f t="shared" ca="1" si="444"/>
        <v/>
      </c>
      <c r="V1244" s="83" t="str">
        <f ca="1">IF(U1244="","",IFERROR((RANK(U1244,$U$2:$U$2028,1)+COUNTIF($U$2:U1244,U1244))-1,""))</f>
        <v/>
      </c>
      <c r="W1244" s="134" t="str">
        <f t="shared" si="448"/>
        <v/>
      </c>
      <c r="X1244" s="134" t="str">
        <f>IF(W1244="","",IFERROR((RANK(W1244,$W$2:$W$2028,1)+COUNTIF($W$2:W1244,W1244))-1,""))</f>
        <v/>
      </c>
      <c r="Y1244" s="134" t="str">
        <f t="shared" si="445"/>
        <v/>
      </c>
      <c r="Z1244" s="134" t="str">
        <f>IF(Y1244="","",IFERROR((RANK(Y1244,$Y$2:$Y$2028,1)+COUNTIF($Y$2:Y1244,Y1244))-1,""))</f>
        <v/>
      </c>
      <c r="AA1244" s="134" t="str">
        <f t="shared" si="446"/>
        <v/>
      </c>
      <c r="AB1244" s="134" t="str">
        <f>IF(AA1244="","",IFERROR((RANK(AA1244,$AA$2:$AA$2028,1)+COUNTIF($AA$2:AA1244,AA1244))-1,""))</f>
        <v/>
      </c>
      <c r="AC1244" s="134" t="str">
        <f t="shared" si="447"/>
        <v/>
      </c>
      <c r="AD1244" s="134" t="str">
        <f>IF(AC1244="","",IFERROR((RANK(AC1244,$AC$2:$AC$2028,1)+COUNTIF($AC$2:AC1244,AC1244))-1,""))</f>
        <v/>
      </c>
      <c r="AE1244" s="144" t="str">
        <f t="shared" si="451"/>
        <v/>
      </c>
      <c r="AF1244" s="144" t="str">
        <f>IF(AE1244="","",SUM($AE$2:AE1244))</f>
        <v/>
      </c>
    </row>
    <row r="1245" spans="14:32" x14ac:dyDescent="0.35">
      <c r="N1245" s="134" t="str">
        <f t="shared" si="449"/>
        <v/>
      </c>
      <c r="O1245" s="82" t="str">
        <f t="shared" si="440"/>
        <v/>
      </c>
      <c r="P1245" s="81" t="str">
        <f t="shared" si="450"/>
        <v/>
      </c>
      <c r="Q1245" s="81" t="str">
        <f t="shared" si="441"/>
        <v/>
      </c>
      <c r="R1245" s="135" t="str">
        <f t="shared" ca="1" si="442"/>
        <v/>
      </c>
      <c r="S1245" s="134" t="str">
        <f t="shared" ca="1" si="443"/>
        <v/>
      </c>
      <c r="T1245" s="134" t="str">
        <f ca="1">IF(S1245=Dashboard!$D$12,S1245,"")</f>
        <v/>
      </c>
      <c r="U1245" s="134" t="str">
        <f t="shared" ca="1" si="444"/>
        <v/>
      </c>
      <c r="V1245" s="83" t="str">
        <f ca="1">IF(U1245="","",IFERROR((RANK(U1245,$U$2:$U$2028,1)+COUNTIF($U$2:U1245,U1245))-1,""))</f>
        <v/>
      </c>
      <c r="W1245" s="134" t="str">
        <f t="shared" si="448"/>
        <v/>
      </c>
      <c r="X1245" s="134" t="str">
        <f>IF(W1245="","",IFERROR((RANK(W1245,$W$2:$W$2028,1)+COUNTIF($W$2:W1245,W1245))-1,""))</f>
        <v/>
      </c>
      <c r="Y1245" s="134" t="str">
        <f t="shared" si="445"/>
        <v/>
      </c>
      <c r="Z1245" s="134" t="str">
        <f>IF(Y1245="","",IFERROR((RANK(Y1245,$Y$2:$Y$2028,1)+COUNTIF($Y$2:Y1245,Y1245))-1,""))</f>
        <v/>
      </c>
      <c r="AA1245" s="134" t="str">
        <f t="shared" si="446"/>
        <v/>
      </c>
      <c r="AB1245" s="134" t="str">
        <f>IF(AA1245="","",IFERROR((RANK(AA1245,$AA$2:$AA$2028,1)+COUNTIF($AA$2:AA1245,AA1245))-1,""))</f>
        <v/>
      </c>
      <c r="AC1245" s="134" t="str">
        <f t="shared" si="447"/>
        <v/>
      </c>
      <c r="AD1245" s="134" t="str">
        <f>IF(AC1245="","",IFERROR((RANK(AC1245,$AC$2:$AC$2028,1)+COUNTIF($AC$2:AC1245,AC1245))-1,""))</f>
        <v/>
      </c>
      <c r="AE1245" s="144" t="str">
        <f t="shared" si="451"/>
        <v/>
      </c>
      <c r="AF1245" s="144" t="str">
        <f>IF(AE1245="","",SUM($AE$2:AE1245))</f>
        <v/>
      </c>
    </row>
    <row r="1246" spans="14:32" x14ac:dyDescent="0.35">
      <c r="N1246" s="134" t="str">
        <f t="shared" si="449"/>
        <v/>
      </c>
      <c r="O1246" s="82" t="str">
        <f t="shared" ref="O1246:O1309" si="452">IF(A1246="","",N1246&amp;"-"&amp;M1246)</f>
        <v/>
      </c>
      <c r="P1246" s="81" t="str">
        <f t="shared" si="450"/>
        <v/>
      </c>
      <c r="Q1246" s="81" t="str">
        <f t="shared" ref="Q1246:Q1309" si="453">IF(A1246="","",IF(P1246=1,M1246,""))</f>
        <v/>
      </c>
      <c r="R1246" s="135" t="str">
        <f t="shared" ref="R1246:R1309" ca="1" si="454">IF(Q1246="","",I1246-TODAY())</f>
        <v/>
      </c>
      <c r="S1246" s="134" t="str">
        <f t="shared" ref="S1246:S1309" ca="1" si="455">IF(R1246="","",
IF(R1246&lt;-90,"Pass&gt;90",IF(R1246&lt;-60,"Pass 61-90",IF(R1246&lt;-30,"Pass 31-60",IF(R1246&lt;0,"Pass 0-30",IF(R1246&lt;31,"Run 0-30",IF(R1246&lt;61,"Run 31-60",IF(R1246&lt;91,"Run 60-90","Run &gt;90"))))))))</f>
        <v/>
      </c>
      <c r="T1246" s="134" t="str">
        <f ca="1">IF(S1246=Dashboard!$D$12,S1246,"")</f>
        <v/>
      </c>
      <c r="U1246" s="134" t="str">
        <f t="shared" ref="U1246:U1309" ca="1" si="456">IF(T1246="","",R1246)</f>
        <v/>
      </c>
      <c r="V1246" s="83" t="str">
        <f ca="1">IF(U1246="","",IFERROR((RANK(U1246,$U$2:$U$2028,1)+COUNTIF($U$2:U1246,U1246))-1,""))</f>
        <v/>
      </c>
      <c r="W1246" s="134" t="str">
        <f t="shared" si="448"/>
        <v/>
      </c>
      <c r="X1246" s="134" t="str">
        <f>IF(W1246="","",IFERROR((RANK(W1246,$W$2:$W$2028,1)+COUNTIF($W$2:W1246,W1246))-1,""))</f>
        <v/>
      </c>
      <c r="Y1246" s="134" t="str">
        <f t="shared" ref="Y1246:Y1309" si="457">IF($J1246=Y$1,$U1246,"")</f>
        <v/>
      </c>
      <c r="Z1246" s="134" t="str">
        <f>IF(Y1246="","",IFERROR((RANK(Y1246,$Y$2:$Y$2028,1)+COUNTIF($Y$2:Y1246,Y1246))-1,""))</f>
        <v/>
      </c>
      <c r="AA1246" s="134" t="str">
        <f t="shared" ref="AA1246:AA1309" si="458">IF($J1246=AA$1,$U1246,"")</f>
        <v/>
      </c>
      <c r="AB1246" s="134" t="str">
        <f>IF(AA1246="","",IFERROR((RANK(AA1246,$AA$2:$AA$2028,1)+COUNTIF($AA$2:AA1246,AA1246))-1,""))</f>
        <v/>
      </c>
      <c r="AC1246" s="134" t="str">
        <f t="shared" ref="AC1246:AC1309" si="459">IF($J1246=AC$1,$U1246,"")</f>
        <v/>
      </c>
      <c r="AD1246" s="134" t="str">
        <f>IF(AC1246="","",IFERROR((RANK(AC1246,$AC$2:$AC$2028,1)+COUNTIF($AC$2:AC1246,AC1246))-1,""))</f>
        <v/>
      </c>
      <c r="AE1246" s="144" t="str">
        <f t="shared" si="451"/>
        <v/>
      </c>
      <c r="AF1246" s="144" t="str">
        <f>IF(AE1246="","",SUM($AE$2:AE1246))</f>
        <v/>
      </c>
    </row>
    <row r="1247" spans="14:32" x14ac:dyDescent="0.35">
      <c r="N1247" s="134" t="str">
        <f t="shared" si="449"/>
        <v/>
      </c>
      <c r="O1247" s="82" t="str">
        <f t="shared" si="452"/>
        <v/>
      </c>
      <c r="P1247" s="81" t="str">
        <f t="shared" si="450"/>
        <v/>
      </c>
      <c r="Q1247" s="81" t="str">
        <f t="shared" si="453"/>
        <v/>
      </c>
      <c r="R1247" s="135" t="str">
        <f t="shared" ca="1" si="454"/>
        <v/>
      </c>
      <c r="S1247" s="134" t="str">
        <f t="shared" ca="1" si="455"/>
        <v/>
      </c>
      <c r="T1247" s="134" t="str">
        <f ca="1">IF(S1247=Dashboard!$D$12,S1247,"")</f>
        <v/>
      </c>
      <c r="U1247" s="134" t="str">
        <f t="shared" ca="1" si="456"/>
        <v/>
      </c>
      <c r="V1247" s="83" t="str">
        <f ca="1">IF(U1247="","",IFERROR((RANK(U1247,$U$2:$U$2028,1)+COUNTIF($U$2:U1247,U1247))-1,""))</f>
        <v/>
      </c>
      <c r="W1247" s="134" t="str">
        <f t="shared" ref="W1247:W1310" si="460">IF($J1247=$W$1,U1247,"")</f>
        <v/>
      </c>
      <c r="X1247" s="134" t="str">
        <f>IF(W1247="","",IFERROR((RANK(W1247,$W$2:$W$2028,1)+COUNTIF($W$2:W1247,W1247))-1,""))</f>
        <v/>
      </c>
      <c r="Y1247" s="134" t="str">
        <f t="shared" si="457"/>
        <v/>
      </c>
      <c r="Z1247" s="134" t="str">
        <f>IF(Y1247="","",IFERROR((RANK(Y1247,$Y$2:$Y$2028,1)+COUNTIF($Y$2:Y1247,Y1247))-1,""))</f>
        <v/>
      </c>
      <c r="AA1247" s="134" t="str">
        <f t="shared" si="458"/>
        <v/>
      </c>
      <c r="AB1247" s="134" t="str">
        <f>IF(AA1247="","",IFERROR((RANK(AA1247,$AA$2:$AA$2028,1)+COUNTIF($AA$2:AA1247,AA1247))-1,""))</f>
        <v/>
      </c>
      <c r="AC1247" s="134" t="str">
        <f t="shared" si="459"/>
        <v/>
      </c>
      <c r="AD1247" s="134" t="str">
        <f>IF(AC1247="","",IFERROR((RANK(AC1247,$AC$2:$AC$2028,1)+COUNTIF($AC$2:AC1247,AC1247))-1,""))</f>
        <v/>
      </c>
      <c r="AE1247" s="144" t="str">
        <f t="shared" si="451"/>
        <v/>
      </c>
      <c r="AF1247" s="144" t="str">
        <f>IF(AE1247="","",SUM($AE$2:AE1247))</f>
        <v/>
      </c>
    </row>
    <row r="1248" spans="14:32" x14ac:dyDescent="0.35">
      <c r="N1248" s="134" t="str">
        <f t="shared" si="449"/>
        <v/>
      </c>
      <c r="O1248" s="82" t="str">
        <f t="shared" si="452"/>
        <v/>
      </c>
      <c r="P1248" s="81" t="str">
        <f t="shared" si="450"/>
        <v/>
      </c>
      <c r="Q1248" s="81" t="str">
        <f t="shared" si="453"/>
        <v/>
      </c>
      <c r="R1248" s="135" t="str">
        <f t="shared" ca="1" si="454"/>
        <v/>
      </c>
      <c r="S1248" s="134" t="str">
        <f t="shared" ca="1" si="455"/>
        <v/>
      </c>
      <c r="T1248" s="134" t="str">
        <f ca="1">IF(S1248=Dashboard!$D$12,S1248,"")</f>
        <v/>
      </c>
      <c r="U1248" s="134" t="str">
        <f t="shared" ca="1" si="456"/>
        <v/>
      </c>
      <c r="V1248" s="83" t="str">
        <f ca="1">IF(U1248="","",IFERROR((RANK(U1248,$U$2:$U$2028,1)+COUNTIF($U$2:U1248,U1248))-1,""))</f>
        <v/>
      </c>
      <c r="W1248" s="134" t="str">
        <f t="shared" si="460"/>
        <v/>
      </c>
      <c r="X1248" s="134" t="str">
        <f>IF(W1248="","",IFERROR((RANK(W1248,$W$2:$W$2028,1)+COUNTIF($W$2:W1248,W1248))-1,""))</f>
        <v/>
      </c>
      <c r="Y1248" s="134" t="str">
        <f t="shared" si="457"/>
        <v/>
      </c>
      <c r="Z1248" s="134" t="str">
        <f>IF(Y1248="","",IFERROR((RANK(Y1248,$Y$2:$Y$2028,1)+COUNTIF($Y$2:Y1248,Y1248))-1,""))</f>
        <v/>
      </c>
      <c r="AA1248" s="134" t="str">
        <f t="shared" si="458"/>
        <v/>
      </c>
      <c r="AB1248" s="134" t="str">
        <f>IF(AA1248="","",IFERROR((RANK(AA1248,$AA$2:$AA$2028,1)+COUNTIF($AA$2:AA1248,AA1248))-1,""))</f>
        <v/>
      </c>
      <c r="AC1248" s="134" t="str">
        <f t="shared" si="459"/>
        <v/>
      </c>
      <c r="AD1248" s="134" t="str">
        <f>IF(AC1248="","",IFERROR((RANK(AC1248,$AC$2:$AC$2028,1)+COUNTIF($AC$2:AC1248,AC1248))-1,""))</f>
        <v/>
      </c>
      <c r="AE1248" s="144" t="str">
        <f t="shared" si="451"/>
        <v/>
      </c>
      <c r="AF1248" s="144" t="str">
        <f>IF(AE1248="","",SUM($AE$2:AE1248))</f>
        <v/>
      </c>
    </row>
    <row r="1249" spans="14:32" x14ac:dyDescent="0.35">
      <c r="N1249" s="134" t="str">
        <f t="shared" si="449"/>
        <v/>
      </c>
      <c r="O1249" s="82" t="str">
        <f t="shared" si="452"/>
        <v/>
      </c>
      <c r="P1249" s="81" t="str">
        <f t="shared" si="450"/>
        <v/>
      </c>
      <c r="Q1249" s="81" t="str">
        <f t="shared" si="453"/>
        <v/>
      </c>
      <c r="R1249" s="135" t="str">
        <f t="shared" ca="1" si="454"/>
        <v/>
      </c>
      <c r="S1249" s="134" t="str">
        <f t="shared" ca="1" si="455"/>
        <v/>
      </c>
      <c r="T1249" s="134" t="str">
        <f ca="1">IF(S1249=Dashboard!$D$12,S1249,"")</f>
        <v/>
      </c>
      <c r="U1249" s="134" t="str">
        <f t="shared" ca="1" si="456"/>
        <v/>
      </c>
      <c r="V1249" s="83" t="str">
        <f ca="1">IF(U1249="","",IFERROR((RANK(U1249,$U$2:$U$2028,1)+COUNTIF($U$2:U1249,U1249))-1,""))</f>
        <v/>
      </c>
      <c r="W1249" s="134" t="str">
        <f t="shared" si="460"/>
        <v/>
      </c>
      <c r="X1249" s="134" t="str">
        <f>IF(W1249="","",IFERROR((RANK(W1249,$W$2:$W$2028,1)+COUNTIF($W$2:W1249,W1249))-1,""))</f>
        <v/>
      </c>
      <c r="Y1249" s="134" t="str">
        <f t="shared" si="457"/>
        <v/>
      </c>
      <c r="Z1249" s="134" t="str">
        <f>IF(Y1249="","",IFERROR((RANK(Y1249,$Y$2:$Y$2028,1)+COUNTIF($Y$2:Y1249,Y1249))-1,""))</f>
        <v/>
      </c>
      <c r="AA1249" s="134" t="str">
        <f t="shared" si="458"/>
        <v/>
      </c>
      <c r="AB1249" s="134" t="str">
        <f>IF(AA1249="","",IFERROR((RANK(AA1249,$AA$2:$AA$2028,1)+COUNTIF($AA$2:AA1249,AA1249))-1,""))</f>
        <v/>
      </c>
      <c r="AC1249" s="134" t="str">
        <f t="shared" si="459"/>
        <v/>
      </c>
      <c r="AD1249" s="134" t="str">
        <f>IF(AC1249="","",IFERROR((RANK(AC1249,$AC$2:$AC$2028,1)+COUNTIF($AC$2:AC1249,AC1249))-1,""))</f>
        <v/>
      </c>
      <c r="AE1249" s="144" t="str">
        <f t="shared" si="451"/>
        <v/>
      </c>
      <c r="AF1249" s="144" t="str">
        <f>IF(AE1249="","",SUM($AE$2:AE1249))</f>
        <v/>
      </c>
    </row>
    <row r="1250" spans="14:32" x14ac:dyDescent="0.35">
      <c r="N1250" s="134" t="str">
        <f t="shared" si="449"/>
        <v/>
      </c>
      <c r="O1250" s="82" t="str">
        <f t="shared" si="452"/>
        <v/>
      </c>
      <c r="P1250" s="81" t="str">
        <f t="shared" si="450"/>
        <v/>
      </c>
      <c r="Q1250" s="81" t="str">
        <f t="shared" si="453"/>
        <v/>
      </c>
      <c r="R1250" s="135" t="str">
        <f t="shared" ca="1" si="454"/>
        <v/>
      </c>
      <c r="S1250" s="134" t="str">
        <f t="shared" ca="1" si="455"/>
        <v/>
      </c>
      <c r="T1250" s="134" t="str">
        <f ca="1">IF(S1250=Dashboard!$D$12,S1250,"")</f>
        <v/>
      </c>
      <c r="U1250" s="134" t="str">
        <f t="shared" ca="1" si="456"/>
        <v/>
      </c>
      <c r="V1250" s="83" t="str">
        <f ca="1">IF(U1250="","",IFERROR((RANK(U1250,$U$2:$U$2028,1)+COUNTIF($U$2:U1250,U1250))-1,""))</f>
        <v/>
      </c>
      <c r="W1250" s="134" t="str">
        <f t="shared" si="460"/>
        <v/>
      </c>
      <c r="X1250" s="134" t="str">
        <f>IF(W1250="","",IFERROR((RANK(W1250,$W$2:$W$2028,1)+COUNTIF($W$2:W1250,W1250))-1,""))</f>
        <v/>
      </c>
      <c r="Y1250" s="134" t="str">
        <f t="shared" si="457"/>
        <v/>
      </c>
      <c r="Z1250" s="134" t="str">
        <f>IF(Y1250="","",IFERROR((RANK(Y1250,$Y$2:$Y$2028,1)+COUNTIF($Y$2:Y1250,Y1250))-1,""))</f>
        <v/>
      </c>
      <c r="AA1250" s="134" t="str">
        <f t="shared" si="458"/>
        <v/>
      </c>
      <c r="AB1250" s="134" t="str">
        <f>IF(AA1250="","",IFERROR((RANK(AA1250,$AA$2:$AA$2028,1)+COUNTIF($AA$2:AA1250,AA1250))-1,""))</f>
        <v/>
      </c>
      <c r="AC1250" s="134" t="str">
        <f t="shared" si="459"/>
        <v/>
      </c>
      <c r="AD1250" s="134" t="str">
        <f>IF(AC1250="","",IFERROR((RANK(AC1250,$AC$2:$AC$2028,1)+COUNTIF($AC$2:AC1250,AC1250))-1,""))</f>
        <v/>
      </c>
      <c r="AE1250" s="144" t="str">
        <f t="shared" si="451"/>
        <v/>
      </c>
      <c r="AF1250" s="144" t="str">
        <f>IF(AE1250="","",SUM($AE$2:AE1250))</f>
        <v/>
      </c>
    </row>
    <row r="1251" spans="14:32" x14ac:dyDescent="0.35">
      <c r="N1251" s="134" t="str">
        <f t="shared" si="449"/>
        <v/>
      </c>
      <c r="O1251" s="82" t="str">
        <f t="shared" si="452"/>
        <v/>
      </c>
      <c r="P1251" s="81" t="str">
        <f t="shared" si="450"/>
        <v/>
      </c>
      <c r="Q1251" s="81" t="str">
        <f t="shared" si="453"/>
        <v/>
      </c>
      <c r="R1251" s="135" t="str">
        <f t="shared" ca="1" si="454"/>
        <v/>
      </c>
      <c r="S1251" s="134" t="str">
        <f t="shared" ca="1" si="455"/>
        <v/>
      </c>
      <c r="T1251" s="134" t="str">
        <f ca="1">IF(S1251=Dashboard!$D$12,S1251,"")</f>
        <v/>
      </c>
      <c r="U1251" s="134" t="str">
        <f t="shared" ca="1" si="456"/>
        <v/>
      </c>
      <c r="V1251" s="83" t="str">
        <f ca="1">IF(U1251="","",IFERROR((RANK(U1251,$U$2:$U$2028,1)+COUNTIF($U$2:U1251,U1251))-1,""))</f>
        <v/>
      </c>
      <c r="W1251" s="134" t="str">
        <f t="shared" si="460"/>
        <v/>
      </c>
      <c r="X1251" s="134" t="str">
        <f>IF(W1251="","",IFERROR((RANK(W1251,$W$2:$W$2028,1)+COUNTIF($W$2:W1251,W1251))-1,""))</f>
        <v/>
      </c>
      <c r="Y1251" s="134" t="str">
        <f t="shared" si="457"/>
        <v/>
      </c>
      <c r="Z1251" s="134" t="str">
        <f>IF(Y1251="","",IFERROR((RANK(Y1251,$Y$2:$Y$2028,1)+COUNTIF($Y$2:Y1251,Y1251))-1,""))</f>
        <v/>
      </c>
      <c r="AA1251" s="134" t="str">
        <f t="shared" si="458"/>
        <v/>
      </c>
      <c r="AB1251" s="134" t="str">
        <f>IF(AA1251="","",IFERROR((RANK(AA1251,$AA$2:$AA$2028,1)+COUNTIF($AA$2:AA1251,AA1251))-1,""))</f>
        <v/>
      </c>
      <c r="AC1251" s="134" t="str">
        <f t="shared" si="459"/>
        <v/>
      </c>
      <c r="AD1251" s="134" t="str">
        <f>IF(AC1251="","",IFERROR((RANK(AC1251,$AC$2:$AC$2028,1)+COUNTIF($AC$2:AC1251,AC1251))-1,""))</f>
        <v/>
      </c>
      <c r="AE1251" s="144" t="str">
        <f t="shared" si="451"/>
        <v/>
      </c>
      <c r="AF1251" s="144" t="str">
        <f>IF(AE1251="","",SUM($AE$2:AE1251))</f>
        <v/>
      </c>
    </row>
    <row r="1252" spans="14:32" x14ac:dyDescent="0.35">
      <c r="N1252" s="134" t="str">
        <f t="shared" si="449"/>
        <v/>
      </c>
      <c r="O1252" s="82" t="str">
        <f t="shared" si="452"/>
        <v/>
      </c>
      <c r="P1252" s="81" t="str">
        <f t="shared" si="450"/>
        <v/>
      </c>
      <c r="Q1252" s="81" t="str">
        <f t="shared" si="453"/>
        <v/>
      </c>
      <c r="R1252" s="135" t="str">
        <f t="shared" ca="1" si="454"/>
        <v/>
      </c>
      <c r="S1252" s="134" t="str">
        <f t="shared" ca="1" si="455"/>
        <v/>
      </c>
      <c r="T1252" s="134" t="str">
        <f ca="1">IF(S1252=Dashboard!$D$12,S1252,"")</f>
        <v/>
      </c>
      <c r="U1252" s="134" t="str">
        <f t="shared" ca="1" si="456"/>
        <v/>
      </c>
      <c r="V1252" s="83" t="str">
        <f ca="1">IF(U1252="","",IFERROR((RANK(U1252,$U$2:$U$2028,1)+COUNTIF($U$2:U1252,U1252))-1,""))</f>
        <v/>
      </c>
      <c r="W1252" s="134" t="str">
        <f t="shared" si="460"/>
        <v/>
      </c>
      <c r="X1252" s="134" t="str">
        <f>IF(W1252="","",IFERROR((RANK(W1252,$W$2:$W$2028,1)+COUNTIF($W$2:W1252,W1252))-1,""))</f>
        <v/>
      </c>
      <c r="Y1252" s="134" t="str">
        <f t="shared" si="457"/>
        <v/>
      </c>
      <c r="Z1252" s="134" t="str">
        <f>IF(Y1252="","",IFERROR((RANK(Y1252,$Y$2:$Y$2028,1)+COUNTIF($Y$2:Y1252,Y1252))-1,""))</f>
        <v/>
      </c>
      <c r="AA1252" s="134" t="str">
        <f t="shared" si="458"/>
        <v/>
      </c>
      <c r="AB1252" s="134" t="str">
        <f>IF(AA1252="","",IFERROR((RANK(AA1252,$AA$2:$AA$2028,1)+COUNTIF($AA$2:AA1252,AA1252))-1,""))</f>
        <v/>
      </c>
      <c r="AC1252" s="134" t="str">
        <f t="shared" si="459"/>
        <v/>
      </c>
      <c r="AD1252" s="134" t="str">
        <f>IF(AC1252="","",IFERROR((RANK(AC1252,$AC$2:$AC$2028,1)+COUNTIF($AC$2:AC1252,AC1252))-1,""))</f>
        <v/>
      </c>
      <c r="AE1252" s="144" t="str">
        <f t="shared" si="451"/>
        <v/>
      </c>
      <c r="AF1252" s="144" t="str">
        <f>IF(AE1252="","",SUM($AE$2:AE1252))</f>
        <v/>
      </c>
    </row>
    <row r="1253" spans="14:32" x14ac:dyDescent="0.35">
      <c r="N1253" s="134" t="str">
        <f t="shared" si="449"/>
        <v/>
      </c>
      <c r="O1253" s="82" t="str">
        <f t="shared" si="452"/>
        <v/>
      </c>
      <c r="P1253" s="81" t="str">
        <f t="shared" si="450"/>
        <v/>
      </c>
      <c r="Q1253" s="81" t="str">
        <f t="shared" si="453"/>
        <v/>
      </c>
      <c r="R1253" s="135" t="str">
        <f t="shared" ca="1" si="454"/>
        <v/>
      </c>
      <c r="S1253" s="134" t="str">
        <f t="shared" ca="1" si="455"/>
        <v/>
      </c>
      <c r="T1253" s="134" t="str">
        <f ca="1">IF(S1253=Dashboard!$D$12,S1253,"")</f>
        <v/>
      </c>
      <c r="U1253" s="134" t="str">
        <f t="shared" ca="1" si="456"/>
        <v/>
      </c>
      <c r="V1253" s="83" t="str">
        <f ca="1">IF(U1253="","",IFERROR((RANK(U1253,$U$2:$U$2028,1)+COUNTIF($U$2:U1253,U1253))-1,""))</f>
        <v/>
      </c>
      <c r="W1253" s="134" t="str">
        <f t="shared" si="460"/>
        <v/>
      </c>
      <c r="X1253" s="134" t="str">
        <f>IF(W1253="","",IFERROR((RANK(W1253,$W$2:$W$2028,1)+COUNTIF($W$2:W1253,W1253))-1,""))</f>
        <v/>
      </c>
      <c r="Y1253" s="134" t="str">
        <f t="shared" si="457"/>
        <v/>
      </c>
      <c r="Z1253" s="134" t="str">
        <f>IF(Y1253="","",IFERROR((RANK(Y1253,$Y$2:$Y$2028,1)+COUNTIF($Y$2:Y1253,Y1253))-1,""))</f>
        <v/>
      </c>
      <c r="AA1253" s="134" t="str">
        <f t="shared" si="458"/>
        <v/>
      </c>
      <c r="AB1253" s="134" t="str">
        <f>IF(AA1253="","",IFERROR((RANK(AA1253,$AA$2:$AA$2028,1)+COUNTIF($AA$2:AA1253,AA1253))-1,""))</f>
        <v/>
      </c>
      <c r="AC1253" s="134" t="str">
        <f t="shared" si="459"/>
        <v/>
      </c>
      <c r="AD1253" s="134" t="str">
        <f>IF(AC1253="","",IFERROR((RANK(AC1253,$AC$2:$AC$2028,1)+COUNTIF($AC$2:AC1253,AC1253))-1,""))</f>
        <v/>
      </c>
      <c r="AE1253" s="144" t="str">
        <f t="shared" si="451"/>
        <v/>
      </c>
      <c r="AF1253" s="144" t="str">
        <f>IF(AE1253="","",SUM($AE$2:AE1253))</f>
        <v/>
      </c>
    </row>
    <row r="1254" spans="14:32" x14ac:dyDescent="0.35">
      <c r="N1254" s="134" t="str">
        <f t="shared" si="449"/>
        <v/>
      </c>
      <c r="O1254" s="82" t="str">
        <f t="shared" si="452"/>
        <v/>
      </c>
      <c r="P1254" s="81" t="str">
        <f t="shared" si="450"/>
        <v/>
      </c>
      <c r="Q1254" s="81" t="str">
        <f t="shared" si="453"/>
        <v/>
      </c>
      <c r="R1254" s="135" t="str">
        <f t="shared" ca="1" si="454"/>
        <v/>
      </c>
      <c r="S1254" s="134" t="str">
        <f t="shared" ca="1" si="455"/>
        <v/>
      </c>
      <c r="T1254" s="134" t="str">
        <f ca="1">IF(S1254=Dashboard!$D$12,S1254,"")</f>
        <v/>
      </c>
      <c r="U1254" s="134" t="str">
        <f t="shared" ca="1" si="456"/>
        <v/>
      </c>
      <c r="V1254" s="83" t="str">
        <f ca="1">IF(U1254="","",IFERROR((RANK(U1254,$U$2:$U$2028,1)+COUNTIF($U$2:U1254,U1254))-1,""))</f>
        <v/>
      </c>
      <c r="W1254" s="134" t="str">
        <f t="shared" si="460"/>
        <v/>
      </c>
      <c r="X1254" s="134" t="str">
        <f>IF(W1254="","",IFERROR((RANK(W1254,$W$2:$W$2028,1)+COUNTIF($W$2:W1254,W1254))-1,""))</f>
        <v/>
      </c>
      <c r="Y1254" s="134" t="str">
        <f t="shared" si="457"/>
        <v/>
      </c>
      <c r="Z1254" s="134" t="str">
        <f>IF(Y1254="","",IFERROR((RANK(Y1254,$Y$2:$Y$2028,1)+COUNTIF($Y$2:Y1254,Y1254))-1,""))</f>
        <v/>
      </c>
      <c r="AA1254" s="134" t="str">
        <f t="shared" si="458"/>
        <v/>
      </c>
      <c r="AB1254" s="134" t="str">
        <f>IF(AA1254="","",IFERROR((RANK(AA1254,$AA$2:$AA$2028,1)+COUNTIF($AA$2:AA1254,AA1254))-1,""))</f>
        <v/>
      </c>
      <c r="AC1254" s="134" t="str">
        <f t="shared" si="459"/>
        <v/>
      </c>
      <c r="AD1254" s="134" t="str">
        <f>IF(AC1254="","",IFERROR((RANK(AC1254,$AC$2:$AC$2028,1)+COUNTIF($AC$2:AC1254,AC1254))-1,""))</f>
        <v/>
      </c>
      <c r="AE1254" s="144" t="str">
        <f t="shared" si="451"/>
        <v/>
      </c>
      <c r="AF1254" s="144" t="str">
        <f>IF(AE1254="","",SUM($AE$2:AE1254))</f>
        <v/>
      </c>
    </row>
    <row r="1255" spans="14:32" x14ac:dyDescent="0.35">
      <c r="N1255" s="134" t="str">
        <f t="shared" si="449"/>
        <v/>
      </c>
      <c r="O1255" s="82" t="str">
        <f t="shared" si="452"/>
        <v/>
      </c>
      <c r="P1255" s="81" t="str">
        <f t="shared" si="450"/>
        <v/>
      </c>
      <c r="Q1255" s="81" t="str">
        <f t="shared" si="453"/>
        <v/>
      </c>
      <c r="R1255" s="135" t="str">
        <f t="shared" ca="1" si="454"/>
        <v/>
      </c>
      <c r="S1255" s="134" t="str">
        <f t="shared" ca="1" si="455"/>
        <v/>
      </c>
      <c r="T1255" s="134" t="str">
        <f ca="1">IF(S1255=Dashboard!$D$12,S1255,"")</f>
        <v/>
      </c>
      <c r="U1255" s="134" t="str">
        <f t="shared" ca="1" si="456"/>
        <v/>
      </c>
      <c r="V1255" s="83" t="str">
        <f ca="1">IF(U1255="","",IFERROR((RANK(U1255,$U$2:$U$2028,1)+COUNTIF($U$2:U1255,U1255))-1,""))</f>
        <v/>
      </c>
      <c r="W1255" s="134" t="str">
        <f t="shared" si="460"/>
        <v/>
      </c>
      <c r="X1255" s="134" t="str">
        <f>IF(W1255="","",IFERROR((RANK(W1255,$W$2:$W$2028,1)+COUNTIF($W$2:W1255,W1255))-1,""))</f>
        <v/>
      </c>
      <c r="Y1255" s="134" t="str">
        <f t="shared" si="457"/>
        <v/>
      </c>
      <c r="Z1255" s="134" t="str">
        <f>IF(Y1255="","",IFERROR((RANK(Y1255,$Y$2:$Y$2028,1)+COUNTIF($Y$2:Y1255,Y1255))-1,""))</f>
        <v/>
      </c>
      <c r="AA1255" s="134" t="str">
        <f t="shared" si="458"/>
        <v/>
      </c>
      <c r="AB1255" s="134" t="str">
        <f>IF(AA1255="","",IFERROR((RANK(AA1255,$AA$2:$AA$2028,1)+COUNTIF($AA$2:AA1255,AA1255))-1,""))</f>
        <v/>
      </c>
      <c r="AC1255" s="134" t="str">
        <f t="shared" si="459"/>
        <v/>
      </c>
      <c r="AD1255" s="134" t="str">
        <f>IF(AC1255="","",IFERROR((RANK(AC1255,$AC$2:$AC$2028,1)+COUNTIF($AC$2:AC1255,AC1255))-1,""))</f>
        <v/>
      </c>
      <c r="AE1255" s="144" t="str">
        <f t="shared" si="451"/>
        <v/>
      </c>
      <c r="AF1255" s="144" t="str">
        <f>IF(AE1255="","",SUM($AE$2:AE1255))</f>
        <v/>
      </c>
    </row>
    <row r="1256" spans="14:32" x14ac:dyDescent="0.35">
      <c r="N1256" s="134" t="str">
        <f t="shared" si="449"/>
        <v/>
      </c>
      <c r="O1256" s="82" t="str">
        <f t="shared" si="452"/>
        <v/>
      </c>
      <c r="P1256" s="81" t="str">
        <f t="shared" si="450"/>
        <v/>
      </c>
      <c r="Q1256" s="81" t="str">
        <f t="shared" si="453"/>
        <v/>
      </c>
      <c r="R1256" s="135" t="str">
        <f t="shared" ca="1" si="454"/>
        <v/>
      </c>
      <c r="S1256" s="134" t="str">
        <f t="shared" ca="1" si="455"/>
        <v/>
      </c>
      <c r="T1256" s="134" t="str">
        <f ca="1">IF(S1256=Dashboard!$D$12,S1256,"")</f>
        <v/>
      </c>
      <c r="U1256" s="134" t="str">
        <f t="shared" ca="1" si="456"/>
        <v/>
      </c>
      <c r="V1256" s="83" t="str">
        <f ca="1">IF(U1256="","",IFERROR((RANK(U1256,$U$2:$U$2028,1)+COUNTIF($U$2:U1256,U1256))-1,""))</f>
        <v/>
      </c>
      <c r="W1256" s="134" t="str">
        <f t="shared" si="460"/>
        <v/>
      </c>
      <c r="X1256" s="134" t="str">
        <f>IF(W1256="","",IFERROR((RANK(W1256,$W$2:$W$2028,1)+COUNTIF($W$2:W1256,W1256))-1,""))</f>
        <v/>
      </c>
      <c r="Y1256" s="134" t="str">
        <f t="shared" si="457"/>
        <v/>
      </c>
      <c r="Z1256" s="134" t="str">
        <f>IF(Y1256="","",IFERROR((RANK(Y1256,$Y$2:$Y$2028,1)+COUNTIF($Y$2:Y1256,Y1256))-1,""))</f>
        <v/>
      </c>
      <c r="AA1256" s="134" t="str">
        <f t="shared" si="458"/>
        <v/>
      </c>
      <c r="AB1256" s="134" t="str">
        <f>IF(AA1256="","",IFERROR((RANK(AA1256,$AA$2:$AA$2028,1)+COUNTIF($AA$2:AA1256,AA1256))-1,""))</f>
        <v/>
      </c>
      <c r="AC1256" s="134" t="str">
        <f t="shared" si="459"/>
        <v/>
      </c>
      <c r="AD1256" s="134" t="str">
        <f>IF(AC1256="","",IFERROR((RANK(AC1256,$AC$2:$AC$2028,1)+COUNTIF($AC$2:AC1256,AC1256))-1,""))</f>
        <v/>
      </c>
      <c r="AE1256" s="144" t="str">
        <f t="shared" si="451"/>
        <v/>
      </c>
      <c r="AF1256" s="144" t="str">
        <f>IF(AE1256="","",SUM($AE$2:AE1256))</f>
        <v/>
      </c>
    </row>
    <row r="1257" spans="14:32" x14ac:dyDescent="0.35">
      <c r="N1257" s="134" t="str">
        <f t="shared" si="449"/>
        <v/>
      </c>
      <c r="O1257" s="82" t="str">
        <f t="shared" si="452"/>
        <v/>
      </c>
      <c r="P1257" s="81" t="str">
        <f t="shared" si="450"/>
        <v/>
      </c>
      <c r="Q1257" s="81" t="str">
        <f t="shared" si="453"/>
        <v/>
      </c>
      <c r="R1257" s="135" t="str">
        <f t="shared" ca="1" si="454"/>
        <v/>
      </c>
      <c r="S1257" s="134" t="str">
        <f t="shared" ca="1" si="455"/>
        <v/>
      </c>
      <c r="T1257" s="134" t="str">
        <f ca="1">IF(S1257=Dashboard!$D$12,S1257,"")</f>
        <v/>
      </c>
      <c r="U1257" s="134" t="str">
        <f t="shared" ca="1" si="456"/>
        <v/>
      </c>
      <c r="V1257" s="83" t="str">
        <f ca="1">IF(U1257="","",IFERROR((RANK(U1257,$U$2:$U$2028,1)+COUNTIF($U$2:U1257,U1257))-1,""))</f>
        <v/>
      </c>
      <c r="W1257" s="134" t="str">
        <f t="shared" si="460"/>
        <v/>
      </c>
      <c r="X1257" s="134" t="str">
        <f>IF(W1257="","",IFERROR((RANK(W1257,$W$2:$W$2028,1)+COUNTIF($W$2:W1257,W1257))-1,""))</f>
        <v/>
      </c>
      <c r="Y1257" s="134" t="str">
        <f t="shared" si="457"/>
        <v/>
      </c>
      <c r="Z1257" s="134" t="str">
        <f>IF(Y1257="","",IFERROR((RANK(Y1257,$Y$2:$Y$2028,1)+COUNTIF($Y$2:Y1257,Y1257))-1,""))</f>
        <v/>
      </c>
      <c r="AA1257" s="134" t="str">
        <f t="shared" si="458"/>
        <v/>
      </c>
      <c r="AB1257" s="134" t="str">
        <f>IF(AA1257="","",IFERROR((RANK(AA1257,$AA$2:$AA$2028,1)+COUNTIF($AA$2:AA1257,AA1257))-1,""))</f>
        <v/>
      </c>
      <c r="AC1257" s="134" t="str">
        <f t="shared" si="459"/>
        <v/>
      </c>
      <c r="AD1257" s="134" t="str">
        <f>IF(AC1257="","",IFERROR((RANK(AC1257,$AC$2:$AC$2028,1)+COUNTIF($AC$2:AC1257,AC1257))-1,""))</f>
        <v/>
      </c>
      <c r="AE1257" s="144" t="str">
        <f t="shared" si="451"/>
        <v/>
      </c>
      <c r="AF1257" s="144" t="str">
        <f>IF(AE1257="","",SUM($AE$2:AE1257))</f>
        <v/>
      </c>
    </row>
    <row r="1258" spans="14:32" x14ac:dyDescent="0.35">
      <c r="N1258" s="134" t="str">
        <f t="shared" si="449"/>
        <v/>
      </c>
      <c r="O1258" s="82" t="str">
        <f t="shared" si="452"/>
        <v/>
      </c>
      <c r="P1258" s="81" t="str">
        <f t="shared" si="450"/>
        <v/>
      </c>
      <c r="Q1258" s="81" t="str">
        <f t="shared" si="453"/>
        <v/>
      </c>
      <c r="R1258" s="135" t="str">
        <f t="shared" ca="1" si="454"/>
        <v/>
      </c>
      <c r="S1258" s="134" t="str">
        <f t="shared" ca="1" si="455"/>
        <v/>
      </c>
      <c r="T1258" s="134" t="str">
        <f ca="1">IF(S1258=Dashboard!$D$12,S1258,"")</f>
        <v/>
      </c>
      <c r="U1258" s="134" t="str">
        <f t="shared" ca="1" si="456"/>
        <v/>
      </c>
      <c r="V1258" s="83" t="str">
        <f ca="1">IF(U1258="","",IFERROR((RANK(U1258,$U$2:$U$2028,1)+COUNTIF($U$2:U1258,U1258))-1,""))</f>
        <v/>
      </c>
      <c r="W1258" s="134" t="str">
        <f t="shared" si="460"/>
        <v/>
      </c>
      <c r="X1258" s="134" t="str">
        <f>IF(W1258="","",IFERROR((RANK(W1258,$W$2:$W$2028,1)+COUNTIF($W$2:W1258,W1258))-1,""))</f>
        <v/>
      </c>
      <c r="Y1258" s="134" t="str">
        <f t="shared" si="457"/>
        <v/>
      </c>
      <c r="Z1258" s="134" t="str">
        <f>IF(Y1258="","",IFERROR((RANK(Y1258,$Y$2:$Y$2028,1)+COUNTIF($Y$2:Y1258,Y1258))-1,""))</f>
        <v/>
      </c>
      <c r="AA1258" s="134" t="str">
        <f t="shared" si="458"/>
        <v/>
      </c>
      <c r="AB1258" s="134" t="str">
        <f>IF(AA1258="","",IFERROR((RANK(AA1258,$AA$2:$AA$2028,1)+COUNTIF($AA$2:AA1258,AA1258))-1,""))</f>
        <v/>
      </c>
      <c r="AC1258" s="134" t="str">
        <f t="shared" si="459"/>
        <v/>
      </c>
      <c r="AD1258" s="134" t="str">
        <f>IF(AC1258="","",IFERROR((RANK(AC1258,$AC$2:$AC$2028,1)+COUNTIF($AC$2:AC1258,AC1258))-1,""))</f>
        <v/>
      </c>
      <c r="AE1258" s="144" t="str">
        <f t="shared" si="451"/>
        <v/>
      </c>
      <c r="AF1258" s="144" t="str">
        <f>IF(AE1258="","",SUM($AE$2:AE1258))</f>
        <v/>
      </c>
    </row>
    <row r="1259" spans="14:32" x14ac:dyDescent="0.35">
      <c r="N1259" s="134" t="str">
        <f t="shared" si="449"/>
        <v/>
      </c>
      <c r="O1259" s="82" t="str">
        <f t="shared" si="452"/>
        <v/>
      </c>
      <c r="P1259" s="81" t="str">
        <f t="shared" si="450"/>
        <v/>
      </c>
      <c r="Q1259" s="81" t="str">
        <f t="shared" si="453"/>
        <v/>
      </c>
      <c r="R1259" s="135" t="str">
        <f t="shared" ca="1" si="454"/>
        <v/>
      </c>
      <c r="S1259" s="134" t="str">
        <f t="shared" ca="1" si="455"/>
        <v/>
      </c>
      <c r="T1259" s="134" t="str">
        <f ca="1">IF(S1259=Dashboard!$D$12,S1259,"")</f>
        <v/>
      </c>
      <c r="U1259" s="134" t="str">
        <f t="shared" ca="1" si="456"/>
        <v/>
      </c>
      <c r="V1259" s="83" t="str">
        <f ca="1">IF(U1259="","",IFERROR((RANK(U1259,$U$2:$U$2028,1)+COUNTIF($U$2:U1259,U1259))-1,""))</f>
        <v/>
      </c>
      <c r="W1259" s="134" t="str">
        <f t="shared" si="460"/>
        <v/>
      </c>
      <c r="X1259" s="134" t="str">
        <f>IF(W1259="","",IFERROR((RANK(W1259,$W$2:$W$2028,1)+COUNTIF($W$2:W1259,W1259))-1,""))</f>
        <v/>
      </c>
      <c r="Y1259" s="134" t="str">
        <f t="shared" si="457"/>
        <v/>
      </c>
      <c r="Z1259" s="134" t="str">
        <f>IF(Y1259="","",IFERROR((RANK(Y1259,$Y$2:$Y$2028,1)+COUNTIF($Y$2:Y1259,Y1259))-1,""))</f>
        <v/>
      </c>
      <c r="AA1259" s="134" t="str">
        <f t="shared" si="458"/>
        <v/>
      </c>
      <c r="AB1259" s="134" t="str">
        <f>IF(AA1259="","",IFERROR((RANK(AA1259,$AA$2:$AA$2028,1)+COUNTIF($AA$2:AA1259,AA1259))-1,""))</f>
        <v/>
      </c>
      <c r="AC1259" s="134" t="str">
        <f t="shared" si="459"/>
        <v/>
      </c>
      <c r="AD1259" s="134" t="str">
        <f>IF(AC1259="","",IFERROR((RANK(AC1259,$AC$2:$AC$2028,1)+COUNTIF($AC$2:AC1259,AC1259))-1,""))</f>
        <v/>
      </c>
      <c r="AE1259" s="144" t="str">
        <f t="shared" si="451"/>
        <v/>
      </c>
      <c r="AF1259" s="144" t="str">
        <f>IF(AE1259="","",SUM($AE$2:AE1259))</f>
        <v/>
      </c>
    </row>
    <row r="1260" spans="14:32" x14ac:dyDescent="0.35">
      <c r="N1260" s="134" t="str">
        <f t="shared" si="449"/>
        <v/>
      </c>
      <c r="O1260" s="82" t="str">
        <f t="shared" si="452"/>
        <v/>
      </c>
      <c r="P1260" s="81" t="str">
        <f t="shared" si="450"/>
        <v/>
      </c>
      <c r="Q1260" s="81" t="str">
        <f t="shared" si="453"/>
        <v/>
      </c>
      <c r="R1260" s="135" t="str">
        <f t="shared" ca="1" si="454"/>
        <v/>
      </c>
      <c r="S1260" s="134" t="str">
        <f t="shared" ca="1" si="455"/>
        <v/>
      </c>
      <c r="T1260" s="134" t="str">
        <f ca="1">IF(S1260=Dashboard!$D$12,S1260,"")</f>
        <v/>
      </c>
      <c r="U1260" s="134" t="str">
        <f t="shared" ca="1" si="456"/>
        <v/>
      </c>
      <c r="V1260" s="83" t="str">
        <f ca="1">IF(U1260="","",IFERROR((RANK(U1260,$U$2:$U$2028,1)+COUNTIF($U$2:U1260,U1260))-1,""))</f>
        <v/>
      </c>
      <c r="W1260" s="134" t="str">
        <f t="shared" si="460"/>
        <v/>
      </c>
      <c r="X1260" s="134" t="str">
        <f>IF(W1260="","",IFERROR((RANK(W1260,$W$2:$W$2028,1)+COUNTIF($W$2:W1260,W1260))-1,""))</f>
        <v/>
      </c>
      <c r="Y1260" s="134" t="str">
        <f t="shared" si="457"/>
        <v/>
      </c>
      <c r="Z1260" s="134" t="str">
        <f>IF(Y1260="","",IFERROR((RANK(Y1260,$Y$2:$Y$2028,1)+COUNTIF($Y$2:Y1260,Y1260))-1,""))</f>
        <v/>
      </c>
      <c r="AA1260" s="134" t="str">
        <f t="shared" si="458"/>
        <v/>
      </c>
      <c r="AB1260" s="134" t="str">
        <f>IF(AA1260="","",IFERROR((RANK(AA1260,$AA$2:$AA$2028,1)+COUNTIF($AA$2:AA1260,AA1260))-1,""))</f>
        <v/>
      </c>
      <c r="AC1260" s="134" t="str">
        <f t="shared" si="459"/>
        <v/>
      </c>
      <c r="AD1260" s="134" t="str">
        <f>IF(AC1260="","",IFERROR((RANK(AC1260,$AC$2:$AC$2028,1)+COUNTIF($AC$2:AC1260,AC1260))-1,""))</f>
        <v/>
      </c>
      <c r="AE1260" s="144" t="str">
        <f t="shared" si="451"/>
        <v/>
      </c>
      <c r="AF1260" s="144" t="str">
        <f>IF(AE1260="","",SUM($AE$2:AE1260))</f>
        <v/>
      </c>
    </row>
    <row r="1261" spans="14:32" x14ac:dyDescent="0.35">
      <c r="N1261" s="134" t="str">
        <f t="shared" si="449"/>
        <v/>
      </c>
      <c r="O1261" s="82" t="str">
        <f t="shared" si="452"/>
        <v/>
      </c>
      <c r="P1261" s="81" t="str">
        <f t="shared" si="450"/>
        <v/>
      </c>
      <c r="Q1261" s="81" t="str">
        <f t="shared" si="453"/>
        <v/>
      </c>
      <c r="R1261" s="135" t="str">
        <f t="shared" ca="1" si="454"/>
        <v/>
      </c>
      <c r="S1261" s="134" t="str">
        <f t="shared" ca="1" si="455"/>
        <v/>
      </c>
      <c r="T1261" s="134" t="str">
        <f ca="1">IF(S1261=Dashboard!$D$12,S1261,"")</f>
        <v/>
      </c>
      <c r="U1261" s="134" t="str">
        <f t="shared" ca="1" si="456"/>
        <v/>
      </c>
      <c r="V1261" s="83" t="str">
        <f ca="1">IF(U1261="","",IFERROR((RANK(U1261,$U$2:$U$2028,1)+COUNTIF($U$2:U1261,U1261))-1,""))</f>
        <v/>
      </c>
      <c r="W1261" s="134" t="str">
        <f t="shared" si="460"/>
        <v/>
      </c>
      <c r="X1261" s="134" t="str">
        <f>IF(W1261="","",IFERROR((RANK(W1261,$W$2:$W$2028,1)+COUNTIF($W$2:W1261,W1261))-1,""))</f>
        <v/>
      </c>
      <c r="Y1261" s="134" t="str">
        <f t="shared" si="457"/>
        <v/>
      </c>
      <c r="Z1261" s="134" t="str">
        <f>IF(Y1261="","",IFERROR((RANK(Y1261,$Y$2:$Y$2028,1)+COUNTIF($Y$2:Y1261,Y1261))-1,""))</f>
        <v/>
      </c>
      <c r="AA1261" s="134" t="str">
        <f t="shared" si="458"/>
        <v/>
      </c>
      <c r="AB1261" s="134" t="str">
        <f>IF(AA1261="","",IFERROR((RANK(AA1261,$AA$2:$AA$2028,1)+COUNTIF($AA$2:AA1261,AA1261))-1,""))</f>
        <v/>
      </c>
      <c r="AC1261" s="134" t="str">
        <f t="shared" si="459"/>
        <v/>
      </c>
      <c r="AD1261" s="134" t="str">
        <f>IF(AC1261="","",IFERROR((RANK(AC1261,$AC$2:$AC$2028,1)+COUNTIF($AC$2:AC1261,AC1261))-1,""))</f>
        <v/>
      </c>
      <c r="AE1261" s="144" t="str">
        <f t="shared" si="451"/>
        <v/>
      </c>
      <c r="AF1261" s="144" t="str">
        <f>IF(AE1261="","",SUM($AE$2:AE1261))</f>
        <v/>
      </c>
    </row>
    <row r="1262" spans="14:32" x14ac:dyDescent="0.35">
      <c r="N1262" s="134" t="str">
        <f t="shared" si="449"/>
        <v/>
      </c>
      <c r="O1262" s="82" t="str">
        <f t="shared" si="452"/>
        <v/>
      </c>
      <c r="P1262" s="81" t="str">
        <f t="shared" si="450"/>
        <v/>
      </c>
      <c r="Q1262" s="81" t="str">
        <f t="shared" si="453"/>
        <v/>
      </c>
      <c r="R1262" s="135" t="str">
        <f t="shared" ca="1" si="454"/>
        <v/>
      </c>
      <c r="S1262" s="134" t="str">
        <f t="shared" ca="1" si="455"/>
        <v/>
      </c>
      <c r="T1262" s="134" t="str">
        <f ca="1">IF(S1262=Dashboard!$D$12,S1262,"")</f>
        <v/>
      </c>
      <c r="U1262" s="134" t="str">
        <f t="shared" ca="1" si="456"/>
        <v/>
      </c>
      <c r="V1262" s="83" t="str">
        <f ca="1">IF(U1262="","",IFERROR((RANK(U1262,$U$2:$U$2028,1)+COUNTIF($U$2:U1262,U1262))-1,""))</f>
        <v/>
      </c>
      <c r="W1262" s="134" t="str">
        <f t="shared" si="460"/>
        <v/>
      </c>
      <c r="X1262" s="134" t="str">
        <f>IF(W1262="","",IFERROR((RANK(W1262,$W$2:$W$2028,1)+COUNTIF($W$2:W1262,W1262))-1,""))</f>
        <v/>
      </c>
      <c r="Y1262" s="134" t="str">
        <f t="shared" si="457"/>
        <v/>
      </c>
      <c r="Z1262" s="134" t="str">
        <f>IF(Y1262="","",IFERROR((RANK(Y1262,$Y$2:$Y$2028,1)+COUNTIF($Y$2:Y1262,Y1262))-1,""))</f>
        <v/>
      </c>
      <c r="AA1262" s="134" t="str">
        <f t="shared" si="458"/>
        <v/>
      </c>
      <c r="AB1262" s="134" t="str">
        <f>IF(AA1262="","",IFERROR((RANK(AA1262,$AA$2:$AA$2028,1)+COUNTIF($AA$2:AA1262,AA1262))-1,""))</f>
        <v/>
      </c>
      <c r="AC1262" s="134" t="str">
        <f t="shared" si="459"/>
        <v/>
      </c>
      <c r="AD1262" s="134" t="str">
        <f>IF(AC1262="","",IFERROR((RANK(AC1262,$AC$2:$AC$2028,1)+COUNTIF($AC$2:AC1262,AC1262))-1,""))</f>
        <v/>
      </c>
      <c r="AE1262" s="144" t="str">
        <f t="shared" si="451"/>
        <v/>
      </c>
      <c r="AF1262" s="144" t="str">
        <f>IF(AE1262="","",SUM($AE$2:AE1262))</f>
        <v/>
      </c>
    </row>
    <row r="1263" spans="14:32" x14ac:dyDescent="0.35">
      <c r="N1263" s="134" t="str">
        <f t="shared" si="449"/>
        <v/>
      </c>
      <c r="O1263" s="82" t="str">
        <f t="shared" si="452"/>
        <v/>
      </c>
      <c r="P1263" s="81" t="str">
        <f t="shared" si="450"/>
        <v/>
      </c>
      <c r="Q1263" s="81" t="str">
        <f t="shared" si="453"/>
        <v/>
      </c>
      <c r="R1263" s="135" t="str">
        <f t="shared" ca="1" si="454"/>
        <v/>
      </c>
      <c r="S1263" s="134" t="str">
        <f t="shared" ca="1" si="455"/>
        <v/>
      </c>
      <c r="T1263" s="134" t="str">
        <f ca="1">IF(S1263=Dashboard!$D$12,S1263,"")</f>
        <v/>
      </c>
      <c r="U1263" s="134" t="str">
        <f t="shared" ca="1" si="456"/>
        <v/>
      </c>
      <c r="V1263" s="83" t="str">
        <f ca="1">IF(U1263="","",IFERROR((RANK(U1263,$U$2:$U$2028,1)+COUNTIF($U$2:U1263,U1263))-1,""))</f>
        <v/>
      </c>
      <c r="W1263" s="134" t="str">
        <f t="shared" si="460"/>
        <v/>
      </c>
      <c r="X1263" s="134" t="str">
        <f>IF(W1263="","",IFERROR((RANK(W1263,$W$2:$W$2028,1)+COUNTIF($W$2:W1263,W1263))-1,""))</f>
        <v/>
      </c>
      <c r="Y1263" s="134" t="str">
        <f t="shared" si="457"/>
        <v/>
      </c>
      <c r="Z1263" s="134" t="str">
        <f>IF(Y1263="","",IFERROR((RANK(Y1263,$Y$2:$Y$2028,1)+COUNTIF($Y$2:Y1263,Y1263))-1,""))</f>
        <v/>
      </c>
      <c r="AA1263" s="134" t="str">
        <f t="shared" si="458"/>
        <v/>
      </c>
      <c r="AB1263" s="134" t="str">
        <f>IF(AA1263="","",IFERROR((RANK(AA1263,$AA$2:$AA$2028,1)+COUNTIF($AA$2:AA1263,AA1263))-1,""))</f>
        <v/>
      </c>
      <c r="AC1263" s="134" t="str">
        <f t="shared" si="459"/>
        <v/>
      </c>
      <c r="AD1263" s="134" t="str">
        <f>IF(AC1263="","",IFERROR((RANK(AC1263,$AC$2:$AC$2028,1)+COUNTIF($AC$2:AC1263,AC1263))-1,""))</f>
        <v/>
      </c>
      <c r="AE1263" s="144" t="str">
        <f t="shared" si="451"/>
        <v/>
      </c>
      <c r="AF1263" s="144" t="str">
        <f>IF(AE1263="","",SUM($AE$2:AE1263))</f>
        <v/>
      </c>
    </row>
    <row r="1264" spans="14:32" x14ac:dyDescent="0.35">
      <c r="N1264" s="134" t="str">
        <f t="shared" si="449"/>
        <v/>
      </c>
      <c r="O1264" s="82" t="str">
        <f t="shared" si="452"/>
        <v/>
      </c>
      <c r="P1264" s="81" t="str">
        <f t="shared" si="450"/>
        <v/>
      </c>
      <c r="Q1264" s="81" t="str">
        <f t="shared" si="453"/>
        <v/>
      </c>
      <c r="R1264" s="135" t="str">
        <f t="shared" ca="1" si="454"/>
        <v/>
      </c>
      <c r="S1264" s="134" t="str">
        <f t="shared" ca="1" si="455"/>
        <v/>
      </c>
      <c r="T1264" s="134" t="str">
        <f ca="1">IF(S1264=Dashboard!$D$12,S1264,"")</f>
        <v/>
      </c>
      <c r="U1264" s="134" t="str">
        <f t="shared" ca="1" si="456"/>
        <v/>
      </c>
      <c r="V1264" s="83" t="str">
        <f ca="1">IF(U1264="","",IFERROR((RANK(U1264,$U$2:$U$2028,1)+COUNTIF($U$2:U1264,U1264))-1,""))</f>
        <v/>
      </c>
      <c r="W1264" s="134" t="str">
        <f t="shared" si="460"/>
        <v/>
      </c>
      <c r="X1264" s="134" t="str">
        <f>IF(W1264="","",IFERROR((RANK(W1264,$W$2:$W$2028,1)+COUNTIF($W$2:W1264,W1264))-1,""))</f>
        <v/>
      </c>
      <c r="Y1264" s="134" t="str">
        <f t="shared" si="457"/>
        <v/>
      </c>
      <c r="Z1264" s="134" t="str">
        <f>IF(Y1264="","",IFERROR((RANK(Y1264,$Y$2:$Y$2028,1)+COUNTIF($Y$2:Y1264,Y1264))-1,""))</f>
        <v/>
      </c>
      <c r="AA1264" s="134" t="str">
        <f t="shared" si="458"/>
        <v/>
      </c>
      <c r="AB1264" s="134" t="str">
        <f>IF(AA1264="","",IFERROR((RANK(AA1264,$AA$2:$AA$2028,1)+COUNTIF($AA$2:AA1264,AA1264))-1,""))</f>
        <v/>
      </c>
      <c r="AC1264" s="134" t="str">
        <f t="shared" si="459"/>
        <v/>
      </c>
      <c r="AD1264" s="134" t="str">
        <f>IF(AC1264="","",IFERROR((RANK(AC1264,$AC$2:$AC$2028,1)+COUNTIF($AC$2:AC1264,AC1264))-1,""))</f>
        <v/>
      </c>
      <c r="AE1264" s="144" t="str">
        <f t="shared" si="451"/>
        <v/>
      </c>
      <c r="AF1264" s="144" t="str">
        <f>IF(AE1264="","",SUM($AE$2:AE1264))</f>
        <v/>
      </c>
    </row>
    <row r="1265" spans="14:32" x14ac:dyDescent="0.35">
      <c r="N1265" s="134" t="str">
        <f t="shared" si="449"/>
        <v/>
      </c>
      <c r="O1265" s="82" t="str">
        <f t="shared" si="452"/>
        <v/>
      </c>
      <c r="P1265" s="81" t="str">
        <f t="shared" si="450"/>
        <v/>
      </c>
      <c r="Q1265" s="81" t="str">
        <f t="shared" si="453"/>
        <v/>
      </c>
      <c r="R1265" s="135" t="str">
        <f t="shared" ca="1" si="454"/>
        <v/>
      </c>
      <c r="S1265" s="134" t="str">
        <f t="shared" ca="1" si="455"/>
        <v/>
      </c>
      <c r="T1265" s="134" t="str">
        <f ca="1">IF(S1265=Dashboard!$D$12,S1265,"")</f>
        <v/>
      </c>
      <c r="U1265" s="134" t="str">
        <f t="shared" ca="1" si="456"/>
        <v/>
      </c>
      <c r="V1265" s="83" t="str">
        <f ca="1">IF(U1265="","",IFERROR((RANK(U1265,$U$2:$U$2028,1)+COUNTIF($U$2:U1265,U1265))-1,""))</f>
        <v/>
      </c>
      <c r="W1265" s="134" t="str">
        <f t="shared" si="460"/>
        <v/>
      </c>
      <c r="X1265" s="134" t="str">
        <f>IF(W1265="","",IFERROR((RANK(W1265,$W$2:$W$2028,1)+COUNTIF($W$2:W1265,W1265))-1,""))</f>
        <v/>
      </c>
      <c r="Y1265" s="134" t="str">
        <f t="shared" si="457"/>
        <v/>
      </c>
      <c r="Z1265" s="134" t="str">
        <f>IF(Y1265="","",IFERROR((RANK(Y1265,$Y$2:$Y$2028,1)+COUNTIF($Y$2:Y1265,Y1265))-1,""))</f>
        <v/>
      </c>
      <c r="AA1265" s="134" t="str">
        <f t="shared" si="458"/>
        <v/>
      </c>
      <c r="AB1265" s="134" t="str">
        <f>IF(AA1265="","",IFERROR((RANK(AA1265,$AA$2:$AA$2028,1)+COUNTIF($AA$2:AA1265,AA1265))-1,""))</f>
        <v/>
      </c>
      <c r="AC1265" s="134" t="str">
        <f t="shared" si="459"/>
        <v/>
      </c>
      <c r="AD1265" s="134" t="str">
        <f>IF(AC1265="","",IFERROR((RANK(AC1265,$AC$2:$AC$2028,1)+COUNTIF($AC$2:AC1265,AC1265))-1,""))</f>
        <v/>
      </c>
      <c r="AE1265" s="144" t="str">
        <f t="shared" si="451"/>
        <v/>
      </c>
      <c r="AF1265" s="144" t="str">
        <f>IF(AE1265="","",SUM($AE$2:AE1265))</f>
        <v/>
      </c>
    </row>
    <row r="1266" spans="14:32" x14ac:dyDescent="0.35">
      <c r="N1266" s="134" t="str">
        <f t="shared" si="449"/>
        <v/>
      </c>
      <c r="O1266" s="82" t="str">
        <f t="shared" si="452"/>
        <v/>
      </c>
      <c r="P1266" s="81" t="str">
        <f t="shared" si="450"/>
        <v/>
      </c>
      <c r="Q1266" s="81" t="str">
        <f t="shared" si="453"/>
        <v/>
      </c>
      <c r="R1266" s="135" t="str">
        <f t="shared" ca="1" si="454"/>
        <v/>
      </c>
      <c r="S1266" s="134" t="str">
        <f t="shared" ca="1" si="455"/>
        <v/>
      </c>
      <c r="T1266" s="134" t="str">
        <f ca="1">IF(S1266=Dashboard!$D$12,S1266,"")</f>
        <v/>
      </c>
      <c r="U1266" s="134" t="str">
        <f t="shared" ca="1" si="456"/>
        <v/>
      </c>
      <c r="V1266" s="83" t="str">
        <f ca="1">IF(U1266="","",IFERROR((RANK(U1266,$U$2:$U$2028,1)+COUNTIF($U$2:U1266,U1266))-1,""))</f>
        <v/>
      </c>
      <c r="W1266" s="134" t="str">
        <f t="shared" si="460"/>
        <v/>
      </c>
      <c r="X1266" s="134" t="str">
        <f>IF(W1266="","",IFERROR((RANK(W1266,$W$2:$W$2028,1)+COUNTIF($W$2:W1266,W1266))-1,""))</f>
        <v/>
      </c>
      <c r="Y1266" s="134" t="str">
        <f t="shared" si="457"/>
        <v/>
      </c>
      <c r="Z1266" s="134" t="str">
        <f>IF(Y1266="","",IFERROR((RANK(Y1266,$Y$2:$Y$2028,1)+COUNTIF($Y$2:Y1266,Y1266))-1,""))</f>
        <v/>
      </c>
      <c r="AA1266" s="134" t="str">
        <f t="shared" si="458"/>
        <v/>
      </c>
      <c r="AB1266" s="134" t="str">
        <f>IF(AA1266="","",IFERROR((RANK(AA1266,$AA$2:$AA$2028,1)+COUNTIF($AA$2:AA1266,AA1266))-1,""))</f>
        <v/>
      </c>
      <c r="AC1266" s="134" t="str">
        <f t="shared" si="459"/>
        <v/>
      </c>
      <c r="AD1266" s="134" t="str">
        <f>IF(AC1266="","",IFERROR((RANK(AC1266,$AC$2:$AC$2028,1)+COUNTIF($AC$2:AC1266,AC1266))-1,""))</f>
        <v/>
      </c>
      <c r="AE1266" s="144" t="str">
        <f t="shared" si="451"/>
        <v/>
      </c>
      <c r="AF1266" s="144" t="str">
        <f>IF(AE1266="","",SUM($AE$2:AE1266))</f>
        <v/>
      </c>
    </row>
    <row r="1267" spans="14:32" x14ac:dyDescent="0.35">
      <c r="N1267" s="134" t="str">
        <f t="shared" si="449"/>
        <v/>
      </c>
      <c r="O1267" s="82" t="str">
        <f t="shared" si="452"/>
        <v/>
      </c>
      <c r="P1267" s="81" t="str">
        <f t="shared" si="450"/>
        <v/>
      </c>
      <c r="Q1267" s="81" t="str">
        <f t="shared" si="453"/>
        <v/>
      </c>
      <c r="R1267" s="135" t="str">
        <f t="shared" ca="1" si="454"/>
        <v/>
      </c>
      <c r="S1267" s="134" t="str">
        <f t="shared" ca="1" si="455"/>
        <v/>
      </c>
      <c r="T1267" s="134" t="str">
        <f ca="1">IF(S1267=Dashboard!$D$12,S1267,"")</f>
        <v/>
      </c>
      <c r="U1267" s="134" t="str">
        <f t="shared" ca="1" si="456"/>
        <v/>
      </c>
      <c r="V1267" s="83" t="str">
        <f ca="1">IF(U1267="","",IFERROR((RANK(U1267,$U$2:$U$2028,1)+COUNTIF($U$2:U1267,U1267))-1,""))</f>
        <v/>
      </c>
      <c r="W1267" s="134" t="str">
        <f t="shared" si="460"/>
        <v/>
      </c>
      <c r="X1267" s="134" t="str">
        <f>IF(W1267="","",IFERROR((RANK(W1267,$W$2:$W$2028,1)+COUNTIF($W$2:W1267,W1267))-1,""))</f>
        <v/>
      </c>
      <c r="Y1267" s="134" t="str">
        <f t="shared" si="457"/>
        <v/>
      </c>
      <c r="Z1267" s="134" t="str">
        <f>IF(Y1267="","",IFERROR((RANK(Y1267,$Y$2:$Y$2028,1)+COUNTIF($Y$2:Y1267,Y1267))-1,""))</f>
        <v/>
      </c>
      <c r="AA1267" s="134" t="str">
        <f t="shared" si="458"/>
        <v/>
      </c>
      <c r="AB1267" s="134" t="str">
        <f>IF(AA1267="","",IFERROR((RANK(AA1267,$AA$2:$AA$2028,1)+COUNTIF($AA$2:AA1267,AA1267))-1,""))</f>
        <v/>
      </c>
      <c r="AC1267" s="134" t="str">
        <f t="shared" si="459"/>
        <v/>
      </c>
      <c r="AD1267" s="134" t="str">
        <f>IF(AC1267="","",IFERROR((RANK(AC1267,$AC$2:$AC$2028,1)+COUNTIF($AC$2:AC1267,AC1267))-1,""))</f>
        <v/>
      </c>
      <c r="AE1267" s="144" t="str">
        <f t="shared" si="451"/>
        <v/>
      </c>
      <c r="AF1267" s="144" t="str">
        <f>IF(AE1267="","",SUM($AE$2:AE1267))</f>
        <v/>
      </c>
    </row>
    <row r="1268" spans="14:32" x14ac:dyDescent="0.35">
      <c r="N1268" s="134" t="str">
        <f t="shared" si="449"/>
        <v/>
      </c>
      <c r="O1268" s="82" t="str">
        <f t="shared" si="452"/>
        <v/>
      </c>
      <c r="P1268" s="81" t="str">
        <f t="shared" si="450"/>
        <v/>
      </c>
      <c r="Q1268" s="81" t="str">
        <f t="shared" si="453"/>
        <v/>
      </c>
      <c r="R1268" s="135" t="str">
        <f t="shared" ca="1" si="454"/>
        <v/>
      </c>
      <c r="S1268" s="134" t="str">
        <f t="shared" ca="1" si="455"/>
        <v/>
      </c>
      <c r="T1268" s="134" t="str">
        <f ca="1">IF(S1268=Dashboard!$D$12,S1268,"")</f>
        <v/>
      </c>
      <c r="U1268" s="134" t="str">
        <f t="shared" ca="1" si="456"/>
        <v/>
      </c>
      <c r="V1268" s="83" t="str">
        <f ca="1">IF(U1268="","",IFERROR((RANK(U1268,$U$2:$U$2028,1)+COUNTIF($U$2:U1268,U1268))-1,""))</f>
        <v/>
      </c>
      <c r="W1268" s="134" t="str">
        <f t="shared" si="460"/>
        <v/>
      </c>
      <c r="X1268" s="134" t="str">
        <f>IF(W1268="","",IFERROR((RANK(W1268,$W$2:$W$2028,1)+COUNTIF($W$2:W1268,W1268))-1,""))</f>
        <v/>
      </c>
      <c r="Y1268" s="134" t="str">
        <f t="shared" si="457"/>
        <v/>
      </c>
      <c r="Z1268" s="134" t="str">
        <f>IF(Y1268="","",IFERROR((RANK(Y1268,$Y$2:$Y$2028,1)+COUNTIF($Y$2:Y1268,Y1268))-1,""))</f>
        <v/>
      </c>
      <c r="AA1268" s="134" t="str">
        <f t="shared" si="458"/>
        <v/>
      </c>
      <c r="AB1268" s="134" t="str">
        <f>IF(AA1268="","",IFERROR((RANK(AA1268,$AA$2:$AA$2028,1)+COUNTIF($AA$2:AA1268,AA1268))-1,""))</f>
        <v/>
      </c>
      <c r="AC1268" s="134" t="str">
        <f t="shared" si="459"/>
        <v/>
      </c>
      <c r="AD1268" s="134" t="str">
        <f>IF(AC1268="","",IFERROR((RANK(AC1268,$AC$2:$AC$2028,1)+COUNTIF($AC$2:AC1268,AC1268))-1,""))</f>
        <v/>
      </c>
      <c r="AE1268" s="144" t="str">
        <f t="shared" si="451"/>
        <v/>
      </c>
      <c r="AF1268" s="144" t="str">
        <f>IF(AE1268="","",SUM($AE$2:AE1268))</f>
        <v/>
      </c>
    </row>
    <row r="1269" spans="14:32" x14ac:dyDescent="0.35">
      <c r="N1269" s="134" t="str">
        <f t="shared" si="449"/>
        <v/>
      </c>
      <c r="O1269" s="82" t="str">
        <f t="shared" si="452"/>
        <v/>
      </c>
      <c r="P1269" s="81" t="str">
        <f t="shared" si="450"/>
        <v/>
      </c>
      <c r="Q1269" s="81" t="str">
        <f t="shared" si="453"/>
        <v/>
      </c>
      <c r="R1269" s="135" t="str">
        <f t="shared" ca="1" si="454"/>
        <v/>
      </c>
      <c r="S1269" s="134" t="str">
        <f t="shared" ca="1" si="455"/>
        <v/>
      </c>
      <c r="T1269" s="134" t="str">
        <f ca="1">IF(S1269=Dashboard!$D$12,S1269,"")</f>
        <v/>
      </c>
      <c r="U1269" s="134" t="str">
        <f t="shared" ca="1" si="456"/>
        <v/>
      </c>
      <c r="V1269" s="83" t="str">
        <f ca="1">IF(U1269="","",IFERROR((RANK(U1269,$U$2:$U$2028,1)+COUNTIF($U$2:U1269,U1269))-1,""))</f>
        <v/>
      </c>
      <c r="W1269" s="134" t="str">
        <f t="shared" si="460"/>
        <v/>
      </c>
      <c r="X1269" s="134" t="str">
        <f>IF(W1269="","",IFERROR((RANK(W1269,$W$2:$W$2028,1)+COUNTIF($W$2:W1269,W1269))-1,""))</f>
        <v/>
      </c>
      <c r="Y1269" s="134" t="str">
        <f t="shared" si="457"/>
        <v/>
      </c>
      <c r="Z1269" s="134" t="str">
        <f>IF(Y1269="","",IFERROR((RANK(Y1269,$Y$2:$Y$2028,1)+COUNTIF($Y$2:Y1269,Y1269))-1,""))</f>
        <v/>
      </c>
      <c r="AA1269" s="134" t="str">
        <f t="shared" si="458"/>
        <v/>
      </c>
      <c r="AB1269" s="134" t="str">
        <f>IF(AA1269="","",IFERROR((RANK(AA1269,$AA$2:$AA$2028,1)+COUNTIF($AA$2:AA1269,AA1269))-1,""))</f>
        <v/>
      </c>
      <c r="AC1269" s="134" t="str">
        <f t="shared" si="459"/>
        <v/>
      </c>
      <c r="AD1269" s="134" t="str">
        <f>IF(AC1269="","",IFERROR((RANK(AC1269,$AC$2:$AC$2028,1)+COUNTIF($AC$2:AC1269,AC1269))-1,""))</f>
        <v/>
      </c>
      <c r="AE1269" s="144" t="str">
        <f t="shared" si="451"/>
        <v/>
      </c>
      <c r="AF1269" s="144" t="str">
        <f>IF(AE1269="","",SUM($AE$2:AE1269))</f>
        <v/>
      </c>
    </row>
    <row r="1270" spans="14:32" x14ac:dyDescent="0.35">
      <c r="N1270" s="134" t="str">
        <f t="shared" si="449"/>
        <v/>
      </c>
      <c r="O1270" s="82" t="str">
        <f t="shared" si="452"/>
        <v/>
      </c>
      <c r="P1270" s="81" t="str">
        <f t="shared" si="450"/>
        <v/>
      </c>
      <c r="Q1270" s="81" t="str">
        <f t="shared" si="453"/>
        <v/>
      </c>
      <c r="R1270" s="135" t="str">
        <f t="shared" ca="1" si="454"/>
        <v/>
      </c>
      <c r="S1270" s="134" t="str">
        <f t="shared" ca="1" si="455"/>
        <v/>
      </c>
      <c r="T1270" s="134" t="str">
        <f ca="1">IF(S1270=Dashboard!$D$12,S1270,"")</f>
        <v/>
      </c>
      <c r="U1270" s="134" t="str">
        <f t="shared" ca="1" si="456"/>
        <v/>
      </c>
      <c r="V1270" s="83" t="str">
        <f ca="1">IF(U1270="","",IFERROR((RANK(U1270,$U$2:$U$2028,1)+COUNTIF($U$2:U1270,U1270))-1,""))</f>
        <v/>
      </c>
      <c r="W1270" s="134" t="str">
        <f t="shared" si="460"/>
        <v/>
      </c>
      <c r="X1270" s="134" t="str">
        <f>IF(W1270="","",IFERROR((RANK(W1270,$W$2:$W$2028,1)+COUNTIF($W$2:W1270,W1270))-1,""))</f>
        <v/>
      </c>
      <c r="Y1270" s="134" t="str">
        <f t="shared" si="457"/>
        <v/>
      </c>
      <c r="Z1270" s="134" t="str">
        <f>IF(Y1270="","",IFERROR((RANK(Y1270,$Y$2:$Y$2028,1)+COUNTIF($Y$2:Y1270,Y1270))-1,""))</f>
        <v/>
      </c>
      <c r="AA1270" s="134" t="str">
        <f t="shared" si="458"/>
        <v/>
      </c>
      <c r="AB1270" s="134" t="str">
        <f>IF(AA1270="","",IFERROR((RANK(AA1270,$AA$2:$AA$2028,1)+COUNTIF($AA$2:AA1270,AA1270))-1,""))</f>
        <v/>
      </c>
      <c r="AC1270" s="134" t="str">
        <f t="shared" si="459"/>
        <v/>
      </c>
      <c r="AD1270" s="134" t="str">
        <f>IF(AC1270="","",IFERROR((RANK(AC1270,$AC$2:$AC$2028,1)+COUNTIF($AC$2:AC1270,AC1270))-1,""))</f>
        <v/>
      </c>
      <c r="AE1270" s="144" t="str">
        <f t="shared" si="451"/>
        <v/>
      </c>
      <c r="AF1270" s="144" t="str">
        <f>IF(AE1270="","",SUM($AE$2:AE1270))</f>
        <v/>
      </c>
    </row>
    <row r="1271" spans="14:32" x14ac:dyDescent="0.35">
      <c r="N1271" s="134" t="str">
        <f t="shared" si="449"/>
        <v/>
      </c>
      <c r="O1271" s="82" t="str">
        <f t="shared" si="452"/>
        <v/>
      </c>
      <c r="P1271" s="81" t="str">
        <f t="shared" si="450"/>
        <v/>
      </c>
      <c r="Q1271" s="81" t="str">
        <f t="shared" si="453"/>
        <v/>
      </c>
      <c r="R1271" s="135" t="str">
        <f t="shared" ca="1" si="454"/>
        <v/>
      </c>
      <c r="S1271" s="134" t="str">
        <f t="shared" ca="1" si="455"/>
        <v/>
      </c>
      <c r="T1271" s="134" t="str">
        <f ca="1">IF(S1271=Dashboard!$D$12,S1271,"")</f>
        <v/>
      </c>
      <c r="U1271" s="134" t="str">
        <f t="shared" ca="1" si="456"/>
        <v/>
      </c>
      <c r="V1271" s="83" t="str">
        <f ca="1">IF(U1271="","",IFERROR((RANK(U1271,$U$2:$U$2028,1)+COUNTIF($U$2:U1271,U1271))-1,""))</f>
        <v/>
      </c>
      <c r="W1271" s="134" t="str">
        <f t="shared" si="460"/>
        <v/>
      </c>
      <c r="X1271" s="134" t="str">
        <f>IF(W1271="","",IFERROR((RANK(W1271,$W$2:$W$2028,1)+COUNTIF($W$2:W1271,W1271))-1,""))</f>
        <v/>
      </c>
      <c r="Y1271" s="134" t="str">
        <f t="shared" si="457"/>
        <v/>
      </c>
      <c r="Z1271" s="134" t="str">
        <f>IF(Y1271="","",IFERROR((RANK(Y1271,$Y$2:$Y$2028,1)+COUNTIF($Y$2:Y1271,Y1271))-1,""))</f>
        <v/>
      </c>
      <c r="AA1271" s="134" t="str">
        <f t="shared" si="458"/>
        <v/>
      </c>
      <c r="AB1271" s="134" t="str">
        <f>IF(AA1271="","",IFERROR((RANK(AA1271,$AA$2:$AA$2028,1)+COUNTIF($AA$2:AA1271,AA1271))-1,""))</f>
        <v/>
      </c>
      <c r="AC1271" s="134" t="str">
        <f t="shared" si="459"/>
        <v/>
      </c>
      <c r="AD1271" s="134" t="str">
        <f>IF(AC1271="","",IFERROR((RANK(AC1271,$AC$2:$AC$2028,1)+COUNTIF($AC$2:AC1271,AC1271))-1,""))</f>
        <v/>
      </c>
      <c r="AE1271" s="144" t="str">
        <f t="shared" si="451"/>
        <v/>
      </c>
      <c r="AF1271" s="144" t="str">
        <f>IF(AE1271="","",SUM($AE$2:AE1271))</f>
        <v/>
      </c>
    </row>
    <row r="1272" spans="14:32" x14ac:dyDescent="0.35">
      <c r="N1272" s="134" t="str">
        <f t="shared" si="449"/>
        <v/>
      </c>
      <c r="O1272" s="82" t="str">
        <f t="shared" si="452"/>
        <v/>
      </c>
      <c r="P1272" s="81" t="str">
        <f t="shared" si="450"/>
        <v/>
      </c>
      <c r="Q1272" s="81" t="str">
        <f t="shared" si="453"/>
        <v/>
      </c>
      <c r="R1272" s="135" t="str">
        <f t="shared" ca="1" si="454"/>
        <v/>
      </c>
      <c r="S1272" s="134" t="str">
        <f t="shared" ca="1" si="455"/>
        <v/>
      </c>
      <c r="T1272" s="134" t="str">
        <f ca="1">IF(S1272=Dashboard!$D$12,S1272,"")</f>
        <v/>
      </c>
      <c r="U1272" s="134" t="str">
        <f t="shared" ca="1" si="456"/>
        <v/>
      </c>
      <c r="V1272" s="83" t="str">
        <f ca="1">IF(U1272="","",IFERROR((RANK(U1272,$U$2:$U$2028,1)+COUNTIF($U$2:U1272,U1272))-1,""))</f>
        <v/>
      </c>
      <c r="W1272" s="134" t="str">
        <f t="shared" si="460"/>
        <v/>
      </c>
      <c r="X1272" s="134" t="str">
        <f>IF(W1272="","",IFERROR((RANK(W1272,$W$2:$W$2028,1)+COUNTIF($W$2:W1272,W1272))-1,""))</f>
        <v/>
      </c>
      <c r="Y1272" s="134" t="str">
        <f t="shared" si="457"/>
        <v/>
      </c>
      <c r="Z1272" s="134" t="str">
        <f>IF(Y1272="","",IFERROR((RANK(Y1272,$Y$2:$Y$2028,1)+COUNTIF($Y$2:Y1272,Y1272))-1,""))</f>
        <v/>
      </c>
      <c r="AA1272" s="134" t="str">
        <f t="shared" si="458"/>
        <v/>
      </c>
      <c r="AB1272" s="134" t="str">
        <f>IF(AA1272="","",IFERROR((RANK(AA1272,$AA$2:$AA$2028,1)+COUNTIF($AA$2:AA1272,AA1272))-1,""))</f>
        <v/>
      </c>
      <c r="AC1272" s="134" t="str">
        <f t="shared" si="459"/>
        <v/>
      </c>
      <c r="AD1272" s="134" t="str">
        <f>IF(AC1272="","",IFERROR((RANK(AC1272,$AC$2:$AC$2028,1)+COUNTIF($AC$2:AC1272,AC1272))-1,""))</f>
        <v/>
      </c>
      <c r="AE1272" s="144" t="str">
        <f t="shared" si="451"/>
        <v/>
      </c>
      <c r="AF1272" s="144" t="str">
        <f>IF(AE1272="","",SUM($AE$2:AE1272))</f>
        <v/>
      </c>
    </row>
    <row r="1273" spans="14:32" x14ac:dyDescent="0.35">
      <c r="N1273" s="134" t="str">
        <f t="shared" si="449"/>
        <v/>
      </c>
      <c r="O1273" s="82" t="str">
        <f t="shared" si="452"/>
        <v/>
      </c>
      <c r="P1273" s="81" t="str">
        <f t="shared" si="450"/>
        <v/>
      </c>
      <c r="Q1273" s="81" t="str">
        <f t="shared" si="453"/>
        <v/>
      </c>
      <c r="R1273" s="135" t="str">
        <f t="shared" ca="1" si="454"/>
        <v/>
      </c>
      <c r="S1273" s="134" t="str">
        <f t="shared" ca="1" si="455"/>
        <v/>
      </c>
      <c r="T1273" s="134" t="str">
        <f ca="1">IF(S1273=Dashboard!$D$12,S1273,"")</f>
        <v/>
      </c>
      <c r="U1273" s="134" t="str">
        <f t="shared" ca="1" si="456"/>
        <v/>
      </c>
      <c r="V1273" s="83" t="str">
        <f ca="1">IF(U1273="","",IFERROR((RANK(U1273,$U$2:$U$2028,1)+COUNTIF($U$2:U1273,U1273))-1,""))</f>
        <v/>
      </c>
      <c r="W1273" s="134" t="str">
        <f t="shared" si="460"/>
        <v/>
      </c>
      <c r="X1273" s="134" t="str">
        <f>IF(W1273="","",IFERROR((RANK(W1273,$W$2:$W$2028,1)+COUNTIF($W$2:W1273,W1273))-1,""))</f>
        <v/>
      </c>
      <c r="Y1273" s="134" t="str">
        <f t="shared" si="457"/>
        <v/>
      </c>
      <c r="Z1273" s="134" t="str">
        <f>IF(Y1273="","",IFERROR((RANK(Y1273,$Y$2:$Y$2028,1)+COUNTIF($Y$2:Y1273,Y1273))-1,""))</f>
        <v/>
      </c>
      <c r="AA1273" s="134" t="str">
        <f t="shared" si="458"/>
        <v/>
      </c>
      <c r="AB1273" s="134" t="str">
        <f>IF(AA1273="","",IFERROR((RANK(AA1273,$AA$2:$AA$2028,1)+COUNTIF($AA$2:AA1273,AA1273))-1,""))</f>
        <v/>
      </c>
      <c r="AC1273" s="134" t="str">
        <f t="shared" si="459"/>
        <v/>
      </c>
      <c r="AD1273" s="134" t="str">
        <f>IF(AC1273="","",IFERROR((RANK(AC1273,$AC$2:$AC$2028,1)+COUNTIF($AC$2:AC1273,AC1273))-1,""))</f>
        <v/>
      </c>
      <c r="AE1273" s="144" t="str">
        <f t="shared" si="451"/>
        <v/>
      </c>
      <c r="AF1273" s="144" t="str">
        <f>IF(AE1273="","",SUM($AE$2:AE1273))</f>
        <v/>
      </c>
    </row>
    <row r="1274" spans="14:32" x14ac:dyDescent="0.35">
      <c r="N1274" s="134" t="str">
        <f t="shared" si="449"/>
        <v/>
      </c>
      <c r="O1274" s="82" t="str">
        <f t="shared" si="452"/>
        <v/>
      </c>
      <c r="P1274" s="81" t="str">
        <f t="shared" si="450"/>
        <v/>
      </c>
      <c r="Q1274" s="81" t="str">
        <f t="shared" si="453"/>
        <v/>
      </c>
      <c r="R1274" s="135" t="str">
        <f t="shared" ca="1" si="454"/>
        <v/>
      </c>
      <c r="S1274" s="134" t="str">
        <f t="shared" ca="1" si="455"/>
        <v/>
      </c>
      <c r="T1274" s="134" t="str">
        <f ca="1">IF(S1274=Dashboard!$D$12,S1274,"")</f>
        <v/>
      </c>
      <c r="U1274" s="134" t="str">
        <f t="shared" ca="1" si="456"/>
        <v/>
      </c>
      <c r="V1274" s="83" t="str">
        <f ca="1">IF(U1274="","",IFERROR((RANK(U1274,$U$2:$U$2028,1)+COUNTIF($U$2:U1274,U1274))-1,""))</f>
        <v/>
      </c>
      <c r="W1274" s="134" t="str">
        <f t="shared" si="460"/>
        <v/>
      </c>
      <c r="X1274" s="134" t="str">
        <f>IF(W1274="","",IFERROR((RANK(W1274,$W$2:$W$2028,1)+COUNTIF($W$2:W1274,W1274))-1,""))</f>
        <v/>
      </c>
      <c r="Y1274" s="134" t="str">
        <f t="shared" si="457"/>
        <v/>
      </c>
      <c r="Z1274" s="134" t="str">
        <f>IF(Y1274="","",IFERROR((RANK(Y1274,$Y$2:$Y$2028,1)+COUNTIF($Y$2:Y1274,Y1274))-1,""))</f>
        <v/>
      </c>
      <c r="AA1274" s="134" t="str">
        <f t="shared" si="458"/>
        <v/>
      </c>
      <c r="AB1274" s="134" t="str">
        <f>IF(AA1274="","",IFERROR((RANK(AA1274,$AA$2:$AA$2028,1)+COUNTIF($AA$2:AA1274,AA1274))-1,""))</f>
        <v/>
      </c>
      <c r="AC1274" s="134" t="str">
        <f t="shared" si="459"/>
        <v/>
      </c>
      <c r="AD1274" s="134" t="str">
        <f>IF(AC1274="","",IFERROR((RANK(AC1274,$AC$2:$AC$2028,1)+COUNTIF($AC$2:AC1274,AC1274))-1,""))</f>
        <v/>
      </c>
      <c r="AE1274" s="144" t="str">
        <f t="shared" si="451"/>
        <v/>
      </c>
      <c r="AF1274" s="144" t="str">
        <f>IF(AE1274="","",SUM($AE$2:AE1274))</f>
        <v/>
      </c>
    </row>
    <row r="1275" spans="14:32" x14ac:dyDescent="0.35">
      <c r="N1275" s="134" t="str">
        <f t="shared" si="449"/>
        <v/>
      </c>
      <c r="O1275" s="82" t="str">
        <f t="shared" si="452"/>
        <v/>
      </c>
      <c r="P1275" s="81" t="str">
        <f t="shared" si="450"/>
        <v/>
      </c>
      <c r="Q1275" s="81" t="str">
        <f t="shared" si="453"/>
        <v/>
      </c>
      <c r="R1275" s="135" t="str">
        <f t="shared" ca="1" si="454"/>
        <v/>
      </c>
      <c r="S1275" s="134" t="str">
        <f t="shared" ca="1" si="455"/>
        <v/>
      </c>
      <c r="T1275" s="134" t="str">
        <f ca="1">IF(S1275=Dashboard!$D$12,S1275,"")</f>
        <v/>
      </c>
      <c r="U1275" s="134" t="str">
        <f t="shared" ca="1" si="456"/>
        <v/>
      </c>
      <c r="V1275" s="83" t="str">
        <f ca="1">IF(U1275="","",IFERROR((RANK(U1275,$U$2:$U$2028,1)+COUNTIF($U$2:U1275,U1275))-1,""))</f>
        <v/>
      </c>
      <c r="W1275" s="134" t="str">
        <f t="shared" si="460"/>
        <v/>
      </c>
      <c r="X1275" s="134" t="str">
        <f>IF(W1275="","",IFERROR((RANK(W1275,$W$2:$W$2028,1)+COUNTIF($W$2:W1275,W1275))-1,""))</f>
        <v/>
      </c>
      <c r="Y1275" s="134" t="str">
        <f t="shared" si="457"/>
        <v/>
      </c>
      <c r="Z1275" s="134" t="str">
        <f>IF(Y1275="","",IFERROR((RANK(Y1275,$Y$2:$Y$2028,1)+COUNTIF($Y$2:Y1275,Y1275))-1,""))</f>
        <v/>
      </c>
      <c r="AA1275" s="134" t="str">
        <f t="shared" si="458"/>
        <v/>
      </c>
      <c r="AB1275" s="134" t="str">
        <f>IF(AA1275="","",IFERROR((RANK(AA1275,$AA$2:$AA$2028,1)+COUNTIF($AA$2:AA1275,AA1275))-1,""))</f>
        <v/>
      </c>
      <c r="AC1275" s="134" t="str">
        <f t="shared" si="459"/>
        <v/>
      </c>
      <c r="AD1275" s="134" t="str">
        <f>IF(AC1275="","",IFERROR((RANK(AC1275,$AC$2:$AC$2028,1)+COUNTIF($AC$2:AC1275,AC1275))-1,""))</f>
        <v/>
      </c>
      <c r="AE1275" s="144" t="str">
        <f t="shared" si="451"/>
        <v/>
      </c>
      <c r="AF1275" s="144" t="str">
        <f>IF(AE1275="","",SUM($AE$2:AE1275))</f>
        <v/>
      </c>
    </row>
    <row r="1276" spans="14:32" x14ac:dyDescent="0.35">
      <c r="N1276" s="134" t="str">
        <f t="shared" si="449"/>
        <v/>
      </c>
      <c r="O1276" s="82" t="str">
        <f t="shared" si="452"/>
        <v/>
      </c>
      <c r="P1276" s="81" t="str">
        <f t="shared" si="450"/>
        <v/>
      </c>
      <c r="Q1276" s="81" t="str">
        <f t="shared" si="453"/>
        <v/>
      </c>
      <c r="R1276" s="135" t="str">
        <f t="shared" ca="1" si="454"/>
        <v/>
      </c>
      <c r="S1276" s="134" t="str">
        <f t="shared" ca="1" si="455"/>
        <v/>
      </c>
      <c r="T1276" s="134" t="str">
        <f ca="1">IF(S1276=Dashboard!$D$12,S1276,"")</f>
        <v/>
      </c>
      <c r="U1276" s="134" t="str">
        <f t="shared" ca="1" si="456"/>
        <v/>
      </c>
      <c r="V1276" s="83" t="str">
        <f ca="1">IF(U1276="","",IFERROR((RANK(U1276,$U$2:$U$2028,1)+COUNTIF($U$2:U1276,U1276))-1,""))</f>
        <v/>
      </c>
      <c r="W1276" s="134" t="str">
        <f t="shared" si="460"/>
        <v/>
      </c>
      <c r="X1276" s="134" t="str">
        <f>IF(W1276="","",IFERROR((RANK(W1276,$W$2:$W$2028,1)+COUNTIF($W$2:W1276,W1276))-1,""))</f>
        <v/>
      </c>
      <c r="Y1276" s="134" t="str">
        <f t="shared" si="457"/>
        <v/>
      </c>
      <c r="Z1276" s="134" t="str">
        <f>IF(Y1276="","",IFERROR((RANK(Y1276,$Y$2:$Y$2028,1)+COUNTIF($Y$2:Y1276,Y1276))-1,""))</f>
        <v/>
      </c>
      <c r="AA1276" s="134" t="str">
        <f t="shared" si="458"/>
        <v/>
      </c>
      <c r="AB1276" s="134" t="str">
        <f>IF(AA1276="","",IFERROR((RANK(AA1276,$AA$2:$AA$2028,1)+COUNTIF($AA$2:AA1276,AA1276))-1,""))</f>
        <v/>
      </c>
      <c r="AC1276" s="134" t="str">
        <f t="shared" si="459"/>
        <v/>
      </c>
      <c r="AD1276" s="134" t="str">
        <f>IF(AC1276="","",IFERROR((RANK(AC1276,$AC$2:$AC$2028,1)+COUNTIF($AC$2:AC1276,AC1276))-1,""))</f>
        <v/>
      </c>
      <c r="AE1276" s="144" t="str">
        <f t="shared" si="451"/>
        <v/>
      </c>
      <c r="AF1276" s="144" t="str">
        <f>IF(AE1276="","",SUM($AE$2:AE1276))</f>
        <v/>
      </c>
    </row>
    <row r="1277" spans="14:32" x14ac:dyDescent="0.35">
      <c r="N1277" s="134" t="str">
        <f t="shared" si="449"/>
        <v/>
      </c>
      <c r="O1277" s="82" t="str">
        <f t="shared" si="452"/>
        <v/>
      </c>
      <c r="P1277" s="81" t="str">
        <f t="shared" si="450"/>
        <v/>
      </c>
      <c r="Q1277" s="81" t="str">
        <f t="shared" si="453"/>
        <v/>
      </c>
      <c r="R1277" s="135" t="str">
        <f t="shared" ca="1" si="454"/>
        <v/>
      </c>
      <c r="S1277" s="134" t="str">
        <f t="shared" ca="1" si="455"/>
        <v/>
      </c>
      <c r="T1277" s="134" t="str">
        <f ca="1">IF(S1277=Dashboard!$D$12,S1277,"")</f>
        <v/>
      </c>
      <c r="U1277" s="134" t="str">
        <f t="shared" ca="1" si="456"/>
        <v/>
      </c>
      <c r="V1277" s="83" t="str">
        <f ca="1">IF(U1277="","",IFERROR((RANK(U1277,$U$2:$U$2028,1)+COUNTIF($U$2:U1277,U1277))-1,""))</f>
        <v/>
      </c>
      <c r="W1277" s="134" t="str">
        <f t="shared" si="460"/>
        <v/>
      </c>
      <c r="X1277" s="134" t="str">
        <f>IF(W1277="","",IFERROR((RANK(W1277,$W$2:$W$2028,1)+COUNTIF($W$2:W1277,W1277))-1,""))</f>
        <v/>
      </c>
      <c r="Y1277" s="134" t="str">
        <f t="shared" si="457"/>
        <v/>
      </c>
      <c r="Z1277" s="134" t="str">
        <f>IF(Y1277="","",IFERROR((RANK(Y1277,$Y$2:$Y$2028,1)+COUNTIF($Y$2:Y1277,Y1277))-1,""))</f>
        <v/>
      </c>
      <c r="AA1277" s="134" t="str">
        <f t="shared" si="458"/>
        <v/>
      </c>
      <c r="AB1277" s="134" t="str">
        <f>IF(AA1277="","",IFERROR((RANK(AA1277,$AA$2:$AA$2028,1)+COUNTIF($AA$2:AA1277,AA1277))-1,""))</f>
        <v/>
      </c>
      <c r="AC1277" s="134" t="str">
        <f t="shared" si="459"/>
        <v/>
      </c>
      <c r="AD1277" s="134" t="str">
        <f>IF(AC1277="","",IFERROR((RANK(AC1277,$AC$2:$AC$2028,1)+COUNTIF($AC$2:AC1277,AC1277))-1,""))</f>
        <v/>
      </c>
      <c r="AE1277" s="144" t="str">
        <f t="shared" si="451"/>
        <v/>
      </c>
      <c r="AF1277" s="144" t="str">
        <f>IF(AE1277="","",SUM($AE$2:AE1277))</f>
        <v/>
      </c>
    </row>
    <row r="1278" spans="14:32" x14ac:dyDescent="0.35">
      <c r="N1278" s="134" t="str">
        <f t="shared" si="449"/>
        <v/>
      </c>
      <c r="O1278" s="82" t="str">
        <f t="shared" si="452"/>
        <v/>
      </c>
      <c r="P1278" s="81" t="str">
        <f t="shared" si="450"/>
        <v/>
      </c>
      <c r="Q1278" s="81" t="str">
        <f t="shared" si="453"/>
        <v/>
      </c>
      <c r="R1278" s="135" t="str">
        <f t="shared" ca="1" si="454"/>
        <v/>
      </c>
      <c r="S1278" s="134" t="str">
        <f t="shared" ca="1" si="455"/>
        <v/>
      </c>
      <c r="T1278" s="134" t="str">
        <f ca="1">IF(S1278=Dashboard!$D$12,S1278,"")</f>
        <v/>
      </c>
      <c r="U1278" s="134" t="str">
        <f t="shared" ca="1" si="456"/>
        <v/>
      </c>
      <c r="V1278" s="83" t="str">
        <f ca="1">IF(U1278="","",IFERROR((RANK(U1278,$U$2:$U$2028,1)+COUNTIF($U$2:U1278,U1278))-1,""))</f>
        <v/>
      </c>
      <c r="W1278" s="134" t="str">
        <f t="shared" si="460"/>
        <v/>
      </c>
      <c r="X1278" s="134" t="str">
        <f>IF(W1278="","",IFERROR((RANK(W1278,$W$2:$W$2028,1)+COUNTIF($W$2:W1278,W1278))-1,""))</f>
        <v/>
      </c>
      <c r="Y1278" s="134" t="str">
        <f t="shared" si="457"/>
        <v/>
      </c>
      <c r="Z1278" s="134" t="str">
        <f>IF(Y1278="","",IFERROR((RANK(Y1278,$Y$2:$Y$2028,1)+COUNTIF($Y$2:Y1278,Y1278))-1,""))</f>
        <v/>
      </c>
      <c r="AA1278" s="134" t="str">
        <f t="shared" si="458"/>
        <v/>
      </c>
      <c r="AB1278" s="134" t="str">
        <f>IF(AA1278="","",IFERROR((RANK(AA1278,$AA$2:$AA$2028,1)+COUNTIF($AA$2:AA1278,AA1278))-1,""))</f>
        <v/>
      </c>
      <c r="AC1278" s="134" t="str">
        <f t="shared" si="459"/>
        <v/>
      </c>
      <c r="AD1278" s="134" t="str">
        <f>IF(AC1278="","",IFERROR((RANK(AC1278,$AC$2:$AC$2028,1)+COUNTIF($AC$2:AC1278,AC1278))-1,""))</f>
        <v/>
      </c>
      <c r="AE1278" s="144" t="str">
        <f t="shared" si="451"/>
        <v/>
      </c>
      <c r="AF1278" s="144" t="str">
        <f>IF(AE1278="","",SUM($AE$2:AE1278))</f>
        <v/>
      </c>
    </row>
    <row r="1279" spans="14:32" x14ac:dyDescent="0.35">
      <c r="N1279" s="134" t="str">
        <f t="shared" si="449"/>
        <v/>
      </c>
      <c r="O1279" s="82" t="str">
        <f t="shared" si="452"/>
        <v/>
      </c>
      <c r="P1279" s="81" t="str">
        <f t="shared" si="450"/>
        <v/>
      </c>
      <c r="Q1279" s="81" t="str">
        <f t="shared" si="453"/>
        <v/>
      </c>
      <c r="R1279" s="135" t="str">
        <f t="shared" ca="1" si="454"/>
        <v/>
      </c>
      <c r="S1279" s="134" t="str">
        <f t="shared" ca="1" si="455"/>
        <v/>
      </c>
      <c r="T1279" s="134" t="str">
        <f ca="1">IF(S1279=Dashboard!$D$12,S1279,"")</f>
        <v/>
      </c>
      <c r="U1279" s="134" t="str">
        <f t="shared" ca="1" si="456"/>
        <v/>
      </c>
      <c r="V1279" s="83" t="str">
        <f ca="1">IF(U1279="","",IFERROR((RANK(U1279,$U$2:$U$2028,1)+COUNTIF($U$2:U1279,U1279))-1,""))</f>
        <v/>
      </c>
      <c r="W1279" s="134" t="str">
        <f t="shared" si="460"/>
        <v/>
      </c>
      <c r="X1279" s="134" t="str">
        <f>IF(W1279="","",IFERROR((RANK(W1279,$W$2:$W$2028,1)+COUNTIF($W$2:W1279,W1279))-1,""))</f>
        <v/>
      </c>
      <c r="Y1279" s="134" t="str">
        <f t="shared" si="457"/>
        <v/>
      </c>
      <c r="Z1279" s="134" t="str">
        <f>IF(Y1279="","",IFERROR((RANK(Y1279,$Y$2:$Y$2028,1)+COUNTIF($Y$2:Y1279,Y1279))-1,""))</f>
        <v/>
      </c>
      <c r="AA1279" s="134" t="str">
        <f t="shared" si="458"/>
        <v/>
      </c>
      <c r="AB1279" s="134" t="str">
        <f>IF(AA1279="","",IFERROR((RANK(AA1279,$AA$2:$AA$2028,1)+COUNTIF($AA$2:AA1279,AA1279))-1,""))</f>
        <v/>
      </c>
      <c r="AC1279" s="134" t="str">
        <f t="shared" si="459"/>
        <v/>
      </c>
      <c r="AD1279" s="134" t="str">
        <f>IF(AC1279="","",IFERROR((RANK(AC1279,$AC$2:$AC$2028,1)+COUNTIF($AC$2:AC1279,AC1279))-1,""))</f>
        <v/>
      </c>
      <c r="AE1279" s="144" t="str">
        <f t="shared" si="451"/>
        <v/>
      </c>
      <c r="AF1279" s="144" t="str">
        <f>IF(AE1279="","",SUM($AE$2:AE1279))</f>
        <v/>
      </c>
    </row>
    <row r="1280" spans="14:32" x14ac:dyDescent="0.35">
      <c r="N1280" s="134" t="str">
        <f t="shared" si="449"/>
        <v/>
      </c>
      <c r="O1280" s="82" t="str">
        <f t="shared" si="452"/>
        <v/>
      </c>
      <c r="P1280" s="81" t="str">
        <f t="shared" si="450"/>
        <v/>
      </c>
      <c r="Q1280" s="81" t="str">
        <f t="shared" si="453"/>
        <v/>
      </c>
      <c r="R1280" s="135" t="str">
        <f t="shared" ca="1" si="454"/>
        <v/>
      </c>
      <c r="S1280" s="134" t="str">
        <f t="shared" ca="1" si="455"/>
        <v/>
      </c>
      <c r="T1280" s="134" t="str">
        <f ca="1">IF(S1280=Dashboard!$D$12,S1280,"")</f>
        <v/>
      </c>
      <c r="U1280" s="134" t="str">
        <f t="shared" ca="1" si="456"/>
        <v/>
      </c>
      <c r="V1280" s="83" t="str">
        <f ca="1">IF(U1280="","",IFERROR((RANK(U1280,$U$2:$U$2028,1)+COUNTIF($U$2:U1280,U1280))-1,""))</f>
        <v/>
      </c>
      <c r="W1280" s="134" t="str">
        <f t="shared" si="460"/>
        <v/>
      </c>
      <c r="X1280" s="134" t="str">
        <f>IF(W1280="","",IFERROR((RANK(W1280,$W$2:$W$2028,1)+COUNTIF($W$2:W1280,W1280))-1,""))</f>
        <v/>
      </c>
      <c r="Y1280" s="134" t="str">
        <f t="shared" si="457"/>
        <v/>
      </c>
      <c r="Z1280" s="134" t="str">
        <f>IF(Y1280="","",IFERROR((RANK(Y1280,$Y$2:$Y$2028,1)+COUNTIF($Y$2:Y1280,Y1280))-1,""))</f>
        <v/>
      </c>
      <c r="AA1280" s="134" t="str">
        <f t="shared" si="458"/>
        <v/>
      </c>
      <c r="AB1280" s="134" t="str">
        <f>IF(AA1280="","",IFERROR((RANK(AA1280,$AA$2:$AA$2028,1)+COUNTIF($AA$2:AA1280,AA1280))-1,""))</f>
        <v/>
      </c>
      <c r="AC1280" s="134" t="str">
        <f t="shared" si="459"/>
        <v/>
      </c>
      <c r="AD1280" s="134" t="str">
        <f>IF(AC1280="","",IFERROR((RANK(AC1280,$AC$2:$AC$2028,1)+COUNTIF($AC$2:AC1280,AC1280))-1,""))</f>
        <v/>
      </c>
      <c r="AE1280" s="144" t="str">
        <f t="shared" si="451"/>
        <v/>
      </c>
      <c r="AF1280" s="144" t="str">
        <f>IF(AE1280="","",SUM($AE$2:AE1280))</f>
        <v/>
      </c>
    </row>
    <row r="1281" spans="14:32" x14ac:dyDescent="0.35">
      <c r="N1281" s="134" t="str">
        <f t="shared" si="449"/>
        <v/>
      </c>
      <c r="O1281" s="82" t="str">
        <f t="shared" si="452"/>
        <v/>
      </c>
      <c r="P1281" s="81" t="str">
        <f t="shared" si="450"/>
        <v/>
      </c>
      <c r="Q1281" s="81" t="str">
        <f t="shared" si="453"/>
        <v/>
      </c>
      <c r="R1281" s="135" t="str">
        <f t="shared" ca="1" si="454"/>
        <v/>
      </c>
      <c r="S1281" s="134" t="str">
        <f t="shared" ca="1" si="455"/>
        <v/>
      </c>
      <c r="T1281" s="134" t="str">
        <f ca="1">IF(S1281=Dashboard!$D$12,S1281,"")</f>
        <v/>
      </c>
      <c r="U1281" s="134" t="str">
        <f t="shared" ca="1" si="456"/>
        <v/>
      </c>
      <c r="V1281" s="83" t="str">
        <f ca="1">IF(U1281="","",IFERROR((RANK(U1281,$U$2:$U$2028,1)+COUNTIF($U$2:U1281,U1281))-1,""))</f>
        <v/>
      </c>
      <c r="W1281" s="134" t="str">
        <f t="shared" si="460"/>
        <v/>
      </c>
      <c r="X1281" s="134" t="str">
        <f>IF(W1281="","",IFERROR((RANK(W1281,$W$2:$W$2028,1)+COUNTIF($W$2:W1281,W1281))-1,""))</f>
        <v/>
      </c>
      <c r="Y1281" s="134" t="str">
        <f t="shared" si="457"/>
        <v/>
      </c>
      <c r="Z1281" s="134" t="str">
        <f>IF(Y1281="","",IFERROR((RANK(Y1281,$Y$2:$Y$2028,1)+COUNTIF($Y$2:Y1281,Y1281))-1,""))</f>
        <v/>
      </c>
      <c r="AA1281" s="134" t="str">
        <f t="shared" si="458"/>
        <v/>
      </c>
      <c r="AB1281" s="134" t="str">
        <f>IF(AA1281="","",IFERROR((RANK(AA1281,$AA$2:$AA$2028,1)+COUNTIF($AA$2:AA1281,AA1281))-1,""))</f>
        <v/>
      </c>
      <c r="AC1281" s="134" t="str">
        <f t="shared" si="459"/>
        <v/>
      </c>
      <c r="AD1281" s="134" t="str">
        <f>IF(AC1281="","",IFERROR((RANK(AC1281,$AC$2:$AC$2028,1)+COUNTIF($AC$2:AC1281,AC1281))-1,""))</f>
        <v/>
      </c>
      <c r="AE1281" s="144" t="str">
        <f t="shared" si="451"/>
        <v/>
      </c>
      <c r="AF1281" s="144" t="str">
        <f>IF(AE1281="","",SUM($AE$2:AE1281))</f>
        <v/>
      </c>
    </row>
    <row r="1282" spans="14:32" x14ac:dyDescent="0.35">
      <c r="N1282" s="134" t="str">
        <f t="shared" ref="N1282:N1345" si="461">IF(A1282="","",COUNTIFS(M:M,M1282,H:H,"&lt;"&amp;H1282)+1)</f>
        <v/>
      </c>
      <c r="O1282" s="82" t="str">
        <f t="shared" si="452"/>
        <v/>
      </c>
      <c r="P1282" s="81" t="str">
        <f t="shared" ref="P1282:P1345" si="462">IF(A1282="","",COUNTIFS(M:M,M1282,H:H,"&gt;"&amp;H1282)+1)</f>
        <v/>
      </c>
      <c r="Q1282" s="81" t="str">
        <f t="shared" si="453"/>
        <v/>
      </c>
      <c r="R1282" s="135" t="str">
        <f t="shared" ca="1" si="454"/>
        <v/>
      </c>
      <c r="S1282" s="134" t="str">
        <f t="shared" ca="1" si="455"/>
        <v/>
      </c>
      <c r="T1282" s="134" t="str">
        <f ca="1">IF(S1282=Dashboard!$D$12,S1282,"")</f>
        <v/>
      </c>
      <c r="U1282" s="134" t="str">
        <f t="shared" ca="1" si="456"/>
        <v/>
      </c>
      <c r="V1282" s="83" t="str">
        <f ca="1">IF(U1282="","",IFERROR((RANK(U1282,$U$2:$U$2028,1)+COUNTIF($U$2:U1282,U1282))-1,""))</f>
        <v/>
      </c>
      <c r="W1282" s="134" t="str">
        <f t="shared" si="460"/>
        <v/>
      </c>
      <c r="X1282" s="134" t="str">
        <f>IF(W1282="","",IFERROR((RANK(W1282,$W$2:$W$2028,1)+COUNTIF($W$2:W1282,W1282))-1,""))</f>
        <v/>
      </c>
      <c r="Y1282" s="134" t="str">
        <f t="shared" si="457"/>
        <v/>
      </c>
      <c r="Z1282" s="134" t="str">
        <f>IF(Y1282="","",IFERROR((RANK(Y1282,$Y$2:$Y$2028,1)+COUNTIF($Y$2:Y1282,Y1282))-1,""))</f>
        <v/>
      </c>
      <c r="AA1282" s="134" t="str">
        <f t="shared" si="458"/>
        <v/>
      </c>
      <c r="AB1282" s="134" t="str">
        <f>IF(AA1282="","",IFERROR((RANK(AA1282,$AA$2:$AA$2028,1)+COUNTIF($AA$2:AA1282,AA1282))-1,""))</f>
        <v/>
      </c>
      <c r="AC1282" s="134" t="str">
        <f t="shared" si="459"/>
        <v/>
      </c>
      <c r="AD1282" s="134" t="str">
        <f>IF(AC1282="","",IFERROR((RANK(AC1282,$AC$2:$AC$2028,1)+COUNTIF($AC$2:AC1282,AC1282))-1,""))</f>
        <v/>
      </c>
      <c r="AE1282" s="144" t="str">
        <f t="shared" si="451"/>
        <v/>
      </c>
      <c r="AF1282" s="144" t="str">
        <f>IF(AE1282="","",SUM($AE$2:AE1282))</f>
        <v/>
      </c>
    </row>
    <row r="1283" spans="14:32" x14ac:dyDescent="0.35">
      <c r="N1283" s="134" t="str">
        <f t="shared" si="461"/>
        <v/>
      </c>
      <c r="O1283" s="82" t="str">
        <f t="shared" si="452"/>
        <v/>
      </c>
      <c r="P1283" s="81" t="str">
        <f t="shared" si="462"/>
        <v/>
      </c>
      <c r="Q1283" s="81" t="str">
        <f t="shared" si="453"/>
        <v/>
      </c>
      <c r="R1283" s="135" t="str">
        <f t="shared" ca="1" si="454"/>
        <v/>
      </c>
      <c r="S1283" s="134" t="str">
        <f t="shared" ca="1" si="455"/>
        <v/>
      </c>
      <c r="T1283" s="134" t="str">
        <f ca="1">IF(S1283=Dashboard!$D$12,S1283,"")</f>
        <v/>
      </c>
      <c r="U1283" s="134" t="str">
        <f t="shared" ca="1" si="456"/>
        <v/>
      </c>
      <c r="V1283" s="83" t="str">
        <f ca="1">IF(U1283="","",IFERROR((RANK(U1283,$U$2:$U$2028,1)+COUNTIF($U$2:U1283,U1283))-1,""))</f>
        <v/>
      </c>
      <c r="W1283" s="134" t="str">
        <f t="shared" si="460"/>
        <v/>
      </c>
      <c r="X1283" s="134" t="str">
        <f>IF(W1283="","",IFERROR((RANK(W1283,$W$2:$W$2028,1)+COUNTIF($W$2:W1283,W1283))-1,""))</f>
        <v/>
      </c>
      <c r="Y1283" s="134" t="str">
        <f t="shared" si="457"/>
        <v/>
      </c>
      <c r="Z1283" s="134" t="str">
        <f>IF(Y1283="","",IFERROR((RANK(Y1283,$Y$2:$Y$2028,1)+COUNTIF($Y$2:Y1283,Y1283))-1,""))</f>
        <v/>
      </c>
      <c r="AA1283" s="134" t="str">
        <f t="shared" si="458"/>
        <v/>
      </c>
      <c r="AB1283" s="134" t="str">
        <f>IF(AA1283="","",IFERROR((RANK(AA1283,$AA$2:$AA$2028,1)+COUNTIF($AA$2:AA1283,AA1283))-1,""))</f>
        <v/>
      </c>
      <c r="AC1283" s="134" t="str">
        <f t="shared" si="459"/>
        <v/>
      </c>
      <c r="AD1283" s="134" t="str">
        <f>IF(AC1283="","",IFERROR((RANK(AC1283,$AC$2:$AC$2028,1)+COUNTIF($AC$2:AC1283,AC1283))-1,""))</f>
        <v/>
      </c>
      <c r="AE1283" s="144" t="str">
        <f t="shared" si="451"/>
        <v/>
      </c>
      <c r="AF1283" s="144" t="str">
        <f>IF(AE1283="","",SUM($AE$2:AE1283))</f>
        <v/>
      </c>
    </row>
    <row r="1284" spans="14:32" x14ac:dyDescent="0.35">
      <c r="N1284" s="134" t="str">
        <f t="shared" si="461"/>
        <v/>
      </c>
      <c r="O1284" s="82" t="str">
        <f t="shared" si="452"/>
        <v/>
      </c>
      <c r="P1284" s="81" t="str">
        <f t="shared" si="462"/>
        <v/>
      </c>
      <c r="Q1284" s="81" t="str">
        <f t="shared" si="453"/>
        <v/>
      </c>
      <c r="R1284" s="135" t="str">
        <f t="shared" ca="1" si="454"/>
        <v/>
      </c>
      <c r="S1284" s="134" t="str">
        <f t="shared" ca="1" si="455"/>
        <v/>
      </c>
      <c r="T1284" s="134" t="str">
        <f ca="1">IF(S1284=Dashboard!$D$12,S1284,"")</f>
        <v/>
      </c>
      <c r="U1284" s="134" t="str">
        <f t="shared" ca="1" si="456"/>
        <v/>
      </c>
      <c r="V1284" s="83" t="str">
        <f ca="1">IF(U1284="","",IFERROR((RANK(U1284,$U$2:$U$2028,1)+COUNTIF($U$2:U1284,U1284))-1,""))</f>
        <v/>
      </c>
      <c r="W1284" s="134" t="str">
        <f t="shared" si="460"/>
        <v/>
      </c>
      <c r="X1284" s="134" t="str">
        <f>IF(W1284="","",IFERROR((RANK(W1284,$W$2:$W$2028,1)+COUNTIF($W$2:W1284,W1284))-1,""))</f>
        <v/>
      </c>
      <c r="Y1284" s="134" t="str">
        <f t="shared" si="457"/>
        <v/>
      </c>
      <c r="Z1284" s="134" t="str">
        <f>IF(Y1284="","",IFERROR((RANK(Y1284,$Y$2:$Y$2028,1)+COUNTIF($Y$2:Y1284,Y1284))-1,""))</f>
        <v/>
      </c>
      <c r="AA1284" s="134" t="str">
        <f t="shared" si="458"/>
        <v/>
      </c>
      <c r="AB1284" s="134" t="str">
        <f>IF(AA1284="","",IFERROR((RANK(AA1284,$AA$2:$AA$2028,1)+COUNTIF($AA$2:AA1284,AA1284))-1,""))</f>
        <v/>
      </c>
      <c r="AC1284" s="134" t="str">
        <f t="shared" si="459"/>
        <v/>
      </c>
      <c r="AD1284" s="134" t="str">
        <f>IF(AC1284="","",IFERROR((RANK(AC1284,$AC$2:$AC$2028,1)+COUNTIF($AC$2:AC1284,AC1284))-1,""))</f>
        <v/>
      </c>
      <c r="AE1284" s="144" t="str">
        <f t="shared" si="451"/>
        <v/>
      </c>
      <c r="AF1284" s="144" t="str">
        <f>IF(AE1284="","",SUM($AE$2:AE1284))</f>
        <v/>
      </c>
    </row>
    <row r="1285" spans="14:32" x14ac:dyDescent="0.35">
      <c r="N1285" s="134" t="str">
        <f t="shared" si="461"/>
        <v/>
      </c>
      <c r="O1285" s="82" t="str">
        <f t="shared" si="452"/>
        <v/>
      </c>
      <c r="P1285" s="81" t="str">
        <f t="shared" si="462"/>
        <v/>
      </c>
      <c r="Q1285" s="81" t="str">
        <f t="shared" si="453"/>
        <v/>
      </c>
      <c r="R1285" s="135" t="str">
        <f t="shared" ca="1" si="454"/>
        <v/>
      </c>
      <c r="S1285" s="134" t="str">
        <f t="shared" ca="1" si="455"/>
        <v/>
      </c>
      <c r="T1285" s="134" t="str">
        <f ca="1">IF(S1285=Dashboard!$D$12,S1285,"")</f>
        <v/>
      </c>
      <c r="U1285" s="134" t="str">
        <f t="shared" ca="1" si="456"/>
        <v/>
      </c>
      <c r="V1285" s="83" t="str">
        <f ca="1">IF(U1285="","",IFERROR((RANK(U1285,$U$2:$U$2028,1)+COUNTIF($U$2:U1285,U1285))-1,""))</f>
        <v/>
      </c>
      <c r="W1285" s="134" t="str">
        <f t="shared" si="460"/>
        <v/>
      </c>
      <c r="X1285" s="134" t="str">
        <f>IF(W1285="","",IFERROR((RANK(W1285,$W$2:$W$2028,1)+COUNTIF($W$2:W1285,W1285))-1,""))</f>
        <v/>
      </c>
      <c r="Y1285" s="134" t="str">
        <f t="shared" si="457"/>
        <v/>
      </c>
      <c r="Z1285" s="134" t="str">
        <f>IF(Y1285="","",IFERROR((RANK(Y1285,$Y$2:$Y$2028,1)+COUNTIF($Y$2:Y1285,Y1285))-1,""))</f>
        <v/>
      </c>
      <c r="AA1285" s="134" t="str">
        <f t="shared" si="458"/>
        <v/>
      </c>
      <c r="AB1285" s="134" t="str">
        <f>IF(AA1285="","",IFERROR((RANK(AA1285,$AA$2:$AA$2028,1)+COUNTIF($AA$2:AA1285,AA1285))-1,""))</f>
        <v/>
      </c>
      <c r="AC1285" s="134" t="str">
        <f t="shared" si="459"/>
        <v/>
      </c>
      <c r="AD1285" s="134" t="str">
        <f>IF(AC1285="","",IFERROR((RANK(AC1285,$AC$2:$AC$2028,1)+COUNTIF($AC$2:AC1285,AC1285))-1,""))</f>
        <v/>
      </c>
      <c r="AE1285" s="144" t="str">
        <f t="shared" si="451"/>
        <v/>
      </c>
      <c r="AF1285" s="144" t="str">
        <f>IF(AE1285="","",SUM($AE$2:AE1285))</f>
        <v/>
      </c>
    </row>
    <row r="1286" spans="14:32" x14ac:dyDescent="0.35">
      <c r="N1286" s="134" t="str">
        <f t="shared" si="461"/>
        <v/>
      </c>
      <c r="O1286" s="82" t="str">
        <f t="shared" si="452"/>
        <v/>
      </c>
      <c r="P1286" s="81" t="str">
        <f t="shared" si="462"/>
        <v/>
      </c>
      <c r="Q1286" s="81" t="str">
        <f t="shared" si="453"/>
        <v/>
      </c>
      <c r="R1286" s="135" t="str">
        <f t="shared" ca="1" si="454"/>
        <v/>
      </c>
      <c r="S1286" s="134" t="str">
        <f t="shared" ca="1" si="455"/>
        <v/>
      </c>
      <c r="T1286" s="134" t="str">
        <f ca="1">IF(S1286=Dashboard!$D$12,S1286,"")</f>
        <v/>
      </c>
      <c r="U1286" s="134" t="str">
        <f t="shared" ca="1" si="456"/>
        <v/>
      </c>
      <c r="V1286" s="83" t="str">
        <f ca="1">IF(U1286="","",IFERROR((RANK(U1286,$U$2:$U$2028,1)+COUNTIF($U$2:U1286,U1286))-1,""))</f>
        <v/>
      </c>
      <c r="W1286" s="134" t="str">
        <f t="shared" si="460"/>
        <v/>
      </c>
      <c r="X1286" s="134" t="str">
        <f>IF(W1286="","",IFERROR((RANK(W1286,$W$2:$W$2028,1)+COUNTIF($W$2:W1286,W1286))-1,""))</f>
        <v/>
      </c>
      <c r="Y1286" s="134" t="str">
        <f t="shared" si="457"/>
        <v/>
      </c>
      <c r="Z1286" s="134" t="str">
        <f>IF(Y1286="","",IFERROR((RANK(Y1286,$Y$2:$Y$2028,1)+COUNTIF($Y$2:Y1286,Y1286))-1,""))</f>
        <v/>
      </c>
      <c r="AA1286" s="134" t="str">
        <f t="shared" si="458"/>
        <v/>
      </c>
      <c r="AB1286" s="134" t="str">
        <f>IF(AA1286="","",IFERROR((RANK(AA1286,$AA$2:$AA$2028,1)+COUNTIF($AA$2:AA1286,AA1286))-1,""))</f>
        <v/>
      </c>
      <c r="AC1286" s="134" t="str">
        <f t="shared" si="459"/>
        <v/>
      </c>
      <c r="AD1286" s="134" t="str">
        <f>IF(AC1286="","",IFERROR((RANK(AC1286,$AC$2:$AC$2028,1)+COUNTIF($AC$2:AC1286,AC1286))-1,""))</f>
        <v/>
      </c>
      <c r="AE1286" s="144" t="str">
        <f t="shared" si="451"/>
        <v/>
      </c>
      <c r="AF1286" s="144" t="str">
        <f>IF(AE1286="","",SUM($AE$2:AE1286))</f>
        <v/>
      </c>
    </row>
    <row r="1287" spans="14:32" x14ac:dyDescent="0.35">
      <c r="N1287" s="134" t="str">
        <f t="shared" si="461"/>
        <v/>
      </c>
      <c r="O1287" s="82" t="str">
        <f t="shared" si="452"/>
        <v/>
      </c>
      <c r="P1287" s="81" t="str">
        <f t="shared" si="462"/>
        <v/>
      </c>
      <c r="Q1287" s="81" t="str">
        <f t="shared" si="453"/>
        <v/>
      </c>
      <c r="R1287" s="135" t="str">
        <f t="shared" ca="1" si="454"/>
        <v/>
      </c>
      <c r="S1287" s="134" t="str">
        <f t="shared" ca="1" si="455"/>
        <v/>
      </c>
      <c r="T1287" s="134" t="str">
        <f ca="1">IF(S1287=Dashboard!$D$12,S1287,"")</f>
        <v/>
      </c>
      <c r="U1287" s="134" t="str">
        <f t="shared" ca="1" si="456"/>
        <v/>
      </c>
      <c r="V1287" s="83" t="str">
        <f ca="1">IF(U1287="","",IFERROR((RANK(U1287,$U$2:$U$2028,1)+COUNTIF($U$2:U1287,U1287))-1,""))</f>
        <v/>
      </c>
      <c r="W1287" s="134" t="str">
        <f t="shared" si="460"/>
        <v/>
      </c>
      <c r="X1287" s="134" t="str">
        <f>IF(W1287="","",IFERROR((RANK(W1287,$W$2:$W$2028,1)+COUNTIF($W$2:W1287,W1287))-1,""))</f>
        <v/>
      </c>
      <c r="Y1287" s="134" t="str">
        <f t="shared" si="457"/>
        <v/>
      </c>
      <c r="Z1287" s="134" t="str">
        <f>IF(Y1287="","",IFERROR((RANK(Y1287,$Y$2:$Y$2028,1)+COUNTIF($Y$2:Y1287,Y1287))-1,""))</f>
        <v/>
      </c>
      <c r="AA1287" s="134" t="str">
        <f t="shared" si="458"/>
        <v/>
      </c>
      <c r="AB1287" s="134" t="str">
        <f>IF(AA1287="","",IFERROR((RANK(AA1287,$AA$2:$AA$2028,1)+COUNTIF($AA$2:AA1287,AA1287))-1,""))</f>
        <v/>
      </c>
      <c r="AC1287" s="134" t="str">
        <f t="shared" si="459"/>
        <v/>
      </c>
      <c r="AD1287" s="134" t="str">
        <f>IF(AC1287="","",IFERROR((RANK(AC1287,$AC$2:$AC$2028,1)+COUNTIF($AC$2:AC1287,AC1287))-1,""))</f>
        <v/>
      </c>
      <c r="AE1287" s="144" t="str">
        <f t="shared" ref="AE1287:AE1350" si="463">IF(P1287=1,P1287,"")</f>
        <v/>
      </c>
      <c r="AF1287" s="144" t="str">
        <f>IF(AE1287="","",SUM($AE$2:AE1287))</f>
        <v/>
      </c>
    </row>
    <row r="1288" spans="14:32" x14ac:dyDescent="0.35">
      <c r="N1288" s="134" t="str">
        <f t="shared" si="461"/>
        <v/>
      </c>
      <c r="O1288" s="82" t="str">
        <f t="shared" si="452"/>
        <v/>
      </c>
      <c r="P1288" s="81" t="str">
        <f t="shared" si="462"/>
        <v/>
      </c>
      <c r="Q1288" s="81" t="str">
        <f t="shared" si="453"/>
        <v/>
      </c>
      <c r="R1288" s="135" t="str">
        <f t="shared" ca="1" si="454"/>
        <v/>
      </c>
      <c r="S1288" s="134" t="str">
        <f t="shared" ca="1" si="455"/>
        <v/>
      </c>
      <c r="T1288" s="134" t="str">
        <f ca="1">IF(S1288=Dashboard!$D$12,S1288,"")</f>
        <v/>
      </c>
      <c r="U1288" s="134" t="str">
        <f t="shared" ca="1" si="456"/>
        <v/>
      </c>
      <c r="V1288" s="83" t="str">
        <f ca="1">IF(U1288="","",IFERROR((RANK(U1288,$U$2:$U$2028,1)+COUNTIF($U$2:U1288,U1288))-1,""))</f>
        <v/>
      </c>
      <c r="W1288" s="134" t="str">
        <f t="shared" si="460"/>
        <v/>
      </c>
      <c r="X1288" s="134" t="str">
        <f>IF(W1288="","",IFERROR((RANK(W1288,$W$2:$W$2028,1)+COUNTIF($W$2:W1288,W1288))-1,""))</f>
        <v/>
      </c>
      <c r="Y1288" s="134" t="str">
        <f t="shared" si="457"/>
        <v/>
      </c>
      <c r="Z1288" s="134" t="str">
        <f>IF(Y1288="","",IFERROR((RANK(Y1288,$Y$2:$Y$2028,1)+COUNTIF($Y$2:Y1288,Y1288))-1,""))</f>
        <v/>
      </c>
      <c r="AA1288" s="134" t="str">
        <f t="shared" si="458"/>
        <v/>
      </c>
      <c r="AB1288" s="134" t="str">
        <f>IF(AA1288="","",IFERROR((RANK(AA1288,$AA$2:$AA$2028,1)+COUNTIF($AA$2:AA1288,AA1288))-1,""))</f>
        <v/>
      </c>
      <c r="AC1288" s="134" t="str">
        <f t="shared" si="459"/>
        <v/>
      </c>
      <c r="AD1288" s="134" t="str">
        <f>IF(AC1288="","",IFERROR((RANK(AC1288,$AC$2:$AC$2028,1)+COUNTIF($AC$2:AC1288,AC1288))-1,""))</f>
        <v/>
      </c>
      <c r="AE1288" s="144" t="str">
        <f t="shared" si="463"/>
        <v/>
      </c>
      <c r="AF1288" s="144" t="str">
        <f>IF(AE1288="","",SUM($AE$2:AE1288))</f>
        <v/>
      </c>
    </row>
    <row r="1289" spans="14:32" x14ac:dyDescent="0.35">
      <c r="N1289" s="134" t="str">
        <f t="shared" si="461"/>
        <v/>
      </c>
      <c r="O1289" s="82" t="str">
        <f t="shared" si="452"/>
        <v/>
      </c>
      <c r="P1289" s="81" t="str">
        <f t="shared" si="462"/>
        <v/>
      </c>
      <c r="Q1289" s="81" t="str">
        <f t="shared" si="453"/>
        <v/>
      </c>
      <c r="R1289" s="135" t="str">
        <f t="shared" ca="1" si="454"/>
        <v/>
      </c>
      <c r="S1289" s="134" t="str">
        <f t="shared" ca="1" si="455"/>
        <v/>
      </c>
      <c r="T1289" s="134" t="str">
        <f ca="1">IF(S1289=Dashboard!$D$12,S1289,"")</f>
        <v/>
      </c>
      <c r="U1289" s="134" t="str">
        <f t="shared" ca="1" si="456"/>
        <v/>
      </c>
      <c r="V1289" s="83" t="str">
        <f ca="1">IF(U1289="","",IFERROR((RANK(U1289,$U$2:$U$2028,1)+COUNTIF($U$2:U1289,U1289))-1,""))</f>
        <v/>
      </c>
      <c r="W1289" s="134" t="str">
        <f t="shared" si="460"/>
        <v/>
      </c>
      <c r="X1289" s="134" t="str">
        <f>IF(W1289="","",IFERROR((RANK(W1289,$W$2:$W$2028,1)+COUNTIF($W$2:W1289,W1289))-1,""))</f>
        <v/>
      </c>
      <c r="Y1289" s="134" t="str">
        <f t="shared" si="457"/>
        <v/>
      </c>
      <c r="Z1289" s="134" t="str">
        <f>IF(Y1289="","",IFERROR((RANK(Y1289,$Y$2:$Y$2028,1)+COUNTIF($Y$2:Y1289,Y1289))-1,""))</f>
        <v/>
      </c>
      <c r="AA1289" s="134" t="str">
        <f t="shared" si="458"/>
        <v/>
      </c>
      <c r="AB1289" s="134" t="str">
        <f>IF(AA1289="","",IFERROR((RANK(AA1289,$AA$2:$AA$2028,1)+COUNTIF($AA$2:AA1289,AA1289))-1,""))</f>
        <v/>
      </c>
      <c r="AC1289" s="134" t="str">
        <f t="shared" si="459"/>
        <v/>
      </c>
      <c r="AD1289" s="134" t="str">
        <f>IF(AC1289="","",IFERROR((RANK(AC1289,$AC$2:$AC$2028,1)+COUNTIF($AC$2:AC1289,AC1289))-1,""))</f>
        <v/>
      </c>
      <c r="AE1289" s="144" t="str">
        <f t="shared" si="463"/>
        <v/>
      </c>
      <c r="AF1289" s="144" t="str">
        <f>IF(AE1289="","",SUM($AE$2:AE1289))</f>
        <v/>
      </c>
    </row>
    <row r="1290" spans="14:32" x14ac:dyDescent="0.35">
      <c r="N1290" s="134" t="str">
        <f t="shared" si="461"/>
        <v/>
      </c>
      <c r="O1290" s="82" t="str">
        <f t="shared" si="452"/>
        <v/>
      </c>
      <c r="P1290" s="81" t="str">
        <f t="shared" si="462"/>
        <v/>
      </c>
      <c r="Q1290" s="81" t="str">
        <f t="shared" si="453"/>
        <v/>
      </c>
      <c r="R1290" s="135" t="str">
        <f t="shared" ca="1" si="454"/>
        <v/>
      </c>
      <c r="S1290" s="134" t="str">
        <f t="shared" ca="1" si="455"/>
        <v/>
      </c>
      <c r="T1290" s="134" t="str">
        <f ca="1">IF(S1290=Dashboard!$D$12,S1290,"")</f>
        <v/>
      </c>
      <c r="U1290" s="134" t="str">
        <f t="shared" ca="1" si="456"/>
        <v/>
      </c>
      <c r="V1290" s="83" t="str">
        <f ca="1">IF(U1290="","",IFERROR((RANK(U1290,$U$2:$U$2028,1)+COUNTIF($U$2:U1290,U1290))-1,""))</f>
        <v/>
      </c>
      <c r="W1290" s="134" t="str">
        <f t="shared" si="460"/>
        <v/>
      </c>
      <c r="X1290" s="134" t="str">
        <f>IF(W1290="","",IFERROR((RANK(W1290,$W$2:$W$2028,1)+COUNTIF($W$2:W1290,W1290))-1,""))</f>
        <v/>
      </c>
      <c r="Y1290" s="134" t="str">
        <f t="shared" si="457"/>
        <v/>
      </c>
      <c r="Z1290" s="134" t="str">
        <f>IF(Y1290="","",IFERROR((RANK(Y1290,$Y$2:$Y$2028,1)+COUNTIF($Y$2:Y1290,Y1290))-1,""))</f>
        <v/>
      </c>
      <c r="AA1290" s="134" t="str">
        <f t="shared" si="458"/>
        <v/>
      </c>
      <c r="AB1290" s="134" t="str">
        <f>IF(AA1290="","",IFERROR((RANK(AA1290,$AA$2:$AA$2028,1)+COUNTIF($AA$2:AA1290,AA1290))-1,""))</f>
        <v/>
      </c>
      <c r="AC1290" s="134" t="str">
        <f t="shared" si="459"/>
        <v/>
      </c>
      <c r="AD1290" s="134" t="str">
        <f>IF(AC1290="","",IFERROR((RANK(AC1290,$AC$2:$AC$2028,1)+COUNTIF($AC$2:AC1290,AC1290))-1,""))</f>
        <v/>
      </c>
      <c r="AE1290" s="144" t="str">
        <f t="shared" si="463"/>
        <v/>
      </c>
      <c r="AF1290" s="144" t="str">
        <f>IF(AE1290="","",SUM($AE$2:AE1290))</f>
        <v/>
      </c>
    </row>
    <row r="1291" spans="14:32" x14ac:dyDescent="0.35">
      <c r="N1291" s="134" t="str">
        <f t="shared" si="461"/>
        <v/>
      </c>
      <c r="O1291" s="82" t="str">
        <f t="shared" si="452"/>
        <v/>
      </c>
      <c r="P1291" s="81" t="str">
        <f t="shared" si="462"/>
        <v/>
      </c>
      <c r="Q1291" s="81" t="str">
        <f t="shared" si="453"/>
        <v/>
      </c>
      <c r="R1291" s="135" t="str">
        <f t="shared" ca="1" si="454"/>
        <v/>
      </c>
      <c r="S1291" s="134" t="str">
        <f t="shared" ca="1" si="455"/>
        <v/>
      </c>
      <c r="T1291" s="134" t="str">
        <f ca="1">IF(S1291=Dashboard!$D$12,S1291,"")</f>
        <v/>
      </c>
      <c r="U1291" s="134" t="str">
        <f t="shared" ca="1" si="456"/>
        <v/>
      </c>
      <c r="V1291" s="83" t="str">
        <f ca="1">IF(U1291="","",IFERROR((RANK(U1291,$U$2:$U$2028,1)+COUNTIF($U$2:U1291,U1291))-1,""))</f>
        <v/>
      </c>
      <c r="W1291" s="134" t="str">
        <f t="shared" si="460"/>
        <v/>
      </c>
      <c r="X1291" s="134" t="str">
        <f>IF(W1291="","",IFERROR((RANK(W1291,$W$2:$W$2028,1)+COUNTIF($W$2:W1291,W1291))-1,""))</f>
        <v/>
      </c>
      <c r="Y1291" s="134" t="str">
        <f t="shared" si="457"/>
        <v/>
      </c>
      <c r="Z1291" s="134" t="str">
        <f>IF(Y1291="","",IFERROR((RANK(Y1291,$Y$2:$Y$2028,1)+COUNTIF($Y$2:Y1291,Y1291))-1,""))</f>
        <v/>
      </c>
      <c r="AA1291" s="134" t="str">
        <f t="shared" si="458"/>
        <v/>
      </c>
      <c r="AB1291" s="134" t="str">
        <f>IF(AA1291="","",IFERROR((RANK(AA1291,$AA$2:$AA$2028,1)+COUNTIF($AA$2:AA1291,AA1291))-1,""))</f>
        <v/>
      </c>
      <c r="AC1291" s="134" t="str">
        <f t="shared" si="459"/>
        <v/>
      </c>
      <c r="AD1291" s="134" t="str">
        <f>IF(AC1291="","",IFERROR((RANK(AC1291,$AC$2:$AC$2028,1)+COUNTIF($AC$2:AC1291,AC1291))-1,""))</f>
        <v/>
      </c>
      <c r="AE1291" s="144" t="str">
        <f t="shared" si="463"/>
        <v/>
      </c>
      <c r="AF1291" s="144" t="str">
        <f>IF(AE1291="","",SUM($AE$2:AE1291))</f>
        <v/>
      </c>
    </row>
    <row r="1292" spans="14:32" x14ac:dyDescent="0.35">
      <c r="N1292" s="134" t="str">
        <f t="shared" si="461"/>
        <v/>
      </c>
      <c r="O1292" s="82" t="str">
        <f t="shared" si="452"/>
        <v/>
      </c>
      <c r="P1292" s="81" t="str">
        <f t="shared" si="462"/>
        <v/>
      </c>
      <c r="Q1292" s="81" t="str">
        <f t="shared" si="453"/>
        <v/>
      </c>
      <c r="R1292" s="135" t="str">
        <f t="shared" ca="1" si="454"/>
        <v/>
      </c>
      <c r="S1292" s="134" t="str">
        <f t="shared" ca="1" si="455"/>
        <v/>
      </c>
      <c r="T1292" s="134" t="str">
        <f ca="1">IF(S1292=Dashboard!$D$12,S1292,"")</f>
        <v/>
      </c>
      <c r="U1292" s="134" t="str">
        <f t="shared" ca="1" si="456"/>
        <v/>
      </c>
      <c r="V1292" s="83" t="str">
        <f ca="1">IF(U1292="","",IFERROR((RANK(U1292,$U$2:$U$2028,1)+COUNTIF($U$2:U1292,U1292))-1,""))</f>
        <v/>
      </c>
      <c r="W1292" s="134" t="str">
        <f t="shared" si="460"/>
        <v/>
      </c>
      <c r="X1292" s="134" t="str">
        <f>IF(W1292="","",IFERROR((RANK(W1292,$W$2:$W$2028,1)+COUNTIF($W$2:W1292,W1292))-1,""))</f>
        <v/>
      </c>
      <c r="Y1292" s="134" t="str">
        <f t="shared" si="457"/>
        <v/>
      </c>
      <c r="Z1292" s="134" t="str">
        <f>IF(Y1292="","",IFERROR((RANK(Y1292,$Y$2:$Y$2028,1)+COUNTIF($Y$2:Y1292,Y1292))-1,""))</f>
        <v/>
      </c>
      <c r="AA1292" s="134" t="str">
        <f t="shared" si="458"/>
        <v/>
      </c>
      <c r="AB1292" s="134" t="str">
        <f>IF(AA1292="","",IFERROR((RANK(AA1292,$AA$2:$AA$2028,1)+COUNTIF($AA$2:AA1292,AA1292))-1,""))</f>
        <v/>
      </c>
      <c r="AC1292" s="134" t="str">
        <f t="shared" si="459"/>
        <v/>
      </c>
      <c r="AD1292" s="134" t="str">
        <f>IF(AC1292="","",IFERROR((RANK(AC1292,$AC$2:$AC$2028,1)+COUNTIF($AC$2:AC1292,AC1292))-1,""))</f>
        <v/>
      </c>
      <c r="AE1292" s="144" t="str">
        <f t="shared" si="463"/>
        <v/>
      </c>
      <c r="AF1292" s="144" t="str">
        <f>IF(AE1292="","",SUM($AE$2:AE1292))</f>
        <v/>
      </c>
    </row>
    <row r="1293" spans="14:32" x14ac:dyDescent="0.35">
      <c r="N1293" s="134" t="str">
        <f t="shared" si="461"/>
        <v/>
      </c>
      <c r="O1293" s="82" t="str">
        <f t="shared" si="452"/>
        <v/>
      </c>
      <c r="P1293" s="81" t="str">
        <f t="shared" si="462"/>
        <v/>
      </c>
      <c r="Q1293" s="81" t="str">
        <f t="shared" si="453"/>
        <v/>
      </c>
      <c r="R1293" s="135" t="str">
        <f t="shared" ca="1" si="454"/>
        <v/>
      </c>
      <c r="S1293" s="134" t="str">
        <f t="shared" ca="1" si="455"/>
        <v/>
      </c>
      <c r="T1293" s="134" t="str">
        <f ca="1">IF(S1293=Dashboard!$D$12,S1293,"")</f>
        <v/>
      </c>
      <c r="U1293" s="134" t="str">
        <f t="shared" ca="1" si="456"/>
        <v/>
      </c>
      <c r="V1293" s="83" t="str">
        <f ca="1">IF(U1293="","",IFERROR((RANK(U1293,$U$2:$U$2028,1)+COUNTIF($U$2:U1293,U1293))-1,""))</f>
        <v/>
      </c>
      <c r="W1293" s="134" t="str">
        <f t="shared" si="460"/>
        <v/>
      </c>
      <c r="X1293" s="134" t="str">
        <f>IF(W1293="","",IFERROR((RANK(W1293,$W$2:$W$2028,1)+COUNTIF($W$2:W1293,W1293))-1,""))</f>
        <v/>
      </c>
      <c r="Y1293" s="134" t="str">
        <f t="shared" si="457"/>
        <v/>
      </c>
      <c r="Z1293" s="134" t="str">
        <f>IF(Y1293="","",IFERROR((RANK(Y1293,$Y$2:$Y$2028,1)+COUNTIF($Y$2:Y1293,Y1293))-1,""))</f>
        <v/>
      </c>
      <c r="AA1293" s="134" t="str">
        <f t="shared" si="458"/>
        <v/>
      </c>
      <c r="AB1293" s="134" t="str">
        <f>IF(AA1293="","",IFERROR((RANK(AA1293,$AA$2:$AA$2028,1)+COUNTIF($AA$2:AA1293,AA1293))-1,""))</f>
        <v/>
      </c>
      <c r="AC1293" s="134" t="str">
        <f t="shared" si="459"/>
        <v/>
      </c>
      <c r="AD1293" s="134" t="str">
        <f>IF(AC1293="","",IFERROR((RANK(AC1293,$AC$2:$AC$2028,1)+COUNTIF($AC$2:AC1293,AC1293))-1,""))</f>
        <v/>
      </c>
      <c r="AE1293" s="144" t="str">
        <f t="shared" si="463"/>
        <v/>
      </c>
      <c r="AF1293" s="144" t="str">
        <f>IF(AE1293="","",SUM($AE$2:AE1293))</f>
        <v/>
      </c>
    </row>
    <row r="1294" spans="14:32" x14ac:dyDescent="0.35">
      <c r="N1294" s="134" t="str">
        <f t="shared" si="461"/>
        <v/>
      </c>
      <c r="O1294" s="82" t="str">
        <f t="shared" si="452"/>
        <v/>
      </c>
      <c r="P1294" s="81" t="str">
        <f t="shared" si="462"/>
        <v/>
      </c>
      <c r="Q1294" s="81" t="str">
        <f t="shared" si="453"/>
        <v/>
      </c>
      <c r="R1294" s="135" t="str">
        <f t="shared" ca="1" si="454"/>
        <v/>
      </c>
      <c r="S1294" s="134" t="str">
        <f t="shared" ca="1" si="455"/>
        <v/>
      </c>
      <c r="T1294" s="134" t="str">
        <f ca="1">IF(S1294=Dashboard!$D$12,S1294,"")</f>
        <v/>
      </c>
      <c r="U1294" s="134" t="str">
        <f t="shared" ca="1" si="456"/>
        <v/>
      </c>
      <c r="V1294" s="83" t="str">
        <f ca="1">IF(U1294="","",IFERROR((RANK(U1294,$U$2:$U$2028,1)+COUNTIF($U$2:U1294,U1294))-1,""))</f>
        <v/>
      </c>
      <c r="W1294" s="134" t="str">
        <f t="shared" si="460"/>
        <v/>
      </c>
      <c r="X1294" s="134" t="str">
        <f>IF(W1294="","",IFERROR((RANK(W1294,$W$2:$W$2028,1)+COUNTIF($W$2:W1294,W1294))-1,""))</f>
        <v/>
      </c>
      <c r="Y1294" s="134" t="str">
        <f t="shared" si="457"/>
        <v/>
      </c>
      <c r="Z1294" s="134" t="str">
        <f>IF(Y1294="","",IFERROR((RANK(Y1294,$Y$2:$Y$2028,1)+COUNTIF($Y$2:Y1294,Y1294))-1,""))</f>
        <v/>
      </c>
      <c r="AA1294" s="134" t="str">
        <f t="shared" si="458"/>
        <v/>
      </c>
      <c r="AB1294" s="134" t="str">
        <f>IF(AA1294="","",IFERROR((RANK(AA1294,$AA$2:$AA$2028,1)+COUNTIF($AA$2:AA1294,AA1294))-1,""))</f>
        <v/>
      </c>
      <c r="AC1294" s="134" t="str">
        <f t="shared" si="459"/>
        <v/>
      </c>
      <c r="AD1294" s="134" t="str">
        <f>IF(AC1294="","",IFERROR((RANK(AC1294,$AC$2:$AC$2028,1)+COUNTIF($AC$2:AC1294,AC1294))-1,""))</f>
        <v/>
      </c>
      <c r="AE1294" s="144" t="str">
        <f t="shared" si="463"/>
        <v/>
      </c>
      <c r="AF1294" s="144" t="str">
        <f>IF(AE1294="","",SUM($AE$2:AE1294))</f>
        <v/>
      </c>
    </row>
    <row r="1295" spans="14:32" x14ac:dyDescent="0.35">
      <c r="N1295" s="134" t="str">
        <f t="shared" si="461"/>
        <v/>
      </c>
      <c r="O1295" s="82" t="str">
        <f t="shared" si="452"/>
        <v/>
      </c>
      <c r="P1295" s="81" t="str">
        <f t="shared" si="462"/>
        <v/>
      </c>
      <c r="Q1295" s="81" t="str">
        <f t="shared" si="453"/>
        <v/>
      </c>
      <c r="R1295" s="135" t="str">
        <f t="shared" ca="1" si="454"/>
        <v/>
      </c>
      <c r="S1295" s="134" t="str">
        <f t="shared" ca="1" si="455"/>
        <v/>
      </c>
      <c r="T1295" s="134" t="str">
        <f ca="1">IF(S1295=Dashboard!$D$12,S1295,"")</f>
        <v/>
      </c>
      <c r="U1295" s="134" t="str">
        <f t="shared" ca="1" si="456"/>
        <v/>
      </c>
      <c r="V1295" s="83" t="str">
        <f ca="1">IF(U1295="","",IFERROR((RANK(U1295,$U$2:$U$2028,1)+COUNTIF($U$2:U1295,U1295))-1,""))</f>
        <v/>
      </c>
      <c r="W1295" s="134" t="str">
        <f t="shared" si="460"/>
        <v/>
      </c>
      <c r="X1295" s="134" t="str">
        <f>IF(W1295="","",IFERROR((RANK(W1295,$W$2:$W$2028,1)+COUNTIF($W$2:W1295,W1295))-1,""))</f>
        <v/>
      </c>
      <c r="Y1295" s="134" t="str">
        <f t="shared" si="457"/>
        <v/>
      </c>
      <c r="Z1295" s="134" t="str">
        <f>IF(Y1295="","",IFERROR((RANK(Y1295,$Y$2:$Y$2028,1)+COUNTIF($Y$2:Y1295,Y1295))-1,""))</f>
        <v/>
      </c>
      <c r="AA1295" s="134" t="str">
        <f t="shared" si="458"/>
        <v/>
      </c>
      <c r="AB1295" s="134" t="str">
        <f>IF(AA1295="","",IFERROR((RANK(AA1295,$AA$2:$AA$2028,1)+COUNTIF($AA$2:AA1295,AA1295))-1,""))</f>
        <v/>
      </c>
      <c r="AC1295" s="134" t="str">
        <f t="shared" si="459"/>
        <v/>
      </c>
      <c r="AD1295" s="134" t="str">
        <f>IF(AC1295="","",IFERROR((RANK(AC1295,$AC$2:$AC$2028,1)+COUNTIF($AC$2:AC1295,AC1295))-1,""))</f>
        <v/>
      </c>
      <c r="AE1295" s="144" t="str">
        <f t="shared" si="463"/>
        <v/>
      </c>
      <c r="AF1295" s="144" t="str">
        <f>IF(AE1295="","",SUM($AE$2:AE1295))</f>
        <v/>
      </c>
    </row>
    <row r="1296" spans="14:32" x14ac:dyDescent="0.35">
      <c r="N1296" s="134" t="str">
        <f t="shared" si="461"/>
        <v/>
      </c>
      <c r="O1296" s="82" t="str">
        <f t="shared" si="452"/>
        <v/>
      </c>
      <c r="P1296" s="81" t="str">
        <f t="shared" si="462"/>
        <v/>
      </c>
      <c r="Q1296" s="81" t="str">
        <f t="shared" si="453"/>
        <v/>
      </c>
      <c r="R1296" s="135" t="str">
        <f t="shared" ca="1" si="454"/>
        <v/>
      </c>
      <c r="S1296" s="134" t="str">
        <f t="shared" ca="1" si="455"/>
        <v/>
      </c>
      <c r="T1296" s="134" t="str">
        <f ca="1">IF(S1296=Dashboard!$D$12,S1296,"")</f>
        <v/>
      </c>
      <c r="U1296" s="134" t="str">
        <f t="shared" ca="1" si="456"/>
        <v/>
      </c>
      <c r="V1296" s="83" t="str">
        <f ca="1">IF(U1296="","",IFERROR((RANK(U1296,$U$2:$U$2028,1)+COUNTIF($U$2:U1296,U1296))-1,""))</f>
        <v/>
      </c>
      <c r="W1296" s="134" t="str">
        <f t="shared" si="460"/>
        <v/>
      </c>
      <c r="X1296" s="134" t="str">
        <f>IF(W1296="","",IFERROR((RANK(W1296,$W$2:$W$2028,1)+COUNTIF($W$2:W1296,W1296))-1,""))</f>
        <v/>
      </c>
      <c r="Y1296" s="134" t="str">
        <f t="shared" si="457"/>
        <v/>
      </c>
      <c r="Z1296" s="134" t="str">
        <f>IF(Y1296="","",IFERROR((RANK(Y1296,$Y$2:$Y$2028,1)+COUNTIF($Y$2:Y1296,Y1296))-1,""))</f>
        <v/>
      </c>
      <c r="AA1296" s="134" t="str">
        <f t="shared" si="458"/>
        <v/>
      </c>
      <c r="AB1296" s="134" t="str">
        <f>IF(AA1296="","",IFERROR((RANK(AA1296,$AA$2:$AA$2028,1)+COUNTIF($AA$2:AA1296,AA1296))-1,""))</f>
        <v/>
      </c>
      <c r="AC1296" s="134" t="str">
        <f t="shared" si="459"/>
        <v/>
      </c>
      <c r="AD1296" s="134" t="str">
        <f>IF(AC1296="","",IFERROR((RANK(AC1296,$AC$2:$AC$2028,1)+COUNTIF($AC$2:AC1296,AC1296))-1,""))</f>
        <v/>
      </c>
      <c r="AE1296" s="144" t="str">
        <f t="shared" si="463"/>
        <v/>
      </c>
      <c r="AF1296" s="144" t="str">
        <f>IF(AE1296="","",SUM($AE$2:AE1296))</f>
        <v/>
      </c>
    </row>
    <row r="1297" spans="14:32" x14ac:dyDescent="0.35">
      <c r="N1297" s="134" t="str">
        <f t="shared" si="461"/>
        <v/>
      </c>
      <c r="O1297" s="82" t="str">
        <f t="shared" si="452"/>
        <v/>
      </c>
      <c r="P1297" s="81" t="str">
        <f t="shared" si="462"/>
        <v/>
      </c>
      <c r="Q1297" s="81" t="str">
        <f t="shared" si="453"/>
        <v/>
      </c>
      <c r="R1297" s="135" t="str">
        <f t="shared" ca="1" si="454"/>
        <v/>
      </c>
      <c r="S1297" s="134" t="str">
        <f t="shared" ca="1" si="455"/>
        <v/>
      </c>
      <c r="T1297" s="134" t="str">
        <f ca="1">IF(S1297=Dashboard!$D$12,S1297,"")</f>
        <v/>
      </c>
      <c r="U1297" s="134" t="str">
        <f t="shared" ca="1" si="456"/>
        <v/>
      </c>
      <c r="V1297" s="83" t="str">
        <f ca="1">IF(U1297="","",IFERROR((RANK(U1297,$U$2:$U$2028,1)+COUNTIF($U$2:U1297,U1297))-1,""))</f>
        <v/>
      </c>
      <c r="W1297" s="134" t="str">
        <f t="shared" si="460"/>
        <v/>
      </c>
      <c r="X1297" s="134" t="str">
        <f>IF(W1297="","",IFERROR((RANK(W1297,$W$2:$W$2028,1)+COUNTIF($W$2:W1297,W1297))-1,""))</f>
        <v/>
      </c>
      <c r="Y1297" s="134" t="str">
        <f t="shared" si="457"/>
        <v/>
      </c>
      <c r="Z1297" s="134" t="str">
        <f>IF(Y1297="","",IFERROR((RANK(Y1297,$Y$2:$Y$2028,1)+COUNTIF($Y$2:Y1297,Y1297))-1,""))</f>
        <v/>
      </c>
      <c r="AA1297" s="134" t="str">
        <f t="shared" si="458"/>
        <v/>
      </c>
      <c r="AB1297" s="134" t="str">
        <f>IF(AA1297="","",IFERROR((RANK(AA1297,$AA$2:$AA$2028,1)+COUNTIF($AA$2:AA1297,AA1297))-1,""))</f>
        <v/>
      </c>
      <c r="AC1297" s="134" t="str">
        <f t="shared" si="459"/>
        <v/>
      </c>
      <c r="AD1297" s="134" t="str">
        <f>IF(AC1297="","",IFERROR((RANK(AC1297,$AC$2:$AC$2028,1)+COUNTIF($AC$2:AC1297,AC1297))-1,""))</f>
        <v/>
      </c>
      <c r="AE1297" s="144" t="str">
        <f t="shared" si="463"/>
        <v/>
      </c>
      <c r="AF1297" s="144" t="str">
        <f>IF(AE1297="","",SUM($AE$2:AE1297))</f>
        <v/>
      </c>
    </row>
    <row r="1298" spans="14:32" x14ac:dyDescent="0.35">
      <c r="N1298" s="134" t="str">
        <f t="shared" si="461"/>
        <v/>
      </c>
      <c r="O1298" s="82" t="str">
        <f t="shared" si="452"/>
        <v/>
      </c>
      <c r="P1298" s="81" t="str">
        <f t="shared" si="462"/>
        <v/>
      </c>
      <c r="Q1298" s="81" t="str">
        <f t="shared" si="453"/>
        <v/>
      </c>
      <c r="R1298" s="135" t="str">
        <f t="shared" ca="1" si="454"/>
        <v/>
      </c>
      <c r="S1298" s="134" t="str">
        <f t="shared" ca="1" si="455"/>
        <v/>
      </c>
      <c r="T1298" s="134" t="str">
        <f ca="1">IF(S1298=Dashboard!$D$12,S1298,"")</f>
        <v/>
      </c>
      <c r="U1298" s="134" t="str">
        <f t="shared" ca="1" si="456"/>
        <v/>
      </c>
      <c r="V1298" s="83" t="str">
        <f ca="1">IF(U1298="","",IFERROR((RANK(U1298,$U$2:$U$2028,1)+COUNTIF($U$2:U1298,U1298))-1,""))</f>
        <v/>
      </c>
      <c r="W1298" s="134" t="str">
        <f t="shared" si="460"/>
        <v/>
      </c>
      <c r="X1298" s="134" t="str">
        <f>IF(W1298="","",IFERROR((RANK(W1298,$W$2:$W$2028,1)+COUNTIF($W$2:W1298,W1298))-1,""))</f>
        <v/>
      </c>
      <c r="Y1298" s="134" t="str">
        <f t="shared" si="457"/>
        <v/>
      </c>
      <c r="Z1298" s="134" t="str">
        <f>IF(Y1298="","",IFERROR((RANK(Y1298,$Y$2:$Y$2028,1)+COUNTIF($Y$2:Y1298,Y1298))-1,""))</f>
        <v/>
      </c>
      <c r="AA1298" s="134" t="str">
        <f t="shared" si="458"/>
        <v/>
      </c>
      <c r="AB1298" s="134" t="str">
        <f>IF(AA1298="","",IFERROR((RANK(AA1298,$AA$2:$AA$2028,1)+COUNTIF($AA$2:AA1298,AA1298))-1,""))</f>
        <v/>
      </c>
      <c r="AC1298" s="134" t="str">
        <f t="shared" si="459"/>
        <v/>
      </c>
      <c r="AD1298" s="134" t="str">
        <f>IF(AC1298="","",IFERROR((RANK(AC1298,$AC$2:$AC$2028,1)+COUNTIF($AC$2:AC1298,AC1298))-1,""))</f>
        <v/>
      </c>
      <c r="AE1298" s="144" t="str">
        <f t="shared" si="463"/>
        <v/>
      </c>
      <c r="AF1298" s="144" t="str">
        <f>IF(AE1298="","",SUM($AE$2:AE1298))</f>
        <v/>
      </c>
    </row>
    <row r="1299" spans="14:32" x14ac:dyDescent="0.35">
      <c r="N1299" s="134" t="str">
        <f t="shared" si="461"/>
        <v/>
      </c>
      <c r="O1299" s="82" t="str">
        <f t="shared" si="452"/>
        <v/>
      </c>
      <c r="P1299" s="81" t="str">
        <f t="shared" si="462"/>
        <v/>
      </c>
      <c r="Q1299" s="81" t="str">
        <f t="shared" si="453"/>
        <v/>
      </c>
      <c r="R1299" s="135" t="str">
        <f t="shared" ca="1" si="454"/>
        <v/>
      </c>
      <c r="S1299" s="134" t="str">
        <f t="shared" ca="1" si="455"/>
        <v/>
      </c>
      <c r="T1299" s="134" t="str">
        <f ca="1">IF(S1299=Dashboard!$D$12,S1299,"")</f>
        <v/>
      </c>
      <c r="U1299" s="134" t="str">
        <f t="shared" ca="1" si="456"/>
        <v/>
      </c>
      <c r="V1299" s="83" t="str">
        <f ca="1">IF(U1299="","",IFERROR((RANK(U1299,$U$2:$U$2028,1)+COUNTIF($U$2:U1299,U1299))-1,""))</f>
        <v/>
      </c>
      <c r="W1299" s="134" t="str">
        <f t="shared" si="460"/>
        <v/>
      </c>
      <c r="X1299" s="134" t="str">
        <f>IF(W1299="","",IFERROR((RANK(W1299,$W$2:$W$2028,1)+COUNTIF($W$2:W1299,W1299))-1,""))</f>
        <v/>
      </c>
      <c r="Y1299" s="134" t="str">
        <f t="shared" si="457"/>
        <v/>
      </c>
      <c r="Z1299" s="134" t="str">
        <f>IF(Y1299="","",IFERROR((RANK(Y1299,$Y$2:$Y$2028,1)+COUNTIF($Y$2:Y1299,Y1299))-1,""))</f>
        <v/>
      </c>
      <c r="AA1299" s="134" t="str">
        <f t="shared" si="458"/>
        <v/>
      </c>
      <c r="AB1299" s="134" t="str">
        <f>IF(AA1299="","",IFERROR((RANK(AA1299,$AA$2:$AA$2028,1)+COUNTIF($AA$2:AA1299,AA1299))-1,""))</f>
        <v/>
      </c>
      <c r="AC1299" s="134" t="str">
        <f t="shared" si="459"/>
        <v/>
      </c>
      <c r="AD1299" s="134" t="str">
        <f>IF(AC1299="","",IFERROR((RANK(AC1299,$AC$2:$AC$2028,1)+COUNTIF($AC$2:AC1299,AC1299))-1,""))</f>
        <v/>
      </c>
      <c r="AE1299" s="144" t="str">
        <f t="shared" si="463"/>
        <v/>
      </c>
      <c r="AF1299" s="144" t="str">
        <f>IF(AE1299="","",SUM($AE$2:AE1299))</f>
        <v/>
      </c>
    </row>
    <row r="1300" spans="14:32" x14ac:dyDescent="0.35">
      <c r="N1300" s="134" t="str">
        <f t="shared" si="461"/>
        <v/>
      </c>
      <c r="O1300" s="82" t="str">
        <f t="shared" si="452"/>
        <v/>
      </c>
      <c r="P1300" s="81" t="str">
        <f t="shared" si="462"/>
        <v/>
      </c>
      <c r="Q1300" s="81" t="str">
        <f t="shared" si="453"/>
        <v/>
      </c>
      <c r="R1300" s="135" t="str">
        <f t="shared" ca="1" si="454"/>
        <v/>
      </c>
      <c r="S1300" s="134" t="str">
        <f t="shared" ca="1" si="455"/>
        <v/>
      </c>
      <c r="T1300" s="134" t="str">
        <f ca="1">IF(S1300=Dashboard!$D$12,S1300,"")</f>
        <v/>
      </c>
      <c r="U1300" s="134" t="str">
        <f t="shared" ca="1" si="456"/>
        <v/>
      </c>
      <c r="V1300" s="83" t="str">
        <f ca="1">IF(U1300="","",IFERROR((RANK(U1300,$U$2:$U$2028,1)+COUNTIF($U$2:U1300,U1300))-1,""))</f>
        <v/>
      </c>
      <c r="W1300" s="134" t="str">
        <f t="shared" si="460"/>
        <v/>
      </c>
      <c r="X1300" s="134" t="str">
        <f>IF(W1300="","",IFERROR((RANK(W1300,$W$2:$W$2028,1)+COUNTIF($W$2:W1300,W1300))-1,""))</f>
        <v/>
      </c>
      <c r="Y1300" s="134" t="str">
        <f t="shared" si="457"/>
        <v/>
      </c>
      <c r="Z1300" s="134" t="str">
        <f>IF(Y1300="","",IFERROR((RANK(Y1300,$Y$2:$Y$2028,1)+COUNTIF($Y$2:Y1300,Y1300))-1,""))</f>
        <v/>
      </c>
      <c r="AA1300" s="134" t="str">
        <f t="shared" si="458"/>
        <v/>
      </c>
      <c r="AB1300" s="134" t="str">
        <f>IF(AA1300="","",IFERROR((RANK(AA1300,$AA$2:$AA$2028,1)+COUNTIF($AA$2:AA1300,AA1300))-1,""))</f>
        <v/>
      </c>
      <c r="AC1300" s="134" t="str">
        <f t="shared" si="459"/>
        <v/>
      </c>
      <c r="AD1300" s="134" t="str">
        <f>IF(AC1300="","",IFERROR((RANK(AC1300,$AC$2:$AC$2028,1)+COUNTIF($AC$2:AC1300,AC1300))-1,""))</f>
        <v/>
      </c>
      <c r="AE1300" s="144" t="str">
        <f t="shared" si="463"/>
        <v/>
      </c>
      <c r="AF1300" s="144" t="str">
        <f>IF(AE1300="","",SUM($AE$2:AE1300))</f>
        <v/>
      </c>
    </row>
    <row r="1301" spans="14:32" x14ac:dyDescent="0.35">
      <c r="N1301" s="134" t="str">
        <f t="shared" si="461"/>
        <v/>
      </c>
      <c r="O1301" s="82" t="str">
        <f t="shared" si="452"/>
        <v/>
      </c>
      <c r="P1301" s="81" t="str">
        <f t="shared" si="462"/>
        <v/>
      </c>
      <c r="Q1301" s="81" t="str">
        <f t="shared" si="453"/>
        <v/>
      </c>
      <c r="R1301" s="135" t="str">
        <f t="shared" ca="1" si="454"/>
        <v/>
      </c>
      <c r="S1301" s="134" t="str">
        <f t="shared" ca="1" si="455"/>
        <v/>
      </c>
      <c r="T1301" s="134" t="str">
        <f ca="1">IF(S1301=Dashboard!$D$12,S1301,"")</f>
        <v/>
      </c>
      <c r="U1301" s="134" t="str">
        <f t="shared" ca="1" si="456"/>
        <v/>
      </c>
      <c r="V1301" s="83" t="str">
        <f ca="1">IF(U1301="","",IFERROR((RANK(U1301,$U$2:$U$2028,1)+COUNTIF($U$2:U1301,U1301))-1,""))</f>
        <v/>
      </c>
      <c r="W1301" s="134" t="str">
        <f t="shared" si="460"/>
        <v/>
      </c>
      <c r="X1301" s="134" t="str">
        <f>IF(W1301="","",IFERROR((RANK(W1301,$W$2:$W$2028,1)+COUNTIF($W$2:W1301,W1301))-1,""))</f>
        <v/>
      </c>
      <c r="Y1301" s="134" t="str">
        <f t="shared" si="457"/>
        <v/>
      </c>
      <c r="Z1301" s="134" t="str">
        <f>IF(Y1301="","",IFERROR((RANK(Y1301,$Y$2:$Y$2028,1)+COUNTIF($Y$2:Y1301,Y1301))-1,""))</f>
        <v/>
      </c>
      <c r="AA1301" s="134" t="str">
        <f t="shared" si="458"/>
        <v/>
      </c>
      <c r="AB1301" s="134" t="str">
        <f>IF(AA1301="","",IFERROR((RANK(AA1301,$AA$2:$AA$2028,1)+COUNTIF($AA$2:AA1301,AA1301))-1,""))</f>
        <v/>
      </c>
      <c r="AC1301" s="134" t="str">
        <f t="shared" si="459"/>
        <v/>
      </c>
      <c r="AD1301" s="134" t="str">
        <f>IF(AC1301="","",IFERROR((RANK(AC1301,$AC$2:$AC$2028,1)+COUNTIF($AC$2:AC1301,AC1301))-1,""))</f>
        <v/>
      </c>
      <c r="AE1301" s="144" t="str">
        <f t="shared" si="463"/>
        <v/>
      </c>
      <c r="AF1301" s="144" t="str">
        <f>IF(AE1301="","",SUM($AE$2:AE1301))</f>
        <v/>
      </c>
    </row>
    <row r="1302" spans="14:32" x14ac:dyDescent="0.35">
      <c r="N1302" s="134" t="str">
        <f t="shared" si="461"/>
        <v/>
      </c>
      <c r="O1302" s="82" t="str">
        <f t="shared" si="452"/>
        <v/>
      </c>
      <c r="P1302" s="81" t="str">
        <f t="shared" si="462"/>
        <v/>
      </c>
      <c r="Q1302" s="81" t="str">
        <f t="shared" si="453"/>
        <v/>
      </c>
      <c r="R1302" s="135" t="str">
        <f t="shared" ca="1" si="454"/>
        <v/>
      </c>
      <c r="S1302" s="134" t="str">
        <f t="shared" ca="1" si="455"/>
        <v/>
      </c>
      <c r="T1302" s="134" t="str">
        <f ca="1">IF(S1302=Dashboard!$D$12,S1302,"")</f>
        <v/>
      </c>
      <c r="U1302" s="134" t="str">
        <f t="shared" ca="1" si="456"/>
        <v/>
      </c>
      <c r="V1302" s="83" t="str">
        <f ca="1">IF(U1302="","",IFERROR((RANK(U1302,$U$2:$U$2028,1)+COUNTIF($U$2:U1302,U1302))-1,""))</f>
        <v/>
      </c>
      <c r="W1302" s="134" t="str">
        <f t="shared" si="460"/>
        <v/>
      </c>
      <c r="X1302" s="134" t="str">
        <f>IF(W1302="","",IFERROR((RANK(W1302,$W$2:$W$2028,1)+COUNTIF($W$2:W1302,W1302))-1,""))</f>
        <v/>
      </c>
      <c r="Y1302" s="134" t="str">
        <f t="shared" si="457"/>
        <v/>
      </c>
      <c r="Z1302" s="134" t="str">
        <f>IF(Y1302="","",IFERROR((RANK(Y1302,$Y$2:$Y$2028,1)+COUNTIF($Y$2:Y1302,Y1302))-1,""))</f>
        <v/>
      </c>
      <c r="AA1302" s="134" t="str">
        <f t="shared" si="458"/>
        <v/>
      </c>
      <c r="AB1302" s="134" t="str">
        <f>IF(AA1302="","",IFERROR((RANK(AA1302,$AA$2:$AA$2028,1)+COUNTIF($AA$2:AA1302,AA1302))-1,""))</f>
        <v/>
      </c>
      <c r="AC1302" s="134" t="str">
        <f t="shared" si="459"/>
        <v/>
      </c>
      <c r="AD1302" s="134" t="str">
        <f>IF(AC1302="","",IFERROR((RANK(AC1302,$AC$2:$AC$2028,1)+COUNTIF($AC$2:AC1302,AC1302))-1,""))</f>
        <v/>
      </c>
      <c r="AE1302" s="144" t="str">
        <f t="shared" si="463"/>
        <v/>
      </c>
      <c r="AF1302" s="144" t="str">
        <f>IF(AE1302="","",SUM($AE$2:AE1302))</f>
        <v/>
      </c>
    </row>
    <row r="1303" spans="14:32" x14ac:dyDescent="0.35">
      <c r="N1303" s="134" t="str">
        <f t="shared" si="461"/>
        <v/>
      </c>
      <c r="O1303" s="82" t="str">
        <f t="shared" si="452"/>
        <v/>
      </c>
      <c r="P1303" s="81" t="str">
        <f t="shared" si="462"/>
        <v/>
      </c>
      <c r="Q1303" s="81" t="str">
        <f t="shared" si="453"/>
        <v/>
      </c>
      <c r="R1303" s="135" t="str">
        <f t="shared" ca="1" si="454"/>
        <v/>
      </c>
      <c r="S1303" s="134" t="str">
        <f t="shared" ca="1" si="455"/>
        <v/>
      </c>
      <c r="T1303" s="134" t="str">
        <f ca="1">IF(S1303=Dashboard!$D$12,S1303,"")</f>
        <v/>
      </c>
      <c r="U1303" s="134" t="str">
        <f t="shared" ca="1" si="456"/>
        <v/>
      </c>
      <c r="V1303" s="83" t="str">
        <f ca="1">IF(U1303="","",IFERROR((RANK(U1303,$U$2:$U$2028,1)+COUNTIF($U$2:U1303,U1303))-1,""))</f>
        <v/>
      </c>
      <c r="W1303" s="134" t="str">
        <f t="shared" si="460"/>
        <v/>
      </c>
      <c r="X1303" s="134" t="str">
        <f>IF(W1303="","",IFERROR((RANK(W1303,$W$2:$W$2028,1)+COUNTIF($W$2:W1303,W1303))-1,""))</f>
        <v/>
      </c>
      <c r="Y1303" s="134" t="str">
        <f t="shared" si="457"/>
        <v/>
      </c>
      <c r="Z1303" s="134" t="str">
        <f>IF(Y1303="","",IFERROR((RANK(Y1303,$Y$2:$Y$2028,1)+COUNTIF($Y$2:Y1303,Y1303))-1,""))</f>
        <v/>
      </c>
      <c r="AA1303" s="134" t="str">
        <f t="shared" si="458"/>
        <v/>
      </c>
      <c r="AB1303" s="134" t="str">
        <f>IF(AA1303="","",IFERROR((RANK(AA1303,$AA$2:$AA$2028,1)+COUNTIF($AA$2:AA1303,AA1303))-1,""))</f>
        <v/>
      </c>
      <c r="AC1303" s="134" t="str">
        <f t="shared" si="459"/>
        <v/>
      </c>
      <c r="AD1303" s="134" t="str">
        <f>IF(AC1303="","",IFERROR((RANK(AC1303,$AC$2:$AC$2028,1)+COUNTIF($AC$2:AC1303,AC1303))-1,""))</f>
        <v/>
      </c>
      <c r="AE1303" s="144" t="str">
        <f t="shared" si="463"/>
        <v/>
      </c>
      <c r="AF1303" s="144" t="str">
        <f>IF(AE1303="","",SUM($AE$2:AE1303))</f>
        <v/>
      </c>
    </row>
    <row r="1304" spans="14:32" x14ac:dyDescent="0.35">
      <c r="N1304" s="134" t="str">
        <f t="shared" si="461"/>
        <v/>
      </c>
      <c r="O1304" s="82" t="str">
        <f t="shared" si="452"/>
        <v/>
      </c>
      <c r="P1304" s="81" t="str">
        <f t="shared" si="462"/>
        <v/>
      </c>
      <c r="Q1304" s="81" t="str">
        <f t="shared" si="453"/>
        <v/>
      </c>
      <c r="R1304" s="135" t="str">
        <f t="shared" ca="1" si="454"/>
        <v/>
      </c>
      <c r="S1304" s="134" t="str">
        <f t="shared" ca="1" si="455"/>
        <v/>
      </c>
      <c r="T1304" s="134" t="str">
        <f ca="1">IF(S1304=Dashboard!$D$12,S1304,"")</f>
        <v/>
      </c>
      <c r="U1304" s="134" t="str">
        <f t="shared" ca="1" si="456"/>
        <v/>
      </c>
      <c r="V1304" s="83" t="str">
        <f ca="1">IF(U1304="","",IFERROR((RANK(U1304,$U$2:$U$2028,1)+COUNTIF($U$2:U1304,U1304))-1,""))</f>
        <v/>
      </c>
      <c r="W1304" s="134" t="str">
        <f t="shared" si="460"/>
        <v/>
      </c>
      <c r="X1304" s="134" t="str">
        <f>IF(W1304="","",IFERROR((RANK(W1304,$W$2:$W$2028,1)+COUNTIF($W$2:W1304,W1304))-1,""))</f>
        <v/>
      </c>
      <c r="Y1304" s="134" t="str">
        <f t="shared" si="457"/>
        <v/>
      </c>
      <c r="Z1304" s="134" t="str">
        <f>IF(Y1304="","",IFERROR((RANK(Y1304,$Y$2:$Y$2028,1)+COUNTIF($Y$2:Y1304,Y1304))-1,""))</f>
        <v/>
      </c>
      <c r="AA1304" s="134" t="str">
        <f t="shared" si="458"/>
        <v/>
      </c>
      <c r="AB1304" s="134" t="str">
        <f>IF(AA1304="","",IFERROR((RANK(AA1304,$AA$2:$AA$2028,1)+COUNTIF($AA$2:AA1304,AA1304))-1,""))</f>
        <v/>
      </c>
      <c r="AC1304" s="134" t="str">
        <f t="shared" si="459"/>
        <v/>
      </c>
      <c r="AD1304" s="134" t="str">
        <f>IF(AC1304="","",IFERROR((RANK(AC1304,$AC$2:$AC$2028,1)+COUNTIF($AC$2:AC1304,AC1304))-1,""))</f>
        <v/>
      </c>
      <c r="AE1304" s="144" t="str">
        <f t="shared" si="463"/>
        <v/>
      </c>
      <c r="AF1304" s="144" t="str">
        <f>IF(AE1304="","",SUM($AE$2:AE1304))</f>
        <v/>
      </c>
    </row>
    <row r="1305" spans="14:32" x14ac:dyDescent="0.35">
      <c r="N1305" s="134" t="str">
        <f t="shared" si="461"/>
        <v/>
      </c>
      <c r="O1305" s="82" t="str">
        <f t="shared" si="452"/>
        <v/>
      </c>
      <c r="P1305" s="81" t="str">
        <f t="shared" si="462"/>
        <v/>
      </c>
      <c r="Q1305" s="81" t="str">
        <f t="shared" si="453"/>
        <v/>
      </c>
      <c r="R1305" s="135" t="str">
        <f t="shared" ca="1" si="454"/>
        <v/>
      </c>
      <c r="S1305" s="134" t="str">
        <f t="shared" ca="1" si="455"/>
        <v/>
      </c>
      <c r="T1305" s="134" t="str">
        <f ca="1">IF(S1305=Dashboard!$D$12,S1305,"")</f>
        <v/>
      </c>
      <c r="U1305" s="134" t="str">
        <f t="shared" ca="1" si="456"/>
        <v/>
      </c>
      <c r="V1305" s="83" t="str">
        <f ca="1">IF(U1305="","",IFERROR((RANK(U1305,$U$2:$U$2028,1)+COUNTIF($U$2:U1305,U1305))-1,""))</f>
        <v/>
      </c>
      <c r="W1305" s="134" t="str">
        <f t="shared" si="460"/>
        <v/>
      </c>
      <c r="X1305" s="134" t="str">
        <f>IF(W1305="","",IFERROR((RANK(W1305,$W$2:$W$2028,1)+COUNTIF($W$2:W1305,W1305))-1,""))</f>
        <v/>
      </c>
      <c r="Y1305" s="134" t="str">
        <f t="shared" si="457"/>
        <v/>
      </c>
      <c r="Z1305" s="134" t="str">
        <f>IF(Y1305="","",IFERROR((RANK(Y1305,$Y$2:$Y$2028,1)+COUNTIF($Y$2:Y1305,Y1305))-1,""))</f>
        <v/>
      </c>
      <c r="AA1305" s="134" t="str">
        <f t="shared" si="458"/>
        <v/>
      </c>
      <c r="AB1305" s="134" t="str">
        <f>IF(AA1305="","",IFERROR((RANK(AA1305,$AA$2:$AA$2028,1)+COUNTIF($AA$2:AA1305,AA1305))-1,""))</f>
        <v/>
      </c>
      <c r="AC1305" s="134" t="str">
        <f t="shared" si="459"/>
        <v/>
      </c>
      <c r="AD1305" s="134" t="str">
        <f>IF(AC1305="","",IFERROR((RANK(AC1305,$AC$2:$AC$2028,1)+COUNTIF($AC$2:AC1305,AC1305))-1,""))</f>
        <v/>
      </c>
      <c r="AE1305" s="144" t="str">
        <f t="shared" si="463"/>
        <v/>
      </c>
      <c r="AF1305" s="144" t="str">
        <f>IF(AE1305="","",SUM($AE$2:AE1305))</f>
        <v/>
      </c>
    </row>
    <row r="1306" spans="14:32" x14ac:dyDescent="0.35">
      <c r="N1306" s="134" t="str">
        <f t="shared" si="461"/>
        <v/>
      </c>
      <c r="O1306" s="82" t="str">
        <f t="shared" si="452"/>
        <v/>
      </c>
      <c r="P1306" s="81" t="str">
        <f t="shared" si="462"/>
        <v/>
      </c>
      <c r="Q1306" s="81" t="str">
        <f t="shared" si="453"/>
        <v/>
      </c>
      <c r="R1306" s="135" t="str">
        <f t="shared" ca="1" si="454"/>
        <v/>
      </c>
      <c r="S1306" s="134" t="str">
        <f t="shared" ca="1" si="455"/>
        <v/>
      </c>
      <c r="T1306" s="134" t="str">
        <f ca="1">IF(S1306=Dashboard!$D$12,S1306,"")</f>
        <v/>
      </c>
      <c r="U1306" s="134" t="str">
        <f t="shared" ca="1" si="456"/>
        <v/>
      </c>
      <c r="V1306" s="83" t="str">
        <f ca="1">IF(U1306="","",IFERROR((RANK(U1306,$U$2:$U$2028,1)+COUNTIF($U$2:U1306,U1306))-1,""))</f>
        <v/>
      </c>
      <c r="W1306" s="134" t="str">
        <f t="shared" si="460"/>
        <v/>
      </c>
      <c r="X1306" s="134" t="str">
        <f>IF(W1306="","",IFERROR((RANK(W1306,$W$2:$W$2028,1)+COUNTIF($W$2:W1306,W1306))-1,""))</f>
        <v/>
      </c>
      <c r="Y1306" s="134" t="str">
        <f t="shared" si="457"/>
        <v/>
      </c>
      <c r="Z1306" s="134" t="str">
        <f>IF(Y1306="","",IFERROR((RANK(Y1306,$Y$2:$Y$2028,1)+COUNTIF($Y$2:Y1306,Y1306))-1,""))</f>
        <v/>
      </c>
      <c r="AA1306" s="134" t="str">
        <f t="shared" si="458"/>
        <v/>
      </c>
      <c r="AB1306" s="134" t="str">
        <f>IF(AA1306="","",IFERROR((RANK(AA1306,$AA$2:$AA$2028,1)+COUNTIF($AA$2:AA1306,AA1306))-1,""))</f>
        <v/>
      </c>
      <c r="AC1306" s="134" t="str">
        <f t="shared" si="459"/>
        <v/>
      </c>
      <c r="AD1306" s="134" t="str">
        <f>IF(AC1306="","",IFERROR((RANK(AC1306,$AC$2:$AC$2028,1)+COUNTIF($AC$2:AC1306,AC1306))-1,""))</f>
        <v/>
      </c>
      <c r="AE1306" s="144" t="str">
        <f t="shared" si="463"/>
        <v/>
      </c>
      <c r="AF1306" s="144" t="str">
        <f>IF(AE1306="","",SUM($AE$2:AE1306))</f>
        <v/>
      </c>
    </row>
    <row r="1307" spans="14:32" x14ac:dyDescent="0.35">
      <c r="N1307" s="134" t="str">
        <f t="shared" si="461"/>
        <v/>
      </c>
      <c r="O1307" s="82" t="str">
        <f t="shared" si="452"/>
        <v/>
      </c>
      <c r="P1307" s="81" t="str">
        <f t="shared" si="462"/>
        <v/>
      </c>
      <c r="Q1307" s="81" t="str">
        <f t="shared" si="453"/>
        <v/>
      </c>
      <c r="R1307" s="135" t="str">
        <f t="shared" ca="1" si="454"/>
        <v/>
      </c>
      <c r="S1307" s="134" t="str">
        <f t="shared" ca="1" si="455"/>
        <v/>
      </c>
      <c r="T1307" s="134" t="str">
        <f ca="1">IF(S1307=Dashboard!$D$12,S1307,"")</f>
        <v/>
      </c>
      <c r="U1307" s="134" t="str">
        <f t="shared" ca="1" si="456"/>
        <v/>
      </c>
      <c r="V1307" s="83" t="str">
        <f ca="1">IF(U1307="","",IFERROR((RANK(U1307,$U$2:$U$2028,1)+COUNTIF($U$2:U1307,U1307))-1,""))</f>
        <v/>
      </c>
      <c r="W1307" s="134" t="str">
        <f t="shared" si="460"/>
        <v/>
      </c>
      <c r="X1307" s="134" t="str">
        <f>IF(W1307="","",IFERROR((RANK(W1307,$W$2:$W$2028,1)+COUNTIF($W$2:W1307,W1307))-1,""))</f>
        <v/>
      </c>
      <c r="Y1307" s="134" t="str">
        <f t="shared" si="457"/>
        <v/>
      </c>
      <c r="Z1307" s="134" t="str">
        <f>IF(Y1307="","",IFERROR((RANK(Y1307,$Y$2:$Y$2028,1)+COUNTIF($Y$2:Y1307,Y1307))-1,""))</f>
        <v/>
      </c>
      <c r="AA1307" s="134" t="str">
        <f t="shared" si="458"/>
        <v/>
      </c>
      <c r="AB1307" s="134" t="str">
        <f>IF(AA1307="","",IFERROR((RANK(AA1307,$AA$2:$AA$2028,1)+COUNTIF($AA$2:AA1307,AA1307))-1,""))</f>
        <v/>
      </c>
      <c r="AC1307" s="134" t="str">
        <f t="shared" si="459"/>
        <v/>
      </c>
      <c r="AD1307" s="134" t="str">
        <f>IF(AC1307="","",IFERROR((RANK(AC1307,$AC$2:$AC$2028,1)+COUNTIF($AC$2:AC1307,AC1307))-1,""))</f>
        <v/>
      </c>
      <c r="AE1307" s="144" t="str">
        <f t="shared" si="463"/>
        <v/>
      </c>
      <c r="AF1307" s="144" t="str">
        <f>IF(AE1307="","",SUM($AE$2:AE1307))</f>
        <v/>
      </c>
    </row>
    <row r="1308" spans="14:32" x14ac:dyDescent="0.35">
      <c r="N1308" s="134" t="str">
        <f t="shared" si="461"/>
        <v/>
      </c>
      <c r="O1308" s="82" t="str">
        <f t="shared" si="452"/>
        <v/>
      </c>
      <c r="P1308" s="81" t="str">
        <f t="shared" si="462"/>
        <v/>
      </c>
      <c r="Q1308" s="81" t="str">
        <f t="shared" si="453"/>
        <v/>
      </c>
      <c r="R1308" s="135" t="str">
        <f t="shared" ca="1" si="454"/>
        <v/>
      </c>
      <c r="S1308" s="134" t="str">
        <f t="shared" ca="1" si="455"/>
        <v/>
      </c>
      <c r="T1308" s="134" t="str">
        <f ca="1">IF(S1308=Dashboard!$D$12,S1308,"")</f>
        <v/>
      </c>
      <c r="U1308" s="134" t="str">
        <f t="shared" ca="1" si="456"/>
        <v/>
      </c>
      <c r="V1308" s="83" t="str">
        <f ca="1">IF(U1308="","",IFERROR((RANK(U1308,$U$2:$U$2028,1)+COUNTIF($U$2:U1308,U1308))-1,""))</f>
        <v/>
      </c>
      <c r="W1308" s="134" t="str">
        <f t="shared" si="460"/>
        <v/>
      </c>
      <c r="X1308" s="134" t="str">
        <f>IF(W1308="","",IFERROR((RANK(W1308,$W$2:$W$2028,1)+COUNTIF($W$2:W1308,W1308))-1,""))</f>
        <v/>
      </c>
      <c r="Y1308" s="134" t="str">
        <f t="shared" si="457"/>
        <v/>
      </c>
      <c r="Z1308" s="134" t="str">
        <f>IF(Y1308="","",IFERROR((RANK(Y1308,$Y$2:$Y$2028,1)+COUNTIF($Y$2:Y1308,Y1308))-1,""))</f>
        <v/>
      </c>
      <c r="AA1308" s="134" t="str">
        <f t="shared" si="458"/>
        <v/>
      </c>
      <c r="AB1308" s="134" t="str">
        <f>IF(AA1308="","",IFERROR((RANK(AA1308,$AA$2:$AA$2028,1)+COUNTIF($AA$2:AA1308,AA1308))-1,""))</f>
        <v/>
      </c>
      <c r="AC1308" s="134" t="str">
        <f t="shared" si="459"/>
        <v/>
      </c>
      <c r="AD1308" s="134" t="str">
        <f>IF(AC1308="","",IFERROR((RANK(AC1308,$AC$2:$AC$2028,1)+COUNTIF($AC$2:AC1308,AC1308))-1,""))</f>
        <v/>
      </c>
      <c r="AE1308" s="144" t="str">
        <f t="shared" si="463"/>
        <v/>
      </c>
      <c r="AF1308" s="144" t="str">
        <f>IF(AE1308="","",SUM($AE$2:AE1308))</f>
        <v/>
      </c>
    </row>
    <row r="1309" spans="14:32" x14ac:dyDescent="0.35">
      <c r="N1309" s="134" t="str">
        <f t="shared" si="461"/>
        <v/>
      </c>
      <c r="O1309" s="82" t="str">
        <f t="shared" si="452"/>
        <v/>
      </c>
      <c r="P1309" s="81" t="str">
        <f t="shared" si="462"/>
        <v/>
      </c>
      <c r="Q1309" s="81" t="str">
        <f t="shared" si="453"/>
        <v/>
      </c>
      <c r="R1309" s="135" t="str">
        <f t="shared" ca="1" si="454"/>
        <v/>
      </c>
      <c r="S1309" s="134" t="str">
        <f t="shared" ca="1" si="455"/>
        <v/>
      </c>
      <c r="T1309" s="134" t="str">
        <f ca="1">IF(S1309=Dashboard!$D$12,S1309,"")</f>
        <v/>
      </c>
      <c r="U1309" s="134" t="str">
        <f t="shared" ca="1" si="456"/>
        <v/>
      </c>
      <c r="V1309" s="83" t="str">
        <f ca="1">IF(U1309="","",IFERROR((RANK(U1309,$U$2:$U$2028,1)+COUNTIF($U$2:U1309,U1309))-1,""))</f>
        <v/>
      </c>
      <c r="W1309" s="134" t="str">
        <f t="shared" si="460"/>
        <v/>
      </c>
      <c r="X1309" s="134" t="str">
        <f>IF(W1309="","",IFERROR((RANK(W1309,$W$2:$W$2028,1)+COUNTIF($W$2:W1309,W1309))-1,""))</f>
        <v/>
      </c>
      <c r="Y1309" s="134" t="str">
        <f t="shared" si="457"/>
        <v/>
      </c>
      <c r="Z1309" s="134" t="str">
        <f>IF(Y1309="","",IFERROR((RANK(Y1309,$Y$2:$Y$2028,1)+COUNTIF($Y$2:Y1309,Y1309))-1,""))</f>
        <v/>
      </c>
      <c r="AA1309" s="134" t="str">
        <f t="shared" si="458"/>
        <v/>
      </c>
      <c r="AB1309" s="134" t="str">
        <f>IF(AA1309="","",IFERROR((RANK(AA1309,$AA$2:$AA$2028,1)+COUNTIF($AA$2:AA1309,AA1309))-1,""))</f>
        <v/>
      </c>
      <c r="AC1309" s="134" t="str">
        <f t="shared" si="459"/>
        <v/>
      </c>
      <c r="AD1309" s="134" t="str">
        <f>IF(AC1309="","",IFERROR((RANK(AC1309,$AC$2:$AC$2028,1)+COUNTIF($AC$2:AC1309,AC1309))-1,""))</f>
        <v/>
      </c>
      <c r="AE1309" s="144" t="str">
        <f t="shared" si="463"/>
        <v/>
      </c>
      <c r="AF1309" s="144" t="str">
        <f>IF(AE1309="","",SUM($AE$2:AE1309))</f>
        <v/>
      </c>
    </row>
    <row r="1310" spans="14:32" x14ac:dyDescent="0.35">
      <c r="N1310" s="134" t="str">
        <f t="shared" si="461"/>
        <v/>
      </c>
      <c r="O1310" s="82" t="str">
        <f t="shared" ref="O1310:O1373" si="464">IF(A1310="","",N1310&amp;"-"&amp;M1310)</f>
        <v/>
      </c>
      <c r="P1310" s="81" t="str">
        <f t="shared" si="462"/>
        <v/>
      </c>
      <c r="Q1310" s="81" t="str">
        <f t="shared" ref="Q1310:Q1373" si="465">IF(A1310="","",IF(P1310=1,M1310,""))</f>
        <v/>
      </c>
      <c r="R1310" s="135" t="str">
        <f t="shared" ref="R1310:R1373" ca="1" si="466">IF(Q1310="","",I1310-TODAY())</f>
        <v/>
      </c>
      <c r="S1310" s="134" t="str">
        <f t="shared" ref="S1310:S1373" ca="1" si="467">IF(R1310="","",
IF(R1310&lt;-90,"Pass&gt;90",IF(R1310&lt;-60,"Pass 61-90",IF(R1310&lt;-30,"Pass 31-60",IF(R1310&lt;0,"Pass 0-30",IF(R1310&lt;31,"Run 0-30",IF(R1310&lt;61,"Run 31-60",IF(R1310&lt;91,"Run 60-90","Run &gt;90"))))))))</f>
        <v/>
      </c>
      <c r="T1310" s="134" t="str">
        <f ca="1">IF(S1310=Dashboard!$D$12,S1310,"")</f>
        <v/>
      </c>
      <c r="U1310" s="134" t="str">
        <f t="shared" ref="U1310:U1373" ca="1" si="468">IF(T1310="","",R1310)</f>
        <v/>
      </c>
      <c r="V1310" s="83" t="str">
        <f ca="1">IF(U1310="","",IFERROR((RANK(U1310,$U$2:$U$2028,1)+COUNTIF($U$2:U1310,U1310))-1,""))</f>
        <v/>
      </c>
      <c r="W1310" s="134" t="str">
        <f t="shared" si="460"/>
        <v/>
      </c>
      <c r="X1310" s="134" t="str">
        <f>IF(W1310="","",IFERROR((RANK(W1310,$W$2:$W$2028,1)+COUNTIF($W$2:W1310,W1310))-1,""))</f>
        <v/>
      </c>
      <c r="Y1310" s="134" t="str">
        <f t="shared" ref="Y1310:Y1373" si="469">IF($J1310=Y$1,$U1310,"")</f>
        <v/>
      </c>
      <c r="Z1310" s="134" t="str">
        <f>IF(Y1310="","",IFERROR((RANK(Y1310,$Y$2:$Y$2028,1)+COUNTIF($Y$2:Y1310,Y1310))-1,""))</f>
        <v/>
      </c>
      <c r="AA1310" s="134" t="str">
        <f t="shared" ref="AA1310:AA1373" si="470">IF($J1310=AA$1,$U1310,"")</f>
        <v/>
      </c>
      <c r="AB1310" s="134" t="str">
        <f>IF(AA1310="","",IFERROR((RANK(AA1310,$AA$2:$AA$2028,1)+COUNTIF($AA$2:AA1310,AA1310))-1,""))</f>
        <v/>
      </c>
      <c r="AC1310" s="134" t="str">
        <f t="shared" ref="AC1310:AC1373" si="471">IF($J1310=AC$1,$U1310,"")</f>
        <v/>
      </c>
      <c r="AD1310" s="134" t="str">
        <f>IF(AC1310="","",IFERROR((RANK(AC1310,$AC$2:$AC$2028,1)+COUNTIF($AC$2:AC1310,AC1310))-1,""))</f>
        <v/>
      </c>
      <c r="AE1310" s="144" t="str">
        <f t="shared" si="463"/>
        <v/>
      </c>
      <c r="AF1310" s="144" t="str">
        <f>IF(AE1310="","",SUM($AE$2:AE1310))</f>
        <v/>
      </c>
    </row>
    <row r="1311" spans="14:32" x14ac:dyDescent="0.35">
      <c r="N1311" s="134" t="str">
        <f t="shared" si="461"/>
        <v/>
      </c>
      <c r="O1311" s="82" t="str">
        <f t="shared" si="464"/>
        <v/>
      </c>
      <c r="P1311" s="81" t="str">
        <f t="shared" si="462"/>
        <v/>
      </c>
      <c r="Q1311" s="81" t="str">
        <f t="shared" si="465"/>
        <v/>
      </c>
      <c r="R1311" s="135" t="str">
        <f t="shared" ca="1" si="466"/>
        <v/>
      </c>
      <c r="S1311" s="134" t="str">
        <f t="shared" ca="1" si="467"/>
        <v/>
      </c>
      <c r="T1311" s="134" t="str">
        <f ca="1">IF(S1311=Dashboard!$D$12,S1311,"")</f>
        <v/>
      </c>
      <c r="U1311" s="134" t="str">
        <f t="shared" ca="1" si="468"/>
        <v/>
      </c>
      <c r="V1311" s="83" t="str">
        <f ca="1">IF(U1311="","",IFERROR((RANK(U1311,$U$2:$U$2028,1)+COUNTIF($U$2:U1311,U1311))-1,""))</f>
        <v/>
      </c>
      <c r="W1311" s="134" t="str">
        <f t="shared" ref="W1311:W1374" si="472">IF($J1311=$W$1,U1311,"")</f>
        <v/>
      </c>
      <c r="X1311" s="134" t="str">
        <f>IF(W1311="","",IFERROR((RANK(W1311,$W$2:$W$2028,1)+COUNTIF($W$2:W1311,W1311))-1,""))</f>
        <v/>
      </c>
      <c r="Y1311" s="134" t="str">
        <f t="shared" si="469"/>
        <v/>
      </c>
      <c r="Z1311" s="134" t="str">
        <f>IF(Y1311="","",IFERROR((RANK(Y1311,$Y$2:$Y$2028,1)+COUNTIF($Y$2:Y1311,Y1311))-1,""))</f>
        <v/>
      </c>
      <c r="AA1311" s="134" t="str">
        <f t="shared" si="470"/>
        <v/>
      </c>
      <c r="AB1311" s="134" t="str">
        <f>IF(AA1311="","",IFERROR((RANK(AA1311,$AA$2:$AA$2028,1)+COUNTIF($AA$2:AA1311,AA1311))-1,""))</f>
        <v/>
      </c>
      <c r="AC1311" s="134" t="str">
        <f t="shared" si="471"/>
        <v/>
      </c>
      <c r="AD1311" s="134" t="str">
        <f>IF(AC1311="","",IFERROR((RANK(AC1311,$AC$2:$AC$2028,1)+COUNTIF($AC$2:AC1311,AC1311))-1,""))</f>
        <v/>
      </c>
      <c r="AE1311" s="144" t="str">
        <f t="shared" si="463"/>
        <v/>
      </c>
      <c r="AF1311" s="144" t="str">
        <f>IF(AE1311="","",SUM($AE$2:AE1311))</f>
        <v/>
      </c>
    </row>
    <row r="1312" spans="14:32" x14ac:dyDescent="0.35">
      <c r="N1312" s="134" t="str">
        <f t="shared" si="461"/>
        <v/>
      </c>
      <c r="O1312" s="82" t="str">
        <f t="shared" si="464"/>
        <v/>
      </c>
      <c r="P1312" s="81" t="str">
        <f t="shared" si="462"/>
        <v/>
      </c>
      <c r="Q1312" s="81" t="str">
        <f t="shared" si="465"/>
        <v/>
      </c>
      <c r="R1312" s="135" t="str">
        <f t="shared" ca="1" si="466"/>
        <v/>
      </c>
      <c r="S1312" s="134" t="str">
        <f t="shared" ca="1" si="467"/>
        <v/>
      </c>
      <c r="T1312" s="134" t="str">
        <f ca="1">IF(S1312=Dashboard!$D$12,S1312,"")</f>
        <v/>
      </c>
      <c r="U1312" s="134" t="str">
        <f t="shared" ca="1" si="468"/>
        <v/>
      </c>
      <c r="V1312" s="83" t="str">
        <f ca="1">IF(U1312="","",IFERROR((RANK(U1312,$U$2:$U$2028,1)+COUNTIF($U$2:U1312,U1312))-1,""))</f>
        <v/>
      </c>
      <c r="W1312" s="134" t="str">
        <f t="shared" si="472"/>
        <v/>
      </c>
      <c r="X1312" s="134" t="str">
        <f>IF(W1312="","",IFERROR((RANK(W1312,$W$2:$W$2028,1)+COUNTIF($W$2:W1312,W1312))-1,""))</f>
        <v/>
      </c>
      <c r="Y1312" s="134" t="str">
        <f t="shared" si="469"/>
        <v/>
      </c>
      <c r="Z1312" s="134" t="str">
        <f>IF(Y1312="","",IFERROR((RANK(Y1312,$Y$2:$Y$2028,1)+COUNTIF($Y$2:Y1312,Y1312))-1,""))</f>
        <v/>
      </c>
      <c r="AA1312" s="134" t="str">
        <f t="shared" si="470"/>
        <v/>
      </c>
      <c r="AB1312" s="134" t="str">
        <f>IF(AA1312="","",IFERROR((RANK(AA1312,$AA$2:$AA$2028,1)+COUNTIF($AA$2:AA1312,AA1312))-1,""))</f>
        <v/>
      </c>
      <c r="AC1312" s="134" t="str">
        <f t="shared" si="471"/>
        <v/>
      </c>
      <c r="AD1312" s="134" t="str">
        <f>IF(AC1312="","",IFERROR((RANK(AC1312,$AC$2:$AC$2028,1)+COUNTIF($AC$2:AC1312,AC1312))-1,""))</f>
        <v/>
      </c>
      <c r="AE1312" s="144" t="str">
        <f t="shared" si="463"/>
        <v/>
      </c>
      <c r="AF1312" s="144" t="str">
        <f>IF(AE1312="","",SUM($AE$2:AE1312))</f>
        <v/>
      </c>
    </row>
    <row r="1313" spans="14:32" x14ac:dyDescent="0.35">
      <c r="N1313" s="134" t="str">
        <f t="shared" si="461"/>
        <v/>
      </c>
      <c r="O1313" s="82" t="str">
        <f t="shared" si="464"/>
        <v/>
      </c>
      <c r="P1313" s="81" t="str">
        <f t="shared" si="462"/>
        <v/>
      </c>
      <c r="Q1313" s="81" t="str">
        <f t="shared" si="465"/>
        <v/>
      </c>
      <c r="R1313" s="135" t="str">
        <f t="shared" ca="1" si="466"/>
        <v/>
      </c>
      <c r="S1313" s="134" t="str">
        <f t="shared" ca="1" si="467"/>
        <v/>
      </c>
      <c r="T1313" s="134" t="str">
        <f ca="1">IF(S1313=Dashboard!$D$12,S1313,"")</f>
        <v/>
      </c>
      <c r="U1313" s="134" t="str">
        <f t="shared" ca="1" si="468"/>
        <v/>
      </c>
      <c r="V1313" s="83" t="str">
        <f ca="1">IF(U1313="","",IFERROR((RANK(U1313,$U$2:$U$2028,1)+COUNTIF($U$2:U1313,U1313))-1,""))</f>
        <v/>
      </c>
      <c r="W1313" s="134" t="str">
        <f t="shared" si="472"/>
        <v/>
      </c>
      <c r="X1313" s="134" t="str">
        <f>IF(W1313="","",IFERROR((RANK(W1313,$W$2:$W$2028,1)+COUNTIF($W$2:W1313,W1313))-1,""))</f>
        <v/>
      </c>
      <c r="Y1313" s="134" t="str">
        <f t="shared" si="469"/>
        <v/>
      </c>
      <c r="Z1313" s="134" t="str">
        <f>IF(Y1313="","",IFERROR((RANK(Y1313,$Y$2:$Y$2028,1)+COUNTIF($Y$2:Y1313,Y1313))-1,""))</f>
        <v/>
      </c>
      <c r="AA1313" s="134" t="str">
        <f t="shared" si="470"/>
        <v/>
      </c>
      <c r="AB1313" s="134" t="str">
        <f>IF(AA1313="","",IFERROR((RANK(AA1313,$AA$2:$AA$2028,1)+COUNTIF($AA$2:AA1313,AA1313))-1,""))</f>
        <v/>
      </c>
      <c r="AC1313" s="134" t="str">
        <f t="shared" si="471"/>
        <v/>
      </c>
      <c r="AD1313" s="134" t="str">
        <f>IF(AC1313="","",IFERROR((RANK(AC1313,$AC$2:$AC$2028,1)+COUNTIF($AC$2:AC1313,AC1313))-1,""))</f>
        <v/>
      </c>
      <c r="AE1313" s="144" t="str">
        <f t="shared" si="463"/>
        <v/>
      </c>
      <c r="AF1313" s="144" t="str">
        <f>IF(AE1313="","",SUM($AE$2:AE1313))</f>
        <v/>
      </c>
    </row>
    <row r="1314" spans="14:32" x14ac:dyDescent="0.35">
      <c r="N1314" s="134" t="str">
        <f t="shared" si="461"/>
        <v/>
      </c>
      <c r="O1314" s="82" t="str">
        <f t="shared" si="464"/>
        <v/>
      </c>
      <c r="P1314" s="81" t="str">
        <f t="shared" si="462"/>
        <v/>
      </c>
      <c r="Q1314" s="81" t="str">
        <f t="shared" si="465"/>
        <v/>
      </c>
      <c r="R1314" s="135" t="str">
        <f t="shared" ca="1" si="466"/>
        <v/>
      </c>
      <c r="S1314" s="134" t="str">
        <f t="shared" ca="1" si="467"/>
        <v/>
      </c>
      <c r="T1314" s="134" t="str">
        <f ca="1">IF(S1314=Dashboard!$D$12,S1314,"")</f>
        <v/>
      </c>
      <c r="U1314" s="134" t="str">
        <f t="shared" ca="1" si="468"/>
        <v/>
      </c>
      <c r="V1314" s="83" t="str">
        <f ca="1">IF(U1314="","",IFERROR((RANK(U1314,$U$2:$U$2028,1)+COUNTIF($U$2:U1314,U1314))-1,""))</f>
        <v/>
      </c>
      <c r="W1314" s="134" t="str">
        <f t="shared" si="472"/>
        <v/>
      </c>
      <c r="X1314" s="134" t="str">
        <f>IF(W1314="","",IFERROR((RANK(W1314,$W$2:$W$2028,1)+COUNTIF($W$2:W1314,W1314))-1,""))</f>
        <v/>
      </c>
      <c r="Y1314" s="134" t="str">
        <f t="shared" si="469"/>
        <v/>
      </c>
      <c r="Z1314" s="134" t="str">
        <f>IF(Y1314="","",IFERROR((RANK(Y1314,$Y$2:$Y$2028,1)+COUNTIF($Y$2:Y1314,Y1314))-1,""))</f>
        <v/>
      </c>
      <c r="AA1314" s="134" t="str">
        <f t="shared" si="470"/>
        <v/>
      </c>
      <c r="AB1314" s="134" t="str">
        <f>IF(AA1314="","",IFERROR((RANK(AA1314,$AA$2:$AA$2028,1)+COUNTIF($AA$2:AA1314,AA1314))-1,""))</f>
        <v/>
      </c>
      <c r="AC1314" s="134" t="str">
        <f t="shared" si="471"/>
        <v/>
      </c>
      <c r="AD1314" s="134" t="str">
        <f>IF(AC1314="","",IFERROR((RANK(AC1314,$AC$2:$AC$2028,1)+COUNTIF($AC$2:AC1314,AC1314))-1,""))</f>
        <v/>
      </c>
      <c r="AE1314" s="144" t="str">
        <f t="shared" si="463"/>
        <v/>
      </c>
      <c r="AF1314" s="144" t="str">
        <f>IF(AE1314="","",SUM($AE$2:AE1314))</f>
        <v/>
      </c>
    </row>
    <row r="1315" spans="14:32" x14ac:dyDescent="0.35">
      <c r="N1315" s="134" t="str">
        <f t="shared" si="461"/>
        <v/>
      </c>
      <c r="O1315" s="82" t="str">
        <f t="shared" si="464"/>
        <v/>
      </c>
      <c r="P1315" s="81" t="str">
        <f t="shared" si="462"/>
        <v/>
      </c>
      <c r="Q1315" s="81" t="str">
        <f t="shared" si="465"/>
        <v/>
      </c>
      <c r="R1315" s="135" t="str">
        <f t="shared" ca="1" si="466"/>
        <v/>
      </c>
      <c r="S1315" s="134" t="str">
        <f t="shared" ca="1" si="467"/>
        <v/>
      </c>
      <c r="T1315" s="134" t="str">
        <f ca="1">IF(S1315=Dashboard!$D$12,S1315,"")</f>
        <v/>
      </c>
      <c r="U1315" s="134" t="str">
        <f t="shared" ca="1" si="468"/>
        <v/>
      </c>
      <c r="V1315" s="83" t="str">
        <f ca="1">IF(U1315="","",IFERROR((RANK(U1315,$U$2:$U$2028,1)+COUNTIF($U$2:U1315,U1315))-1,""))</f>
        <v/>
      </c>
      <c r="W1315" s="134" t="str">
        <f t="shared" si="472"/>
        <v/>
      </c>
      <c r="X1315" s="134" t="str">
        <f>IF(W1315="","",IFERROR((RANK(W1315,$W$2:$W$2028,1)+COUNTIF($W$2:W1315,W1315))-1,""))</f>
        <v/>
      </c>
      <c r="Y1315" s="134" t="str">
        <f t="shared" si="469"/>
        <v/>
      </c>
      <c r="Z1315" s="134" t="str">
        <f>IF(Y1315="","",IFERROR((RANK(Y1315,$Y$2:$Y$2028,1)+COUNTIF($Y$2:Y1315,Y1315))-1,""))</f>
        <v/>
      </c>
      <c r="AA1315" s="134" t="str">
        <f t="shared" si="470"/>
        <v/>
      </c>
      <c r="AB1315" s="134" t="str">
        <f>IF(AA1315="","",IFERROR((RANK(AA1315,$AA$2:$AA$2028,1)+COUNTIF($AA$2:AA1315,AA1315))-1,""))</f>
        <v/>
      </c>
      <c r="AC1315" s="134" t="str">
        <f t="shared" si="471"/>
        <v/>
      </c>
      <c r="AD1315" s="134" t="str">
        <f>IF(AC1315="","",IFERROR((RANK(AC1315,$AC$2:$AC$2028,1)+COUNTIF($AC$2:AC1315,AC1315))-1,""))</f>
        <v/>
      </c>
      <c r="AE1315" s="144" t="str">
        <f t="shared" si="463"/>
        <v/>
      </c>
      <c r="AF1315" s="144" t="str">
        <f>IF(AE1315="","",SUM($AE$2:AE1315))</f>
        <v/>
      </c>
    </row>
    <row r="1316" spans="14:32" x14ac:dyDescent="0.35">
      <c r="N1316" s="134" t="str">
        <f t="shared" si="461"/>
        <v/>
      </c>
      <c r="O1316" s="82" t="str">
        <f t="shared" si="464"/>
        <v/>
      </c>
      <c r="P1316" s="81" t="str">
        <f t="shared" si="462"/>
        <v/>
      </c>
      <c r="Q1316" s="81" t="str">
        <f t="shared" si="465"/>
        <v/>
      </c>
      <c r="R1316" s="135" t="str">
        <f t="shared" ca="1" si="466"/>
        <v/>
      </c>
      <c r="S1316" s="134" t="str">
        <f t="shared" ca="1" si="467"/>
        <v/>
      </c>
      <c r="T1316" s="134" t="str">
        <f ca="1">IF(S1316=Dashboard!$D$12,S1316,"")</f>
        <v/>
      </c>
      <c r="U1316" s="134" t="str">
        <f t="shared" ca="1" si="468"/>
        <v/>
      </c>
      <c r="V1316" s="83" t="str">
        <f ca="1">IF(U1316="","",IFERROR((RANK(U1316,$U$2:$U$2028,1)+COUNTIF($U$2:U1316,U1316))-1,""))</f>
        <v/>
      </c>
      <c r="W1316" s="134" t="str">
        <f t="shared" si="472"/>
        <v/>
      </c>
      <c r="X1316" s="134" t="str">
        <f>IF(W1316="","",IFERROR((RANK(W1316,$W$2:$W$2028,1)+COUNTIF($W$2:W1316,W1316))-1,""))</f>
        <v/>
      </c>
      <c r="Y1316" s="134" t="str">
        <f t="shared" si="469"/>
        <v/>
      </c>
      <c r="Z1316" s="134" t="str">
        <f>IF(Y1316="","",IFERROR((RANK(Y1316,$Y$2:$Y$2028,1)+COUNTIF($Y$2:Y1316,Y1316))-1,""))</f>
        <v/>
      </c>
      <c r="AA1316" s="134" t="str">
        <f t="shared" si="470"/>
        <v/>
      </c>
      <c r="AB1316" s="134" t="str">
        <f>IF(AA1316="","",IFERROR((RANK(AA1316,$AA$2:$AA$2028,1)+COUNTIF($AA$2:AA1316,AA1316))-1,""))</f>
        <v/>
      </c>
      <c r="AC1316" s="134" t="str">
        <f t="shared" si="471"/>
        <v/>
      </c>
      <c r="AD1316" s="134" t="str">
        <f>IF(AC1316="","",IFERROR((RANK(AC1316,$AC$2:$AC$2028,1)+COUNTIF($AC$2:AC1316,AC1316))-1,""))</f>
        <v/>
      </c>
      <c r="AE1316" s="144" t="str">
        <f t="shared" si="463"/>
        <v/>
      </c>
      <c r="AF1316" s="144" t="str">
        <f>IF(AE1316="","",SUM($AE$2:AE1316))</f>
        <v/>
      </c>
    </row>
    <row r="1317" spans="14:32" x14ac:dyDescent="0.35">
      <c r="N1317" s="134" t="str">
        <f t="shared" si="461"/>
        <v/>
      </c>
      <c r="O1317" s="82" t="str">
        <f t="shared" si="464"/>
        <v/>
      </c>
      <c r="P1317" s="81" t="str">
        <f t="shared" si="462"/>
        <v/>
      </c>
      <c r="Q1317" s="81" t="str">
        <f t="shared" si="465"/>
        <v/>
      </c>
      <c r="R1317" s="135" t="str">
        <f t="shared" ca="1" si="466"/>
        <v/>
      </c>
      <c r="S1317" s="134" t="str">
        <f t="shared" ca="1" si="467"/>
        <v/>
      </c>
      <c r="T1317" s="134" t="str">
        <f ca="1">IF(S1317=Dashboard!$D$12,S1317,"")</f>
        <v/>
      </c>
      <c r="U1317" s="134" t="str">
        <f t="shared" ca="1" si="468"/>
        <v/>
      </c>
      <c r="V1317" s="83" t="str">
        <f ca="1">IF(U1317="","",IFERROR((RANK(U1317,$U$2:$U$2028,1)+COUNTIF($U$2:U1317,U1317))-1,""))</f>
        <v/>
      </c>
      <c r="W1317" s="134" t="str">
        <f t="shared" si="472"/>
        <v/>
      </c>
      <c r="X1317" s="134" t="str">
        <f>IF(W1317="","",IFERROR((RANK(W1317,$W$2:$W$2028,1)+COUNTIF($W$2:W1317,W1317))-1,""))</f>
        <v/>
      </c>
      <c r="Y1317" s="134" t="str">
        <f t="shared" si="469"/>
        <v/>
      </c>
      <c r="Z1317" s="134" t="str">
        <f>IF(Y1317="","",IFERROR((RANK(Y1317,$Y$2:$Y$2028,1)+COUNTIF($Y$2:Y1317,Y1317))-1,""))</f>
        <v/>
      </c>
      <c r="AA1317" s="134" t="str">
        <f t="shared" si="470"/>
        <v/>
      </c>
      <c r="AB1317" s="134" t="str">
        <f>IF(AA1317="","",IFERROR((RANK(AA1317,$AA$2:$AA$2028,1)+COUNTIF($AA$2:AA1317,AA1317))-1,""))</f>
        <v/>
      </c>
      <c r="AC1317" s="134" t="str">
        <f t="shared" si="471"/>
        <v/>
      </c>
      <c r="AD1317" s="134" t="str">
        <f>IF(AC1317="","",IFERROR((RANK(AC1317,$AC$2:$AC$2028,1)+COUNTIF($AC$2:AC1317,AC1317))-1,""))</f>
        <v/>
      </c>
      <c r="AE1317" s="144" t="str">
        <f t="shared" si="463"/>
        <v/>
      </c>
      <c r="AF1317" s="144" t="str">
        <f>IF(AE1317="","",SUM($AE$2:AE1317))</f>
        <v/>
      </c>
    </row>
    <row r="1318" spans="14:32" x14ac:dyDescent="0.35">
      <c r="N1318" s="134" t="str">
        <f t="shared" si="461"/>
        <v/>
      </c>
      <c r="O1318" s="82" t="str">
        <f t="shared" si="464"/>
        <v/>
      </c>
      <c r="P1318" s="81" t="str">
        <f t="shared" si="462"/>
        <v/>
      </c>
      <c r="Q1318" s="81" t="str">
        <f t="shared" si="465"/>
        <v/>
      </c>
      <c r="R1318" s="135" t="str">
        <f t="shared" ca="1" si="466"/>
        <v/>
      </c>
      <c r="S1318" s="134" t="str">
        <f t="shared" ca="1" si="467"/>
        <v/>
      </c>
      <c r="T1318" s="134" t="str">
        <f ca="1">IF(S1318=Dashboard!$D$12,S1318,"")</f>
        <v/>
      </c>
      <c r="U1318" s="134" t="str">
        <f t="shared" ca="1" si="468"/>
        <v/>
      </c>
      <c r="V1318" s="83" t="str">
        <f ca="1">IF(U1318="","",IFERROR((RANK(U1318,$U$2:$U$2028,1)+COUNTIF($U$2:U1318,U1318))-1,""))</f>
        <v/>
      </c>
      <c r="W1318" s="134" t="str">
        <f t="shared" si="472"/>
        <v/>
      </c>
      <c r="X1318" s="134" t="str">
        <f>IF(W1318="","",IFERROR((RANK(W1318,$W$2:$W$2028,1)+COUNTIF($W$2:W1318,W1318))-1,""))</f>
        <v/>
      </c>
      <c r="Y1318" s="134" t="str">
        <f t="shared" si="469"/>
        <v/>
      </c>
      <c r="Z1318" s="134" t="str">
        <f>IF(Y1318="","",IFERROR((RANK(Y1318,$Y$2:$Y$2028,1)+COUNTIF($Y$2:Y1318,Y1318))-1,""))</f>
        <v/>
      </c>
      <c r="AA1318" s="134" t="str">
        <f t="shared" si="470"/>
        <v/>
      </c>
      <c r="AB1318" s="134" t="str">
        <f>IF(AA1318="","",IFERROR((RANK(AA1318,$AA$2:$AA$2028,1)+COUNTIF($AA$2:AA1318,AA1318))-1,""))</f>
        <v/>
      </c>
      <c r="AC1318" s="134" t="str">
        <f t="shared" si="471"/>
        <v/>
      </c>
      <c r="AD1318" s="134" t="str">
        <f>IF(AC1318="","",IFERROR((RANK(AC1318,$AC$2:$AC$2028,1)+COUNTIF($AC$2:AC1318,AC1318))-1,""))</f>
        <v/>
      </c>
      <c r="AE1318" s="144" t="str">
        <f t="shared" si="463"/>
        <v/>
      </c>
      <c r="AF1318" s="144" t="str">
        <f>IF(AE1318="","",SUM($AE$2:AE1318))</f>
        <v/>
      </c>
    </row>
    <row r="1319" spans="14:32" x14ac:dyDescent="0.35">
      <c r="N1319" s="134" t="str">
        <f t="shared" si="461"/>
        <v/>
      </c>
      <c r="O1319" s="82" t="str">
        <f t="shared" si="464"/>
        <v/>
      </c>
      <c r="P1319" s="81" t="str">
        <f t="shared" si="462"/>
        <v/>
      </c>
      <c r="Q1319" s="81" t="str">
        <f t="shared" si="465"/>
        <v/>
      </c>
      <c r="R1319" s="135" t="str">
        <f t="shared" ca="1" si="466"/>
        <v/>
      </c>
      <c r="S1319" s="134" t="str">
        <f t="shared" ca="1" si="467"/>
        <v/>
      </c>
      <c r="T1319" s="134" t="str">
        <f ca="1">IF(S1319=Dashboard!$D$12,S1319,"")</f>
        <v/>
      </c>
      <c r="U1319" s="134" t="str">
        <f t="shared" ca="1" si="468"/>
        <v/>
      </c>
      <c r="V1319" s="83" t="str">
        <f ca="1">IF(U1319="","",IFERROR((RANK(U1319,$U$2:$U$2028,1)+COUNTIF($U$2:U1319,U1319))-1,""))</f>
        <v/>
      </c>
      <c r="W1319" s="134" t="str">
        <f t="shared" si="472"/>
        <v/>
      </c>
      <c r="X1319" s="134" t="str">
        <f>IF(W1319="","",IFERROR((RANK(W1319,$W$2:$W$2028,1)+COUNTIF($W$2:W1319,W1319))-1,""))</f>
        <v/>
      </c>
      <c r="Y1319" s="134" t="str">
        <f t="shared" si="469"/>
        <v/>
      </c>
      <c r="Z1319" s="134" t="str">
        <f>IF(Y1319="","",IFERROR((RANK(Y1319,$Y$2:$Y$2028,1)+COUNTIF($Y$2:Y1319,Y1319))-1,""))</f>
        <v/>
      </c>
      <c r="AA1319" s="134" t="str">
        <f t="shared" si="470"/>
        <v/>
      </c>
      <c r="AB1319" s="134" t="str">
        <f>IF(AA1319="","",IFERROR((RANK(AA1319,$AA$2:$AA$2028,1)+COUNTIF($AA$2:AA1319,AA1319))-1,""))</f>
        <v/>
      </c>
      <c r="AC1319" s="134" t="str">
        <f t="shared" si="471"/>
        <v/>
      </c>
      <c r="AD1319" s="134" t="str">
        <f>IF(AC1319="","",IFERROR((RANK(AC1319,$AC$2:$AC$2028,1)+COUNTIF($AC$2:AC1319,AC1319))-1,""))</f>
        <v/>
      </c>
      <c r="AE1319" s="144" t="str">
        <f t="shared" si="463"/>
        <v/>
      </c>
      <c r="AF1319" s="144" t="str">
        <f>IF(AE1319="","",SUM($AE$2:AE1319))</f>
        <v/>
      </c>
    </row>
    <row r="1320" spans="14:32" x14ac:dyDescent="0.35">
      <c r="N1320" s="134" t="str">
        <f t="shared" si="461"/>
        <v/>
      </c>
      <c r="O1320" s="82" t="str">
        <f t="shared" si="464"/>
        <v/>
      </c>
      <c r="P1320" s="81" t="str">
        <f t="shared" si="462"/>
        <v/>
      </c>
      <c r="Q1320" s="81" t="str">
        <f t="shared" si="465"/>
        <v/>
      </c>
      <c r="R1320" s="135" t="str">
        <f t="shared" ca="1" si="466"/>
        <v/>
      </c>
      <c r="S1320" s="134" t="str">
        <f t="shared" ca="1" si="467"/>
        <v/>
      </c>
      <c r="T1320" s="134" t="str">
        <f ca="1">IF(S1320=Dashboard!$D$12,S1320,"")</f>
        <v/>
      </c>
      <c r="U1320" s="134" t="str">
        <f t="shared" ca="1" si="468"/>
        <v/>
      </c>
      <c r="V1320" s="83" t="str">
        <f ca="1">IF(U1320="","",IFERROR((RANK(U1320,$U$2:$U$2028,1)+COUNTIF($U$2:U1320,U1320))-1,""))</f>
        <v/>
      </c>
      <c r="W1320" s="134" t="str">
        <f t="shared" si="472"/>
        <v/>
      </c>
      <c r="X1320" s="134" t="str">
        <f>IF(W1320="","",IFERROR((RANK(W1320,$W$2:$W$2028,1)+COUNTIF($W$2:W1320,W1320))-1,""))</f>
        <v/>
      </c>
      <c r="Y1320" s="134" t="str">
        <f t="shared" si="469"/>
        <v/>
      </c>
      <c r="Z1320" s="134" t="str">
        <f>IF(Y1320="","",IFERROR((RANK(Y1320,$Y$2:$Y$2028,1)+COUNTIF($Y$2:Y1320,Y1320))-1,""))</f>
        <v/>
      </c>
      <c r="AA1320" s="134" t="str">
        <f t="shared" si="470"/>
        <v/>
      </c>
      <c r="AB1320" s="134" t="str">
        <f>IF(AA1320="","",IFERROR((RANK(AA1320,$AA$2:$AA$2028,1)+COUNTIF($AA$2:AA1320,AA1320))-1,""))</f>
        <v/>
      </c>
      <c r="AC1320" s="134" t="str">
        <f t="shared" si="471"/>
        <v/>
      </c>
      <c r="AD1320" s="134" t="str">
        <f>IF(AC1320="","",IFERROR((RANK(AC1320,$AC$2:$AC$2028,1)+COUNTIF($AC$2:AC1320,AC1320))-1,""))</f>
        <v/>
      </c>
      <c r="AE1320" s="144" t="str">
        <f t="shared" si="463"/>
        <v/>
      </c>
      <c r="AF1320" s="144" t="str">
        <f>IF(AE1320="","",SUM($AE$2:AE1320))</f>
        <v/>
      </c>
    </row>
    <row r="1321" spans="14:32" x14ac:dyDescent="0.35">
      <c r="N1321" s="134" t="str">
        <f t="shared" si="461"/>
        <v/>
      </c>
      <c r="O1321" s="82" t="str">
        <f t="shared" si="464"/>
        <v/>
      </c>
      <c r="P1321" s="81" t="str">
        <f t="shared" si="462"/>
        <v/>
      </c>
      <c r="Q1321" s="81" t="str">
        <f t="shared" si="465"/>
        <v/>
      </c>
      <c r="R1321" s="135" t="str">
        <f t="shared" ca="1" si="466"/>
        <v/>
      </c>
      <c r="S1321" s="134" t="str">
        <f t="shared" ca="1" si="467"/>
        <v/>
      </c>
      <c r="T1321" s="134" t="str">
        <f ca="1">IF(S1321=Dashboard!$D$12,S1321,"")</f>
        <v/>
      </c>
      <c r="U1321" s="134" t="str">
        <f t="shared" ca="1" si="468"/>
        <v/>
      </c>
      <c r="V1321" s="83" t="str">
        <f ca="1">IF(U1321="","",IFERROR((RANK(U1321,$U$2:$U$2028,1)+COUNTIF($U$2:U1321,U1321))-1,""))</f>
        <v/>
      </c>
      <c r="W1321" s="134" t="str">
        <f t="shared" si="472"/>
        <v/>
      </c>
      <c r="X1321" s="134" t="str">
        <f>IF(W1321="","",IFERROR((RANK(W1321,$W$2:$W$2028,1)+COUNTIF($W$2:W1321,W1321))-1,""))</f>
        <v/>
      </c>
      <c r="Y1321" s="134" t="str">
        <f t="shared" si="469"/>
        <v/>
      </c>
      <c r="Z1321" s="134" t="str">
        <f>IF(Y1321="","",IFERROR((RANK(Y1321,$Y$2:$Y$2028,1)+COUNTIF($Y$2:Y1321,Y1321))-1,""))</f>
        <v/>
      </c>
      <c r="AA1321" s="134" t="str">
        <f t="shared" si="470"/>
        <v/>
      </c>
      <c r="AB1321" s="134" t="str">
        <f>IF(AA1321="","",IFERROR((RANK(AA1321,$AA$2:$AA$2028,1)+COUNTIF($AA$2:AA1321,AA1321))-1,""))</f>
        <v/>
      </c>
      <c r="AC1321" s="134" t="str">
        <f t="shared" si="471"/>
        <v/>
      </c>
      <c r="AD1321" s="134" t="str">
        <f>IF(AC1321="","",IFERROR((RANK(AC1321,$AC$2:$AC$2028,1)+COUNTIF($AC$2:AC1321,AC1321))-1,""))</f>
        <v/>
      </c>
      <c r="AE1321" s="144" t="str">
        <f t="shared" si="463"/>
        <v/>
      </c>
      <c r="AF1321" s="144" t="str">
        <f>IF(AE1321="","",SUM($AE$2:AE1321))</f>
        <v/>
      </c>
    </row>
    <row r="1322" spans="14:32" x14ac:dyDescent="0.35">
      <c r="N1322" s="134" t="str">
        <f t="shared" si="461"/>
        <v/>
      </c>
      <c r="O1322" s="82" t="str">
        <f t="shared" si="464"/>
        <v/>
      </c>
      <c r="P1322" s="81" t="str">
        <f t="shared" si="462"/>
        <v/>
      </c>
      <c r="Q1322" s="81" t="str">
        <f t="shared" si="465"/>
        <v/>
      </c>
      <c r="R1322" s="135" t="str">
        <f t="shared" ca="1" si="466"/>
        <v/>
      </c>
      <c r="S1322" s="134" t="str">
        <f t="shared" ca="1" si="467"/>
        <v/>
      </c>
      <c r="T1322" s="134" t="str">
        <f ca="1">IF(S1322=Dashboard!$D$12,S1322,"")</f>
        <v/>
      </c>
      <c r="U1322" s="134" t="str">
        <f t="shared" ca="1" si="468"/>
        <v/>
      </c>
      <c r="V1322" s="83" t="str">
        <f ca="1">IF(U1322="","",IFERROR((RANK(U1322,$U$2:$U$2028,1)+COUNTIF($U$2:U1322,U1322))-1,""))</f>
        <v/>
      </c>
      <c r="W1322" s="134" t="str">
        <f t="shared" si="472"/>
        <v/>
      </c>
      <c r="X1322" s="134" t="str">
        <f>IF(W1322="","",IFERROR((RANK(W1322,$W$2:$W$2028,1)+COUNTIF($W$2:W1322,W1322))-1,""))</f>
        <v/>
      </c>
      <c r="Y1322" s="134" t="str">
        <f t="shared" si="469"/>
        <v/>
      </c>
      <c r="Z1322" s="134" t="str">
        <f>IF(Y1322="","",IFERROR((RANK(Y1322,$Y$2:$Y$2028,1)+COUNTIF($Y$2:Y1322,Y1322))-1,""))</f>
        <v/>
      </c>
      <c r="AA1322" s="134" t="str">
        <f t="shared" si="470"/>
        <v/>
      </c>
      <c r="AB1322" s="134" t="str">
        <f>IF(AA1322="","",IFERROR((RANK(AA1322,$AA$2:$AA$2028,1)+COUNTIF($AA$2:AA1322,AA1322))-1,""))</f>
        <v/>
      </c>
      <c r="AC1322" s="134" t="str">
        <f t="shared" si="471"/>
        <v/>
      </c>
      <c r="AD1322" s="134" t="str">
        <f>IF(AC1322="","",IFERROR((RANK(AC1322,$AC$2:$AC$2028,1)+COUNTIF($AC$2:AC1322,AC1322))-1,""))</f>
        <v/>
      </c>
      <c r="AE1322" s="144" t="str">
        <f t="shared" si="463"/>
        <v/>
      </c>
      <c r="AF1322" s="144" t="str">
        <f>IF(AE1322="","",SUM($AE$2:AE1322))</f>
        <v/>
      </c>
    </row>
    <row r="1323" spans="14:32" x14ac:dyDescent="0.35">
      <c r="N1323" s="134" t="str">
        <f t="shared" si="461"/>
        <v/>
      </c>
      <c r="O1323" s="82" t="str">
        <f t="shared" si="464"/>
        <v/>
      </c>
      <c r="P1323" s="81" t="str">
        <f t="shared" si="462"/>
        <v/>
      </c>
      <c r="Q1323" s="81" t="str">
        <f t="shared" si="465"/>
        <v/>
      </c>
      <c r="R1323" s="135" t="str">
        <f t="shared" ca="1" si="466"/>
        <v/>
      </c>
      <c r="S1323" s="134" t="str">
        <f t="shared" ca="1" si="467"/>
        <v/>
      </c>
      <c r="T1323" s="134" t="str">
        <f ca="1">IF(S1323=Dashboard!$D$12,S1323,"")</f>
        <v/>
      </c>
      <c r="U1323" s="134" t="str">
        <f t="shared" ca="1" si="468"/>
        <v/>
      </c>
      <c r="V1323" s="83" t="str">
        <f ca="1">IF(U1323="","",IFERROR((RANK(U1323,$U$2:$U$2028,1)+COUNTIF($U$2:U1323,U1323))-1,""))</f>
        <v/>
      </c>
      <c r="W1323" s="134" t="str">
        <f t="shared" si="472"/>
        <v/>
      </c>
      <c r="X1323" s="134" t="str">
        <f>IF(W1323="","",IFERROR((RANK(W1323,$W$2:$W$2028,1)+COUNTIF($W$2:W1323,W1323))-1,""))</f>
        <v/>
      </c>
      <c r="Y1323" s="134" t="str">
        <f t="shared" si="469"/>
        <v/>
      </c>
      <c r="Z1323" s="134" t="str">
        <f>IF(Y1323="","",IFERROR((RANK(Y1323,$Y$2:$Y$2028,1)+COUNTIF($Y$2:Y1323,Y1323))-1,""))</f>
        <v/>
      </c>
      <c r="AA1323" s="134" t="str">
        <f t="shared" si="470"/>
        <v/>
      </c>
      <c r="AB1323" s="134" t="str">
        <f>IF(AA1323="","",IFERROR((RANK(AA1323,$AA$2:$AA$2028,1)+COUNTIF($AA$2:AA1323,AA1323))-1,""))</f>
        <v/>
      </c>
      <c r="AC1323" s="134" t="str">
        <f t="shared" si="471"/>
        <v/>
      </c>
      <c r="AD1323" s="134" t="str">
        <f>IF(AC1323="","",IFERROR((RANK(AC1323,$AC$2:$AC$2028,1)+COUNTIF($AC$2:AC1323,AC1323))-1,""))</f>
        <v/>
      </c>
      <c r="AE1323" s="144" t="str">
        <f t="shared" si="463"/>
        <v/>
      </c>
      <c r="AF1323" s="144" t="str">
        <f>IF(AE1323="","",SUM($AE$2:AE1323))</f>
        <v/>
      </c>
    </row>
    <row r="1324" spans="14:32" x14ac:dyDescent="0.35">
      <c r="N1324" s="134" t="str">
        <f t="shared" si="461"/>
        <v/>
      </c>
      <c r="O1324" s="82" t="str">
        <f t="shared" si="464"/>
        <v/>
      </c>
      <c r="P1324" s="81" t="str">
        <f t="shared" si="462"/>
        <v/>
      </c>
      <c r="Q1324" s="81" t="str">
        <f t="shared" si="465"/>
        <v/>
      </c>
      <c r="R1324" s="135" t="str">
        <f t="shared" ca="1" si="466"/>
        <v/>
      </c>
      <c r="S1324" s="134" t="str">
        <f t="shared" ca="1" si="467"/>
        <v/>
      </c>
      <c r="T1324" s="134" t="str">
        <f ca="1">IF(S1324=Dashboard!$D$12,S1324,"")</f>
        <v/>
      </c>
      <c r="U1324" s="134" t="str">
        <f t="shared" ca="1" si="468"/>
        <v/>
      </c>
      <c r="V1324" s="83" t="str">
        <f ca="1">IF(U1324="","",IFERROR((RANK(U1324,$U$2:$U$2028,1)+COUNTIF($U$2:U1324,U1324))-1,""))</f>
        <v/>
      </c>
      <c r="W1324" s="134" t="str">
        <f t="shared" si="472"/>
        <v/>
      </c>
      <c r="X1324" s="134" t="str">
        <f>IF(W1324="","",IFERROR((RANK(W1324,$W$2:$W$2028,1)+COUNTIF($W$2:W1324,W1324))-1,""))</f>
        <v/>
      </c>
      <c r="Y1324" s="134" t="str">
        <f t="shared" si="469"/>
        <v/>
      </c>
      <c r="Z1324" s="134" t="str">
        <f>IF(Y1324="","",IFERROR((RANK(Y1324,$Y$2:$Y$2028,1)+COUNTIF($Y$2:Y1324,Y1324))-1,""))</f>
        <v/>
      </c>
      <c r="AA1324" s="134" t="str">
        <f t="shared" si="470"/>
        <v/>
      </c>
      <c r="AB1324" s="134" t="str">
        <f>IF(AA1324="","",IFERROR((RANK(AA1324,$AA$2:$AA$2028,1)+COUNTIF($AA$2:AA1324,AA1324))-1,""))</f>
        <v/>
      </c>
      <c r="AC1324" s="134" t="str">
        <f t="shared" si="471"/>
        <v/>
      </c>
      <c r="AD1324" s="134" t="str">
        <f>IF(AC1324="","",IFERROR((RANK(AC1324,$AC$2:$AC$2028,1)+COUNTIF($AC$2:AC1324,AC1324))-1,""))</f>
        <v/>
      </c>
      <c r="AE1324" s="144" t="str">
        <f t="shared" si="463"/>
        <v/>
      </c>
      <c r="AF1324" s="144" t="str">
        <f>IF(AE1324="","",SUM($AE$2:AE1324))</f>
        <v/>
      </c>
    </row>
    <row r="1325" spans="14:32" x14ac:dyDescent="0.35">
      <c r="N1325" s="134" t="str">
        <f t="shared" si="461"/>
        <v/>
      </c>
      <c r="O1325" s="82" t="str">
        <f t="shared" si="464"/>
        <v/>
      </c>
      <c r="P1325" s="81" t="str">
        <f t="shared" si="462"/>
        <v/>
      </c>
      <c r="Q1325" s="81" t="str">
        <f t="shared" si="465"/>
        <v/>
      </c>
      <c r="R1325" s="135" t="str">
        <f t="shared" ca="1" si="466"/>
        <v/>
      </c>
      <c r="S1325" s="134" t="str">
        <f t="shared" ca="1" si="467"/>
        <v/>
      </c>
      <c r="T1325" s="134" t="str">
        <f ca="1">IF(S1325=Dashboard!$D$12,S1325,"")</f>
        <v/>
      </c>
      <c r="U1325" s="134" t="str">
        <f t="shared" ca="1" si="468"/>
        <v/>
      </c>
      <c r="V1325" s="83" t="str">
        <f ca="1">IF(U1325="","",IFERROR((RANK(U1325,$U$2:$U$2028,1)+COUNTIF($U$2:U1325,U1325))-1,""))</f>
        <v/>
      </c>
      <c r="W1325" s="134" t="str">
        <f t="shared" si="472"/>
        <v/>
      </c>
      <c r="X1325" s="134" t="str">
        <f>IF(W1325="","",IFERROR((RANK(W1325,$W$2:$W$2028,1)+COUNTIF($W$2:W1325,W1325))-1,""))</f>
        <v/>
      </c>
      <c r="Y1325" s="134" t="str">
        <f t="shared" si="469"/>
        <v/>
      </c>
      <c r="Z1325" s="134" t="str">
        <f>IF(Y1325="","",IFERROR((RANK(Y1325,$Y$2:$Y$2028,1)+COUNTIF($Y$2:Y1325,Y1325))-1,""))</f>
        <v/>
      </c>
      <c r="AA1325" s="134" t="str">
        <f t="shared" si="470"/>
        <v/>
      </c>
      <c r="AB1325" s="134" t="str">
        <f>IF(AA1325="","",IFERROR((RANK(AA1325,$AA$2:$AA$2028,1)+COUNTIF($AA$2:AA1325,AA1325))-1,""))</f>
        <v/>
      </c>
      <c r="AC1325" s="134" t="str">
        <f t="shared" si="471"/>
        <v/>
      </c>
      <c r="AD1325" s="134" t="str">
        <f>IF(AC1325="","",IFERROR((RANK(AC1325,$AC$2:$AC$2028,1)+COUNTIF($AC$2:AC1325,AC1325))-1,""))</f>
        <v/>
      </c>
      <c r="AE1325" s="144" t="str">
        <f t="shared" si="463"/>
        <v/>
      </c>
      <c r="AF1325" s="144" t="str">
        <f>IF(AE1325="","",SUM($AE$2:AE1325))</f>
        <v/>
      </c>
    </row>
    <row r="1326" spans="14:32" x14ac:dyDescent="0.35">
      <c r="N1326" s="134" t="str">
        <f t="shared" si="461"/>
        <v/>
      </c>
      <c r="O1326" s="82" t="str">
        <f t="shared" si="464"/>
        <v/>
      </c>
      <c r="P1326" s="81" t="str">
        <f t="shared" si="462"/>
        <v/>
      </c>
      <c r="Q1326" s="81" t="str">
        <f t="shared" si="465"/>
        <v/>
      </c>
      <c r="R1326" s="135" t="str">
        <f t="shared" ca="1" si="466"/>
        <v/>
      </c>
      <c r="S1326" s="134" t="str">
        <f t="shared" ca="1" si="467"/>
        <v/>
      </c>
      <c r="T1326" s="134" t="str">
        <f ca="1">IF(S1326=Dashboard!$D$12,S1326,"")</f>
        <v/>
      </c>
      <c r="U1326" s="134" t="str">
        <f t="shared" ca="1" si="468"/>
        <v/>
      </c>
      <c r="V1326" s="83" t="str">
        <f ca="1">IF(U1326="","",IFERROR((RANK(U1326,$U$2:$U$2028,1)+COUNTIF($U$2:U1326,U1326))-1,""))</f>
        <v/>
      </c>
      <c r="W1326" s="134" t="str">
        <f t="shared" si="472"/>
        <v/>
      </c>
      <c r="X1326" s="134" t="str">
        <f>IF(W1326="","",IFERROR((RANK(W1326,$W$2:$W$2028,1)+COUNTIF($W$2:W1326,W1326))-1,""))</f>
        <v/>
      </c>
      <c r="Y1326" s="134" t="str">
        <f t="shared" si="469"/>
        <v/>
      </c>
      <c r="Z1326" s="134" t="str">
        <f>IF(Y1326="","",IFERROR((RANK(Y1326,$Y$2:$Y$2028,1)+COUNTIF($Y$2:Y1326,Y1326))-1,""))</f>
        <v/>
      </c>
      <c r="AA1326" s="134" t="str">
        <f t="shared" si="470"/>
        <v/>
      </c>
      <c r="AB1326" s="134" t="str">
        <f>IF(AA1326="","",IFERROR((RANK(AA1326,$AA$2:$AA$2028,1)+COUNTIF($AA$2:AA1326,AA1326))-1,""))</f>
        <v/>
      </c>
      <c r="AC1326" s="134" t="str">
        <f t="shared" si="471"/>
        <v/>
      </c>
      <c r="AD1326" s="134" t="str">
        <f>IF(AC1326="","",IFERROR((RANK(AC1326,$AC$2:$AC$2028,1)+COUNTIF($AC$2:AC1326,AC1326))-1,""))</f>
        <v/>
      </c>
      <c r="AE1326" s="144" t="str">
        <f t="shared" si="463"/>
        <v/>
      </c>
      <c r="AF1326" s="144" t="str">
        <f>IF(AE1326="","",SUM($AE$2:AE1326))</f>
        <v/>
      </c>
    </row>
    <row r="1327" spans="14:32" x14ac:dyDescent="0.35">
      <c r="N1327" s="134" t="str">
        <f t="shared" si="461"/>
        <v/>
      </c>
      <c r="O1327" s="82" t="str">
        <f t="shared" si="464"/>
        <v/>
      </c>
      <c r="P1327" s="81" t="str">
        <f t="shared" si="462"/>
        <v/>
      </c>
      <c r="Q1327" s="81" t="str">
        <f t="shared" si="465"/>
        <v/>
      </c>
      <c r="R1327" s="135" t="str">
        <f t="shared" ca="1" si="466"/>
        <v/>
      </c>
      <c r="S1327" s="134" t="str">
        <f t="shared" ca="1" si="467"/>
        <v/>
      </c>
      <c r="T1327" s="134" t="str">
        <f ca="1">IF(S1327=Dashboard!$D$12,S1327,"")</f>
        <v/>
      </c>
      <c r="U1327" s="134" t="str">
        <f t="shared" ca="1" si="468"/>
        <v/>
      </c>
      <c r="V1327" s="83" t="str">
        <f ca="1">IF(U1327="","",IFERROR((RANK(U1327,$U$2:$U$2028,1)+COUNTIF($U$2:U1327,U1327))-1,""))</f>
        <v/>
      </c>
      <c r="W1327" s="134" t="str">
        <f t="shared" si="472"/>
        <v/>
      </c>
      <c r="X1327" s="134" t="str">
        <f>IF(W1327="","",IFERROR((RANK(W1327,$W$2:$W$2028,1)+COUNTIF($W$2:W1327,W1327))-1,""))</f>
        <v/>
      </c>
      <c r="Y1327" s="134" t="str">
        <f t="shared" si="469"/>
        <v/>
      </c>
      <c r="Z1327" s="134" t="str">
        <f>IF(Y1327="","",IFERROR((RANK(Y1327,$Y$2:$Y$2028,1)+COUNTIF($Y$2:Y1327,Y1327))-1,""))</f>
        <v/>
      </c>
      <c r="AA1327" s="134" t="str">
        <f t="shared" si="470"/>
        <v/>
      </c>
      <c r="AB1327" s="134" t="str">
        <f>IF(AA1327="","",IFERROR((RANK(AA1327,$AA$2:$AA$2028,1)+COUNTIF($AA$2:AA1327,AA1327))-1,""))</f>
        <v/>
      </c>
      <c r="AC1327" s="134" t="str">
        <f t="shared" si="471"/>
        <v/>
      </c>
      <c r="AD1327" s="134" t="str">
        <f>IF(AC1327="","",IFERROR((RANK(AC1327,$AC$2:$AC$2028,1)+COUNTIF($AC$2:AC1327,AC1327))-1,""))</f>
        <v/>
      </c>
      <c r="AE1327" s="144" t="str">
        <f t="shared" si="463"/>
        <v/>
      </c>
      <c r="AF1327" s="144" t="str">
        <f>IF(AE1327="","",SUM($AE$2:AE1327))</f>
        <v/>
      </c>
    </row>
    <row r="1328" spans="14:32" x14ac:dyDescent="0.35">
      <c r="N1328" s="134" t="str">
        <f t="shared" si="461"/>
        <v/>
      </c>
      <c r="O1328" s="82" t="str">
        <f t="shared" si="464"/>
        <v/>
      </c>
      <c r="P1328" s="81" t="str">
        <f t="shared" si="462"/>
        <v/>
      </c>
      <c r="Q1328" s="81" t="str">
        <f t="shared" si="465"/>
        <v/>
      </c>
      <c r="R1328" s="135" t="str">
        <f t="shared" ca="1" si="466"/>
        <v/>
      </c>
      <c r="S1328" s="134" t="str">
        <f t="shared" ca="1" si="467"/>
        <v/>
      </c>
      <c r="T1328" s="134" t="str">
        <f ca="1">IF(S1328=Dashboard!$D$12,S1328,"")</f>
        <v/>
      </c>
      <c r="U1328" s="134" t="str">
        <f t="shared" ca="1" si="468"/>
        <v/>
      </c>
      <c r="V1328" s="83" t="str">
        <f ca="1">IF(U1328="","",IFERROR((RANK(U1328,$U$2:$U$2028,1)+COUNTIF($U$2:U1328,U1328))-1,""))</f>
        <v/>
      </c>
      <c r="W1328" s="134" t="str">
        <f t="shared" si="472"/>
        <v/>
      </c>
      <c r="X1328" s="134" t="str">
        <f>IF(W1328="","",IFERROR((RANK(W1328,$W$2:$W$2028,1)+COUNTIF($W$2:W1328,W1328))-1,""))</f>
        <v/>
      </c>
      <c r="Y1328" s="134" t="str">
        <f t="shared" si="469"/>
        <v/>
      </c>
      <c r="Z1328" s="134" t="str">
        <f>IF(Y1328="","",IFERROR((RANK(Y1328,$Y$2:$Y$2028,1)+COUNTIF($Y$2:Y1328,Y1328))-1,""))</f>
        <v/>
      </c>
      <c r="AA1328" s="134" t="str">
        <f t="shared" si="470"/>
        <v/>
      </c>
      <c r="AB1328" s="134" t="str">
        <f>IF(AA1328="","",IFERROR((RANK(AA1328,$AA$2:$AA$2028,1)+COUNTIF($AA$2:AA1328,AA1328))-1,""))</f>
        <v/>
      </c>
      <c r="AC1328" s="134" t="str">
        <f t="shared" si="471"/>
        <v/>
      </c>
      <c r="AD1328" s="134" t="str">
        <f>IF(AC1328="","",IFERROR((RANK(AC1328,$AC$2:$AC$2028,1)+COUNTIF($AC$2:AC1328,AC1328))-1,""))</f>
        <v/>
      </c>
      <c r="AE1328" s="144" t="str">
        <f t="shared" si="463"/>
        <v/>
      </c>
      <c r="AF1328" s="144" t="str">
        <f>IF(AE1328="","",SUM($AE$2:AE1328))</f>
        <v/>
      </c>
    </row>
    <row r="1329" spans="14:32" x14ac:dyDescent="0.35">
      <c r="N1329" s="134" t="str">
        <f t="shared" si="461"/>
        <v/>
      </c>
      <c r="O1329" s="82" t="str">
        <f t="shared" si="464"/>
        <v/>
      </c>
      <c r="P1329" s="81" t="str">
        <f t="shared" si="462"/>
        <v/>
      </c>
      <c r="Q1329" s="81" t="str">
        <f t="shared" si="465"/>
        <v/>
      </c>
      <c r="R1329" s="135" t="str">
        <f t="shared" ca="1" si="466"/>
        <v/>
      </c>
      <c r="S1329" s="134" t="str">
        <f t="shared" ca="1" si="467"/>
        <v/>
      </c>
      <c r="T1329" s="134" t="str">
        <f ca="1">IF(S1329=Dashboard!$D$12,S1329,"")</f>
        <v/>
      </c>
      <c r="U1329" s="134" t="str">
        <f t="shared" ca="1" si="468"/>
        <v/>
      </c>
      <c r="V1329" s="83" t="str">
        <f ca="1">IF(U1329="","",IFERROR((RANK(U1329,$U$2:$U$2028,1)+COUNTIF($U$2:U1329,U1329))-1,""))</f>
        <v/>
      </c>
      <c r="W1329" s="134" t="str">
        <f t="shared" si="472"/>
        <v/>
      </c>
      <c r="X1329" s="134" t="str">
        <f>IF(W1329="","",IFERROR((RANK(W1329,$W$2:$W$2028,1)+COUNTIF($W$2:W1329,W1329))-1,""))</f>
        <v/>
      </c>
      <c r="Y1329" s="134" t="str">
        <f t="shared" si="469"/>
        <v/>
      </c>
      <c r="Z1329" s="134" t="str">
        <f>IF(Y1329="","",IFERROR((RANK(Y1329,$Y$2:$Y$2028,1)+COUNTIF($Y$2:Y1329,Y1329))-1,""))</f>
        <v/>
      </c>
      <c r="AA1329" s="134" t="str">
        <f t="shared" si="470"/>
        <v/>
      </c>
      <c r="AB1329" s="134" t="str">
        <f>IF(AA1329="","",IFERROR((RANK(AA1329,$AA$2:$AA$2028,1)+COUNTIF($AA$2:AA1329,AA1329))-1,""))</f>
        <v/>
      </c>
      <c r="AC1329" s="134" t="str">
        <f t="shared" si="471"/>
        <v/>
      </c>
      <c r="AD1329" s="134" t="str">
        <f>IF(AC1329="","",IFERROR((RANK(AC1329,$AC$2:$AC$2028,1)+COUNTIF($AC$2:AC1329,AC1329))-1,""))</f>
        <v/>
      </c>
      <c r="AE1329" s="144" t="str">
        <f t="shared" si="463"/>
        <v/>
      </c>
      <c r="AF1329" s="144" t="str">
        <f>IF(AE1329="","",SUM($AE$2:AE1329))</f>
        <v/>
      </c>
    </row>
    <row r="1330" spans="14:32" x14ac:dyDescent="0.35">
      <c r="N1330" s="134" t="str">
        <f t="shared" si="461"/>
        <v/>
      </c>
      <c r="O1330" s="82" t="str">
        <f t="shared" si="464"/>
        <v/>
      </c>
      <c r="P1330" s="81" t="str">
        <f t="shared" si="462"/>
        <v/>
      </c>
      <c r="Q1330" s="81" t="str">
        <f t="shared" si="465"/>
        <v/>
      </c>
      <c r="R1330" s="135" t="str">
        <f t="shared" ca="1" si="466"/>
        <v/>
      </c>
      <c r="S1330" s="134" t="str">
        <f t="shared" ca="1" si="467"/>
        <v/>
      </c>
      <c r="T1330" s="134" t="str">
        <f ca="1">IF(S1330=Dashboard!$D$12,S1330,"")</f>
        <v/>
      </c>
      <c r="U1330" s="134" t="str">
        <f t="shared" ca="1" si="468"/>
        <v/>
      </c>
      <c r="V1330" s="83" t="str">
        <f ca="1">IF(U1330="","",IFERROR((RANK(U1330,$U$2:$U$2028,1)+COUNTIF($U$2:U1330,U1330))-1,""))</f>
        <v/>
      </c>
      <c r="W1330" s="134" t="str">
        <f t="shared" si="472"/>
        <v/>
      </c>
      <c r="X1330" s="134" t="str">
        <f>IF(W1330="","",IFERROR((RANK(W1330,$W$2:$W$2028,1)+COUNTIF($W$2:W1330,W1330))-1,""))</f>
        <v/>
      </c>
      <c r="Y1330" s="134" t="str">
        <f t="shared" si="469"/>
        <v/>
      </c>
      <c r="Z1330" s="134" t="str">
        <f>IF(Y1330="","",IFERROR((RANK(Y1330,$Y$2:$Y$2028,1)+COUNTIF($Y$2:Y1330,Y1330))-1,""))</f>
        <v/>
      </c>
      <c r="AA1330" s="134" t="str">
        <f t="shared" si="470"/>
        <v/>
      </c>
      <c r="AB1330" s="134" t="str">
        <f>IF(AA1330="","",IFERROR((RANK(AA1330,$AA$2:$AA$2028,1)+COUNTIF($AA$2:AA1330,AA1330))-1,""))</f>
        <v/>
      </c>
      <c r="AC1330" s="134" t="str">
        <f t="shared" si="471"/>
        <v/>
      </c>
      <c r="AD1330" s="134" t="str">
        <f>IF(AC1330="","",IFERROR((RANK(AC1330,$AC$2:$AC$2028,1)+COUNTIF($AC$2:AC1330,AC1330))-1,""))</f>
        <v/>
      </c>
      <c r="AE1330" s="144" t="str">
        <f t="shared" si="463"/>
        <v/>
      </c>
      <c r="AF1330" s="144" t="str">
        <f>IF(AE1330="","",SUM($AE$2:AE1330))</f>
        <v/>
      </c>
    </row>
    <row r="1331" spans="14:32" x14ac:dyDescent="0.35">
      <c r="N1331" s="134" t="str">
        <f t="shared" si="461"/>
        <v/>
      </c>
      <c r="O1331" s="82" t="str">
        <f t="shared" si="464"/>
        <v/>
      </c>
      <c r="P1331" s="81" t="str">
        <f t="shared" si="462"/>
        <v/>
      </c>
      <c r="Q1331" s="81" t="str">
        <f t="shared" si="465"/>
        <v/>
      </c>
      <c r="R1331" s="135" t="str">
        <f t="shared" ca="1" si="466"/>
        <v/>
      </c>
      <c r="S1331" s="134" t="str">
        <f t="shared" ca="1" si="467"/>
        <v/>
      </c>
      <c r="T1331" s="134" t="str">
        <f ca="1">IF(S1331=Dashboard!$D$12,S1331,"")</f>
        <v/>
      </c>
      <c r="U1331" s="134" t="str">
        <f t="shared" ca="1" si="468"/>
        <v/>
      </c>
      <c r="V1331" s="83" t="str">
        <f ca="1">IF(U1331="","",IFERROR((RANK(U1331,$U$2:$U$2028,1)+COUNTIF($U$2:U1331,U1331))-1,""))</f>
        <v/>
      </c>
      <c r="W1331" s="134" t="str">
        <f t="shared" si="472"/>
        <v/>
      </c>
      <c r="X1331" s="134" t="str">
        <f>IF(W1331="","",IFERROR((RANK(W1331,$W$2:$W$2028,1)+COUNTIF($W$2:W1331,W1331))-1,""))</f>
        <v/>
      </c>
      <c r="Y1331" s="134" t="str">
        <f t="shared" si="469"/>
        <v/>
      </c>
      <c r="Z1331" s="134" t="str">
        <f>IF(Y1331="","",IFERROR((RANK(Y1331,$Y$2:$Y$2028,1)+COUNTIF($Y$2:Y1331,Y1331))-1,""))</f>
        <v/>
      </c>
      <c r="AA1331" s="134" t="str">
        <f t="shared" si="470"/>
        <v/>
      </c>
      <c r="AB1331" s="134" t="str">
        <f>IF(AA1331="","",IFERROR((RANK(AA1331,$AA$2:$AA$2028,1)+COUNTIF($AA$2:AA1331,AA1331))-1,""))</f>
        <v/>
      </c>
      <c r="AC1331" s="134" t="str">
        <f t="shared" si="471"/>
        <v/>
      </c>
      <c r="AD1331" s="134" t="str">
        <f>IF(AC1331="","",IFERROR((RANK(AC1331,$AC$2:$AC$2028,1)+COUNTIF($AC$2:AC1331,AC1331))-1,""))</f>
        <v/>
      </c>
      <c r="AE1331" s="144" t="str">
        <f t="shared" si="463"/>
        <v/>
      </c>
      <c r="AF1331" s="144" t="str">
        <f>IF(AE1331="","",SUM($AE$2:AE1331))</f>
        <v/>
      </c>
    </row>
    <row r="1332" spans="14:32" x14ac:dyDescent="0.35">
      <c r="N1332" s="134" t="str">
        <f t="shared" si="461"/>
        <v/>
      </c>
      <c r="O1332" s="82" t="str">
        <f t="shared" si="464"/>
        <v/>
      </c>
      <c r="P1332" s="81" t="str">
        <f t="shared" si="462"/>
        <v/>
      </c>
      <c r="Q1332" s="81" t="str">
        <f t="shared" si="465"/>
        <v/>
      </c>
      <c r="R1332" s="135" t="str">
        <f t="shared" ca="1" si="466"/>
        <v/>
      </c>
      <c r="S1332" s="134" t="str">
        <f t="shared" ca="1" si="467"/>
        <v/>
      </c>
      <c r="T1332" s="134" t="str">
        <f ca="1">IF(S1332=Dashboard!$D$12,S1332,"")</f>
        <v/>
      </c>
      <c r="U1332" s="134" t="str">
        <f t="shared" ca="1" si="468"/>
        <v/>
      </c>
      <c r="V1332" s="83" t="str">
        <f ca="1">IF(U1332="","",IFERROR((RANK(U1332,$U$2:$U$2028,1)+COUNTIF($U$2:U1332,U1332))-1,""))</f>
        <v/>
      </c>
      <c r="W1332" s="134" t="str">
        <f t="shared" si="472"/>
        <v/>
      </c>
      <c r="X1332" s="134" t="str">
        <f>IF(W1332="","",IFERROR((RANK(W1332,$W$2:$W$2028,1)+COUNTIF($W$2:W1332,W1332))-1,""))</f>
        <v/>
      </c>
      <c r="Y1332" s="134" t="str">
        <f t="shared" si="469"/>
        <v/>
      </c>
      <c r="Z1332" s="134" t="str">
        <f>IF(Y1332="","",IFERROR((RANK(Y1332,$Y$2:$Y$2028,1)+COUNTIF($Y$2:Y1332,Y1332))-1,""))</f>
        <v/>
      </c>
      <c r="AA1332" s="134" t="str">
        <f t="shared" si="470"/>
        <v/>
      </c>
      <c r="AB1332" s="134" t="str">
        <f>IF(AA1332="","",IFERROR((RANK(AA1332,$AA$2:$AA$2028,1)+COUNTIF($AA$2:AA1332,AA1332))-1,""))</f>
        <v/>
      </c>
      <c r="AC1332" s="134" t="str">
        <f t="shared" si="471"/>
        <v/>
      </c>
      <c r="AD1332" s="134" t="str">
        <f>IF(AC1332="","",IFERROR((RANK(AC1332,$AC$2:$AC$2028,1)+COUNTIF($AC$2:AC1332,AC1332))-1,""))</f>
        <v/>
      </c>
      <c r="AE1332" s="144" t="str">
        <f t="shared" si="463"/>
        <v/>
      </c>
      <c r="AF1332" s="144" t="str">
        <f>IF(AE1332="","",SUM($AE$2:AE1332))</f>
        <v/>
      </c>
    </row>
    <row r="1333" spans="14:32" x14ac:dyDescent="0.35">
      <c r="N1333" s="134" t="str">
        <f t="shared" si="461"/>
        <v/>
      </c>
      <c r="O1333" s="82" t="str">
        <f t="shared" si="464"/>
        <v/>
      </c>
      <c r="P1333" s="81" t="str">
        <f t="shared" si="462"/>
        <v/>
      </c>
      <c r="Q1333" s="81" t="str">
        <f t="shared" si="465"/>
        <v/>
      </c>
      <c r="R1333" s="135" t="str">
        <f t="shared" ca="1" si="466"/>
        <v/>
      </c>
      <c r="S1333" s="134" t="str">
        <f t="shared" ca="1" si="467"/>
        <v/>
      </c>
      <c r="T1333" s="134" t="str">
        <f ca="1">IF(S1333=Dashboard!$D$12,S1333,"")</f>
        <v/>
      </c>
      <c r="U1333" s="134" t="str">
        <f t="shared" ca="1" si="468"/>
        <v/>
      </c>
      <c r="V1333" s="83" t="str">
        <f ca="1">IF(U1333="","",IFERROR((RANK(U1333,$U$2:$U$2028,1)+COUNTIF($U$2:U1333,U1333))-1,""))</f>
        <v/>
      </c>
      <c r="W1333" s="134" t="str">
        <f t="shared" si="472"/>
        <v/>
      </c>
      <c r="X1333" s="134" t="str">
        <f>IF(W1333="","",IFERROR((RANK(W1333,$W$2:$W$2028,1)+COUNTIF($W$2:W1333,W1333))-1,""))</f>
        <v/>
      </c>
      <c r="Y1333" s="134" t="str">
        <f t="shared" si="469"/>
        <v/>
      </c>
      <c r="Z1333" s="134" t="str">
        <f>IF(Y1333="","",IFERROR((RANK(Y1333,$Y$2:$Y$2028,1)+COUNTIF($Y$2:Y1333,Y1333))-1,""))</f>
        <v/>
      </c>
      <c r="AA1333" s="134" t="str">
        <f t="shared" si="470"/>
        <v/>
      </c>
      <c r="AB1333" s="134" t="str">
        <f>IF(AA1333="","",IFERROR((RANK(AA1333,$AA$2:$AA$2028,1)+COUNTIF($AA$2:AA1333,AA1333))-1,""))</f>
        <v/>
      </c>
      <c r="AC1333" s="134" t="str">
        <f t="shared" si="471"/>
        <v/>
      </c>
      <c r="AD1333" s="134" t="str">
        <f>IF(AC1333="","",IFERROR((RANK(AC1333,$AC$2:$AC$2028,1)+COUNTIF($AC$2:AC1333,AC1333))-1,""))</f>
        <v/>
      </c>
      <c r="AE1333" s="144" t="str">
        <f t="shared" si="463"/>
        <v/>
      </c>
      <c r="AF1333" s="144" t="str">
        <f>IF(AE1333="","",SUM($AE$2:AE1333))</f>
        <v/>
      </c>
    </row>
    <row r="1334" spans="14:32" x14ac:dyDescent="0.35">
      <c r="N1334" s="134" t="str">
        <f t="shared" si="461"/>
        <v/>
      </c>
      <c r="O1334" s="82" t="str">
        <f t="shared" si="464"/>
        <v/>
      </c>
      <c r="P1334" s="81" t="str">
        <f t="shared" si="462"/>
        <v/>
      </c>
      <c r="Q1334" s="81" t="str">
        <f t="shared" si="465"/>
        <v/>
      </c>
      <c r="R1334" s="135" t="str">
        <f t="shared" ca="1" si="466"/>
        <v/>
      </c>
      <c r="S1334" s="134" t="str">
        <f t="shared" ca="1" si="467"/>
        <v/>
      </c>
      <c r="T1334" s="134" t="str">
        <f ca="1">IF(S1334=Dashboard!$D$12,S1334,"")</f>
        <v/>
      </c>
      <c r="U1334" s="134" t="str">
        <f t="shared" ca="1" si="468"/>
        <v/>
      </c>
      <c r="V1334" s="83" t="str">
        <f ca="1">IF(U1334="","",IFERROR((RANK(U1334,$U$2:$U$2028,1)+COUNTIF($U$2:U1334,U1334))-1,""))</f>
        <v/>
      </c>
      <c r="W1334" s="134" t="str">
        <f t="shared" si="472"/>
        <v/>
      </c>
      <c r="X1334" s="134" t="str">
        <f>IF(W1334="","",IFERROR((RANK(W1334,$W$2:$W$2028,1)+COUNTIF($W$2:W1334,W1334))-1,""))</f>
        <v/>
      </c>
      <c r="Y1334" s="134" t="str">
        <f t="shared" si="469"/>
        <v/>
      </c>
      <c r="Z1334" s="134" t="str">
        <f>IF(Y1334="","",IFERROR((RANK(Y1334,$Y$2:$Y$2028,1)+COUNTIF($Y$2:Y1334,Y1334))-1,""))</f>
        <v/>
      </c>
      <c r="AA1334" s="134" t="str">
        <f t="shared" si="470"/>
        <v/>
      </c>
      <c r="AB1334" s="134" t="str">
        <f>IF(AA1334="","",IFERROR((RANK(AA1334,$AA$2:$AA$2028,1)+COUNTIF($AA$2:AA1334,AA1334))-1,""))</f>
        <v/>
      </c>
      <c r="AC1334" s="134" t="str">
        <f t="shared" si="471"/>
        <v/>
      </c>
      <c r="AD1334" s="134" t="str">
        <f>IF(AC1334="","",IFERROR((RANK(AC1334,$AC$2:$AC$2028,1)+COUNTIF($AC$2:AC1334,AC1334))-1,""))</f>
        <v/>
      </c>
      <c r="AE1334" s="144" t="str">
        <f t="shared" si="463"/>
        <v/>
      </c>
      <c r="AF1334" s="144" t="str">
        <f>IF(AE1334="","",SUM($AE$2:AE1334))</f>
        <v/>
      </c>
    </row>
    <row r="1335" spans="14:32" x14ac:dyDescent="0.35">
      <c r="N1335" s="134" t="str">
        <f t="shared" si="461"/>
        <v/>
      </c>
      <c r="O1335" s="82" t="str">
        <f t="shared" si="464"/>
        <v/>
      </c>
      <c r="P1335" s="81" t="str">
        <f t="shared" si="462"/>
        <v/>
      </c>
      <c r="Q1335" s="81" t="str">
        <f t="shared" si="465"/>
        <v/>
      </c>
      <c r="R1335" s="135" t="str">
        <f t="shared" ca="1" si="466"/>
        <v/>
      </c>
      <c r="S1335" s="134" t="str">
        <f t="shared" ca="1" si="467"/>
        <v/>
      </c>
      <c r="T1335" s="134" t="str">
        <f ca="1">IF(S1335=Dashboard!$D$12,S1335,"")</f>
        <v/>
      </c>
      <c r="U1335" s="134" t="str">
        <f t="shared" ca="1" si="468"/>
        <v/>
      </c>
      <c r="V1335" s="83" t="str">
        <f ca="1">IF(U1335="","",IFERROR((RANK(U1335,$U$2:$U$2028,1)+COUNTIF($U$2:U1335,U1335))-1,""))</f>
        <v/>
      </c>
      <c r="W1335" s="134" t="str">
        <f t="shared" si="472"/>
        <v/>
      </c>
      <c r="X1335" s="134" t="str">
        <f>IF(W1335="","",IFERROR((RANK(W1335,$W$2:$W$2028,1)+COUNTIF($W$2:W1335,W1335))-1,""))</f>
        <v/>
      </c>
      <c r="Y1335" s="134" t="str">
        <f t="shared" si="469"/>
        <v/>
      </c>
      <c r="Z1335" s="134" t="str">
        <f>IF(Y1335="","",IFERROR((RANK(Y1335,$Y$2:$Y$2028,1)+COUNTIF($Y$2:Y1335,Y1335))-1,""))</f>
        <v/>
      </c>
      <c r="AA1335" s="134" t="str">
        <f t="shared" si="470"/>
        <v/>
      </c>
      <c r="AB1335" s="134" t="str">
        <f>IF(AA1335="","",IFERROR((RANK(AA1335,$AA$2:$AA$2028,1)+COUNTIF($AA$2:AA1335,AA1335))-1,""))</f>
        <v/>
      </c>
      <c r="AC1335" s="134" t="str">
        <f t="shared" si="471"/>
        <v/>
      </c>
      <c r="AD1335" s="134" t="str">
        <f>IF(AC1335="","",IFERROR((RANK(AC1335,$AC$2:$AC$2028,1)+COUNTIF($AC$2:AC1335,AC1335))-1,""))</f>
        <v/>
      </c>
      <c r="AE1335" s="144" t="str">
        <f t="shared" si="463"/>
        <v/>
      </c>
      <c r="AF1335" s="144" t="str">
        <f>IF(AE1335="","",SUM($AE$2:AE1335))</f>
        <v/>
      </c>
    </row>
    <row r="1336" spans="14:32" x14ac:dyDescent="0.35">
      <c r="N1336" s="134" t="str">
        <f t="shared" si="461"/>
        <v/>
      </c>
      <c r="O1336" s="82" t="str">
        <f t="shared" si="464"/>
        <v/>
      </c>
      <c r="P1336" s="81" t="str">
        <f t="shared" si="462"/>
        <v/>
      </c>
      <c r="Q1336" s="81" t="str">
        <f t="shared" si="465"/>
        <v/>
      </c>
      <c r="R1336" s="135" t="str">
        <f t="shared" ca="1" si="466"/>
        <v/>
      </c>
      <c r="S1336" s="134" t="str">
        <f t="shared" ca="1" si="467"/>
        <v/>
      </c>
      <c r="T1336" s="134" t="str">
        <f ca="1">IF(S1336=Dashboard!$D$12,S1336,"")</f>
        <v/>
      </c>
      <c r="U1336" s="134" t="str">
        <f t="shared" ca="1" si="468"/>
        <v/>
      </c>
      <c r="V1336" s="83" t="str">
        <f ca="1">IF(U1336="","",IFERROR((RANK(U1336,$U$2:$U$2028,1)+COUNTIF($U$2:U1336,U1336))-1,""))</f>
        <v/>
      </c>
      <c r="W1336" s="134" t="str">
        <f t="shared" si="472"/>
        <v/>
      </c>
      <c r="X1336" s="134" t="str">
        <f>IF(W1336="","",IFERROR((RANK(W1336,$W$2:$W$2028,1)+COUNTIF($W$2:W1336,W1336))-1,""))</f>
        <v/>
      </c>
      <c r="Y1336" s="134" t="str">
        <f t="shared" si="469"/>
        <v/>
      </c>
      <c r="Z1336" s="134" t="str">
        <f>IF(Y1336="","",IFERROR((RANK(Y1336,$Y$2:$Y$2028,1)+COUNTIF($Y$2:Y1336,Y1336))-1,""))</f>
        <v/>
      </c>
      <c r="AA1336" s="134" t="str">
        <f t="shared" si="470"/>
        <v/>
      </c>
      <c r="AB1336" s="134" t="str">
        <f>IF(AA1336="","",IFERROR((RANK(AA1336,$AA$2:$AA$2028,1)+COUNTIF($AA$2:AA1336,AA1336))-1,""))</f>
        <v/>
      </c>
      <c r="AC1336" s="134" t="str">
        <f t="shared" si="471"/>
        <v/>
      </c>
      <c r="AD1336" s="134" t="str">
        <f>IF(AC1336="","",IFERROR((RANK(AC1336,$AC$2:$AC$2028,1)+COUNTIF($AC$2:AC1336,AC1336))-1,""))</f>
        <v/>
      </c>
      <c r="AE1336" s="144" t="str">
        <f t="shared" si="463"/>
        <v/>
      </c>
      <c r="AF1336" s="144" t="str">
        <f>IF(AE1336="","",SUM($AE$2:AE1336))</f>
        <v/>
      </c>
    </row>
    <row r="1337" spans="14:32" x14ac:dyDescent="0.35">
      <c r="N1337" s="134" t="str">
        <f t="shared" si="461"/>
        <v/>
      </c>
      <c r="O1337" s="82" t="str">
        <f t="shared" si="464"/>
        <v/>
      </c>
      <c r="P1337" s="81" t="str">
        <f t="shared" si="462"/>
        <v/>
      </c>
      <c r="Q1337" s="81" t="str">
        <f t="shared" si="465"/>
        <v/>
      </c>
      <c r="R1337" s="135" t="str">
        <f t="shared" ca="1" si="466"/>
        <v/>
      </c>
      <c r="S1337" s="134" t="str">
        <f t="shared" ca="1" si="467"/>
        <v/>
      </c>
      <c r="T1337" s="134" t="str">
        <f ca="1">IF(S1337=Dashboard!$D$12,S1337,"")</f>
        <v/>
      </c>
      <c r="U1337" s="134" t="str">
        <f t="shared" ca="1" si="468"/>
        <v/>
      </c>
      <c r="V1337" s="83" t="str">
        <f ca="1">IF(U1337="","",IFERROR((RANK(U1337,$U$2:$U$2028,1)+COUNTIF($U$2:U1337,U1337))-1,""))</f>
        <v/>
      </c>
      <c r="W1337" s="134" t="str">
        <f t="shared" si="472"/>
        <v/>
      </c>
      <c r="X1337" s="134" t="str">
        <f>IF(W1337="","",IFERROR((RANK(W1337,$W$2:$W$2028,1)+COUNTIF($W$2:W1337,W1337))-1,""))</f>
        <v/>
      </c>
      <c r="Y1337" s="134" t="str">
        <f t="shared" si="469"/>
        <v/>
      </c>
      <c r="Z1337" s="134" t="str">
        <f>IF(Y1337="","",IFERROR((RANK(Y1337,$Y$2:$Y$2028,1)+COUNTIF($Y$2:Y1337,Y1337))-1,""))</f>
        <v/>
      </c>
      <c r="AA1337" s="134" t="str">
        <f t="shared" si="470"/>
        <v/>
      </c>
      <c r="AB1337" s="134" t="str">
        <f>IF(AA1337="","",IFERROR((RANK(AA1337,$AA$2:$AA$2028,1)+COUNTIF($AA$2:AA1337,AA1337))-1,""))</f>
        <v/>
      </c>
      <c r="AC1337" s="134" t="str">
        <f t="shared" si="471"/>
        <v/>
      </c>
      <c r="AD1337" s="134" t="str">
        <f>IF(AC1337="","",IFERROR((RANK(AC1337,$AC$2:$AC$2028,1)+COUNTIF($AC$2:AC1337,AC1337))-1,""))</f>
        <v/>
      </c>
      <c r="AE1337" s="144" t="str">
        <f t="shared" si="463"/>
        <v/>
      </c>
      <c r="AF1337" s="144" t="str">
        <f>IF(AE1337="","",SUM($AE$2:AE1337))</f>
        <v/>
      </c>
    </row>
    <row r="1338" spans="14:32" x14ac:dyDescent="0.35">
      <c r="N1338" s="134" t="str">
        <f t="shared" si="461"/>
        <v/>
      </c>
      <c r="O1338" s="82" t="str">
        <f t="shared" si="464"/>
        <v/>
      </c>
      <c r="P1338" s="81" t="str">
        <f t="shared" si="462"/>
        <v/>
      </c>
      <c r="Q1338" s="81" t="str">
        <f t="shared" si="465"/>
        <v/>
      </c>
      <c r="R1338" s="135" t="str">
        <f t="shared" ca="1" si="466"/>
        <v/>
      </c>
      <c r="S1338" s="134" t="str">
        <f t="shared" ca="1" si="467"/>
        <v/>
      </c>
      <c r="T1338" s="134" t="str">
        <f ca="1">IF(S1338=Dashboard!$D$12,S1338,"")</f>
        <v/>
      </c>
      <c r="U1338" s="134" t="str">
        <f t="shared" ca="1" si="468"/>
        <v/>
      </c>
      <c r="V1338" s="83" t="str">
        <f ca="1">IF(U1338="","",IFERROR((RANK(U1338,$U$2:$U$2028,1)+COUNTIF($U$2:U1338,U1338))-1,""))</f>
        <v/>
      </c>
      <c r="W1338" s="134" t="str">
        <f t="shared" si="472"/>
        <v/>
      </c>
      <c r="X1338" s="134" t="str">
        <f>IF(W1338="","",IFERROR((RANK(W1338,$W$2:$W$2028,1)+COUNTIF($W$2:W1338,W1338))-1,""))</f>
        <v/>
      </c>
      <c r="Y1338" s="134" t="str">
        <f t="shared" si="469"/>
        <v/>
      </c>
      <c r="Z1338" s="134" t="str">
        <f>IF(Y1338="","",IFERROR((RANK(Y1338,$Y$2:$Y$2028,1)+COUNTIF($Y$2:Y1338,Y1338))-1,""))</f>
        <v/>
      </c>
      <c r="AA1338" s="134" t="str">
        <f t="shared" si="470"/>
        <v/>
      </c>
      <c r="AB1338" s="134" t="str">
        <f>IF(AA1338="","",IFERROR((RANK(AA1338,$AA$2:$AA$2028,1)+COUNTIF($AA$2:AA1338,AA1338))-1,""))</f>
        <v/>
      </c>
      <c r="AC1338" s="134" t="str">
        <f t="shared" si="471"/>
        <v/>
      </c>
      <c r="AD1338" s="134" t="str">
        <f>IF(AC1338="","",IFERROR((RANK(AC1338,$AC$2:$AC$2028,1)+COUNTIF($AC$2:AC1338,AC1338))-1,""))</f>
        <v/>
      </c>
      <c r="AE1338" s="144" t="str">
        <f t="shared" si="463"/>
        <v/>
      </c>
      <c r="AF1338" s="144" t="str">
        <f>IF(AE1338="","",SUM($AE$2:AE1338))</f>
        <v/>
      </c>
    </row>
    <row r="1339" spans="14:32" x14ac:dyDescent="0.35">
      <c r="N1339" s="134" t="str">
        <f t="shared" si="461"/>
        <v/>
      </c>
      <c r="O1339" s="82" t="str">
        <f t="shared" si="464"/>
        <v/>
      </c>
      <c r="P1339" s="81" t="str">
        <f t="shared" si="462"/>
        <v/>
      </c>
      <c r="Q1339" s="81" t="str">
        <f t="shared" si="465"/>
        <v/>
      </c>
      <c r="R1339" s="135" t="str">
        <f t="shared" ca="1" si="466"/>
        <v/>
      </c>
      <c r="S1339" s="134" t="str">
        <f t="shared" ca="1" si="467"/>
        <v/>
      </c>
      <c r="T1339" s="134" t="str">
        <f ca="1">IF(S1339=Dashboard!$D$12,S1339,"")</f>
        <v/>
      </c>
      <c r="U1339" s="134" t="str">
        <f t="shared" ca="1" si="468"/>
        <v/>
      </c>
      <c r="V1339" s="83" t="str">
        <f ca="1">IF(U1339="","",IFERROR((RANK(U1339,$U$2:$U$2028,1)+COUNTIF($U$2:U1339,U1339))-1,""))</f>
        <v/>
      </c>
      <c r="W1339" s="134" t="str">
        <f t="shared" si="472"/>
        <v/>
      </c>
      <c r="X1339" s="134" t="str">
        <f>IF(W1339="","",IFERROR((RANK(W1339,$W$2:$W$2028,1)+COUNTIF($W$2:W1339,W1339))-1,""))</f>
        <v/>
      </c>
      <c r="Y1339" s="134" t="str">
        <f t="shared" si="469"/>
        <v/>
      </c>
      <c r="Z1339" s="134" t="str">
        <f>IF(Y1339="","",IFERROR((RANK(Y1339,$Y$2:$Y$2028,1)+COUNTIF($Y$2:Y1339,Y1339))-1,""))</f>
        <v/>
      </c>
      <c r="AA1339" s="134" t="str">
        <f t="shared" si="470"/>
        <v/>
      </c>
      <c r="AB1339" s="134" t="str">
        <f>IF(AA1339="","",IFERROR((RANK(AA1339,$AA$2:$AA$2028,1)+COUNTIF($AA$2:AA1339,AA1339))-1,""))</f>
        <v/>
      </c>
      <c r="AC1339" s="134" t="str">
        <f t="shared" si="471"/>
        <v/>
      </c>
      <c r="AD1339" s="134" t="str">
        <f>IF(AC1339="","",IFERROR((RANK(AC1339,$AC$2:$AC$2028,1)+COUNTIF($AC$2:AC1339,AC1339))-1,""))</f>
        <v/>
      </c>
      <c r="AE1339" s="144" t="str">
        <f t="shared" si="463"/>
        <v/>
      </c>
      <c r="AF1339" s="144" t="str">
        <f>IF(AE1339="","",SUM($AE$2:AE1339))</f>
        <v/>
      </c>
    </row>
    <row r="1340" spans="14:32" x14ac:dyDescent="0.35">
      <c r="N1340" s="134" t="str">
        <f t="shared" si="461"/>
        <v/>
      </c>
      <c r="O1340" s="82" t="str">
        <f t="shared" si="464"/>
        <v/>
      </c>
      <c r="P1340" s="81" t="str">
        <f t="shared" si="462"/>
        <v/>
      </c>
      <c r="Q1340" s="81" t="str">
        <f t="shared" si="465"/>
        <v/>
      </c>
      <c r="R1340" s="135" t="str">
        <f t="shared" ca="1" si="466"/>
        <v/>
      </c>
      <c r="S1340" s="134" t="str">
        <f t="shared" ca="1" si="467"/>
        <v/>
      </c>
      <c r="T1340" s="134" t="str">
        <f ca="1">IF(S1340=Dashboard!$D$12,S1340,"")</f>
        <v/>
      </c>
      <c r="U1340" s="134" t="str">
        <f t="shared" ca="1" si="468"/>
        <v/>
      </c>
      <c r="V1340" s="83" t="str">
        <f ca="1">IF(U1340="","",IFERROR((RANK(U1340,$U$2:$U$2028,1)+COUNTIF($U$2:U1340,U1340))-1,""))</f>
        <v/>
      </c>
      <c r="W1340" s="134" t="str">
        <f t="shared" si="472"/>
        <v/>
      </c>
      <c r="X1340" s="134" t="str">
        <f>IF(W1340="","",IFERROR((RANK(W1340,$W$2:$W$2028,1)+COUNTIF($W$2:W1340,W1340))-1,""))</f>
        <v/>
      </c>
      <c r="Y1340" s="134" t="str">
        <f t="shared" si="469"/>
        <v/>
      </c>
      <c r="Z1340" s="134" t="str">
        <f>IF(Y1340="","",IFERROR((RANK(Y1340,$Y$2:$Y$2028,1)+COUNTIF($Y$2:Y1340,Y1340))-1,""))</f>
        <v/>
      </c>
      <c r="AA1340" s="134" t="str">
        <f t="shared" si="470"/>
        <v/>
      </c>
      <c r="AB1340" s="134" t="str">
        <f>IF(AA1340="","",IFERROR((RANK(AA1340,$AA$2:$AA$2028,1)+COUNTIF($AA$2:AA1340,AA1340))-1,""))</f>
        <v/>
      </c>
      <c r="AC1340" s="134" t="str">
        <f t="shared" si="471"/>
        <v/>
      </c>
      <c r="AD1340" s="134" t="str">
        <f>IF(AC1340="","",IFERROR((RANK(AC1340,$AC$2:$AC$2028,1)+COUNTIF($AC$2:AC1340,AC1340))-1,""))</f>
        <v/>
      </c>
      <c r="AE1340" s="144" t="str">
        <f t="shared" si="463"/>
        <v/>
      </c>
      <c r="AF1340" s="144" t="str">
        <f>IF(AE1340="","",SUM($AE$2:AE1340))</f>
        <v/>
      </c>
    </row>
    <row r="1341" spans="14:32" x14ac:dyDescent="0.35">
      <c r="N1341" s="134" t="str">
        <f t="shared" si="461"/>
        <v/>
      </c>
      <c r="O1341" s="82" t="str">
        <f t="shared" si="464"/>
        <v/>
      </c>
      <c r="P1341" s="81" t="str">
        <f t="shared" si="462"/>
        <v/>
      </c>
      <c r="Q1341" s="81" t="str">
        <f t="shared" si="465"/>
        <v/>
      </c>
      <c r="R1341" s="135" t="str">
        <f t="shared" ca="1" si="466"/>
        <v/>
      </c>
      <c r="S1341" s="134" t="str">
        <f t="shared" ca="1" si="467"/>
        <v/>
      </c>
      <c r="T1341" s="134" t="str">
        <f ca="1">IF(S1341=Dashboard!$D$12,S1341,"")</f>
        <v/>
      </c>
      <c r="U1341" s="134" t="str">
        <f t="shared" ca="1" si="468"/>
        <v/>
      </c>
      <c r="V1341" s="83" t="str">
        <f ca="1">IF(U1341="","",IFERROR((RANK(U1341,$U$2:$U$2028,1)+COUNTIF($U$2:U1341,U1341))-1,""))</f>
        <v/>
      </c>
      <c r="W1341" s="134" t="str">
        <f t="shared" si="472"/>
        <v/>
      </c>
      <c r="X1341" s="134" t="str">
        <f>IF(W1341="","",IFERROR((RANK(W1341,$W$2:$W$2028,1)+COUNTIF($W$2:W1341,W1341))-1,""))</f>
        <v/>
      </c>
      <c r="Y1341" s="134" t="str">
        <f t="shared" si="469"/>
        <v/>
      </c>
      <c r="Z1341" s="134" t="str">
        <f>IF(Y1341="","",IFERROR((RANK(Y1341,$Y$2:$Y$2028,1)+COUNTIF($Y$2:Y1341,Y1341))-1,""))</f>
        <v/>
      </c>
      <c r="AA1341" s="134" t="str">
        <f t="shared" si="470"/>
        <v/>
      </c>
      <c r="AB1341" s="134" t="str">
        <f>IF(AA1341="","",IFERROR((RANK(AA1341,$AA$2:$AA$2028,1)+COUNTIF($AA$2:AA1341,AA1341))-1,""))</f>
        <v/>
      </c>
      <c r="AC1341" s="134" t="str">
        <f t="shared" si="471"/>
        <v/>
      </c>
      <c r="AD1341" s="134" t="str">
        <f>IF(AC1341="","",IFERROR((RANK(AC1341,$AC$2:$AC$2028,1)+COUNTIF($AC$2:AC1341,AC1341))-1,""))</f>
        <v/>
      </c>
      <c r="AE1341" s="144" t="str">
        <f t="shared" si="463"/>
        <v/>
      </c>
      <c r="AF1341" s="144" t="str">
        <f>IF(AE1341="","",SUM($AE$2:AE1341))</f>
        <v/>
      </c>
    </row>
    <row r="1342" spans="14:32" x14ac:dyDescent="0.35">
      <c r="N1342" s="134" t="str">
        <f t="shared" si="461"/>
        <v/>
      </c>
      <c r="O1342" s="82" t="str">
        <f t="shared" si="464"/>
        <v/>
      </c>
      <c r="P1342" s="81" t="str">
        <f t="shared" si="462"/>
        <v/>
      </c>
      <c r="Q1342" s="81" t="str">
        <f t="shared" si="465"/>
        <v/>
      </c>
      <c r="R1342" s="135" t="str">
        <f t="shared" ca="1" si="466"/>
        <v/>
      </c>
      <c r="S1342" s="134" t="str">
        <f t="shared" ca="1" si="467"/>
        <v/>
      </c>
      <c r="T1342" s="134" t="str">
        <f ca="1">IF(S1342=Dashboard!$D$12,S1342,"")</f>
        <v/>
      </c>
      <c r="U1342" s="134" t="str">
        <f t="shared" ca="1" si="468"/>
        <v/>
      </c>
      <c r="V1342" s="83" t="str">
        <f ca="1">IF(U1342="","",IFERROR((RANK(U1342,$U$2:$U$2028,1)+COUNTIF($U$2:U1342,U1342))-1,""))</f>
        <v/>
      </c>
      <c r="W1342" s="134" t="str">
        <f t="shared" si="472"/>
        <v/>
      </c>
      <c r="X1342" s="134" t="str">
        <f>IF(W1342="","",IFERROR((RANK(W1342,$W$2:$W$2028,1)+COUNTIF($W$2:W1342,W1342))-1,""))</f>
        <v/>
      </c>
      <c r="Y1342" s="134" t="str">
        <f t="shared" si="469"/>
        <v/>
      </c>
      <c r="Z1342" s="134" t="str">
        <f>IF(Y1342="","",IFERROR((RANK(Y1342,$Y$2:$Y$2028,1)+COUNTIF($Y$2:Y1342,Y1342))-1,""))</f>
        <v/>
      </c>
      <c r="AA1342" s="134" t="str">
        <f t="shared" si="470"/>
        <v/>
      </c>
      <c r="AB1342" s="134" t="str">
        <f>IF(AA1342="","",IFERROR((RANK(AA1342,$AA$2:$AA$2028,1)+COUNTIF($AA$2:AA1342,AA1342))-1,""))</f>
        <v/>
      </c>
      <c r="AC1342" s="134" t="str">
        <f t="shared" si="471"/>
        <v/>
      </c>
      <c r="AD1342" s="134" t="str">
        <f>IF(AC1342="","",IFERROR((RANK(AC1342,$AC$2:$AC$2028,1)+COUNTIF($AC$2:AC1342,AC1342))-1,""))</f>
        <v/>
      </c>
      <c r="AE1342" s="144" t="str">
        <f t="shared" si="463"/>
        <v/>
      </c>
      <c r="AF1342" s="144" t="str">
        <f>IF(AE1342="","",SUM($AE$2:AE1342))</f>
        <v/>
      </c>
    </row>
    <row r="1343" spans="14:32" x14ac:dyDescent="0.35">
      <c r="N1343" s="134" t="str">
        <f t="shared" si="461"/>
        <v/>
      </c>
      <c r="O1343" s="82" t="str">
        <f t="shared" si="464"/>
        <v/>
      </c>
      <c r="P1343" s="81" t="str">
        <f t="shared" si="462"/>
        <v/>
      </c>
      <c r="Q1343" s="81" t="str">
        <f t="shared" si="465"/>
        <v/>
      </c>
      <c r="R1343" s="135" t="str">
        <f t="shared" ca="1" si="466"/>
        <v/>
      </c>
      <c r="S1343" s="134" t="str">
        <f t="shared" ca="1" si="467"/>
        <v/>
      </c>
      <c r="T1343" s="134" t="str">
        <f ca="1">IF(S1343=Dashboard!$D$12,S1343,"")</f>
        <v/>
      </c>
      <c r="U1343" s="134" t="str">
        <f t="shared" ca="1" si="468"/>
        <v/>
      </c>
      <c r="V1343" s="83" t="str">
        <f ca="1">IF(U1343="","",IFERROR((RANK(U1343,$U$2:$U$2028,1)+COUNTIF($U$2:U1343,U1343))-1,""))</f>
        <v/>
      </c>
      <c r="W1343" s="134" t="str">
        <f t="shared" si="472"/>
        <v/>
      </c>
      <c r="X1343" s="134" t="str">
        <f>IF(W1343="","",IFERROR((RANK(W1343,$W$2:$W$2028,1)+COUNTIF($W$2:W1343,W1343))-1,""))</f>
        <v/>
      </c>
      <c r="Y1343" s="134" t="str">
        <f t="shared" si="469"/>
        <v/>
      </c>
      <c r="Z1343" s="134" t="str">
        <f>IF(Y1343="","",IFERROR((RANK(Y1343,$Y$2:$Y$2028,1)+COUNTIF($Y$2:Y1343,Y1343))-1,""))</f>
        <v/>
      </c>
      <c r="AA1343" s="134" t="str">
        <f t="shared" si="470"/>
        <v/>
      </c>
      <c r="AB1343" s="134" t="str">
        <f>IF(AA1343="","",IFERROR((RANK(AA1343,$AA$2:$AA$2028,1)+COUNTIF($AA$2:AA1343,AA1343))-1,""))</f>
        <v/>
      </c>
      <c r="AC1343" s="134" t="str">
        <f t="shared" si="471"/>
        <v/>
      </c>
      <c r="AD1343" s="134" t="str">
        <f>IF(AC1343="","",IFERROR((RANK(AC1343,$AC$2:$AC$2028,1)+COUNTIF($AC$2:AC1343,AC1343))-1,""))</f>
        <v/>
      </c>
      <c r="AE1343" s="144" t="str">
        <f t="shared" si="463"/>
        <v/>
      </c>
      <c r="AF1343" s="144" t="str">
        <f>IF(AE1343="","",SUM($AE$2:AE1343))</f>
        <v/>
      </c>
    </row>
    <row r="1344" spans="14:32" x14ac:dyDescent="0.35">
      <c r="N1344" s="134" t="str">
        <f t="shared" si="461"/>
        <v/>
      </c>
      <c r="O1344" s="82" t="str">
        <f t="shared" si="464"/>
        <v/>
      </c>
      <c r="P1344" s="81" t="str">
        <f t="shared" si="462"/>
        <v/>
      </c>
      <c r="Q1344" s="81" t="str">
        <f t="shared" si="465"/>
        <v/>
      </c>
      <c r="R1344" s="135" t="str">
        <f t="shared" ca="1" si="466"/>
        <v/>
      </c>
      <c r="S1344" s="134" t="str">
        <f t="shared" ca="1" si="467"/>
        <v/>
      </c>
      <c r="T1344" s="134" t="str">
        <f ca="1">IF(S1344=Dashboard!$D$12,S1344,"")</f>
        <v/>
      </c>
      <c r="U1344" s="134" t="str">
        <f t="shared" ca="1" si="468"/>
        <v/>
      </c>
      <c r="V1344" s="83" t="str">
        <f ca="1">IF(U1344="","",IFERROR((RANK(U1344,$U$2:$U$2028,1)+COUNTIF($U$2:U1344,U1344))-1,""))</f>
        <v/>
      </c>
      <c r="W1344" s="134" t="str">
        <f t="shared" si="472"/>
        <v/>
      </c>
      <c r="X1344" s="134" t="str">
        <f>IF(W1344="","",IFERROR((RANK(W1344,$W$2:$W$2028,1)+COUNTIF($W$2:W1344,W1344))-1,""))</f>
        <v/>
      </c>
      <c r="Y1344" s="134" t="str">
        <f t="shared" si="469"/>
        <v/>
      </c>
      <c r="Z1344" s="134" t="str">
        <f>IF(Y1344="","",IFERROR((RANK(Y1344,$Y$2:$Y$2028,1)+COUNTIF($Y$2:Y1344,Y1344))-1,""))</f>
        <v/>
      </c>
      <c r="AA1344" s="134" t="str">
        <f t="shared" si="470"/>
        <v/>
      </c>
      <c r="AB1344" s="134" t="str">
        <f>IF(AA1344="","",IFERROR((RANK(AA1344,$AA$2:$AA$2028,1)+COUNTIF($AA$2:AA1344,AA1344))-1,""))</f>
        <v/>
      </c>
      <c r="AC1344" s="134" t="str">
        <f t="shared" si="471"/>
        <v/>
      </c>
      <c r="AD1344" s="134" t="str">
        <f>IF(AC1344="","",IFERROR((RANK(AC1344,$AC$2:$AC$2028,1)+COUNTIF($AC$2:AC1344,AC1344))-1,""))</f>
        <v/>
      </c>
      <c r="AE1344" s="144" t="str">
        <f t="shared" si="463"/>
        <v/>
      </c>
      <c r="AF1344" s="144" t="str">
        <f>IF(AE1344="","",SUM($AE$2:AE1344))</f>
        <v/>
      </c>
    </row>
    <row r="1345" spans="14:32" x14ac:dyDescent="0.35">
      <c r="N1345" s="134" t="str">
        <f t="shared" si="461"/>
        <v/>
      </c>
      <c r="O1345" s="82" t="str">
        <f t="shared" si="464"/>
        <v/>
      </c>
      <c r="P1345" s="81" t="str">
        <f t="shared" si="462"/>
        <v/>
      </c>
      <c r="Q1345" s="81" t="str">
        <f t="shared" si="465"/>
        <v/>
      </c>
      <c r="R1345" s="135" t="str">
        <f t="shared" ca="1" si="466"/>
        <v/>
      </c>
      <c r="S1345" s="134" t="str">
        <f t="shared" ca="1" si="467"/>
        <v/>
      </c>
      <c r="T1345" s="134" t="str">
        <f ca="1">IF(S1345=Dashboard!$D$12,S1345,"")</f>
        <v/>
      </c>
      <c r="U1345" s="134" t="str">
        <f t="shared" ca="1" si="468"/>
        <v/>
      </c>
      <c r="V1345" s="83" t="str">
        <f ca="1">IF(U1345="","",IFERROR((RANK(U1345,$U$2:$U$2028,1)+COUNTIF($U$2:U1345,U1345))-1,""))</f>
        <v/>
      </c>
      <c r="W1345" s="134" t="str">
        <f t="shared" si="472"/>
        <v/>
      </c>
      <c r="X1345" s="134" t="str">
        <f>IF(W1345="","",IFERROR((RANK(W1345,$W$2:$W$2028,1)+COUNTIF($W$2:W1345,W1345))-1,""))</f>
        <v/>
      </c>
      <c r="Y1345" s="134" t="str">
        <f t="shared" si="469"/>
        <v/>
      </c>
      <c r="Z1345" s="134" t="str">
        <f>IF(Y1345="","",IFERROR((RANK(Y1345,$Y$2:$Y$2028,1)+COUNTIF($Y$2:Y1345,Y1345))-1,""))</f>
        <v/>
      </c>
      <c r="AA1345" s="134" t="str">
        <f t="shared" si="470"/>
        <v/>
      </c>
      <c r="AB1345" s="134" t="str">
        <f>IF(AA1345="","",IFERROR((RANK(AA1345,$AA$2:$AA$2028,1)+COUNTIF($AA$2:AA1345,AA1345))-1,""))</f>
        <v/>
      </c>
      <c r="AC1345" s="134" t="str">
        <f t="shared" si="471"/>
        <v/>
      </c>
      <c r="AD1345" s="134" t="str">
        <f>IF(AC1345="","",IFERROR((RANK(AC1345,$AC$2:$AC$2028,1)+COUNTIF($AC$2:AC1345,AC1345))-1,""))</f>
        <v/>
      </c>
      <c r="AE1345" s="144" t="str">
        <f t="shared" si="463"/>
        <v/>
      </c>
      <c r="AF1345" s="144" t="str">
        <f>IF(AE1345="","",SUM($AE$2:AE1345))</f>
        <v/>
      </c>
    </row>
    <row r="1346" spans="14:32" x14ac:dyDescent="0.35">
      <c r="N1346" s="134" t="str">
        <f t="shared" ref="N1346:N1409" si="473">IF(A1346="","",COUNTIFS(M:M,M1346,H:H,"&lt;"&amp;H1346)+1)</f>
        <v/>
      </c>
      <c r="O1346" s="82" t="str">
        <f t="shared" si="464"/>
        <v/>
      </c>
      <c r="P1346" s="81" t="str">
        <f t="shared" ref="P1346:P1409" si="474">IF(A1346="","",COUNTIFS(M:M,M1346,H:H,"&gt;"&amp;H1346)+1)</f>
        <v/>
      </c>
      <c r="Q1346" s="81" t="str">
        <f t="shared" si="465"/>
        <v/>
      </c>
      <c r="R1346" s="135" t="str">
        <f t="shared" ca="1" si="466"/>
        <v/>
      </c>
      <c r="S1346" s="134" t="str">
        <f t="shared" ca="1" si="467"/>
        <v/>
      </c>
      <c r="T1346" s="134" t="str">
        <f ca="1">IF(S1346=Dashboard!$D$12,S1346,"")</f>
        <v/>
      </c>
      <c r="U1346" s="134" t="str">
        <f t="shared" ca="1" si="468"/>
        <v/>
      </c>
      <c r="V1346" s="83" t="str">
        <f ca="1">IF(U1346="","",IFERROR((RANK(U1346,$U$2:$U$2028,1)+COUNTIF($U$2:U1346,U1346))-1,""))</f>
        <v/>
      </c>
      <c r="W1346" s="134" t="str">
        <f t="shared" si="472"/>
        <v/>
      </c>
      <c r="X1346" s="134" t="str">
        <f>IF(W1346="","",IFERROR((RANK(W1346,$W$2:$W$2028,1)+COUNTIF($W$2:W1346,W1346))-1,""))</f>
        <v/>
      </c>
      <c r="Y1346" s="134" t="str">
        <f t="shared" si="469"/>
        <v/>
      </c>
      <c r="Z1346" s="134" t="str">
        <f>IF(Y1346="","",IFERROR((RANK(Y1346,$Y$2:$Y$2028,1)+COUNTIF($Y$2:Y1346,Y1346))-1,""))</f>
        <v/>
      </c>
      <c r="AA1346" s="134" t="str">
        <f t="shared" si="470"/>
        <v/>
      </c>
      <c r="AB1346" s="134" t="str">
        <f>IF(AA1346="","",IFERROR((RANK(AA1346,$AA$2:$AA$2028,1)+COUNTIF($AA$2:AA1346,AA1346))-1,""))</f>
        <v/>
      </c>
      <c r="AC1346" s="134" t="str">
        <f t="shared" si="471"/>
        <v/>
      </c>
      <c r="AD1346" s="134" t="str">
        <f>IF(AC1346="","",IFERROR((RANK(AC1346,$AC$2:$AC$2028,1)+COUNTIF($AC$2:AC1346,AC1346))-1,""))</f>
        <v/>
      </c>
      <c r="AE1346" s="144" t="str">
        <f t="shared" si="463"/>
        <v/>
      </c>
      <c r="AF1346" s="144" t="str">
        <f>IF(AE1346="","",SUM($AE$2:AE1346))</f>
        <v/>
      </c>
    </row>
    <row r="1347" spans="14:32" x14ac:dyDescent="0.35">
      <c r="N1347" s="134" t="str">
        <f t="shared" si="473"/>
        <v/>
      </c>
      <c r="O1347" s="82" t="str">
        <f t="shared" si="464"/>
        <v/>
      </c>
      <c r="P1347" s="81" t="str">
        <f t="shared" si="474"/>
        <v/>
      </c>
      <c r="Q1347" s="81" t="str">
        <f t="shared" si="465"/>
        <v/>
      </c>
      <c r="R1347" s="135" t="str">
        <f t="shared" ca="1" si="466"/>
        <v/>
      </c>
      <c r="S1347" s="134" t="str">
        <f t="shared" ca="1" si="467"/>
        <v/>
      </c>
      <c r="T1347" s="134" t="str">
        <f ca="1">IF(S1347=Dashboard!$D$12,S1347,"")</f>
        <v/>
      </c>
      <c r="U1347" s="134" t="str">
        <f t="shared" ca="1" si="468"/>
        <v/>
      </c>
      <c r="V1347" s="83" t="str">
        <f ca="1">IF(U1347="","",IFERROR((RANK(U1347,$U$2:$U$2028,1)+COUNTIF($U$2:U1347,U1347))-1,""))</f>
        <v/>
      </c>
      <c r="W1347" s="134" t="str">
        <f t="shared" si="472"/>
        <v/>
      </c>
      <c r="X1347" s="134" t="str">
        <f>IF(W1347="","",IFERROR((RANK(W1347,$W$2:$W$2028,1)+COUNTIF($W$2:W1347,W1347))-1,""))</f>
        <v/>
      </c>
      <c r="Y1347" s="134" t="str">
        <f t="shared" si="469"/>
        <v/>
      </c>
      <c r="Z1347" s="134" t="str">
        <f>IF(Y1347="","",IFERROR((RANK(Y1347,$Y$2:$Y$2028,1)+COUNTIF($Y$2:Y1347,Y1347))-1,""))</f>
        <v/>
      </c>
      <c r="AA1347" s="134" t="str">
        <f t="shared" si="470"/>
        <v/>
      </c>
      <c r="AB1347" s="134" t="str">
        <f>IF(AA1347="","",IFERROR((RANK(AA1347,$AA$2:$AA$2028,1)+COUNTIF($AA$2:AA1347,AA1347))-1,""))</f>
        <v/>
      </c>
      <c r="AC1347" s="134" t="str">
        <f t="shared" si="471"/>
        <v/>
      </c>
      <c r="AD1347" s="134" t="str">
        <f>IF(AC1347="","",IFERROR((RANK(AC1347,$AC$2:$AC$2028,1)+COUNTIF($AC$2:AC1347,AC1347))-1,""))</f>
        <v/>
      </c>
      <c r="AE1347" s="144" t="str">
        <f t="shared" si="463"/>
        <v/>
      </c>
      <c r="AF1347" s="144" t="str">
        <f>IF(AE1347="","",SUM($AE$2:AE1347))</f>
        <v/>
      </c>
    </row>
    <row r="1348" spans="14:32" x14ac:dyDescent="0.35">
      <c r="N1348" s="134" t="str">
        <f t="shared" si="473"/>
        <v/>
      </c>
      <c r="O1348" s="82" t="str">
        <f t="shared" si="464"/>
        <v/>
      </c>
      <c r="P1348" s="81" t="str">
        <f t="shared" si="474"/>
        <v/>
      </c>
      <c r="Q1348" s="81" t="str">
        <f t="shared" si="465"/>
        <v/>
      </c>
      <c r="R1348" s="135" t="str">
        <f t="shared" ca="1" si="466"/>
        <v/>
      </c>
      <c r="S1348" s="134" t="str">
        <f t="shared" ca="1" si="467"/>
        <v/>
      </c>
      <c r="T1348" s="134" t="str">
        <f ca="1">IF(S1348=Dashboard!$D$12,S1348,"")</f>
        <v/>
      </c>
      <c r="U1348" s="134" t="str">
        <f t="shared" ca="1" si="468"/>
        <v/>
      </c>
      <c r="V1348" s="83" t="str">
        <f ca="1">IF(U1348="","",IFERROR((RANK(U1348,$U$2:$U$2028,1)+COUNTIF($U$2:U1348,U1348))-1,""))</f>
        <v/>
      </c>
      <c r="W1348" s="134" t="str">
        <f t="shared" si="472"/>
        <v/>
      </c>
      <c r="X1348" s="134" t="str">
        <f>IF(W1348="","",IFERROR((RANK(W1348,$W$2:$W$2028,1)+COUNTIF($W$2:W1348,W1348))-1,""))</f>
        <v/>
      </c>
      <c r="Y1348" s="134" t="str">
        <f t="shared" si="469"/>
        <v/>
      </c>
      <c r="Z1348" s="134" t="str">
        <f>IF(Y1348="","",IFERROR((RANK(Y1348,$Y$2:$Y$2028,1)+COUNTIF($Y$2:Y1348,Y1348))-1,""))</f>
        <v/>
      </c>
      <c r="AA1348" s="134" t="str">
        <f t="shared" si="470"/>
        <v/>
      </c>
      <c r="AB1348" s="134" t="str">
        <f>IF(AA1348="","",IFERROR((RANK(AA1348,$AA$2:$AA$2028,1)+COUNTIF($AA$2:AA1348,AA1348))-1,""))</f>
        <v/>
      </c>
      <c r="AC1348" s="134" t="str">
        <f t="shared" si="471"/>
        <v/>
      </c>
      <c r="AD1348" s="134" t="str">
        <f>IF(AC1348="","",IFERROR((RANK(AC1348,$AC$2:$AC$2028,1)+COUNTIF($AC$2:AC1348,AC1348))-1,""))</f>
        <v/>
      </c>
      <c r="AE1348" s="144" t="str">
        <f t="shared" si="463"/>
        <v/>
      </c>
      <c r="AF1348" s="144" t="str">
        <f>IF(AE1348="","",SUM($AE$2:AE1348))</f>
        <v/>
      </c>
    </row>
    <row r="1349" spans="14:32" x14ac:dyDescent="0.35">
      <c r="N1349" s="134" t="str">
        <f t="shared" si="473"/>
        <v/>
      </c>
      <c r="O1349" s="82" t="str">
        <f t="shared" si="464"/>
        <v/>
      </c>
      <c r="P1349" s="81" t="str">
        <f t="shared" si="474"/>
        <v/>
      </c>
      <c r="Q1349" s="81" t="str">
        <f t="shared" si="465"/>
        <v/>
      </c>
      <c r="R1349" s="135" t="str">
        <f t="shared" ca="1" si="466"/>
        <v/>
      </c>
      <c r="S1349" s="134" t="str">
        <f t="shared" ca="1" si="467"/>
        <v/>
      </c>
      <c r="T1349" s="134" t="str">
        <f ca="1">IF(S1349=Dashboard!$D$12,S1349,"")</f>
        <v/>
      </c>
      <c r="U1349" s="134" t="str">
        <f t="shared" ca="1" si="468"/>
        <v/>
      </c>
      <c r="V1349" s="83" t="str">
        <f ca="1">IF(U1349="","",IFERROR((RANK(U1349,$U$2:$U$2028,1)+COUNTIF($U$2:U1349,U1349))-1,""))</f>
        <v/>
      </c>
      <c r="W1349" s="134" t="str">
        <f t="shared" si="472"/>
        <v/>
      </c>
      <c r="X1349" s="134" t="str">
        <f>IF(W1349="","",IFERROR((RANK(W1349,$W$2:$W$2028,1)+COUNTIF($W$2:W1349,W1349))-1,""))</f>
        <v/>
      </c>
      <c r="Y1349" s="134" t="str">
        <f t="shared" si="469"/>
        <v/>
      </c>
      <c r="Z1349" s="134" t="str">
        <f>IF(Y1349="","",IFERROR((RANK(Y1349,$Y$2:$Y$2028,1)+COUNTIF($Y$2:Y1349,Y1349))-1,""))</f>
        <v/>
      </c>
      <c r="AA1349" s="134" t="str">
        <f t="shared" si="470"/>
        <v/>
      </c>
      <c r="AB1349" s="134" t="str">
        <f>IF(AA1349="","",IFERROR((RANK(AA1349,$AA$2:$AA$2028,1)+COUNTIF($AA$2:AA1349,AA1349))-1,""))</f>
        <v/>
      </c>
      <c r="AC1349" s="134" t="str">
        <f t="shared" si="471"/>
        <v/>
      </c>
      <c r="AD1349" s="134" t="str">
        <f>IF(AC1349="","",IFERROR((RANK(AC1349,$AC$2:$AC$2028,1)+COUNTIF($AC$2:AC1349,AC1349))-1,""))</f>
        <v/>
      </c>
      <c r="AE1349" s="144" t="str">
        <f t="shared" si="463"/>
        <v/>
      </c>
      <c r="AF1349" s="144" t="str">
        <f>IF(AE1349="","",SUM($AE$2:AE1349))</f>
        <v/>
      </c>
    </row>
    <row r="1350" spans="14:32" x14ac:dyDescent="0.35">
      <c r="N1350" s="134" t="str">
        <f t="shared" si="473"/>
        <v/>
      </c>
      <c r="O1350" s="82" t="str">
        <f t="shared" si="464"/>
        <v/>
      </c>
      <c r="P1350" s="81" t="str">
        <f t="shared" si="474"/>
        <v/>
      </c>
      <c r="Q1350" s="81" t="str">
        <f t="shared" si="465"/>
        <v/>
      </c>
      <c r="R1350" s="135" t="str">
        <f t="shared" ca="1" si="466"/>
        <v/>
      </c>
      <c r="S1350" s="134" t="str">
        <f t="shared" ca="1" si="467"/>
        <v/>
      </c>
      <c r="T1350" s="134" t="str">
        <f ca="1">IF(S1350=Dashboard!$D$12,S1350,"")</f>
        <v/>
      </c>
      <c r="U1350" s="134" t="str">
        <f t="shared" ca="1" si="468"/>
        <v/>
      </c>
      <c r="V1350" s="83" t="str">
        <f ca="1">IF(U1350="","",IFERROR((RANK(U1350,$U$2:$U$2028,1)+COUNTIF($U$2:U1350,U1350))-1,""))</f>
        <v/>
      </c>
      <c r="W1350" s="134" t="str">
        <f t="shared" si="472"/>
        <v/>
      </c>
      <c r="X1350" s="134" t="str">
        <f>IF(W1350="","",IFERROR((RANK(W1350,$W$2:$W$2028,1)+COUNTIF($W$2:W1350,W1350))-1,""))</f>
        <v/>
      </c>
      <c r="Y1350" s="134" t="str">
        <f t="shared" si="469"/>
        <v/>
      </c>
      <c r="Z1350" s="134" t="str">
        <f>IF(Y1350="","",IFERROR((RANK(Y1350,$Y$2:$Y$2028,1)+COUNTIF($Y$2:Y1350,Y1350))-1,""))</f>
        <v/>
      </c>
      <c r="AA1350" s="134" t="str">
        <f t="shared" si="470"/>
        <v/>
      </c>
      <c r="AB1350" s="134" t="str">
        <f>IF(AA1350="","",IFERROR((RANK(AA1350,$AA$2:$AA$2028,1)+COUNTIF($AA$2:AA1350,AA1350))-1,""))</f>
        <v/>
      </c>
      <c r="AC1350" s="134" t="str">
        <f t="shared" si="471"/>
        <v/>
      </c>
      <c r="AD1350" s="134" t="str">
        <f>IF(AC1350="","",IFERROR((RANK(AC1350,$AC$2:$AC$2028,1)+COUNTIF($AC$2:AC1350,AC1350))-1,""))</f>
        <v/>
      </c>
      <c r="AE1350" s="144" t="str">
        <f t="shared" si="463"/>
        <v/>
      </c>
      <c r="AF1350" s="144" t="str">
        <f>IF(AE1350="","",SUM($AE$2:AE1350))</f>
        <v/>
      </c>
    </row>
    <row r="1351" spans="14:32" x14ac:dyDescent="0.35">
      <c r="N1351" s="134" t="str">
        <f t="shared" si="473"/>
        <v/>
      </c>
      <c r="O1351" s="82" t="str">
        <f t="shared" si="464"/>
        <v/>
      </c>
      <c r="P1351" s="81" t="str">
        <f t="shared" si="474"/>
        <v/>
      </c>
      <c r="Q1351" s="81" t="str">
        <f t="shared" si="465"/>
        <v/>
      </c>
      <c r="R1351" s="135" t="str">
        <f t="shared" ca="1" si="466"/>
        <v/>
      </c>
      <c r="S1351" s="134" t="str">
        <f t="shared" ca="1" si="467"/>
        <v/>
      </c>
      <c r="T1351" s="134" t="str">
        <f ca="1">IF(S1351=Dashboard!$D$12,S1351,"")</f>
        <v/>
      </c>
      <c r="U1351" s="134" t="str">
        <f t="shared" ca="1" si="468"/>
        <v/>
      </c>
      <c r="V1351" s="83" t="str">
        <f ca="1">IF(U1351="","",IFERROR((RANK(U1351,$U$2:$U$2028,1)+COUNTIF($U$2:U1351,U1351))-1,""))</f>
        <v/>
      </c>
      <c r="W1351" s="134" t="str">
        <f t="shared" si="472"/>
        <v/>
      </c>
      <c r="X1351" s="134" t="str">
        <f>IF(W1351="","",IFERROR((RANK(W1351,$W$2:$W$2028,1)+COUNTIF($W$2:W1351,W1351))-1,""))</f>
        <v/>
      </c>
      <c r="Y1351" s="134" t="str">
        <f t="shared" si="469"/>
        <v/>
      </c>
      <c r="Z1351" s="134" t="str">
        <f>IF(Y1351="","",IFERROR((RANK(Y1351,$Y$2:$Y$2028,1)+COUNTIF($Y$2:Y1351,Y1351))-1,""))</f>
        <v/>
      </c>
      <c r="AA1351" s="134" t="str">
        <f t="shared" si="470"/>
        <v/>
      </c>
      <c r="AB1351" s="134" t="str">
        <f>IF(AA1351="","",IFERROR((RANK(AA1351,$AA$2:$AA$2028,1)+COUNTIF($AA$2:AA1351,AA1351))-1,""))</f>
        <v/>
      </c>
      <c r="AC1351" s="134" t="str">
        <f t="shared" si="471"/>
        <v/>
      </c>
      <c r="AD1351" s="134" t="str">
        <f>IF(AC1351="","",IFERROR((RANK(AC1351,$AC$2:$AC$2028,1)+COUNTIF($AC$2:AC1351,AC1351))-1,""))</f>
        <v/>
      </c>
      <c r="AE1351" s="144" t="str">
        <f t="shared" ref="AE1351:AE1414" si="475">IF(P1351=1,P1351,"")</f>
        <v/>
      </c>
      <c r="AF1351" s="144" t="str">
        <f>IF(AE1351="","",SUM($AE$2:AE1351))</f>
        <v/>
      </c>
    </row>
    <row r="1352" spans="14:32" x14ac:dyDescent="0.35">
      <c r="N1352" s="134" t="str">
        <f t="shared" si="473"/>
        <v/>
      </c>
      <c r="O1352" s="82" t="str">
        <f t="shared" si="464"/>
        <v/>
      </c>
      <c r="P1352" s="81" t="str">
        <f t="shared" si="474"/>
        <v/>
      </c>
      <c r="Q1352" s="81" t="str">
        <f t="shared" si="465"/>
        <v/>
      </c>
      <c r="R1352" s="135" t="str">
        <f t="shared" ca="1" si="466"/>
        <v/>
      </c>
      <c r="S1352" s="134" t="str">
        <f t="shared" ca="1" si="467"/>
        <v/>
      </c>
      <c r="T1352" s="134" t="str">
        <f ca="1">IF(S1352=Dashboard!$D$12,S1352,"")</f>
        <v/>
      </c>
      <c r="U1352" s="134" t="str">
        <f t="shared" ca="1" si="468"/>
        <v/>
      </c>
      <c r="V1352" s="83" t="str">
        <f ca="1">IF(U1352="","",IFERROR((RANK(U1352,$U$2:$U$2028,1)+COUNTIF($U$2:U1352,U1352))-1,""))</f>
        <v/>
      </c>
      <c r="W1352" s="134" t="str">
        <f t="shared" si="472"/>
        <v/>
      </c>
      <c r="X1352" s="134" t="str">
        <f>IF(W1352="","",IFERROR((RANK(W1352,$W$2:$W$2028,1)+COUNTIF($W$2:W1352,W1352))-1,""))</f>
        <v/>
      </c>
      <c r="Y1352" s="134" t="str">
        <f t="shared" si="469"/>
        <v/>
      </c>
      <c r="Z1352" s="134" t="str">
        <f>IF(Y1352="","",IFERROR((RANK(Y1352,$Y$2:$Y$2028,1)+COUNTIF($Y$2:Y1352,Y1352))-1,""))</f>
        <v/>
      </c>
      <c r="AA1352" s="134" t="str">
        <f t="shared" si="470"/>
        <v/>
      </c>
      <c r="AB1352" s="134" t="str">
        <f>IF(AA1352="","",IFERROR((RANK(AA1352,$AA$2:$AA$2028,1)+COUNTIF($AA$2:AA1352,AA1352))-1,""))</f>
        <v/>
      </c>
      <c r="AC1352" s="134" t="str">
        <f t="shared" si="471"/>
        <v/>
      </c>
      <c r="AD1352" s="134" t="str">
        <f>IF(AC1352="","",IFERROR((RANK(AC1352,$AC$2:$AC$2028,1)+COUNTIF($AC$2:AC1352,AC1352))-1,""))</f>
        <v/>
      </c>
      <c r="AE1352" s="144" t="str">
        <f t="shared" si="475"/>
        <v/>
      </c>
      <c r="AF1352" s="144" t="str">
        <f>IF(AE1352="","",SUM($AE$2:AE1352))</f>
        <v/>
      </c>
    </row>
    <row r="1353" spans="14:32" x14ac:dyDescent="0.35">
      <c r="N1353" s="134" t="str">
        <f t="shared" si="473"/>
        <v/>
      </c>
      <c r="O1353" s="82" t="str">
        <f t="shared" si="464"/>
        <v/>
      </c>
      <c r="P1353" s="81" t="str">
        <f t="shared" si="474"/>
        <v/>
      </c>
      <c r="Q1353" s="81" t="str">
        <f t="shared" si="465"/>
        <v/>
      </c>
      <c r="R1353" s="135" t="str">
        <f t="shared" ca="1" si="466"/>
        <v/>
      </c>
      <c r="S1353" s="134" t="str">
        <f t="shared" ca="1" si="467"/>
        <v/>
      </c>
      <c r="T1353" s="134" t="str">
        <f ca="1">IF(S1353=Dashboard!$D$12,S1353,"")</f>
        <v/>
      </c>
      <c r="U1353" s="134" t="str">
        <f t="shared" ca="1" si="468"/>
        <v/>
      </c>
      <c r="V1353" s="83" t="str">
        <f ca="1">IF(U1353="","",IFERROR((RANK(U1353,$U$2:$U$2028,1)+COUNTIF($U$2:U1353,U1353))-1,""))</f>
        <v/>
      </c>
      <c r="W1353" s="134" t="str">
        <f t="shared" si="472"/>
        <v/>
      </c>
      <c r="X1353" s="134" t="str">
        <f>IF(W1353="","",IFERROR((RANK(W1353,$W$2:$W$2028,1)+COUNTIF($W$2:W1353,W1353))-1,""))</f>
        <v/>
      </c>
      <c r="Y1353" s="134" t="str">
        <f t="shared" si="469"/>
        <v/>
      </c>
      <c r="Z1353" s="134" t="str">
        <f>IF(Y1353="","",IFERROR((RANK(Y1353,$Y$2:$Y$2028,1)+COUNTIF($Y$2:Y1353,Y1353))-1,""))</f>
        <v/>
      </c>
      <c r="AA1353" s="134" t="str">
        <f t="shared" si="470"/>
        <v/>
      </c>
      <c r="AB1353" s="134" t="str">
        <f>IF(AA1353="","",IFERROR((RANK(AA1353,$AA$2:$AA$2028,1)+COUNTIF($AA$2:AA1353,AA1353))-1,""))</f>
        <v/>
      </c>
      <c r="AC1353" s="134" t="str">
        <f t="shared" si="471"/>
        <v/>
      </c>
      <c r="AD1353" s="134" t="str">
        <f>IF(AC1353="","",IFERROR((RANK(AC1353,$AC$2:$AC$2028,1)+COUNTIF($AC$2:AC1353,AC1353))-1,""))</f>
        <v/>
      </c>
      <c r="AE1353" s="144" t="str">
        <f t="shared" si="475"/>
        <v/>
      </c>
      <c r="AF1353" s="144" t="str">
        <f>IF(AE1353="","",SUM($AE$2:AE1353))</f>
        <v/>
      </c>
    </row>
    <row r="1354" spans="14:32" x14ac:dyDescent="0.35">
      <c r="N1354" s="134" t="str">
        <f t="shared" si="473"/>
        <v/>
      </c>
      <c r="O1354" s="82" t="str">
        <f t="shared" si="464"/>
        <v/>
      </c>
      <c r="P1354" s="81" t="str">
        <f t="shared" si="474"/>
        <v/>
      </c>
      <c r="Q1354" s="81" t="str">
        <f t="shared" si="465"/>
        <v/>
      </c>
      <c r="R1354" s="135" t="str">
        <f t="shared" ca="1" si="466"/>
        <v/>
      </c>
      <c r="S1354" s="134" t="str">
        <f t="shared" ca="1" si="467"/>
        <v/>
      </c>
      <c r="T1354" s="134" t="str">
        <f ca="1">IF(S1354=Dashboard!$D$12,S1354,"")</f>
        <v/>
      </c>
      <c r="U1354" s="134" t="str">
        <f t="shared" ca="1" si="468"/>
        <v/>
      </c>
      <c r="V1354" s="83" t="str">
        <f ca="1">IF(U1354="","",IFERROR((RANK(U1354,$U$2:$U$2028,1)+COUNTIF($U$2:U1354,U1354))-1,""))</f>
        <v/>
      </c>
      <c r="W1354" s="134" t="str">
        <f t="shared" si="472"/>
        <v/>
      </c>
      <c r="X1354" s="134" t="str">
        <f>IF(W1354="","",IFERROR((RANK(W1354,$W$2:$W$2028,1)+COUNTIF($W$2:W1354,W1354))-1,""))</f>
        <v/>
      </c>
      <c r="Y1354" s="134" t="str">
        <f t="shared" si="469"/>
        <v/>
      </c>
      <c r="Z1354" s="134" t="str">
        <f>IF(Y1354="","",IFERROR((RANK(Y1354,$Y$2:$Y$2028,1)+COUNTIF($Y$2:Y1354,Y1354))-1,""))</f>
        <v/>
      </c>
      <c r="AA1354" s="134" t="str">
        <f t="shared" si="470"/>
        <v/>
      </c>
      <c r="AB1354" s="134" t="str">
        <f>IF(AA1354="","",IFERROR((RANK(AA1354,$AA$2:$AA$2028,1)+COUNTIF($AA$2:AA1354,AA1354))-1,""))</f>
        <v/>
      </c>
      <c r="AC1354" s="134" t="str">
        <f t="shared" si="471"/>
        <v/>
      </c>
      <c r="AD1354" s="134" t="str">
        <f>IF(AC1354="","",IFERROR((RANK(AC1354,$AC$2:$AC$2028,1)+COUNTIF($AC$2:AC1354,AC1354))-1,""))</f>
        <v/>
      </c>
      <c r="AE1354" s="144" t="str">
        <f t="shared" si="475"/>
        <v/>
      </c>
      <c r="AF1354" s="144" t="str">
        <f>IF(AE1354="","",SUM($AE$2:AE1354))</f>
        <v/>
      </c>
    </row>
    <row r="1355" spans="14:32" x14ac:dyDescent="0.35">
      <c r="N1355" s="134" t="str">
        <f t="shared" si="473"/>
        <v/>
      </c>
      <c r="O1355" s="82" t="str">
        <f t="shared" si="464"/>
        <v/>
      </c>
      <c r="P1355" s="81" t="str">
        <f t="shared" si="474"/>
        <v/>
      </c>
      <c r="Q1355" s="81" t="str">
        <f t="shared" si="465"/>
        <v/>
      </c>
      <c r="R1355" s="135" t="str">
        <f t="shared" ca="1" si="466"/>
        <v/>
      </c>
      <c r="S1355" s="134" t="str">
        <f t="shared" ca="1" si="467"/>
        <v/>
      </c>
      <c r="T1355" s="134" t="str">
        <f ca="1">IF(S1355=Dashboard!$D$12,S1355,"")</f>
        <v/>
      </c>
      <c r="U1355" s="134" t="str">
        <f t="shared" ca="1" si="468"/>
        <v/>
      </c>
      <c r="V1355" s="83" t="str">
        <f ca="1">IF(U1355="","",IFERROR((RANK(U1355,$U$2:$U$2028,1)+COUNTIF($U$2:U1355,U1355))-1,""))</f>
        <v/>
      </c>
      <c r="W1355" s="134" t="str">
        <f t="shared" si="472"/>
        <v/>
      </c>
      <c r="X1355" s="134" t="str">
        <f>IF(W1355="","",IFERROR((RANK(W1355,$W$2:$W$2028,1)+COUNTIF($W$2:W1355,W1355))-1,""))</f>
        <v/>
      </c>
      <c r="Y1355" s="134" t="str">
        <f t="shared" si="469"/>
        <v/>
      </c>
      <c r="Z1355" s="134" t="str">
        <f>IF(Y1355="","",IFERROR((RANK(Y1355,$Y$2:$Y$2028,1)+COUNTIF($Y$2:Y1355,Y1355))-1,""))</f>
        <v/>
      </c>
      <c r="AA1355" s="134" t="str">
        <f t="shared" si="470"/>
        <v/>
      </c>
      <c r="AB1355" s="134" t="str">
        <f>IF(AA1355="","",IFERROR((RANK(AA1355,$AA$2:$AA$2028,1)+COUNTIF($AA$2:AA1355,AA1355))-1,""))</f>
        <v/>
      </c>
      <c r="AC1355" s="134" t="str">
        <f t="shared" si="471"/>
        <v/>
      </c>
      <c r="AD1355" s="134" t="str">
        <f>IF(AC1355="","",IFERROR((RANK(AC1355,$AC$2:$AC$2028,1)+COUNTIF($AC$2:AC1355,AC1355))-1,""))</f>
        <v/>
      </c>
      <c r="AE1355" s="144" t="str">
        <f t="shared" si="475"/>
        <v/>
      </c>
      <c r="AF1355" s="144" t="str">
        <f>IF(AE1355="","",SUM($AE$2:AE1355))</f>
        <v/>
      </c>
    </row>
    <row r="1356" spans="14:32" x14ac:dyDescent="0.35">
      <c r="N1356" s="134" t="str">
        <f t="shared" si="473"/>
        <v/>
      </c>
      <c r="O1356" s="82" t="str">
        <f t="shared" si="464"/>
        <v/>
      </c>
      <c r="P1356" s="81" t="str">
        <f t="shared" si="474"/>
        <v/>
      </c>
      <c r="Q1356" s="81" t="str">
        <f t="shared" si="465"/>
        <v/>
      </c>
      <c r="R1356" s="135" t="str">
        <f t="shared" ca="1" si="466"/>
        <v/>
      </c>
      <c r="S1356" s="134" t="str">
        <f t="shared" ca="1" si="467"/>
        <v/>
      </c>
      <c r="T1356" s="134" t="str">
        <f ca="1">IF(S1356=Dashboard!$D$12,S1356,"")</f>
        <v/>
      </c>
      <c r="U1356" s="134" t="str">
        <f t="shared" ca="1" si="468"/>
        <v/>
      </c>
      <c r="V1356" s="83" t="str">
        <f ca="1">IF(U1356="","",IFERROR((RANK(U1356,$U$2:$U$2028,1)+COUNTIF($U$2:U1356,U1356))-1,""))</f>
        <v/>
      </c>
      <c r="W1356" s="134" t="str">
        <f t="shared" si="472"/>
        <v/>
      </c>
      <c r="X1356" s="134" t="str">
        <f>IF(W1356="","",IFERROR((RANK(W1356,$W$2:$W$2028,1)+COUNTIF($W$2:W1356,W1356))-1,""))</f>
        <v/>
      </c>
      <c r="Y1356" s="134" t="str">
        <f t="shared" si="469"/>
        <v/>
      </c>
      <c r="Z1356" s="134" t="str">
        <f>IF(Y1356="","",IFERROR((RANK(Y1356,$Y$2:$Y$2028,1)+COUNTIF($Y$2:Y1356,Y1356))-1,""))</f>
        <v/>
      </c>
      <c r="AA1356" s="134" t="str">
        <f t="shared" si="470"/>
        <v/>
      </c>
      <c r="AB1356" s="134" t="str">
        <f>IF(AA1356="","",IFERROR((RANK(AA1356,$AA$2:$AA$2028,1)+COUNTIF($AA$2:AA1356,AA1356))-1,""))</f>
        <v/>
      </c>
      <c r="AC1356" s="134" t="str">
        <f t="shared" si="471"/>
        <v/>
      </c>
      <c r="AD1356" s="134" t="str">
        <f>IF(AC1356="","",IFERROR((RANK(AC1356,$AC$2:$AC$2028,1)+COUNTIF($AC$2:AC1356,AC1356))-1,""))</f>
        <v/>
      </c>
      <c r="AE1356" s="144" t="str">
        <f t="shared" si="475"/>
        <v/>
      </c>
      <c r="AF1356" s="144" t="str">
        <f>IF(AE1356="","",SUM($AE$2:AE1356))</f>
        <v/>
      </c>
    </row>
    <row r="1357" spans="14:32" x14ac:dyDescent="0.35">
      <c r="N1357" s="134" t="str">
        <f t="shared" si="473"/>
        <v/>
      </c>
      <c r="O1357" s="82" t="str">
        <f t="shared" si="464"/>
        <v/>
      </c>
      <c r="P1357" s="81" t="str">
        <f t="shared" si="474"/>
        <v/>
      </c>
      <c r="Q1357" s="81" t="str">
        <f t="shared" si="465"/>
        <v/>
      </c>
      <c r="R1357" s="135" t="str">
        <f t="shared" ca="1" si="466"/>
        <v/>
      </c>
      <c r="S1357" s="134" t="str">
        <f t="shared" ca="1" si="467"/>
        <v/>
      </c>
      <c r="T1357" s="134" t="str">
        <f ca="1">IF(S1357=Dashboard!$D$12,S1357,"")</f>
        <v/>
      </c>
      <c r="U1357" s="134" t="str">
        <f t="shared" ca="1" si="468"/>
        <v/>
      </c>
      <c r="V1357" s="83" t="str">
        <f ca="1">IF(U1357="","",IFERROR((RANK(U1357,$U$2:$U$2028,1)+COUNTIF($U$2:U1357,U1357))-1,""))</f>
        <v/>
      </c>
      <c r="W1357" s="134" t="str">
        <f t="shared" si="472"/>
        <v/>
      </c>
      <c r="X1357" s="134" t="str">
        <f>IF(W1357="","",IFERROR((RANK(W1357,$W$2:$W$2028,1)+COUNTIF($W$2:W1357,W1357))-1,""))</f>
        <v/>
      </c>
      <c r="Y1357" s="134" t="str">
        <f t="shared" si="469"/>
        <v/>
      </c>
      <c r="Z1357" s="134" t="str">
        <f>IF(Y1357="","",IFERROR((RANK(Y1357,$Y$2:$Y$2028,1)+COUNTIF($Y$2:Y1357,Y1357))-1,""))</f>
        <v/>
      </c>
      <c r="AA1357" s="134" t="str">
        <f t="shared" si="470"/>
        <v/>
      </c>
      <c r="AB1357" s="134" t="str">
        <f>IF(AA1357="","",IFERROR((RANK(AA1357,$AA$2:$AA$2028,1)+COUNTIF($AA$2:AA1357,AA1357))-1,""))</f>
        <v/>
      </c>
      <c r="AC1357" s="134" t="str">
        <f t="shared" si="471"/>
        <v/>
      </c>
      <c r="AD1357" s="134" t="str">
        <f>IF(AC1357="","",IFERROR((RANK(AC1357,$AC$2:$AC$2028,1)+COUNTIF($AC$2:AC1357,AC1357))-1,""))</f>
        <v/>
      </c>
      <c r="AE1357" s="144" t="str">
        <f t="shared" si="475"/>
        <v/>
      </c>
      <c r="AF1357" s="144" t="str">
        <f>IF(AE1357="","",SUM($AE$2:AE1357))</f>
        <v/>
      </c>
    </row>
    <row r="1358" spans="14:32" x14ac:dyDescent="0.35">
      <c r="N1358" s="134" t="str">
        <f t="shared" si="473"/>
        <v/>
      </c>
      <c r="O1358" s="82" t="str">
        <f t="shared" si="464"/>
        <v/>
      </c>
      <c r="P1358" s="81" t="str">
        <f t="shared" si="474"/>
        <v/>
      </c>
      <c r="Q1358" s="81" t="str">
        <f t="shared" si="465"/>
        <v/>
      </c>
      <c r="R1358" s="135" t="str">
        <f t="shared" ca="1" si="466"/>
        <v/>
      </c>
      <c r="S1358" s="134" t="str">
        <f t="shared" ca="1" si="467"/>
        <v/>
      </c>
      <c r="T1358" s="134" t="str">
        <f ca="1">IF(S1358=Dashboard!$D$12,S1358,"")</f>
        <v/>
      </c>
      <c r="U1358" s="134" t="str">
        <f t="shared" ca="1" si="468"/>
        <v/>
      </c>
      <c r="V1358" s="83" t="str">
        <f ca="1">IF(U1358="","",IFERROR((RANK(U1358,$U$2:$U$2028,1)+COUNTIF($U$2:U1358,U1358))-1,""))</f>
        <v/>
      </c>
      <c r="W1358" s="134" t="str">
        <f t="shared" si="472"/>
        <v/>
      </c>
      <c r="X1358" s="134" t="str">
        <f>IF(W1358="","",IFERROR((RANK(W1358,$W$2:$W$2028,1)+COUNTIF($W$2:W1358,W1358))-1,""))</f>
        <v/>
      </c>
      <c r="Y1358" s="134" t="str">
        <f t="shared" si="469"/>
        <v/>
      </c>
      <c r="Z1358" s="134" t="str">
        <f>IF(Y1358="","",IFERROR((RANK(Y1358,$Y$2:$Y$2028,1)+COUNTIF($Y$2:Y1358,Y1358))-1,""))</f>
        <v/>
      </c>
      <c r="AA1358" s="134" t="str">
        <f t="shared" si="470"/>
        <v/>
      </c>
      <c r="AB1358" s="134" t="str">
        <f>IF(AA1358="","",IFERROR((RANK(AA1358,$AA$2:$AA$2028,1)+COUNTIF($AA$2:AA1358,AA1358))-1,""))</f>
        <v/>
      </c>
      <c r="AC1358" s="134" t="str">
        <f t="shared" si="471"/>
        <v/>
      </c>
      <c r="AD1358" s="134" t="str">
        <f>IF(AC1358="","",IFERROR((RANK(AC1358,$AC$2:$AC$2028,1)+COUNTIF($AC$2:AC1358,AC1358))-1,""))</f>
        <v/>
      </c>
      <c r="AE1358" s="144" t="str">
        <f t="shared" si="475"/>
        <v/>
      </c>
      <c r="AF1358" s="144" t="str">
        <f>IF(AE1358="","",SUM($AE$2:AE1358))</f>
        <v/>
      </c>
    </row>
    <row r="1359" spans="14:32" x14ac:dyDescent="0.35">
      <c r="N1359" s="134" t="str">
        <f t="shared" si="473"/>
        <v/>
      </c>
      <c r="O1359" s="82" t="str">
        <f t="shared" si="464"/>
        <v/>
      </c>
      <c r="P1359" s="81" t="str">
        <f t="shared" si="474"/>
        <v/>
      </c>
      <c r="Q1359" s="81" t="str">
        <f t="shared" si="465"/>
        <v/>
      </c>
      <c r="R1359" s="135" t="str">
        <f t="shared" ca="1" si="466"/>
        <v/>
      </c>
      <c r="S1359" s="134" t="str">
        <f t="shared" ca="1" si="467"/>
        <v/>
      </c>
      <c r="T1359" s="134" t="str">
        <f ca="1">IF(S1359=Dashboard!$D$12,S1359,"")</f>
        <v/>
      </c>
      <c r="U1359" s="134" t="str">
        <f t="shared" ca="1" si="468"/>
        <v/>
      </c>
      <c r="V1359" s="83" t="str">
        <f ca="1">IF(U1359="","",IFERROR((RANK(U1359,$U$2:$U$2028,1)+COUNTIF($U$2:U1359,U1359))-1,""))</f>
        <v/>
      </c>
      <c r="W1359" s="134" t="str">
        <f t="shared" si="472"/>
        <v/>
      </c>
      <c r="X1359" s="134" t="str">
        <f>IF(W1359="","",IFERROR((RANK(W1359,$W$2:$W$2028,1)+COUNTIF($W$2:W1359,W1359))-1,""))</f>
        <v/>
      </c>
      <c r="Y1359" s="134" t="str">
        <f t="shared" si="469"/>
        <v/>
      </c>
      <c r="Z1359" s="134" t="str">
        <f>IF(Y1359="","",IFERROR((RANK(Y1359,$Y$2:$Y$2028,1)+COUNTIF($Y$2:Y1359,Y1359))-1,""))</f>
        <v/>
      </c>
      <c r="AA1359" s="134" t="str">
        <f t="shared" si="470"/>
        <v/>
      </c>
      <c r="AB1359" s="134" t="str">
        <f>IF(AA1359="","",IFERROR((RANK(AA1359,$AA$2:$AA$2028,1)+COUNTIF($AA$2:AA1359,AA1359))-1,""))</f>
        <v/>
      </c>
      <c r="AC1359" s="134" t="str">
        <f t="shared" si="471"/>
        <v/>
      </c>
      <c r="AD1359" s="134" t="str">
        <f>IF(AC1359="","",IFERROR((RANK(AC1359,$AC$2:$AC$2028,1)+COUNTIF($AC$2:AC1359,AC1359))-1,""))</f>
        <v/>
      </c>
      <c r="AE1359" s="144" t="str">
        <f t="shared" si="475"/>
        <v/>
      </c>
      <c r="AF1359" s="144" t="str">
        <f>IF(AE1359="","",SUM($AE$2:AE1359))</f>
        <v/>
      </c>
    </row>
    <row r="1360" spans="14:32" x14ac:dyDescent="0.35">
      <c r="N1360" s="134" t="str">
        <f t="shared" si="473"/>
        <v/>
      </c>
      <c r="O1360" s="82" t="str">
        <f t="shared" si="464"/>
        <v/>
      </c>
      <c r="P1360" s="81" t="str">
        <f t="shared" si="474"/>
        <v/>
      </c>
      <c r="Q1360" s="81" t="str">
        <f t="shared" si="465"/>
        <v/>
      </c>
      <c r="R1360" s="135" t="str">
        <f t="shared" ca="1" si="466"/>
        <v/>
      </c>
      <c r="S1360" s="134" t="str">
        <f t="shared" ca="1" si="467"/>
        <v/>
      </c>
      <c r="T1360" s="134" t="str">
        <f ca="1">IF(S1360=Dashboard!$D$12,S1360,"")</f>
        <v/>
      </c>
      <c r="U1360" s="134" t="str">
        <f t="shared" ca="1" si="468"/>
        <v/>
      </c>
      <c r="V1360" s="83" t="str">
        <f ca="1">IF(U1360="","",IFERROR((RANK(U1360,$U$2:$U$2028,1)+COUNTIF($U$2:U1360,U1360))-1,""))</f>
        <v/>
      </c>
      <c r="W1360" s="134" t="str">
        <f t="shared" si="472"/>
        <v/>
      </c>
      <c r="X1360" s="134" t="str">
        <f>IF(W1360="","",IFERROR((RANK(W1360,$W$2:$W$2028,1)+COUNTIF($W$2:W1360,W1360))-1,""))</f>
        <v/>
      </c>
      <c r="Y1360" s="134" t="str">
        <f t="shared" si="469"/>
        <v/>
      </c>
      <c r="Z1360" s="134" t="str">
        <f>IF(Y1360="","",IFERROR((RANK(Y1360,$Y$2:$Y$2028,1)+COUNTIF($Y$2:Y1360,Y1360))-1,""))</f>
        <v/>
      </c>
      <c r="AA1360" s="134" t="str">
        <f t="shared" si="470"/>
        <v/>
      </c>
      <c r="AB1360" s="134" t="str">
        <f>IF(AA1360="","",IFERROR((RANK(AA1360,$AA$2:$AA$2028,1)+COUNTIF($AA$2:AA1360,AA1360))-1,""))</f>
        <v/>
      </c>
      <c r="AC1360" s="134" t="str">
        <f t="shared" si="471"/>
        <v/>
      </c>
      <c r="AD1360" s="134" t="str">
        <f>IF(AC1360="","",IFERROR((RANK(AC1360,$AC$2:$AC$2028,1)+COUNTIF($AC$2:AC1360,AC1360))-1,""))</f>
        <v/>
      </c>
      <c r="AE1360" s="144" t="str">
        <f t="shared" si="475"/>
        <v/>
      </c>
      <c r="AF1360" s="144" t="str">
        <f>IF(AE1360="","",SUM($AE$2:AE1360))</f>
        <v/>
      </c>
    </row>
    <row r="1361" spans="14:32" x14ac:dyDescent="0.35">
      <c r="N1361" s="134" t="str">
        <f t="shared" si="473"/>
        <v/>
      </c>
      <c r="O1361" s="82" t="str">
        <f t="shared" si="464"/>
        <v/>
      </c>
      <c r="P1361" s="81" t="str">
        <f t="shared" si="474"/>
        <v/>
      </c>
      <c r="Q1361" s="81" t="str">
        <f t="shared" si="465"/>
        <v/>
      </c>
      <c r="R1361" s="135" t="str">
        <f t="shared" ca="1" si="466"/>
        <v/>
      </c>
      <c r="S1361" s="134" t="str">
        <f t="shared" ca="1" si="467"/>
        <v/>
      </c>
      <c r="T1361" s="134" t="str">
        <f ca="1">IF(S1361=Dashboard!$D$12,S1361,"")</f>
        <v/>
      </c>
      <c r="U1361" s="134" t="str">
        <f t="shared" ca="1" si="468"/>
        <v/>
      </c>
      <c r="V1361" s="83" t="str">
        <f ca="1">IF(U1361="","",IFERROR((RANK(U1361,$U$2:$U$2028,1)+COUNTIF($U$2:U1361,U1361))-1,""))</f>
        <v/>
      </c>
      <c r="W1361" s="134" t="str">
        <f t="shared" si="472"/>
        <v/>
      </c>
      <c r="X1361" s="134" t="str">
        <f>IF(W1361="","",IFERROR((RANK(W1361,$W$2:$W$2028,1)+COUNTIF($W$2:W1361,W1361))-1,""))</f>
        <v/>
      </c>
      <c r="Y1361" s="134" t="str">
        <f t="shared" si="469"/>
        <v/>
      </c>
      <c r="Z1361" s="134" t="str">
        <f>IF(Y1361="","",IFERROR((RANK(Y1361,$Y$2:$Y$2028,1)+COUNTIF($Y$2:Y1361,Y1361))-1,""))</f>
        <v/>
      </c>
      <c r="AA1361" s="134" t="str">
        <f t="shared" si="470"/>
        <v/>
      </c>
      <c r="AB1361" s="134" t="str">
        <f>IF(AA1361="","",IFERROR((RANK(AA1361,$AA$2:$AA$2028,1)+COUNTIF($AA$2:AA1361,AA1361))-1,""))</f>
        <v/>
      </c>
      <c r="AC1361" s="134" t="str">
        <f t="shared" si="471"/>
        <v/>
      </c>
      <c r="AD1361" s="134" t="str">
        <f>IF(AC1361="","",IFERROR((RANK(AC1361,$AC$2:$AC$2028,1)+COUNTIF($AC$2:AC1361,AC1361))-1,""))</f>
        <v/>
      </c>
      <c r="AE1361" s="144" t="str">
        <f t="shared" si="475"/>
        <v/>
      </c>
      <c r="AF1361" s="144" t="str">
        <f>IF(AE1361="","",SUM($AE$2:AE1361))</f>
        <v/>
      </c>
    </row>
    <row r="1362" spans="14:32" x14ac:dyDescent="0.35">
      <c r="N1362" s="134" t="str">
        <f t="shared" si="473"/>
        <v/>
      </c>
      <c r="O1362" s="82" t="str">
        <f t="shared" si="464"/>
        <v/>
      </c>
      <c r="P1362" s="81" t="str">
        <f t="shared" si="474"/>
        <v/>
      </c>
      <c r="Q1362" s="81" t="str">
        <f t="shared" si="465"/>
        <v/>
      </c>
      <c r="R1362" s="135" t="str">
        <f t="shared" ca="1" si="466"/>
        <v/>
      </c>
      <c r="S1362" s="134" t="str">
        <f t="shared" ca="1" si="467"/>
        <v/>
      </c>
      <c r="T1362" s="134" t="str">
        <f ca="1">IF(S1362=Dashboard!$D$12,S1362,"")</f>
        <v/>
      </c>
      <c r="U1362" s="134" t="str">
        <f t="shared" ca="1" si="468"/>
        <v/>
      </c>
      <c r="V1362" s="83" t="str">
        <f ca="1">IF(U1362="","",IFERROR((RANK(U1362,$U$2:$U$2028,1)+COUNTIF($U$2:U1362,U1362))-1,""))</f>
        <v/>
      </c>
      <c r="W1362" s="134" t="str">
        <f t="shared" si="472"/>
        <v/>
      </c>
      <c r="X1362" s="134" t="str">
        <f>IF(W1362="","",IFERROR((RANK(W1362,$W$2:$W$2028,1)+COUNTIF($W$2:W1362,W1362))-1,""))</f>
        <v/>
      </c>
      <c r="Y1362" s="134" t="str">
        <f t="shared" si="469"/>
        <v/>
      </c>
      <c r="Z1362" s="134" t="str">
        <f>IF(Y1362="","",IFERROR((RANK(Y1362,$Y$2:$Y$2028,1)+COUNTIF($Y$2:Y1362,Y1362))-1,""))</f>
        <v/>
      </c>
      <c r="AA1362" s="134" t="str">
        <f t="shared" si="470"/>
        <v/>
      </c>
      <c r="AB1362" s="134" t="str">
        <f>IF(AA1362="","",IFERROR((RANK(AA1362,$AA$2:$AA$2028,1)+COUNTIF($AA$2:AA1362,AA1362))-1,""))</f>
        <v/>
      </c>
      <c r="AC1362" s="134" t="str">
        <f t="shared" si="471"/>
        <v/>
      </c>
      <c r="AD1362" s="134" t="str">
        <f>IF(AC1362="","",IFERROR((RANK(AC1362,$AC$2:$AC$2028,1)+COUNTIF($AC$2:AC1362,AC1362))-1,""))</f>
        <v/>
      </c>
      <c r="AE1362" s="144" t="str">
        <f t="shared" si="475"/>
        <v/>
      </c>
      <c r="AF1362" s="144" t="str">
        <f>IF(AE1362="","",SUM($AE$2:AE1362))</f>
        <v/>
      </c>
    </row>
    <row r="1363" spans="14:32" x14ac:dyDescent="0.35">
      <c r="N1363" s="134" t="str">
        <f t="shared" si="473"/>
        <v/>
      </c>
      <c r="O1363" s="82" t="str">
        <f t="shared" si="464"/>
        <v/>
      </c>
      <c r="P1363" s="81" t="str">
        <f t="shared" si="474"/>
        <v/>
      </c>
      <c r="Q1363" s="81" t="str">
        <f t="shared" si="465"/>
        <v/>
      </c>
      <c r="R1363" s="135" t="str">
        <f t="shared" ca="1" si="466"/>
        <v/>
      </c>
      <c r="S1363" s="134" t="str">
        <f t="shared" ca="1" si="467"/>
        <v/>
      </c>
      <c r="T1363" s="134" t="str">
        <f ca="1">IF(S1363=Dashboard!$D$12,S1363,"")</f>
        <v/>
      </c>
      <c r="U1363" s="134" t="str">
        <f t="shared" ca="1" si="468"/>
        <v/>
      </c>
      <c r="V1363" s="83" t="str">
        <f ca="1">IF(U1363="","",IFERROR((RANK(U1363,$U$2:$U$2028,1)+COUNTIF($U$2:U1363,U1363))-1,""))</f>
        <v/>
      </c>
      <c r="W1363" s="134" t="str">
        <f t="shared" si="472"/>
        <v/>
      </c>
      <c r="X1363" s="134" t="str">
        <f>IF(W1363="","",IFERROR((RANK(W1363,$W$2:$W$2028,1)+COUNTIF($W$2:W1363,W1363))-1,""))</f>
        <v/>
      </c>
      <c r="Y1363" s="134" t="str">
        <f t="shared" si="469"/>
        <v/>
      </c>
      <c r="Z1363" s="134" t="str">
        <f>IF(Y1363="","",IFERROR((RANK(Y1363,$Y$2:$Y$2028,1)+COUNTIF($Y$2:Y1363,Y1363))-1,""))</f>
        <v/>
      </c>
      <c r="AA1363" s="134" t="str">
        <f t="shared" si="470"/>
        <v/>
      </c>
      <c r="AB1363" s="134" t="str">
        <f>IF(AA1363="","",IFERROR((RANK(AA1363,$AA$2:$AA$2028,1)+COUNTIF($AA$2:AA1363,AA1363))-1,""))</f>
        <v/>
      </c>
      <c r="AC1363" s="134" t="str">
        <f t="shared" si="471"/>
        <v/>
      </c>
      <c r="AD1363" s="134" t="str">
        <f>IF(AC1363="","",IFERROR((RANK(AC1363,$AC$2:$AC$2028,1)+COUNTIF($AC$2:AC1363,AC1363))-1,""))</f>
        <v/>
      </c>
      <c r="AE1363" s="144" t="str">
        <f t="shared" si="475"/>
        <v/>
      </c>
      <c r="AF1363" s="144" t="str">
        <f>IF(AE1363="","",SUM($AE$2:AE1363))</f>
        <v/>
      </c>
    </row>
    <row r="1364" spans="14:32" x14ac:dyDescent="0.35">
      <c r="N1364" s="134" t="str">
        <f t="shared" si="473"/>
        <v/>
      </c>
      <c r="O1364" s="82" t="str">
        <f t="shared" si="464"/>
        <v/>
      </c>
      <c r="P1364" s="81" t="str">
        <f t="shared" si="474"/>
        <v/>
      </c>
      <c r="Q1364" s="81" t="str">
        <f t="shared" si="465"/>
        <v/>
      </c>
      <c r="R1364" s="135" t="str">
        <f t="shared" ca="1" si="466"/>
        <v/>
      </c>
      <c r="S1364" s="134" t="str">
        <f t="shared" ca="1" si="467"/>
        <v/>
      </c>
      <c r="T1364" s="134" t="str">
        <f ca="1">IF(S1364=Dashboard!$D$12,S1364,"")</f>
        <v/>
      </c>
      <c r="U1364" s="134" t="str">
        <f t="shared" ca="1" si="468"/>
        <v/>
      </c>
      <c r="V1364" s="83" t="str">
        <f ca="1">IF(U1364="","",IFERROR((RANK(U1364,$U$2:$U$2028,1)+COUNTIF($U$2:U1364,U1364))-1,""))</f>
        <v/>
      </c>
      <c r="W1364" s="134" t="str">
        <f t="shared" si="472"/>
        <v/>
      </c>
      <c r="X1364" s="134" t="str">
        <f>IF(W1364="","",IFERROR((RANK(W1364,$W$2:$W$2028,1)+COUNTIF($W$2:W1364,W1364))-1,""))</f>
        <v/>
      </c>
      <c r="Y1364" s="134" t="str">
        <f t="shared" si="469"/>
        <v/>
      </c>
      <c r="Z1364" s="134" t="str">
        <f>IF(Y1364="","",IFERROR((RANK(Y1364,$Y$2:$Y$2028,1)+COUNTIF($Y$2:Y1364,Y1364))-1,""))</f>
        <v/>
      </c>
      <c r="AA1364" s="134" t="str">
        <f t="shared" si="470"/>
        <v/>
      </c>
      <c r="AB1364" s="134" t="str">
        <f>IF(AA1364="","",IFERROR((RANK(AA1364,$AA$2:$AA$2028,1)+COUNTIF($AA$2:AA1364,AA1364))-1,""))</f>
        <v/>
      </c>
      <c r="AC1364" s="134" t="str">
        <f t="shared" si="471"/>
        <v/>
      </c>
      <c r="AD1364" s="134" t="str">
        <f>IF(AC1364="","",IFERROR((RANK(AC1364,$AC$2:$AC$2028,1)+COUNTIF($AC$2:AC1364,AC1364))-1,""))</f>
        <v/>
      </c>
      <c r="AE1364" s="144" t="str">
        <f t="shared" si="475"/>
        <v/>
      </c>
      <c r="AF1364" s="144" t="str">
        <f>IF(AE1364="","",SUM($AE$2:AE1364))</f>
        <v/>
      </c>
    </row>
    <row r="1365" spans="14:32" x14ac:dyDescent="0.35">
      <c r="N1365" s="134" t="str">
        <f t="shared" si="473"/>
        <v/>
      </c>
      <c r="O1365" s="82" t="str">
        <f t="shared" si="464"/>
        <v/>
      </c>
      <c r="P1365" s="81" t="str">
        <f t="shared" si="474"/>
        <v/>
      </c>
      <c r="Q1365" s="81" t="str">
        <f t="shared" si="465"/>
        <v/>
      </c>
      <c r="R1365" s="135" t="str">
        <f t="shared" ca="1" si="466"/>
        <v/>
      </c>
      <c r="S1365" s="134" t="str">
        <f t="shared" ca="1" si="467"/>
        <v/>
      </c>
      <c r="T1365" s="134" t="str">
        <f ca="1">IF(S1365=Dashboard!$D$12,S1365,"")</f>
        <v/>
      </c>
      <c r="U1365" s="134" t="str">
        <f t="shared" ca="1" si="468"/>
        <v/>
      </c>
      <c r="V1365" s="83" t="str">
        <f ca="1">IF(U1365="","",IFERROR((RANK(U1365,$U$2:$U$2028,1)+COUNTIF($U$2:U1365,U1365))-1,""))</f>
        <v/>
      </c>
      <c r="W1365" s="134" t="str">
        <f t="shared" si="472"/>
        <v/>
      </c>
      <c r="X1365" s="134" t="str">
        <f>IF(W1365="","",IFERROR((RANK(W1365,$W$2:$W$2028,1)+COUNTIF($W$2:W1365,W1365))-1,""))</f>
        <v/>
      </c>
      <c r="Y1365" s="134" t="str">
        <f t="shared" si="469"/>
        <v/>
      </c>
      <c r="Z1365" s="134" t="str">
        <f>IF(Y1365="","",IFERROR((RANK(Y1365,$Y$2:$Y$2028,1)+COUNTIF($Y$2:Y1365,Y1365))-1,""))</f>
        <v/>
      </c>
      <c r="AA1365" s="134" t="str">
        <f t="shared" si="470"/>
        <v/>
      </c>
      <c r="AB1365" s="134" t="str">
        <f>IF(AA1365="","",IFERROR((RANK(AA1365,$AA$2:$AA$2028,1)+COUNTIF($AA$2:AA1365,AA1365))-1,""))</f>
        <v/>
      </c>
      <c r="AC1365" s="134" t="str">
        <f t="shared" si="471"/>
        <v/>
      </c>
      <c r="AD1365" s="134" t="str">
        <f>IF(AC1365="","",IFERROR((RANK(AC1365,$AC$2:$AC$2028,1)+COUNTIF($AC$2:AC1365,AC1365))-1,""))</f>
        <v/>
      </c>
      <c r="AE1365" s="144" t="str">
        <f t="shared" si="475"/>
        <v/>
      </c>
      <c r="AF1365" s="144" t="str">
        <f>IF(AE1365="","",SUM($AE$2:AE1365))</f>
        <v/>
      </c>
    </row>
    <row r="1366" spans="14:32" x14ac:dyDescent="0.35">
      <c r="N1366" s="134" t="str">
        <f t="shared" si="473"/>
        <v/>
      </c>
      <c r="O1366" s="82" t="str">
        <f t="shared" si="464"/>
        <v/>
      </c>
      <c r="P1366" s="81" t="str">
        <f t="shared" si="474"/>
        <v/>
      </c>
      <c r="Q1366" s="81" t="str">
        <f t="shared" si="465"/>
        <v/>
      </c>
      <c r="R1366" s="135" t="str">
        <f t="shared" ca="1" si="466"/>
        <v/>
      </c>
      <c r="S1366" s="134" t="str">
        <f t="shared" ca="1" si="467"/>
        <v/>
      </c>
      <c r="T1366" s="134" t="str">
        <f ca="1">IF(S1366=Dashboard!$D$12,S1366,"")</f>
        <v/>
      </c>
      <c r="U1366" s="134" t="str">
        <f t="shared" ca="1" si="468"/>
        <v/>
      </c>
      <c r="V1366" s="83" t="str">
        <f ca="1">IF(U1366="","",IFERROR((RANK(U1366,$U$2:$U$2028,1)+COUNTIF($U$2:U1366,U1366))-1,""))</f>
        <v/>
      </c>
      <c r="W1366" s="134" t="str">
        <f t="shared" si="472"/>
        <v/>
      </c>
      <c r="X1366" s="134" t="str">
        <f>IF(W1366="","",IFERROR((RANK(W1366,$W$2:$W$2028,1)+COUNTIF($W$2:W1366,W1366))-1,""))</f>
        <v/>
      </c>
      <c r="Y1366" s="134" t="str">
        <f t="shared" si="469"/>
        <v/>
      </c>
      <c r="Z1366" s="134" t="str">
        <f>IF(Y1366="","",IFERROR((RANK(Y1366,$Y$2:$Y$2028,1)+COUNTIF($Y$2:Y1366,Y1366))-1,""))</f>
        <v/>
      </c>
      <c r="AA1366" s="134" t="str">
        <f t="shared" si="470"/>
        <v/>
      </c>
      <c r="AB1366" s="134" t="str">
        <f>IF(AA1366="","",IFERROR((RANK(AA1366,$AA$2:$AA$2028,1)+COUNTIF($AA$2:AA1366,AA1366))-1,""))</f>
        <v/>
      </c>
      <c r="AC1366" s="134" t="str">
        <f t="shared" si="471"/>
        <v/>
      </c>
      <c r="AD1366" s="134" t="str">
        <f>IF(AC1366="","",IFERROR((RANK(AC1366,$AC$2:$AC$2028,1)+COUNTIF($AC$2:AC1366,AC1366))-1,""))</f>
        <v/>
      </c>
      <c r="AE1366" s="144" t="str">
        <f t="shared" si="475"/>
        <v/>
      </c>
      <c r="AF1366" s="144" t="str">
        <f>IF(AE1366="","",SUM($AE$2:AE1366))</f>
        <v/>
      </c>
    </row>
    <row r="1367" spans="14:32" x14ac:dyDescent="0.35">
      <c r="N1367" s="134" t="str">
        <f t="shared" si="473"/>
        <v/>
      </c>
      <c r="O1367" s="82" t="str">
        <f t="shared" si="464"/>
        <v/>
      </c>
      <c r="P1367" s="81" t="str">
        <f t="shared" si="474"/>
        <v/>
      </c>
      <c r="Q1367" s="81" t="str">
        <f t="shared" si="465"/>
        <v/>
      </c>
      <c r="R1367" s="135" t="str">
        <f t="shared" ca="1" si="466"/>
        <v/>
      </c>
      <c r="S1367" s="134" t="str">
        <f t="shared" ca="1" si="467"/>
        <v/>
      </c>
      <c r="T1367" s="134" t="str">
        <f ca="1">IF(S1367=Dashboard!$D$12,S1367,"")</f>
        <v/>
      </c>
      <c r="U1367" s="134" t="str">
        <f t="shared" ca="1" si="468"/>
        <v/>
      </c>
      <c r="V1367" s="83" t="str">
        <f ca="1">IF(U1367="","",IFERROR((RANK(U1367,$U$2:$U$2028,1)+COUNTIF($U$2:U1367,U1367))-1,""))</f>
        <v/>
      </c>
      <c r="W1367" s="134" t="str">
        <f t="shared" si="472"/>
        <v/>
      </c>
      <c r="X1367" s="134" t="str">
        <f>IF(W1367="","",IFERROR((RANK(W1367,$W$2:$W$2028,1)+COUNTIF($W$2:W1367,W1367))-1,""))</f>
        <v/>
      </c>
      <c r="Y1367" s="134" t="str">
        <f t="shared" si="469"/>
        <v/>
      </c>
      <c r="Z1367" s="134" t="str">
        <f>IF(Y1367="","",IFERROR((RANK(Y1367,$Y$2:$Y$2028,1)+COUNTIF($Y$2:Y1367,Y1367))-1,""))</f>
        <v/>
      </c>
      <c r="AA1367" s="134" t="str">
        <f t="shared" si="470"/>
        <v/>
      </c>
      <c r="AB1367" s="134" t="str">
        <f>IF(AA1367="","",IFERROR((RANK(AA1367,$AA$2:$AA$2028,1)+COUNTIF($AA$2:AA1367,AA1367))-1,""))</f>
        <v/>
      </c>
      <c r="AC1367" s="134" t="str">
        <f t="shared" si="471"/>
        <v/>
      </c>
      <c r="AD1367" s="134" t="str">
        <f>IF(AC1367="","",IFERROR((RANK(AC1367,$AC$2:$AC$2028,1)+COUNTIF($AC$2:AC1367,AC1367))-1,""))</f>
        <v/>
      </c>
      <c r="AE1367" s="144" t="str">
        <f t="shared" si="475"/>
        <v/>
      </c>
      <c r="AF1367" s="144" t="str">
        <f>IF(AE1367="","",SUM($AE$2:AE1367))</f>
        <v/>
      </c>
    </row>
    <row r="1368" spans="14:32" x14ac:dyDescent="0.35">
      <c r="N1368" s="134" t="str">
        <f t="shared" si="473"/>
        <v/>
      </c>
      <c r="O1368" s="82" t="str">
        <f t="shared" si="464"/>
        <v/>
      </c>
      <c r="P1368" s="81" t="str">
        <f t="shared" si="474"/>
        <v/>
      </c>
      <c r="Q1368" s="81" t="str">
        <f t="shared" si="465"/>
        <v/>
      </c>
      <c r="R1368" s="135" t="str">
        <f t="shared" ca="1" si="466"/>
        <v/>
      </c>
      <c r="S1368" s="134" t="str">
        <f t="shared" ca="1" si="467"/>
        <v/>
      </c>
      <c r="T1368" s="134" t="str">
        <f ca="1">IF(S1368=Dashboard!$D$12,S1368,"")</f>
        <v/>
      </c>
      <c r="U1368" s="134" t="str">
        <f t="shared" ca="1" si="468"/>
        <v/>
      </c>
      <c r="V1368" s="83" t="str">
        <f ca="1">IF(U1368="","",IFERROR((RANK(U1368,$U$2:$U$2028,1)+COUNTIF($U$2:U1368,U1368))-1,""))</f>
        <v/>
      </c>
      <c r="W1368" s="134" t="str">
        <f t="shared" si="472"/>
        <v/>
      </c>
      <c r="X1368" s="134" t="str">
        <f>IF(W1368="","",IFERROR((RANK(W1368,$W$2:$W$2028,1)+COUNTIF($W$2:W1368,W1368))-1,""))</f>
        <v/>
      </c>
      <c r="Y1368" s="134" t="str">
        <f t="shared" si="469"/>
        <v/>
      </c>
      <c r="Z1368" s="134" t="str">
        <f>IF(Y1368="","",IFERROR((RANK(Y1368,$Y$2:$Y$2028,1)+COUNTIF($Y$2:Y1368,Y1368))-1,""))</f>
        <v/>
      </c>
      <c r="AA1368" s="134" t="str">
        <f t="shared" si="470"/>
        <v/>
      </c>
      <c r="AB1368" s="134" t="str">
        <f>IF(AA1368="","",IFERROR((RANK(AA1368,$AA$2:$AA$2028,1)+COUNTIF($AA$2:AA1368,AA1368))-1,""))</f>
        <v/>
      </c>
      <c r="AC1368" s="134" t="str">
        <f t="shared" si="471"/>
        <v/>
      </c>
      <c r="AD1368" s="134" t="str">
        <f>IF(AC1368="","",IFERROR((RANK(AC1368,$AC$2:$AC$2028,1)+COUNTIF($AC$2:AC1368,AC1368))-1,""))</f>
        <v/>
      </c>
      <c r="AE1368" s="144" t="str">
        <f t="shared" si="475"/>
        <v/>
      </c>
      <c r="AF1368" s="144" t="str">
        <f>IF(AE1368="","",SUM($AE$2:AE1368))</f>
        <v/>
      </c>
    </row>
    <row r="1369" spans="14:32" x14ac:dyDescent="0.35">
      <c r="N1369" s="134" t="str">
        <f t="shared" si="473"/>
        <v/>
      </c>
      <c r="O1369" s="82" t="str">
        <f t="shared" si="464"/>
        <v/>
      </c>
      <c r="P1369" s="81" t="str">
        <f t="shared" si="474"/>
        <v/>
      </c>
      <c r="Q1369" s="81" t="str">
        <f t="shared" si="465"/>
        <v/>
      </c>
      <c r="R1369" s="135" t="str">
        <f t="shared" ca="1" si="466"/>
        <v/>
      </c>
      <c r="S1369" s="134" t="str">
        <f t="shared" ca="1" si="467"/>
        <v/>
      </c>
      <c r="T1369" s="134" t="str">
        <f ca="1">IF(S1369=Dashboard!$D$12,S1369,"")</f>
        <v/>
      </c>
      <c r="U1369" s="134" t="str">
        <f t="shared" ca="1" si="468"/>
        <v/>
      </c>
      <c r="V1369" s="83" t="str">
        <f ca="1">IF(U1369="","",IFERROR((RANK(U1369,$U$2:$U$2028,1)+COUNTIF($U$2:U1369,U1369))-1,""))</f>
        <v/>
      </c>
      <c r="W1369" s="134" t="str">
        <f t="shared" si="472"/>
        <v/>
      </c>
      <c r="X1369" s="134" t="str">
        <f>IF(W1369="","",IFERROR((RANK(W1369,$W$2:$W$2028,1)+COUNTIF($W$2:W1369,W1369))-1,""))</f>
        <v/>
      </c>
      <c r="Y1369" s="134" t="str">
        <f t="shared" si="469"/>
        <v/>
      </c>
      <c r="Z1369" s="134" t="str">
        <f>IF(Y1369="","",IFERROR((RANK(Y1369,$Y$2:$Y$2028,1)+COUNTIF($Y$2:Y1369,Y1369))-1,""))</f>
        <v/>
      </c>
      <c r="AA1369" s="134" t="str">
        <f t="shared" si="470"/>
        <v/>
      </c>
      <c r="AB1369" s="134" t="str">
        <f>IF(AA1369="","",IFERROR((RANK(AA1369,$AA$2:$AA$2028,1)+COUNTIF($AA$2:AA1369,AA1369))-1,""))</f>
        <v/>
      </c>
      <c r="AC1369" s="134" t="str">
        <f t="shared" si="471"/>
        <v/>
      </c>
      <c r="AD1369" s="134" t="str">
        <f>IF(AC1369="","",IFERROR((RANK(AC1369,$AC$2:$AC$2028,1)+COUNTIF($AC$2:AC1369,AC1369))-1,""))</f>
        <v/>
      </c>
      <c r="AE1369" s="144" t="str">
        <f t="shared" si="475"/>
        <v/>
      </c>
      <c r="AF1369" s="144" t="str">
        <f>IF(AE1369="","",SUM($AE$2:AE1369))</f>
        <v/>
      </c>
    </row>
    <row r="1370" spans="14:32" x14ac:dyDescent="0.35">
      <c r="N1370" s="134" t="str">
        <f t="shared" si="473"/>
        <v/>
      </c>
      <c r="O1370" s="82" t="str">
        <f t="shared" si="464"/>
        <v/>
      </c>
      <c r="P1370" s="81" t="str">
        <f t="shared" si="474"/>
        <v/>
      </c>
      <c r="Q1370" s="81" t="str">
        <f t="shared" si="465"/>
        <v/>
      </c>
      <c r="R1370" s="135" t="str">
        <f t="shared" ca="1" si="466"/>
        <v/>
      </c>
      <c r="S1370" s="134" t="str">
        <f t="shared" ca="1" si="467"/>
        <v/>
      </c>
      <c r="T1370" s="134" t="str">
        <f ca="1">IF(S1370=Dashboard!$D$12,S1370,"")</f>
        <v/>
      </c>
      <c r="U1370" s="134" t="str">
        <f t="shared" ca="1" si="468"/>
        <v/>
      </c>
      <c r="V1370" s="83" t="str">
        <f ca="1">IF(U1370="","",IFERROR((RANK(U1370,$U$2:$U$2028,1)+COUNTIF($U$2:U1370,U1370))-1,""))</f>
        <v/>
      </c>
      <c r="W1370" s="134" t="str">
        <f t="shared" si="472"/>
        <v/>
      </c>
      <c r="X1370" s="134" t="str">
        <f>IF(W1370="","",IFERROR((RANK(W1370,$W$2:$W$2028,1)+COUNTIF($W$2:W1370,W1370))-1,""))</f>
        <v/>
      </c>
      <c r="Y1370" s="134" t="str">
        <f t="shared" si="469"/>
        <v/>
      </c>
      <c r="Z1370" s="134" t="str">
        <f>IF(Y1370="","",IFERROR((RANK(Y1370,$Y$2:$Y$2028,1)+COUNTIF($Y$2:Y1370,Y1370))-1,""))</f>
        <v/>
      </c>
      <c r="AA1370" s="134" t="str">
        <f t="shared" si="470"/>
        <v/>
      </c>
      <c r="AB1370" s="134" t="str">
        <f>IF(AA1370="","",IFERROR((RANK(AA1370,$AA$2:$AA$2028,1)+COUNTIF($AA$2:AA1370,AA1370))-1,""))</f>
        <v/>
      </c>
      <c r="AC1370" s="134" t="str">
        <f t="shared" si="471"/>
        <v/>
      </c>
      <c r="AD1370" s="134" t="str">
        <f>IF(AC1370="","",IFERROR((RANK(AC1370,$AC$2:$AC$2028,1)+COUNTIF($AC$2:AC1370,AC1370))-1,""))</f>
        <v/>
      </c>
      <c r="AE1370" s="144" t="str">
        <f t="shared" si="475"/>
        <v/>
      </c>
      <c r="AF1370" s="144" t="str">
        <f>IF(AE1370="","",SUM($AE$2:AE1370))</f>
        <v/>
      </c>
    </row>
    <row r="1371" spans="14:32" x14ac:dyDescent="0.35">
      <c r="N1371" s="134" t="str">
        <f t="shared" si="473"/>
        <v/>
      </c>
      <c r="O1371" s="82" t="str">
        <f t="shared" si="464"/>
        <v/>
      </c>
      <c r="P1371" s="81" t="str">
        <f t="shared" si="474"/>
        <v/>
      </c>
      <c r="Q1371" s="81" t="str">
        <f t="shared" si="465"/>
        <v/>
      </c>
      <c r="R1371" s="135" t="str">
        <f t="shared" ca="1" si="466"/>
        <v/>
      </c>
      <c r="S1371" s="134" t="str">
        <f t="shared" ca="1" si="467"/>
        <v/>
      </c>
      <c r="T1371" s="134" t="str">
        <f ca="1">IF(S1371=Dashboard!$D$12,S1371,"")</f>
        <v/>
      </c>
      <c r="U1371" s="134" t="str">
        <f t="shared" ca="1" si="468"/>
        <v/>
      </c>
      <c r="V1371" s="83" t="str">
        <f ca="1">IF(U1371="","",IFERROR((RANK(U1371,$U$2:$U$2028,1)+COUNTIF($U$2:U1371,U1371))-1,""))</f>
        <v/>
      </c>
      <c r="W1371" s="134" t="str">
        <f t="shared" si="472"/>
        <v/>
      </c>
      <c r="X1371" s="134" t="str">
        <f>IF(W1371="","",IFERROR((RANK(W1371,$W$2:$W$2028,1)+COUNTIF($W$2:W1371,W1371))-1,""))</f>
        <v/>
      </c>
      <c r="Y1371" s="134" t="str">
        <f t="shared" si="469"/>
        <v/>
      </c>
      <c r="Z1371" s="134" t="str">
        <f>IF(Y1371="","",IFERROR((RANK(Y1371,$Y$2:$Y$2028,1)+COUNTIF($Y$2:Y1371,Y1371))-1,""))</f>
        <v/>
      </c>
      <c r="AA1371" s="134" t="str">
        <f t="shared" si="470"/>
        <v/>
      </c>
      <c r="AB1371" s="134" t="str">
        <f>IF(AA1371="","",IFERROR((RANK(AA1371,$AA$2:$AA$2028,1)+COUNTIF($AA$2:AA1371,AA1371))-1,""))</f>
        <v/>
      </c>
      <c r="AC1371" s="134" t="str">
        <f t="shared" si="471"/>
        <v/>
      </c>
      <c r="AD1371" s="134" t="str">
        <f>IF(AC1371="","",IFERROR((RANK(AC1371,$AC$2:$AC$2028,1)+COUNTIF($AC$2:AC1371,AC1371))-1,""))</f>
        <v/>
      </c>
      <c r="AE1371" s="144" t="str">
        <f t="shared" si="475"/>
        <v/>
      </c>
      <c r="AF1371" s="144" t="str">
        <f>IF(AE1371="","",SUM($AE$2:AE1371))</f>
        <v/>
      </c>
    </row>
    <row r="1372" spans="14:32" x14ac:dyDescent="0.35">
      <c r="N1372" s="134" t="str">
        <f t="shared" si="473"/>
        <v/>
      </c>
      <c r="O1372" s="82" t="str">
        <f t="shared" si="464"/>
        <v/>
      </c>
      <c r="P1372" s="81" t="str">
        <f t="shared" si="474"/>
        <v/>
      </c>
      <c r="Q1372" s="81" t="str">
        <f t="shared" si="465"/>
        <v/>
      </c>
      <c r="R1372" s="135" t="str">
        <f t="shared" ca="1" si="466"/>
        <v/>
      </c>
      <c r="S1372" s="134" t="str">
        <f t="shared" ca="1" si="467"/>
        <v/>
      </c>
      <c r="T1372" s="134" t="str">
        <f ca="1">IF(S1372=Dashboard!$D$12,S1372,"")</f>
        <v/>
      </c>
      <c r="U1372" s="134" t="str">
        <f t="shared" ca="1" si="468"/>
        <v/>
      </c>
      <c r="V1372" s="83" t="str">
        <f ca="1">IF(U1372="","",IFERROR((RANK(U1372,$U$2:$U$2028,1)+COUNTIF($U$2:U1372,U1372))-1,""))</f>
        <v/>
      </c>
      <c r="W1372" s="134" t="str">
        <f t="shared" si="472"/>
        <v/>
      </c>
      <c r="X1372" s="134" t="str">
        <f>IF(W1372="","",IFERROR((RANK(W1372,$W$2:$W$2028,1)+COUNTIF($W$2:W1372,W1372))-1,""))</f>
        <v/>
      </c>
      <c r="Y1372" s="134" t="str">
        <f t="shared" si="469"/>
        <v/>
      </c>
      <c r="Z1372" s="134" t="str">
        <f>IF(Y1372="","",IFERROR((RANK(Y1372,$Y$2:$Y$2028,1)+COUNTIF($Y$2:Y1372,Y1372))-1,""))</f>
        <v/>
      </c>
      <c r="AA1372" s="134" t="str">
        <f t="shared" si="470"/>
        <v/>
      </c>
      <c r="AB1372" s="134" t="str">
        <f>IF(AA1372="","",IFERROR((RANK(AA1372,$AA$2:$AA$2028,1)+COUNTIF($AA$2:AA1372,AA1372))-1,""))</f>
        <v/>
      </c>
      <c r="AC1372" s="134" t="str">
        <f t="shared" si="471"/>
        <v/>
      </c>
      <c r="AD1372" s="134" t="str">
        <f>IF(AC1372="","",IFERROR((RANK(AC1372,$AC$2:$AC$2028,1)+COUNTIF($AC$2:AC1372,AC1372))-1,""))</f>
        <v/>
      </c>
      <c r="AE1372" s="144" t="str">
        <f t="shared" si="475"/>
        <v/>
      </c>
      <c r="AF1372" s="144" t="str">
        <f>IF(AE1372="","",SUM($AE$2:AE1372))</f>
        <v/>
      </c>
    </row>
    <row r="1373" spans="14:32" x14ac:dyDescent="0.35">
      <c r="N1373" s="134" t="str">
        <f t="shared" si="473"/>
        <v/>
      </c>
      <c r="O1373" s="82" t="str">
        <f t="shared" si="464"/>
        <v/>
      </c>
      <c r="P1373" s="81" t="str">
        <f t="shared" si="474"/>
        <v/>
      </c>
      <c r="Q1373" s="81" t="str">
        <f t="shared" si="465"/>
        <v/>
      </c>
      <c r="R1373" s="135" t="str">
        <f t="shared" ca="1" si="466"/>
        <v/>
      </c>
      <c r="S1373" s="134" t="str">
        <f t="shared" ca="1" si="467"/>
        <v/>
      </c>
      <c r="T1373" s="134" t="str">
        <f ca="1">IF(S1373=Dashboard!$D$12,S1373,"")</f>
        <v/>
      </c>
      <c r="U1373" s="134" t="str">
        <f t="shared" ca="1" si="468"/>
        <v/>
      </c>
      <c r="V1373" s="83" t="str">
        <f ca="1">IF(U1373="","",IFERROR((RANK(U1373,$U$2:$U$2028,1)+COUNTIF($U$2:U1373,U1373))-1,""))</f>
        <v/>
      </c>
      <c r="W1373" s="134" t="str">
        <f t="shared" si="472"/>
        <v/>
      </c>
      <c r="X1373" s="134" t="str">
        <f>IF(W1373="","",IFERROR((RANK(W1373,$W$2:$W$2028,1)+COUNTIF($W$2:W1373,W1373))-1,""))</f>
        <v/>
      </c>
      <c r="Y1373" s="134" t="str">
        <f t="shared" si="469"/>
        <v/>
      </c>
      <c r="Z1373" s="134" t="str">
        <f>IF(Y1373="","",IFERROR((RANK(Y1373,$Y$2:$Y$2028,1)+COUNTIF($Y$2:Y1373,Y1373))-1,""))</f>
        <v/>
      </c>
      <c r="AA1373" s="134" t="str">
        <f t="shared" si="470"/>
        <v/>
      </c>
      <c r="AB1373" s="134" t="str">
        <f>IF(AA1373="","",IFERROR((RANK(AA1373,$AA$2:$AA$2028,1)+COUNTIF($AA$2:AA1373,AA1373))-1,""))</f>
        <v/>
      </c>
      <c r="AC1373" s="134" t="str">
        <f t="shared" si="471"/>
        <v/>
      </c>
      <c r="AD1373" s="134" t="str">
        <f>IF(AC1373="","",IFERROR((RANK(AC1373,$AC$2:$AC$2028,1)+COUNTIF($AC$2:AC1373,AC1373))-1,""))</f>
        <v/>
      </c>
      <c r="AE1373" s="144" t="str">
        <f t="shared" si="475"/>
        <v/>
      </c>
      <c r="AF1373" s="144" t="str">
        <f>IF(AE1373="","",SUM($AE$2:AE1373))</f>
        <v/>
      </c>
    </row>
    <row r="1374" spans="14:32" x14ac:dyDescent="0.35">
      <c r="N1374" s="134" t="str">
        <f t="shared" si="473"/>
        <v/>
      </c>
      <c r="O1374" s="82" t="str">
        <f t="shared" ref="O1374:O1437" si="476">IF(A1374="","",N1374&amp;"-"&amp;M1374)</f>
        <v/>
      </c>
      <c r="P1374" s="81" t="str">
        <f t="shared" si="474"/>
        <v/>
      </c>
      <c r="Q1374" s="81" t="str">
        <f t="shared" ref="Q1374:Q1437" si="477">IF(A1374="","",IF(P1374=1,M1374,""))</f>
        <v/>
      </c>
      <c r="R1374" s="135" t="str">
        <f t="shared" ref="R1374:R1437" ca="1" si="478">IF(Q1374="","",I1374-TODAY())</f>
        <v/>
      </c>
      <c r="S1374" s="134" t="str">
        <f t="shared" ref="S1374:S1437" ca="1" si="479">IF(R1374="","",
IF(R1374&lt;-90,"Pass&gt;90",IF(R1374&lt;-60,"Pass 61-90",IF(R1374&lt;-30,"Pass 31-60",IF(R1374&lt;0,"Pass 0-30",IF(R1374&lt;31,"Run 0-30",IF(R1374&lt;61,"Run 31-60",IF(R1374&lt;91,"Run 60-90","Run &gt;90"))))))))</f>
        <v/>
      </c>
      <c r="T1374" s="134" t="str">
        <f ca="1">IF(S1374=Dashboard!$D$12,S1374,"")</f>
        <v/>
      </c>
      <c r="U1374" s="134" t="str">
        <f t="shared" ref="U1374:U1437" ca="1" si="480">IF(T1374="","",R1374)</f>
        <v/>
      </c>
      <c r="V1374" s="83" t="str">
        <f ca="1">IF(U1374="","",IFERROR((RANK(U1374,$U$2:$U$2028,1)+COUNTIF($U$2:U1374,U1374))-1,""))</f>
        <v/>
      </c>
      <c r="W1374" s="134" t="str">
        <f t="shared" si="472"/>
        <v/>
      </c>
      <c r="X1374" s="134" t="str">
        <f>IF(W1374="","",IFERROR((RANK(W1374,$W$2:$W$2028,1)+COUNTIF($W$2:W1374,W1374))-1,""))</f>
        <v/>
      </c>
      <c r="Y1374" s="134" t="str">
        <f t="shared" ref="Y1374:Y1437" si="481">IF($J1374=Y$1,$U1374,"")</f>
        <v/>
      </c>
      <c r="Z1374" s="134" t="str">
        <f>IF(Y1374="","",IFERROR((RANK(Y1374,$Y$2:$Y$2028,1)+COUNTIF($Y$2:Y1374,Y1374))-1,""))</f>
        <v/>
      </c>
      <c r="AA1374" s="134" t="str">
        <f t="shared" ref="AA1374:AA1437" si="482">IF($J1374=AA$1,$U1374,"")</f>
        <v/>
      </c>
      <c r="AB1374" s="134" t="str">
        <f>IF(AA1374="","",IFERROR((RANK(AA1374,$AA$2:$AA$2028,1)+COUNTIF($AA$2:AA1374,AA1374))-1,""))</f>
        <v/>
      </c>
      <c r="AC1374" s="134" t="str">
        <f t="shared" ref="AC1374:AC1437" si="483">IF($J1374=AC$1,$U1374,"")</f>
        <v/>
      </c>
      <c r="AD1374" s="134" t="str">
        <f>IF(AC1374="","",IFERROR((RANK(AC1374,$AC$2:$AC$2028,1)+COUNTIF($AC$2:AC1374,AC1374))-1,""))</f>
        <v/>
      </c>
      <c r="AE1374" s="144" t="str">
        <f t="shared" si="475"/>
        <v/>
      </c>
      <c r="AF1374" s="144" t="str">
        <f>IF(AE1374="","",SUM($AE$2:AE1374))</f>
        <v/>
      </c>
    </row>
    <row r="1375" spans="14:32" x14ac:dyDescent="0.35">
      <c r="N1375" s="134" t="str">
        <f t="shared" si="473"/>
        <v/>
      </c>
      <c r="O1375" s="82" t="str">
        <f t="shared" si="476"/>
        <v/>
      </c>
      <c r="P1375" s="81" t="str">
        <f t="shared" si="474"/>
        <v/>
      </c>
      <c r="Q1375" s="81" t="str">
        <f t="shared" si="477"/>
        <v/>
      </c>
      <c r="R1375" s="135" t="str">
        <f t="shared" ca="1" si="478"/>
        <v/>
      </c>
      <c r="S1375" s="134" t="str">
        <f t="shared" ca="1" si="479"/>
        <v/>
      </c>
      <c r="T1375" s="134" t="str">
        <f ca="1">IF(S1375=Dashboard!$D$12,S1375,"")</f>
        <v/>
      </c>
      <c r="U1375" s="134" t="str">
        <f t="shared" ca="1" si="480"/>
        <v/>
      </c>
      <c r="V1375" s="83" t="str">
        <f ca="1">IF(U1375="","",IFERROR((RANK(U1375,$U$2:$U$2028,1)+COUNTIF($U$2:U1375,U1375))-1,""))</f>
        <v/>
      </c>
      <c r="W1375" s="134" t="str">
        <f t="shared" ref="W1375:W1438" si="484">IF($J1375=$W$1,U1375,"")</f>
        <v/>
      </c>
      <c r="X1375" s="134" t="str">
        <f>IF(W1375="","",IFERROR((RANK(W1375,$W$2:$W$2028,1)+COUNTIF($W$2:W1375,W1375))-1,""))</f>
        <v/>
      </c>
      <c r="Y1375" s="134" t="str">
        <f t="shared" si="481"/>
        <v/>
      </c>
      <c r="Z1375" s="134" t="str">
        <f>IF(Y1375="","",IFERROR((RANK(Y1375,$Y$2:$Y$2028,1)+COUNTIF($Y$2:Y1375,Y1375))-1,""))</f>
        <v/>
      </c>
      <c r="AA1375" s="134" t="str">
        <f t="shared" si="482"/>
        <v/>
      </c>
      <c r="AB1375" s="134" t="str">
        <f>IF(AA1375="","",IFERROR((RANK(AA1375,$AA$2:$AA$2028,1)+COUNTIF($AA$2:AA1375,AA1375))-1,""))</f>
        <v/>
      </c>
      <c r="AC1375" s="134" t="str">
        <f t="shared" si="483"/>
        <v/>
      </c>
      <c r="AD1375" s="134" t="str">
        <f>IF(AC1375="","",IFERROR((RANK(AC1375,$AC$2:$AC$2028,1)+COUNTIF($AC$2:AC1375,AC1375))-1,""))</f>
        <v/>
      </c>
      <c r="AE1375" s="144" t="str">
        <f t="shared" si="475"/>
        <v/>
      </c>
      <c r="AF1375" s="144" t="str">
        <f>IF(AE1375="","",SUM($AE$2:AE1375))</f>
        <v/>
      </c>
    </row>
    <row r="1376" spans="14:32" x14ac:dyDescent="0.35">
      <c r="N1376" s="134" t="str">
        <f t="shared" si="473"/>
        <v/>
      </c>
      <c r="O1376" s="82" t="str">
        <f t="shared" si="476"/>
        <v/>
      </c>
      <c r="P1376" s="81" t="str">
        <f t="shared" si="474"/>
        <v/>
      </c>
      <c r="Q1376" s="81" t="str">
        <f t="shared" si="477"/>
        <v/>
      </c>
      <c r="R1376" s="135" t="str">
        <f t="shared" ca="1" si="478"/>
        <v/>
      </c>
      <c r="S1376" s="134" t="str">
        <f t="shared" ca="1" si="479"/>
        <v/>
      </c>
      <c r="T1376" s="134" t="str">
        <f ca="1">IF(S1376=Dashboard!$D$12,S1376,"")</f>
        <v/>
      </c>
      <c r="U1376" s="134" t="str">
        <f t="shared" ca="1" si="480"/>
        <v/>
      </c>
      <c r="V1376" s="83" t="str">
        <f ca="1">IF(U1376="","",IFERROR((RANK(U1376,$U$2:$U$2028,1)+COUNTIF($U$2:U1376,U1376))-1,""))</f>
        <v/>
      </c>
      <c r="W1376" s="134" t="str">
        <f t="shared" si="484"/>
        <v/>
      </c>
      <c r="X1376" s="134" t="str">
        <f>IF(W1376="","",IFERROR((RANK(W1376,$W$2:$W$2028,1)+COUNTIF($W$2:W1376,W1376))-1,""))</f>
        <v/>
      </c>
      <c r="Y1376" s="134" t="str">
        <f t="shared" si="481"/>
        <v/>
      </c>
      <c r="Z1376" s="134" t="str">
        <f>IF(Y1376="","",IFERROR((RANK(Y1376,$Y$2:$Y$2028,1)+COUNTIF($Y$2:Y1376,Y1376))-1,""))</f>
        <v/>
      </c>
      <c r="AA1376" s="134" t="str">
        <f t="shared" si="482"/>
        <v/>
      </c>
      <c r="AB1376" s="134" t="str">
        <f>IF(AA1376="","",IFERROR((RANK(AA1376,$AA$2:$AA$2028,1)+COUNTIF($AA$2:AA1376,AA1376))-1,""))</f>
        <v/>
      </c>
      <c r="AC1376" s="134" t="str">
        <f t="shared" si="483"/>
        <v/>
      </c>
      <c r="AD1376" s="134" t="str">
        <f>IF(AC1376="","",IFERROR((RANK(AC1376,$AC$2:$AC$2028,1)+COUNTIF($AC$2:AC1376,AC1376))-1,""))</f>
        <v/>
      </c>
      <c r="AE1376" s="144" t="str">
        <f t="shared" si="475"/>
        <v/>
      </c>
      <c r="AF1376" s="144" t="str">
        <f>IF(AE1376="","",SUM($AE$2:AE1376))</f>
        <v/>
      </c>
    </row>
    <row r="1377" spans="14:32" x14ac:dyDescent="0.35">
      <c r="N1377" s="134" t="str">
        <f t="shared" si="473"/>
        <v/>
      </c>
      <c r="O1377" s="82" t="str">
        <f t="shared" si="476"/>
        <v/>
      </c>
      <c r="P1377" s="81" t="str">
        <f t="shared" si="474"/>
        <v/>
      </c>
      <c r="Q1377" s="81" t="str">
        <f t="shared" si="477"/>
        <v/>
      </c>
      <c r="R1377" s="135" t="str">
        <f t="shared" ca="1" si="478"/>
        <v/>
      </c>
      <c r="S1377" s="134" t="str">
        <f t="shared" ca="1" si="479"/>
        <v/>
      </c>
      <c r="T1377" s="134" t="str">
        <f ca="1">IF(S1377=Dashboard!$D$12,S1377,"")</f>
        <v/>
      </c>
      <c r="U1377" s="134" t="str">
        <f t="shared" ca="1" si="480"/>
        <v/>
      </c>
      <c r="V1377" s="83" t="str">
        <f ca="1">IF(U1377="","",IFERROR((RANK(U1377,$U$2:$U$2028,1)+COUNTIF($U$2:U1377,U1377))-1,""))</f>
        <v/>
      </c>
      <c r="W1377" s="134" t="str">
        <f t="shared" si="484"/>
        <v/>
      </c>
      <c r="X1377" s="134" t="str">
        <f>IF(W1377="","",IFERROR((RANK(W1377,$W$2:$W$2028,1)+COUNTIF($W$2:W1377,W1377))-1,""))</f>
        <v/>
      </c>
      <c r="Y1377" s="134" t="str">
        <f t="shared" si="481"/>
        <v/>
      </c>
      <c r="Z1377" s="134" t="str">
        <f>IF(Y1377="","",IFERROR((RANK(Y1377,$Y$2:$Y$2028,1)+COUNTIF($Y$2:Y1377,Y1377))-1,""))</f>
        <v/>
      </c>
      <c r="AA1377" s="134" t="str">
        <f t="shared" si="482"/>
        <v/>
      </c>
      <c r="AB1377" s="134" t="str">
        <f>IF(AA1377="","",IFERROR((RANK(AA1377,$AA$2:$AA$2028,1)+COUNTIF($AA$2:AA1377,AA1377))-1,""))</f>
        <v/>
      </c>
      <c r="AC1377" s="134" t="str">
        <f t="shared" si="483"/>
        <v/>
      </c>
      <c r="AD1377" s="134" t="str">
        <f>IF(AC1377="","",IFERROR((RANK(AC1377,$AC$2:$AC$2028,1)+COUNTIF($AC$2:AC1377,AC1377))-1,""))</f>
        <v/>
      </c>
      <c r="AE1377" s="144" t="str">
        <f t="shared" si="475"/>
        <v/>
      </c>
      <c r="AF1377" s="144" t="str">
        <f>IF(AE1377="","",SUM($AE$2:AE1377))</f>
        <v/>
      </c>
    </row>
    <row r="1378" spans="14:32" x14ac:dyDescent="0.35">
      <c r="N1378" s="134" t="str">
        <f t="shared" si="473"/>
        <v/>
      </c>
      <c r="O1378" s="82" t="str">
        <f t="shared" si="476"/>
        <v/>
      </c>
      <c r="P1378" s="81" t="str">
        <f t="shared" si="474"/>
        <v/>
      </c>
      <c r="Q1378" s="81" t="str">
        <f t="shared" si="477"/>
        <v/>
      </c>
      <c r="R1378" s="135" t="str">
        <f t="shared" ca="1" si="478"/>
        <v/>
      </c>
      <c r="S1378" s="134" t="str">
        <f t="shared" ca="1" si="479"/>
        <v/>
      </c>
      <c r="T1378" s="134" t="str">
        <f ca="1">IF(S1378=Dashboard!$D$12,S1378,"")</f>
        <v/>
      </c>
      <c r="U1378" s="134" t="str">
        <f t="shared" ca="1" si="480"/>
        <v/>
      </c>
      <c r="V1378" s="83" t="str">
        <f ca="1">IF(U1378="","",IFERROR((RANK(U1378,$U$2:$U$2028,1)+COUNTIF($U$2:U1378,U1378))-1,""))</f>
        <v/>
      </c>
      <c r="W1378" s="134" t="str">
        <f t="shared" si="484"/>
        <v/>
      </c>
      <c r="X1378" s="134" t="str">
        <f>IF(W1378="","",IFERROR((RANK(W1378,$W$2:$W$2028,1)+COUNTIF($W$2:W1378,W1378))-1,""))</f>
        <v/>
      </c>
      <c r="Y1378" s="134" t="str">
        <f t="shared" si="481"/>
        <v/>
      </c>
      <c r="Z1378" s="134" t="str">
        <f>IF(Y1378="","",IFERROR((RANK(Y1378,$Y$2:$Y$2028,1)+COUNTIF($Y$2:Y1378,Y1378))-1,""))</f>
        <v/>
      </c>
      <c r="AA1378" s="134" t="str">
        <f t="shared" si="482"/>
        <v/>
      </c>
      <c r="AB1378" s="134" t="str">
        <f>IF(AA1378="","",IFERROR((RANK(AA1378,$AA$2:$AA$2028,1)+COUNTIF($AA$2:AA1378,AA1378))-1,""))</f>
        <v/>
      </c>
      <c r="AC1378" s="134" t="str">
        <f t="shared" si="483"/>
        <v/>
      </c>
      <c r="AD1378" s="134" t="str">
        <f>IF(AC1378="","",IFERROR((RANK(AC1378,$AC$2:$AC$2028,1)+COUNTIF($AC$2:AC1378,AC1378))-1,""))</f>
        <v/>
      </c>
      <c r="AE1378" s="144" t="str">
        <f t="shared" si="475"/>
        <v/>
      </c>
      <c r="AF1378" s="144" t="str">
        <f>IF(AE1378="","",SUM($AE$2:AE1378))</f>
        <v/>
      </c>
    </row>
    <row r="1379" spans="14:32" x14ac:dyDescent="0.35">
      <c r="N1379" s="134" t="str">
        <f t="shared" si="473"/>
        <v/>
      </c>
      <c r="O1379" s="82" t="str">
        <f t="shared" si="476"/>
        <v/>
      </c>
      <c r="P1379" s="81" t="str">
        <f t="shared" si="474"/>
        <v/>
      </c>
      <c r="Q1379" s="81" t="str">
        <f t="shared" si="477"/>
        <v/>
      </c>
      <c r="R1379" s="135" t="str">
        <f t="shared" ca="1" si="478"/>
        <v/>
      </c>
      <c r="S1379" s="134" t="str">
        <f t="shared" ca="1" si="479"/>
        <v/>
      </c>
      <c r="T1379" s="134" t="str">
        <f ca="1">IF(S1379=Dashboard!$D$12,S1379,"")</f>
        <v/>
      </c>
      <c r="U1379" s="134" t="str">
        <f t="shared" ca="1" si="480"/>
        <v/>
      </c>
      <c r="V1379" s="83" t="str">
        <f ca="1">IF(U1379="","",IFERROR((RANK(U1379,$U$2:$U$2028,1)+COUNTIF($U$2:U1379,U1379))-1,""))</f>
        <v/>
      </c>
      <c r="W1379" s="134" t="str">
        <f t="shared" si="484"/>
        <v/>
      </c>
      <c r="X1379" s="134" t="str">
        <f>IF(W1379="","",IFERROR((RANK(W1379,$W$2:$W$2028,1)+COUNTIF($W$2:W1379,W1379))-1,""))</f>
        <v/>
      </c>
      <c r="Y1379" s="134" t="str">
        <f t="shared" si="481"/>
        <v/>
      </c>
      <c r="Z1379" s="134" t="str">
        <f>IF(Y1379="","",IFERROR((RANK(Y1379,$Y$2:$Y$2028,1)+COUNTIF($Y$2:Y1379,Y1379))-1,""))</f>
        <v/>
      </c>
      <c r="AA1379" s="134" t="str">
        <f t="shared" si="482"/>
        <v/>
      </c>
      <c r="AB1379" s="134" t="str">
        <f>IF(AA1379="","",IFERROR((RANK(AA1379,$AA$2:$AA$2028,1)+COUNTIF($AA$2:AA1379,AA1379))-1,""))</f>
        <v/>
      </c>
      <c r="AC1379" s="134" t="str">
        <f t="shared" si="483"/>
        <v/>
      </c>
      <c r="AD1379" s="134" t="str">
        <f>IF(AC1379="","",IFERROR((RANK(AC1379,$AC$2:$AC$2028,1)+COUNTIF($AC$2:AC1379,AC1379))-1,""))</f>
        <v/>
      </c>
      <c r="AE1379" s="144" t="str">
        <f t="shared" si="475"/>
        <v/>
      </c>
      <c r="AF1379" s="144" t="str">
        <f>IF(AE1379="","",SUM($AE$2:AE1379))</f>
        <v/>
      </c>
    </row>
    <row r="1380" spans="14:32" x14ac:dyDescent="0.35">
      <c r="N1380" s="134" t="str">
        <f t="shared" si="473"/>
        <v/>
      </c>
      <c r="O1380" s="82" t="str">
        <f t="shared" si="476"/>
        <v/>
      </c>
      <c r="P1380" s="81" t="str">
        <f t="shared" si="474"/>
        <v/>
      </c>
      <c r="Q1380" s="81" t="str">
        <f t="shared" si="477"/>
        <v/>
      </c>
      <c r="R1380" s="135" t="str">
        <f t="shared" ca="1" si="478"/>
        <v/>
      </c>
      <c r="S1380" s="134" t="str">
        <f t="shared" ca="1" si="479"/>
        <v/>
      </c>
      <c r="T1380" s="134" t="str">
        <f ca="1">IF(S1380=Dashboard!$D$12,S1380,"")</f>
        <v/>
      </c>
      <c r="U1380" s="134" t="str">
        <f t="shared" ca="1" si="480"/>
        <v/>
      </c>
      <c r="V1380" s="83" t="str">
        <f ca="1">IF(U1380="","",IFERROR((RANK(U1380,$U$2:$U$2028,1)+COUNTIF($U$2:U1380,U1380))-1,""))</f>
        <v/>
      </c>
      <c r="W1380" s="134" t="str">
        <f t="shared" si="484"/>
        <v/>
      </c>
      <c r="X1380" s="134" t="str">
        <f>IF(W1380="","",IFERROR((RANK(W1380,$W$2:$W$2028,1)+COUNTIF($W$2:W1380,W1380))-1,""))</f>
        <v/>
      </c>
      <c r="Y1380" s="134" t="str">
        <f t="shared" si="481"/>
        <v/>
      </c>
      <c r="Z1380" s="134" t="str">
        <f>IF(Y1380="","",IFERROR((RANK(Y1380,$Y$2:$Y$2028,1)+COUNTIF($Y$2:Y1380,Y1380))-1,""))</f>
        <v/>
      </c>
      <c r="AA1380" s="134" t="str">
        <f t="shared" si="482"/>
        <v/>
      </c>
      <c r="AB1380" s="134" t="str">
        <f>IF(AA1380="","",IFERROR((RANK(AA1380,$AA$2:$AA$2028,1)+COUNTIF($AA$2:AA1380,AA1380))-1,""))</f>
        <v/>
      </c>
      <c r="AC1380" s="134" t="str">
        <f t="shared" si="483"/>
        <v/>
      </c>
      <c r="AD1380" s="134" t="str">
        <f>IF(AC1380="","",IFERROR((RANK(AC1380,$AC$2:$AC$2028,1)+COUNTIF($AC$2:AC1380,AC1380))-1,""))</f>
        <v/>
      </c>
      <c r="AE1380" s="144" t="str">
        <f t="shared" si="475"/>
        <v/>
      </c>
      <c r="AF1380" s="144" t="str">
        <f>IF(AE1380="","",SUM($AE$2:AE1380))</f>
        <v/>
      </c>
    </row>
    <row r="1381" spans="14:32" x14ac:dyDescent="0.35">
      <c r="N1381" s="134" t="str">
        <f t="shared" si="473"/>
        <v/>
      </c>
      <c r="O1381" s="82" t="str">
        <f t="shared" si="476"/>
        <v/>
      </c>
      <c r="P1381" s="81" t="str">
        <f t="shared" si="474"/>
        <v/>
      </c>
      <c r="Q1381" s="81" t="str">
        <f t="shared" si="477"/>
        <v/>
      </c>
      <c r="R1381" s="135" t="str">
        <f t="shared" ca="1" si="478"/>
        <v/>
      </c>
      <c r="S1381" s="134" t="str">
        <f t="shared" ca="1" si="479"/>
        <v/>
      </c>
      <c r="T1381" s="134" t="str">
        <f ca="1">IF(S1381=Dashboard!$D$12,S1381,"")</f>
        <v/>
      </c>
      <c r="U1381" s="134" t="str">
        <f t="shared" ca="1" si="480"/>
        <v/>
      </c>
      <c r="V1381" s="83" t="str">
        <f ca="1">IF(U1381="","",IFERROR((RANK(U1381,$U$2:$U$2028,1)+COUNTIF($U$2:U1381,U1381))-1,""))</f>
        <v/>
      </c>
      <c r="W1381" s="134" t="str">
        <f t="shared" si="484"/>
        <v/>
      </c>
      <c r="X1381" s="134" t="str">
        <f>IF(W1381="","",IFERROR((RANK(W1381,$W$2:$W$2028,1)+COUNTIF($W$2:W1381,W1381))-1,""))</f>
        <v/>
      </c>
      <c r="Y1381" s="134" t="str">
        <f t="shared" si="481"/>
        <v/>
      </c>
      <c r="Z1381" s="134" t="str">
        <f>IF(Y1381="","",IFERROR((RANK(Y1381,$Y$2:$Y$2028,1)+COUNTIF($Y$2:Y1381,Y1381))-1,""))</f>
        <v/>
      </c>
      <c r="AA1381" s="134" t="str">
        <f t="shared" si="482"/>
        <v/>
      </c>
      <c r="AB1381" s="134" t="str">
        <f>IF(AA1381="","",IFERROR((RANK(AA1381,$AA$2:$AA$2028,1)+COUNTIF($AA$2:AA1381,AA1381))-1,""))</f>
        <v/>
      </c>
      <c r="AC1381" s="134" t="str">
        <f t="shared" si="483"/>
        <v/>
      </c>
      <c r="AD1381" s="134" t="str">
        <f>IF(AC1381="","",IFERROR((RANK(AC1381,$AC$2:$AC$2028,1)+COUNTIF($AC$2:AC1381,AC1381))-1,""))</f>
        <v/>
      </c>
      <c r="AE1381" s="144" t="str">
        <f t="shared" si="475"/>
        <v/>
      </c>
      <c r="AF1381" s="144" t="str">
        <f>IF(AE1381="","",SUM($AE$2:AE1381))</f>
        <v/>
      </c>
    </row>
    <row r="1382" spans="14:32" x14ac:dyDescent="0.35">
      <c r="N1382" s="134" t="str">
        <f t="shared" si="473"/>
        <v/>
      </c>
      <c r="O1382" s="82" t="str">
        <f t="shared" si="476"/>
        <v/>
      </c>
      <c r="P1382" s="81" t="str">
        <f t="shared" si="474"/>
        <v/>
      </c>
      <c r="Q1382" s="81" t="str">
        <f t="shared" si="477"/>
        <v/>
      </c>
      <c r="R1382" s="135" t="str">
        <f t="shared" ca="1" si="478"/>
        <v/>
      </c>
      <c r="S1382" s="134" t="str">
        <f t="shared" ca="1" si="479"/>
        <v/>
      </c>
      <c r="T1382" s="134" t="str">
        <f ca="1">IF(S1382=Dashboard!$D$12,S1382,"")</f>
        <v/>
      </c>
      <c r="U1382" s="134" t="str">
        <f t="shared" ca="1" si="480"/>
        <v/>
      </c>
      <c r="V1382" s="83" t="str">
        <f ca="1">IF(U1382="","",IFERROR((RANK(U1382,$U$2:$U$2028,1)+COUNTIF($U$2:U1382,U1382))-1,""))</f>
        <v/>
      </c>
      <c r="W1382" s="134" t="str">
        <f t="shared" si="484"/>
        <v/>
      </c>
      <c r="X1382" s="134" t="str">
        <f>IF(W1382="","",IFERROR((RANK(W1382,$W$2:$W$2028,1)+COUNTIF($W$2:W1382,W1382))-1,""))</f>
        <v/>
      </c>
      <c r="Y1382" s="134" t="str">
        <f t="shared" si="481"/>
        <v/>
      </c>
      <c r="Z1382" s="134" t="str">
        <f>IF(Y1382="","",IFERROR((RANK(Y1382,$Y$2:$Y$2028,1)+COUNTIF($Y$2:Y1382,Y1382))-1,""))</f>
        <v/>
      </c>
      <c r="AA1382" s="134" t="str">
        <f t="shared" si="482"/>
        <v/>
      </c>
      <c r="AB1382" s="134" t="str">
        <f>IF(AA1382="","",IFERROR((RANK(AA1382,$AA$2:$AA$2028,1)+COUNTIF($AA$2:AA1382,AA1382))-1,""))</f>
        <v/>
      </c>
      <c r="AC1382" s="134" t="str">
        <f t="shared" si="483"/>
        <v/>
      </c>
      <c r="AD1382" s="134" t="str">
        <f>IF(AC1382="","",IFERROR((RANK(AC1382,$AC$2:$AC$2028,1)+COUNTIF($AC$2:AC1382,AC1382))-1,""))</f>
        <v/>
      </c>
      <c r="AE1382" s="144" t="str">
        <f t="shared" si="475"/>
        <v/>
      </c>
      <c r="AF1382" s="144" t="str">
        <f>IF(AE1382="","",SUM($AE$2:AE1382))</f>
        <v/>
      </c>
    </row>
    <row r="1383" spans="14:32" x14ac:dyDescent="0.35">
      <c r="N1383" s="134" t="str">
        <f t="shared" si="473"/>
        <v/>
      </c>
      <c r="O1383" s="82" t="str">
        <f t="shared" si="476"/>
        <v/>
      </c>
      <c r="P1383" s="81" t="str">
        <f t="shared" si="474"/>
        <v/>
      </c>
      <c r="Q1383" s="81" t="str">
        <f t="shared" si="477"/>
        <v/>
      </c>
      <c r="R1383" s="135" t="str">
        <f t="shared" ca="1" si="478"/>
        <v/>
      </c>
      <c r="S1383" s="134" t="str">
        <f t="shared" ca="1" si="479"/>
        <v/>
      </c>
      <c r="T1383" s="134" t="str">
        <f ca="1">IF(S1383=Dashboard!$D$12,S1383,"")</f>
        <v/>
      </c>
      <c r="U1383" s="134" t="str">
        <f t="shared" ca="1" si="480"/>
        <v/>
      </c>
      <c r="V1383" s="83" t="str">
        <f ca="1">IF(U1383="","",IFERROR((RANK(U1383,$U$2:$U$2028,1)+COUNTIF($U$2:U1383,U1383))-1,""))</f>
        <v/>
      </c>
      <c r="W1383" s="134" t="str">
        <f t="shared" si="484"/>
        <v/>
      </c>
      <c r="X1383" s="134" t="str">
        <f>IF(W1383="","",IFERROR((RANK(W1383,$W$2:$W$2028,1)+COUNTIF($W$2:W1383,W1383))-1,""))</f>
        <v/>
      </c>
      <c r="Y1383" s="134" t="str">
        <f t="shared" si="481"/>
        <v/>
      </c>
      <c r="Z1383" s="134" t="str">
        <f>IF(Y1383="","",IFERROR((RANK(Y1383,$Y$2:$Y$2028,1)+COUNTIF($Y$2:Y1383,Y1383))-1,""))</f>
        <v/>
      </c>
      <c r="AA1383" s="134" t="str">
        <f t="shared" si="482"/>
        <v/>
      </c>
      <c r="AB1383" s="134" t="str">
        <f>IF(AA1383="","",IFERROR((RANK(AA1383,$AA$2:$AA$2028,1)+COUNTIF($AA$2:AA1383,AA1383))-1,""))</f>
        <v/>
      </c>
      <c r="AC1383" s="134" t="str">
        <f t="shared" si="483"/>
        <v/>
      </c>
      <c r="AD1383" s="134" t="str">
        <f>IF(AC1383="","",IFERROR((RANK(AC1383,$AC$2:$AC$2028,1)+COUNTIF($AC$2:AC1383,AC1383))-1,""))</f>
        <v/>
      </c>
      <c r="AE1383" s="144" t="str">
        <f t="shared" si="475"/>
        <v/>
      </c>
      <c r="AF1383" s="144" t="str">
        <f>IF(AE1383="","",SUM($AE$2:AE1383))</f>
        <v/>
      </c>
    </row>
    <row r="1384" spans="14:32" x14ac:dyDescent="0.35">
      <c r="N1384" s="134" t="str">
        <f t="shared" si="473"/>
        <v/>
      </c>
      <c r="O1384" s="82" t="str">
        <f t="shared" si="476"/>
        <v/>
      </c>
      <c r="P1384" s="81" t="str">
        <f t="shared" si="474"/>
        <v/>
      </c>
      <c r="Q1384" s="81" t="str">
        <f t="shared" si="477"/>
        <v/>
      </c>
      <c r="R1384" s="135" t="str">
        <f t="shared" ca="1" si="478"/>
        <v/>
      </c>
      <c r="S1384" s="134" t="str">
        <f t="shared" ca="1" si="479"/>
        <v/>
      </c>
      <c r="T1384" s="134" t="str">
        <f ca="1">IF(S1384=Dashboard!$D$12,S1384,"")</f>
        <v/>
      </c>
      <c r="U1384" s="134" t="str">
        <f t="shared" ca="1" si="480"/>
        <v/>
      </c>
      <c r="V1384" s="83" t="str">
        <f ca="1">IF(U1384="","",IFERROR((RANK(U1384,$U$2:$U$2028,1)+COUNTIF($U$2:U1384,U1384))-1,""))</f>
        <v/>
      </c>
      <c r="W1384" s="134" t="str">
        <f t="shared" si="484"/>
        <v/>
      </c>
      <c r="X1384" s="134" t="str">
        <f>IF(W1384="","",IFERROR((RANK(W1384,$W$2:$W$2028,1)+COUNTIF($W$2:W1384,W1384))-1,""))</f>
        <v/>
      </c>
      <c r="Y1384" s="134" t="str">
        <f t="shared" si="481"/>
        <v/>
      </c>
      <c r="Z1384" s="134" t="str">
        <f>IF(Y1384="","",IFERROR((RANK(Y1384,$Y$2:$Y$2028,1)+COUNTIF($Y$2:Y1384,Y1384))-1,""))</f>
        <v/>
      </c>
      <c r="AA1384" s="134" t="str">
        <f t="shared" si="482"/>
        <v/>
      </c>
      <c r="AB1384" s="134" t="str">
        <f>IF(AA1384="","",IFERROR((RANK(AA1384,$AA$2:$AA$2028,1)+COUNTIF($AA$2:AA1384,AA1384))-1,""))</f>
        <v/>
      </c>
      <c r="AC1384" s="134" t="str">
        <f t="shared" si="483"/>
        <v/>
      </c>
      <c r="AD1384" s="134" t="str">
        <f>IF(AC1384="","",IFERROR((RANK(AC1384,$AC$2:$AC$2028,1)+COUNTIF($AC$2:AC1384,AC1384))-1,""))</f>
        <v/>
      </c>
      <c r="AE1384" s="144" t="str">
        <f t="shared" si="475"/>
        <v/>
      </c>
      <c r="AF1384" s="144" t="str">
        <f>IF(AE1384="","",SUM($AE$2:AE1384))</f>
        <v/>
      </c>
    </row>
    <row r="1385" spans="14:32" x14ac:dyDescent="0.35">
      <c r="N1385" s="134" t="str">
        <f t="shared" si="473"/>
        <v/>
      </c>
      <c r="O1385" s="82" t="str">
        <f t="shared" si="476"/>
        <v/>
      </c>
      <c r="P1385" s="81" t="str">
        <f t="shared" si="474"/>
        <v/>
      </c>
      <c r="Q1385" s="81" t="str">
        <f t="shared" si="477"/>
        <v/>
      </c>
      <c r="R1385" s="135" t="str">
        <f t="shared" ca="1" si="478"/>
        <v/>
      </c>
      <c r="S1385" s="134" t="str">
        <f t="shared" ca="1" si="479"/>
        <v/>
      </c>
      <c r="T1385" s="134" t="str">
        <f ca="1">IF(S1385=Dashboard!$D$12,S1385,"")</f>
        <v/>
      </c>
      <c r="U1385" s="134" t="str">
        <f t="shared" ca="1" si="480"/>
        <v/>
      </c>
      <c r="V1385" s="83" t="str">
        <f ca="1">IF(U1385="","",IFERROR((RANK(U1385,$U$2:$U$2028,1)+COUNTIF($U$2:U1385,U1385))-1,""))</f>
        <v/>
      </c>
      <c r="W1385" s="134" t="str">
        <f t="shared" si="484"/>
        <v/>
      </c>
      <c r="X1385" s="134" t="str">
        <f>IF(W1385="","",IFERROR((RANK(W1385,$W$2:$W$2028,1)+COUNTIF($W$2:W1385,W1385))-1,""))</f>
        <v/>
      </c>
      <c r="Y1385" s="134" t="str">
        <f t="shared" si="481"/>
        <v/>
      </c>
      <c r="Z1385" s="134" t="str">
        <f>IF(Y1385="","",IFERROR((RANK(Y1385,$Y$2:$Y$2028,1)+COUNTIF($Y$2:Y1385,Y1385))-1,""))</f>
        <v/>
      </c>
      <c r="AA1385" s="134" t="str">
        <f t="shared" si="482"/>
        <v/>
      </c>
      <c r="AB1385" s="134" t="str">
        <f>IF(AA1385="","",IFERROR((RANK(AA1385,$AA$2:$AA$2028,1)+COUNTIF($AA$2:AA1385,AA1385))-1,""))</f>
        <v/>
      </c>
      <c r="AC1385" s="134" t="str">
        <f t="shared" si="483"/>
        <v/>
      </c>
      <c r="AD1385" s="134" t="str">
        <f>IF(AC1385="","",IFERROR((RANK(AC1385,$AC$2:$AC$2028,1)+COUNTIF($AC$2:AC1385,AC1385))-1,""))</f>
        <v/>
      </c>
      <c r="AE1385" s="144" t="str">
        <f t="shared" si="475"/>
        <v/>
      </c>
      <c r="AF1385" s="144" t="str">
        <f>IF(AE1385="","",SUM($AE$2:AE1385))</f>
        <v/>
      </c>
    </row>
    <row r="1386" spans="14:32" x14ac:dyDescent="0.35">
      <c r="N1386" s="134" t="str">
        <f t="shared" si="473"/>
        <v/>
      </c>
      <c r="O1386" s="82" t="str">
        <f t="shared" si="476"/>
        <v/>
      </c>
      <c r="P1386" s="81" t="str">
        <f t="shared" si="474"/>
        <v/>
      </c>
      <c r="Q1386" s="81" t="str">
        <f t="shared" si="477"/>
        <v/>
      </c>
      <c r="R1386" s="135" t="str">
        <f t="shared" ca="1" si="478"/>
        <v/>
      </c>
      <c r="S1386" s="134" t="str">
        <f t="shared" ca="1" si="479"/>
        <v/>
      </c>
      <c r="T1386" s="134" t="str">
        <f ca="1">IF(S1386=Dashboard!$D$12,S1386,"")</f>
        <v/>
      </c>
      <c r="U1386" s="134" t="str">
        <f t="shared" ca="1" si="480"/>
        <v/>
      </c>
      <c r="V1386" s="83" t="str">
        <f ca="1">IF(U1386="","",IFERROR((RANK(U1386,$U$2:$U$2028,1)+COUNTIF($U$2:U1386,U1386))-1,""))</f>
        <v/>
      </c>
      <c r="W1386" s="134" t="str">
        <f t="shared" si="484"/>
        <v/>
      </c>
      <c r="X1386" s="134" t="str">
        <f>IF(W1386="","",IFERROR((RANK(W1386,$W$2:$W$2028,1)+COUNTIF($W$2:W1386,W1386))-1,""))</f>
        <v/>
      </c>
      <c r="Y1386" s="134" t="str">
        <f t="shared" si="481"/>
        <v/>
      </c>
      <c r="Z1386" s="134" t="str">
        <f>IF(Y1386="","",IFERROR((RANK(Y1386,$Y$2:$Y$2028,1)+COUNTIF($Y$2:Y1386,Y1386))-1,""))</f>
        <v/>
      </c>
      <c r="AA1386" s="134" t="str">
        <f t="shared" si="482"/>
        <v/>
      </c>
      <c r="AB1386" s="134" t="str">
        <f>IF(AA1386="","",IFERROR((RANK(AA1386,$AA$2:$AA$2028,1)+COUNTIF($AA$2:AA1386,AA1386))-1,""))</f>
        <v/>
      </c>
      <c r="AC1386" s="134" t="str">
        <f t="shared" si="483"/>
        <v/>
      </c>
      <c r="AD1386" s="134" t="str">
        <f>IF(AC1386="","",IFERROR((RANK(AC1386,$AC$2:$AC$2028,1)+COUNTIF($AC$2:AC1386,AC1386))-1,""))</f>
        <v/>
      </c>
      <c r="AE1386" s="144" t="str">
        <f t="shared" si="475"/>
        <v/>
      </c>
      <c r="AF1386" s="144" t="str">
        <f>IF(AE1386="","",SUM($AE$2:AE1386))</f>
        <v/>
      </c>
    </row>
    <row r="1387" spans="14:32" x14ac:dyDescent="0.35">
      <c r="N1387" s="134" t="str">
        <f t="shared" si="473"/>
        <v/>
      </c>
      <c r="O1387" s="82" t="str">
        <f t="shared" si="476"/>
        <v/>
      </c>
      <c r="P1387" s="81" t="str">
        <f t="shared" si="474"/>
        <v/>
      </c>
      <c r="Q1387" s="81" t="str">
        <f t="shared" si="477"/>
        <v/>
      </c>
      <c r="R1387" s="135" t="str">
        <f t="shared" ca="1" si="478"/>
        <v/>
      </c>
      <c r="S1387" s="134" t="str">
        <f t="shared" ca="1" si="479"/>
        <v/>
      </c>
      <c r="T1387" s="134" t="str">
        <f ca="1">IF(S1387=Dashboard!$D$12,S1387,"")</f>
        <v/>
      </c>
      <c r="U1387" s="134" t="str">
        <f t="shared" ca="1" si="480"/>
        <v/>
      </c>
      <c r="V1387" s="83" t="str">
        <f ca="1">IF(U1387="","",IFERROR((RANK(U1387,$U$2:$U$2028,1)+COUNTIF($U$2:U1387,U1387))-1,""))</f>
        <v/>
      </c>
      <c r="W1387" s="134" t="str">
        <f t="shared" si="484"/>
        <v/>
      </c>
      <c r="X1387" s="134" t="str">
        <f>IF(W1387="","",IFERROR((RANK(W1387,$W$2:$W$2028,1)+COUNTIF($W$2:W1387,W1387))-1,""))</f>
        <v/>
      </c>
      <c r="Y1387" s="134" t="str">
        <f t="shared" si="481"/>
        <v/>
      </c>
      <c r="Z1387" s="134" t="str">
        <f>IF(Y1387="","",IFERROR((RANK(Y1387,$Y$2:$Y$2028,1)+COUNTIF($Y$2:Y1387,Y1387))-1,""))</f>
        <v/>
      </c>
      <c r="AA1387" s="134" t="str">
        <f t="shared" si="482"/>
        <v/>
      </c>
      <c r="AB1387" s="134" t="str">
        <f>IF(AA1387="","",IFERROR((RANK(AA1387,$AA$2:$AA$2028,1)+COUNTIF($AA$2:AA1387,AA1387))-1,""))</f>
        <v/>
      </c>
      <c r="AC1387" s="134" t="str">
        <f t="shared" si="483"/>
        <v/>
      </c>
      <c r="AD1387" s="134" t="str">
        <f>IF(AC1387="","",IFERROR((RANK(AC1387,$AC$2:$AC$2028,1)+COUNTIF($AC$2:AC1387,AC1387))-1,""))</f>
        <v/>
      </c>
      <c r="AE1387" s="144" t="str">
        <f t="shared" si="475"/>
        <v/>
      </c>
      <c r="AF1387" s="144" t="str">
        <f>IF(AE1387="","",SUM($AE$2:AE1387))</f>
        <v/>
      </c>
    </row>
    <row r="1388" spans="14:32" x14ac:dyDescent="0.35">
      <c r="N1388" s="134" t="str">
        <f t="shared" si="473"/>
        <v/>
      </c>
      <c r="O1388" s="82" t="str">
        <f t="shared" si="476"/>
        <v/>
      </c>
      <c r="P1388" s="81" t="str">
        <f t="shared" si="474"/>
        <v/>
      </c>
      <c r="Q1388" s="81" t="str">
        <f t="shared" si="477"/>
        <v/>
      </c>
      <c r="R1388" s="135" t="str">
        <f t="shared" ca="1" si="478"/>
        <v/>
      </c>
      <c r="S1388" s="134" t="str">
        <f t="shared" ca="1" si="479"/>
        <v/>
      </c>
      <c r="T1388" s="134" t="str">
        <f ca="1">IF(S1388=Dashboard!$D$12,S1388,"")</f>
        <v/>
      </c>
      <c r="U1388" s="134" t="str">
        <f t="shared" ca="1" si="480"/>
        <v/>
      </c>
      <c r="V1388" s="83" t="str">
        <f ca="1">IF(U1388="","",IFERROR((RANK(U1388,$U$2:$U$2028,1)+COUNTIF($U$2:U1388,U1388))-1,""))</f>
        <v/>
      </c>
      <c r="W1388" s="134" t="str">
        <f t="shared" si="484"/>
        <v/>
      </c>
      <c r="X1388" s="134" t="str">
        <f>IF(W1388="","",IFERROR((RANK(W1388,$W$2:$W$2028,1)+COUNTIF($W$2:W1388,W1388))-1,""))</f>
        <v/>
      </c>
      <c r="Y1388" s="134" t="str">
        <f t="shared" si="481"/>
        <v/>
      </c>
      <c r="Z1388" s="134" t="str">
        <f>IF(Y1388="","",IFERROR((RANK(Y1388,$Y$2:$Y$2028,1)+COUNTIF($Y$2:Y1388,Y1388))-1,""))</f>
        <v/>
      </c>
      <c r="AA1388" s="134" t="str">
        <f t="shared" si="482"/>
        <v/>
      </c>
      <c r="AB1388" s="134" t="str">
        <f>IF(AA1388="","",IFERROR((RANK(AA1388,$AA$2:$AA$2028,1)+COUNTIF($AA$2:AA1388,AA1388))-1,""))</f>
        <v/>
      </c>
      <c r="AC1388" s="134" t="str">
        <f t="shared" si="483"/>
        <v/>
      </c>
      <c r="AD1388" s="134" t="str">
        <f>IF(AC1388="","",IFERROR((RANK(AC1388,$AC$2:$AC$2028,1)+COUNTIF($AC$2:AC1388,AC1388))-1,""))</f>
        <v/>
      </c>
      <c r="AE1388" s="144" t="str">
        <f t="shared" si="475"/>
        <v/>
      </c>
      <c r="AF1388" s="144" t="str">
        <f>IF(AE1388="","",SUM($AE$2:AE1388))</f>
        <v/>
      </c>
    </row>
    <row r="1389" spans="14:32" x14ac:dyDescent="0.35">
      <c r="N1389" s="134" t="str">
        <f t="shared" si="473"/>
        <v/>
      </c>
      <c r="O1389" s="82" t="str">
        <f t="shared" si="476"/>
        <v/>
      </c>
      <c r="P1389" s="81" t="str">
        <f t="shared" si="474"/>
        <v/>
      </c>
      <c r="Q1389" s="81" t="str">
        <f t="shared" si="477"/>
        <v/>
      </c>
      <c r="R1389" s="135" t="str">
        <f t="shared" ca="1" si="478"/>
        <v/>
      </c>
      <c r="S1389" s="134" t="str">
        <f t="shared" ca="1" si="479"/>
        <v/>
      </c>
      <c r="T1389" s="134" t="str">
        <f ca="1">IF(S1389=Dashboard!$D$12,S1389,"")</f>
        <v/>
      </c>
      <c r="U1389" s="134" t="str">
        <f t="shared" ca="1" si="480"/>
        <v/>
      </c>
      <c r="V1389" s="83" t="str">
        <f ca="1">IF(U1389="","",IFERROR((RANK(U1389,$U$2:$U$2028,1)+COUNTIF($U$2:U1389,U1389))-1,""))</f>
        <v/>
      </c>
      <c r="W1389" s="134" t="str">
        <f t="shared" si="484"/>
        <v/>
      </c>
      <c r="X1389" s="134" t="str">
        <f>IF(W1389="","",IFERROR((RANK(W1389,$W$2:$W$2028,1)+COUNTIF($W$2:W1389,W1389))-1,""))</f>
        <v/>
      </c>
      <c r="Y1389" s="134" t="str">
        <f t="shared" si="481"/>
        <v/>
      </c>
      <c r="Z1389" s="134" t="str">
        <f>IF(Y1389="","",IFERROR((RANK(Y1389,$Y$2:$Y$2028,1)+COUNTIF($Y$2:Y1389,Y1389))-1,""))</f>
        <v/>
      </c>
      <c r="AA1389" s="134" t="str">
        <f t="shared" si="482"/>
        <v/>
      </c>
      <c r="AB1389" s="134" t="str">
        <f>IF(AA1389="","",IFERROR((RANK(AA1389,$AA$2:$AA$2028,1)+COUNTIF($AA$2:AA1389,AA1389))-1,""))</f>
        <v/>
      </c>
      <c r="AC1389" s="134" t="str">
        <f t="shared" si="483"/>
        <v/>
      </c>
      <c r="AD1389" s="134" t="str">
        <f>IF(AC1389="","",IFERROR((RANK(AC1389,$AC$2:$AC$2028,1)+COUNTIF($AC$2:AC1389,AC1389))-1,""))</f>
        <v/>
      </c>
      <c r="AE1389" s="144" t="str">
        <f t="shared" si="475"/>
        <v/>
      </c>
      <c r="AF1389" s="144" t="str">
        <f>IF(AE1389="","",SUM($AE$2:AE1389))</f>
        <v/>
      </c>
    </row>
    <row r="1390" spans="14:32" x14ac:dyDescent="0.35">
      <c r="N1390" s="134" t="str">
        <f t="shared" si="473"/>
        <v/>
      </c>
      <c r="O1390" s="82" t="str">
        <f t="shared" si="476"/>
        <v/>
      </c>
      <c r="P1390" s="81" t="str">
        <f t="shared" si="474"/>
        <v/>
      </c>
      <c r="Q1390" s="81" t="str">
        <f t="shared" si="477"/>
        <v/>
      </c>
      <c r="R1390" s="135" t="str">
        <f t="shared" ca="1" si="478"/>
        <v/>
      </c>
      <c r="S1390" s="134" t="str">
        <f t="shared" ca="1" si="479"/>
        <v/>
      </c>
      <c r="T1390" s="134" t="str">
        <f ca="1">IF(S1390=Dashboard!$D$12,S1390,"")</f>
        <v/>
      </c>
      <c r="U1390" s="134" t="str">
        <f t="shared" ca="1" si="480"/>
        <v/>
      </c>
      <c r="V1390" s="83" t="str">
        <f ca="1">IF(U1390="","",IFERROR((RANK(U1390,$U$2:$U$2028,1)+COUNTIF($U$2:U1390,U1390))-1,""))</f>
        <v/>
      </c>
      <c r="W1390" s="134" t="str">
        <f t="shared" si="484"/>
        <v/>
      </c>
      <c r="X1390" s="134" t="str">
        <f>IF(W1390="","",IFERROR((RANK(W1390,$W$2:$W$2028,1)+COUNTIF($W$2:W1390,W1390))-1,""))</f>
        <v/>
      </c>
      <c r="Y1390" s="134" t="str">
        <f t="shared" si="481"/>
        <v/>
      </c>
      <c r="Z1390" s="134" t="str">
        <f>IF(Y1390="","",IFERROR((RANK(Y1390,$Y$2:$Y$2028,1)+COUNTIF($Y$2:Y1390,Y1390))-1,""))</f>
        <v/>
      </c>
      <c r="AA1390" s="134" t="str">
        <f t="shared" si="482"/>
        <v/>
      </c>
      <c r="AB1390" s="134" t="str">
        <f>IF(AA1390="","",IFERROR((RANK(AA1390,$AA$2:$AA$2028,1)+COUNTIF($AA$2:AA1390,AA1390))-1,""))</f>
        <v/>
      </c>
      <c r="AC1390" s="134" t="str">
        <f t="shared" si="483"/>
        <v/>
      </c>
      <c r="AD1390" s="134" t="str">
        <f>IF(AC1390="","",IFERROR((RANK(AC1390,$AC$2:$AC$2028,1)+COUNTIF($AC$2:AC1390,AC1390))-1,""))</f>
        <v/>
      </c>
      <c r="AE1390" s="144" t="str">
        <f t="shared" si="475"/>
        <v/>
      </c>
      <c r="AF1390" s="144" t="str">
        <f>IF(AE1390="","",SUM($AE$2:AE1390))</f>
        <v/>
      </c>
    </row>
    <row r="1391" spans="14:32" x14ac:dyDescent="0.35">
      <c r="N1391" s="134" t="str">
        <f t="shared" si="473"/>
        <v/>
      </c>
      <c r="O1391" s="82" t="str">
        <f t="shared" si="476"/>
        <v/>
      </c>
      <c r="P1391" s="81" t="str">
        <f t="shared" si="474"/>
        <v/>
      </c>
      <c r="Q1391" s="81" t="str">
        <f t="shared" si="477"/>
        <v/>
      </c>
      <c r="R1391" s="135" t="str">
        <f t="shared" ca="1" si="478"/>
        <v/>
      </c>
      <c r="S1391" s="134" t="str">
        <f t="shared" ca="1" si="479"/>
        <v/>
      </c>
      <c r="T1391" s="134" t="str">
        <f ca="1">IF(S1391=Dashboard!$D$12,S1391,"")</f>
        <v/>
      </c>
      <c r="U1391" s="134" t="str">
        <f t="shared" ca="1" si="480"/>
        <v/>
      </c>
      <c r="V1391" s="83" t="str">
        <f ca="1">IF(U1391="","",IFERROR((RANK(U1391,$U$2:$U$2028,1)+COUNTIF($U$2:U1391,U1391))-1,""))</f>
        <v/>
      </c>
      <c r="W1391" s="134" t="str">
        <f t="shared" si="484"/>
        <v/>
      </c>
      <c r="X1391" s="134" t="str">
        <f>IF(W1391="","",IFERROR((RANK(W1391,$W$2:$W$2028,1)+COUNTIF($W$2:W1391,W1391))-1,""))</f>
        <v/>
      </c>
      <c r="Y1391" s="134" t="str">
        <f t="shared" si="481"/>
        <v/>
      </c>
      <c r="Z1391" s="134" t="str">
        <f>IF(Y1391="","",IFERROR((RANK(Y1391,$Y$2:$Y$2028,1)+COUNTIF($Y$2:Y1391,Y1391))-1,""))</f>
        <v/>
      </c>
      <c r="AA1391" s="134" t="str">
        <f t="shared" si="482"/>
        <v/>
      </c>
      <c r="AB1391" s="134" t="str">
        <f>IF(AA1391="","",IFERROR((RANK(AA1391,$AA$2:$AA$2028,1)+COUNTIF($AA$2:AA1391,AA1391))-1,""))</f>
        <v/>
      </c>
      <c r="AC1391" s="134" t="str">
        <f t="shared" si="483"/>
        <v/>
      </c>
      <c r="AD1391" s="134" t="str">
        <f>IF(AC1391="","",IFERROR((RANK(AC1391,$AC$2:$AC$2028,1)+COUNTIF($AC$2:AC1391,AC1391))-1,""))</f>
        <v/>
      </c>
      <c r="AE1391" s="144" t="str">
        <f t="shared" si="475"/>
        <v/>
      </c>
      <c r="AF1391" s="144" t="str">
        <f>IF(AE1391="","",SUM($AE$2:AE1391))</f>
        <v/>
      </c>
    </row>
    <row r="1392" spans="14:32" x14ac:dyDescent="0.35">
      <c r="N1392" s="134" t="str">
        <f t="shared" si="473"/>
        <v/>
      </c>
      <c r="O1392" s="82" t="str">
        <f t="shared" si="476"/>
        <v/>
      </c>
      <c r="P1392" s="81" t="str">
        <f t="shared" si="474"/>
        <v/>
      </c>
      <c r="Q1392" s="81" t="str">
        <f t="shared" si="477"/>
        <v/>
      </c>
      <c r="R1392" s="135" t="str">
        <f t="shared" ca="1" si="478"/>
        <v/>
      </c>
      <c r="S1392" s="134" t="str">
        <f t="shared" ca="1" si="479"/>
        <v/>
      </c>
      <c r="T1392" s="134" t="str">
        <f ca="1">IF(S1392=Dashboard!$D$12,S1392,"")</f>
        <v/>
      </c>
      <c r="U1392" s="134" t="str">
        <f t="shared" ca="1" si="480"/>
        <v/>
      </c>
      <c r="V1392" s="83" t="str">
        <f ca="1">IF(U1392="","",IFERROR((RANK(U1392,$U$2:$U$2028,1)+COUNTIF($U$2:U1392,U1392))-1,""))</f>
        <v/>
      </c>
      <c r="W1392" s="134" t="str">
        <f t="shared" si="484"/>
        <v/>
      </c>
      <c r="X1392" s="134" t="str">
        <f>IF(W1392="","",IFERROR((RANK(W1392,$W$2:$W$2028,1)+COUNTIF($W$2:W1392,W1392))-1,""))</f>
        <v/>
      </c>
      <c r="Y1392" s="134" t="str">
        <f t="shared" si="481"/>
        <v/>
      </c>
      <c r="Z1392" s="134" t="str">
        <f>IF(Y1392="","",IFERROR((RANK(Y1392,$Y$2:$Y$2028,1)+COUNTIF($Y$2:Y1392,Y1392))-1,""))</f>
        <v/>
      </c>
      <c r="AA1392" s="134" t="str">
        <f t="shared" si="482"/>
        <v/>
      </c>
      <c r="AB1392" s="134" t="str">
        <f>IF(AA1392="","",IFERROR((RANK(AA1392,$AA$2:$AA$2028,1)+COUNTIF($AA$2:AA1392,AA1392))-1,""))</f>
        <v/>
      </c>
      <c r="AC1392" s="134" t="str">
        <f t="shared" si="483"/>
        <v/>
      </c>
      <c r="AD1392" s="134" t="str">
        <f>IF(AC1392="","",IFERROR((RANK(AC1392,$AC$2:$AC$2028,1)+COUNTIF($AC$2:AC1392,AC1392))-1,""))</f>
        <v/>
      </c>
      <c r="AE1392" s="144" t="str">
        <f t="shared" si="475"/>
        <v/>
      </c>
      <c r="AF1392" s="144" t="str">
        <f>IF(AE1392="","",SUM($AE$2:AE1392))</f>
        <v/>
      </c>
    </row>
    <row r="1393" spans="14:32" x14ac:dyDescent="0.35">
      <c r="N1393" s="134" t="str">
        <f t="shared" si="473"/>
        <v/>
      </c>
      <c r="O1393" s="82" t="str">
        <f t="shared" si="476"/>
        <v/>
      </c>
      <c r="P1393" s="81" t="str">
        <f t="shared" si="474"/>
        <v/>
      </c>
      <c r="Q1393" s="81" t="str">
        <f t="shared" si="477"/>
        <v/>
      </c>
      <c r="R1393" s="135" t="str">
        <f t="shared" ca="1" si="478"/>
        <v/>
      </c>
      <c r="S1393" s="134" t="str">
        <f t="shared" ca="1" si="479"/>
        <v/>
      </c>
      <c r="T1393" s="134" t="str">
        <f ca="1">IF(S1393=Dashboard!$D$12,S1393,"")</f>
        <v/>
      </c>
      <c r="U1393" s="134" t="str">
        <f t="shared" ca="1" si="480"/>
        <v/>
      </c>
      <c r="V1393" s="83" t="str">
        <f ca="1">IF(U1393="","",IFERROR((RANK(U1393,$U$2:$U$2028,1)+COUNTIF($U$2:U1393,U1393))-1,""))</f>
        <v/>
      </c>
      <c r="W1393" s="134" t="str">
        <f t="shared" si="484"/>
        <v/>
      </c>
      <c r="X1393" s="134" t="str">
        <f>IF(W1393="","",IFERROR((RANK(W1393,$W$2:$W$2028,1)+COUNTIF($W$2:W1393,W1393))-1,""))</f>
        <v/>
      </c>
      <c r="Y1393" s="134" t="str">
        <f t="shared" si="481"/>
        <v/>
      </c>
      <c r="Z1393" s="134" t="str">
        <f>IF(Y1393="","",IFERROR((RANK(Y1393,$Y$2:$Y$2028,1)+COUNTIF($Y$2:Y1393,Y1393))-1,""))</f>
        <v/>
      </c>
      <c r="AA1393" s="134" t="str">
        <f t="shared" si="482"/>
        <v/>
      </c>
      <c r="AB1393" s="134" t="str">
        <f>IF(AA1393="","",IFERROR((RANK(AA1393,$AA$2:$AA$2028,1)+COUNTIF($AA$2:AA1393,AA1393))-1,""))</f>
        <v/>
      </c>
      <c r="AC1393" s="134" t="str">
        <f t="shared" si="483"/>
        <v/>
      </c>
      <c r="AD1393" s="134" t="str">
        <f>IF(AC1393="","",IFERROR((RANK(AC1393,$AC$2:$AC$2028,1)+COUNTIF($AC$2:AC1393,AC1393))-1,""))</f>
        <v/>
      </c>
      <c r="AE1393" s="144" t="str">
        <f t="shared" si="475"/>
        <v/>
      </c>
      <c r="AF1393" s="144" t="str">
        <f>IF(AE1393="","",SUM($AE$2:AE1393))</f>
        <v/>
      </c>
    </row>
    <row r="1394" spans="14:32" x14ac:dyDescent="0.35">
      <c r="N1394" s="134" t="str">
        <f t="shared" si="473"/>
        <v/>
      </c>
      <c r="O1394" s="82" t="str">
        <f t="shared" si="476"/>
        <v/>
      </c>
      <c r="P1394" s="81" t="str">
        <f t="shared" si="474"/>
        <v/>
      </c>
      <c r="Q1394" s="81" t="str">
        <f t="shared" si="477"/>
        <v/>
      </c>
      <c r="R1394" s="135" t="str">
        <f t="shared" ca="1" si="478"/>
        <v/>
      </c>
      <c r="S1394" s="134" t="str">
        <f t="shared" ca="1" si="479"/>
        <v/>
      </c>
      <c r="T1394" s="134" t="str">
        <f ca="1">IF(S1394=Dashboard!$D$12,S1394,"")</f>
        <v/>
      </c>
      <c r="U1394" s="134" t="str">
        <f t="shared" ca="1" si="480"/>
        <v/>
      </c>
      <c r="V1394" s="83" t="str">
        <f ca="1">IF(U1394="","",IFERROR((RANK(U1394,$U$2:$U$2028,1)+COUNTIF($U$2:U1394,U1394))-1,""))</f>
        <v/>
      </c>
      <c r="W1394" s="134" t="str">
        <f t="shared" si="484"/>
        <v/>
      </c>
      <c r="X1394" s="134" t="str">
        <f>IF(W1394="","",IFERROR((RANK(W1394,$W$2:$W$2028,1)+COUNTIF($W$2:W1394,W1394))-1,""))</f>
        <v/>
      </c>
      <c r="Y1394" s="134" t="str">
        <f t="shared" si="481"/>
        <v/>
      </c>
      <c r="Z1394" s="134" t="str">
        <f>IF(Y1394="","",IFERROR((RANK(Y1394,$Y$2:$Y$2028,1)+COUNTIF($Y$2:Y1394,Y1394))-1,""))</f>
        <v/>
      </c>
      <c r="AA1394" s="134" t="str">
        <f t="shared" si="482"/>
        <v/>
      </c>
      <c r="AB1394" s="134" t="str">
        <f>IF(AA1394="","",IFERROR((RANK(AA1394,$AA$2:$AA$2028,1)+COUNTIF($AA$2:AA1394,AA1394))-1,""))</f>
        <v/>
      </c>
      <c r="AC1394" s="134" t="str">
        <f t="shared" si="483"/>
        <v/>
      </c>
      <c r="AD1394" s="134" t="str">
        <f>IF(AC1394="","",IFERROR((RANK(AC1394,$AC$2:$AC$2028,1)+COUNTIF($AC$2:AC1394,AC1394))-1,""))</f>
        <v/>
      </c>
      <c r="AE1394" s="144" t="str">
        <f t="shared" si="475"/>
        <v/>
      </c>
      <c r="AF1394" s="144" t="str">
        <f>IF(AE1394="","",SUM($AE$2:AE1394))</f>
        <v/>
      </c>
    </row>
    <row r="1395" spans="14:32" x14ac:dyDescent="0.35">
      <c r="N1395" s="134" t="str">
        <f t="shared" si="473"/>
        <v/>
      </c>
      <c r="O1395" s="82" t="str">
        <f t="shared" si="476"/>
        <v/>
      </c>
      <c r="P1395" s="81" t="str">
        <f t="shared" si="474"/>
        <v/>
      </c>
      <c r="Q1395" s="81" t="str">
        <f t="shared" si="477"/>
        <v/>
      </c>
      <c r="R1395" s="135" t="str">
        <f t="shared" ca="1" si="478"/>
        <v/>
      </c>
      <c r="S1395" s="134" t="str">
        <f t="shared" ca="1" si="479"/>
        <v/>
      </c>
      <c r="T1395" s="134" t="str">
        <f ca="1">IF(S1395=Dashboard!$D$12,S1395,"")</f>
        <v/>
      </c>
      <c r="U1395" s="134" t="str">
        <f t="shared" ca="1" si="480"/>
        <v/>
      </c>
      <c r="V1395" s="83" t="str">
        <f ca="1">IF(U1395="","",IFERROR((RANK(U1395,$U$2:$U$2028,1)+COUNTIF($U$2:U1395,U1395))-1,""))</f>
        <v/>
      </c>
      <c r="W1395" s="134" t="str">
        <f t="shared" si="484"/>
        <v/>
      </c>
      <c r="X1395" s="134" t="str">
        <f>IF(W1395="","",IFERROR((RANK(W1395,$W$2:$W$2028,1)+COUNTIF($W$2:W1395,W1395))-1,""))</f>
        <v/>
      </c>
      <c r="Y1395" s="134" t="str">
        <f t="shared" si="481"/>
        <v/>
      </c>
      <c r="Z1395" s="134" t="str">
        <f>IF(Y1395="","",IFERROR((RANK(Y1395,$Y$2:$Y$2028,1)+COUNTIF($Y$2:Y1395,Y1395))-1,""))</f>
        <v/>
      </c>
      <c r="AA1395" s="134" t="str">
        <f t="shared" si="482"/>
        <v/>
      </c>
      <c r="AB1395" s="134" t="str">
        <f>IF(AA1395="","",IFERROR((RANK(AA1395,$AA$2:$AA$2028,1)+COUNTIF($AA$2:AA1395,AA1395))-1,""))</f>
        <v/>
      </c>
      <c r="AC1395" s="134" t="str">
        <f t="shared" si="483"/>
        <v/>
      </c>
      <c r="AD1395" s="134" t="str">
        <f>IF(AC1395="","",IFERROR((RANK(AC1395,$AC$2:$AC$2028,1)+COUNTIF($AC$2:AC1395,AC1395))-1,""))</f>
        <v/>
      </c>
      <c r="AE1395" s="144" t="str">
        <f t="shared" si="475"/>
        <v/>
      </c>
      <c r="AF1395" s="144" t="str">
        <f>IF(AE1395="","",SUM($AE$2:AE1395))</f>
        <v/>
      </c>
    </row>
    <row r="1396" spans="14:32" x14ac:dyDescent="0.35">
      <c r="N1396" s="134" t="str">
        <f t="shared" si="473"/>
        <v/>
      </c>
      <c r="O1396" s="82" t="str">
        <f t="shared" si="476"/>
        <v/>
      </c>
      <c r="P1396" s="81" t="str">
        <f t="shared" si="474"/>
        <v/>
      </c>
      <c r="Q1396" s="81" t="str">
        <f t="shared" si="477"/>
        <v/>
      </c>
      <c r="R1396" s="135" t="str">
        <f t="shared" ca="1" si="478"/>
        <v/>
      </c>
      <c r="S1396" s="134" t="str">
        <f t="shared" ca="1" si="479"/>
        <v/>
      </c>
      <c r="T1396" s="134" t="str">
        <f ca="1">IF(S1396=Dashboard!$D$12,S1396,"")</f>
        <v/>
      </c>
      <c r="U1396" s="134" t="str">
        <f t="shared" ca="1" si="480"/>
        <v/>
      </c>
      <c r="V1396" s="83" t="str">
        <f ca="1">IF(U1396="","",IFERROR((RANK(U1396,$U$2:$U$2028,1)+COUNTIF($U$2:U1396,U1396))-1,""))</f>
        <v/>
      </c>
      <c r="W1396" s="134" t="str">
        <f t="shared" si="484"/>
        <v/>
      </c>
      <c r="X1396" s="134" t="str">
        <f>IF(W1396="","",IFERROR((RANK(W1396,$W$2:$W$2028,1)+COUNTIF($W$2:W1396,W1396))-1,""))</f>
        <v/>
      </c>
      <c r="Y1396" s="134" t="str">
        <f t="shared" si="481"/>
        <v/>
      </c>
      <c r="Z1396" s="134" t="str">
        <f>IF(Y1396="","",IFERROR((RANK(Y1396,$Y$2:$Y$2028,1)+COUNTIF($Y$2:Y1396,Y1396))-1,""))</f>
        <v/>
      </c>
      <c r="AA1396" s="134" t="str">
        <f t="shared" si="482"/>
        <v/>
      </c>
      <c r="AB1396" s="134" t="str">
        <f>IF(AA1396="","",IFERROR((RANK(AA1396,$AA$2:$AA$2028,1)+COUNTIF($AA$2:AA1396,AA1396))-1,""))</f>
        <v/>
      </c>
      <c r="AC1396" s="134" t="str">
        <f t="shared" si="483"/>
        <v/>
      </c>
      <c r="AD1396" s="134" t="str">
        <f>IF(AC1396="","",IFERROR((RANK(AC1396,$AC$2:$AC$2028,1)+COUNTIF($AC$2:AC1396,AC1396))-1,""))</f>
        <v/>
      </c>
      <c r="AE1396" s="144" t="str">
        <f t="shared" si="475"/>
        <v/>
      </c>
      <c r="AF1396" s="144" t="str">
        <f>IF(AE1396="","",SUM($AE$2:AE1396))</f>
        <v/>
      </c>
    </row>
    <row r="1397" spans="14:32" x14ac:dyDescent="0.35">
      <c r="N1397" s="134" t="str">
        <f t="shared" si="473"/>
        <v/>
      </c>
      <c r="O1397" s="82" t="str">
        <f t="shared" si="476"/>
        <v/>
      </c>
      <c r="P1397" s="81" t="str">
        <f t="shared" si="474"/>
        <v/>
      </c>
      <c r="Q1397" s="81" t="str">
        <f t="shared" si="477"/>
        <v/>
      </c>
      <c r="R1397" s="135" t="str">
        <f t="shared" ca="1" si="478"/>
        <v/>
      </c>
      <c r="S1397" s="134" t="str">
        <f t="shared" ca="1" si="479"/>
        <v/>
      </c>
      <c r="T1397" s="134" t="str">
        <f ca="1">IF(S1397=Dashboard!$D$12,S1397,"")</f>
        <v/>
      </c>
      <c r="U1397" s="134" t="str">
        <f t="shared" ca="1" si="480"/>
        <v/>
      </c>
      <c r="V1397" s="83" t="str">
        <f ca="1">IF(U1397="","",IFERROR((RANK(U1397,$U$2:$U$2028,1)+COUNTIF($U$2:U1397,U1397))-1,""))</f>
        <v/>
      </c>
      <c r="W1397" s="134" t="str">
        <f t="shared" si="484"/>
        <v/>
      </c>
      <c r="X1397" s="134" t="str">
        <f>IF(W1397="","",IFERROR((RANK(W1397,$W$2:$W$2028,1)+COUNTIF($W$2:W1397,W1397))-1,""))</f>
        <v/>
      </c>
      <c r="Y1397" s="134" t="str">
        <f t="shared" si="481"/>
        <v/>
      </c>
      <c r="Z1397" s="134" t="str">
        <f>IF(Y1397="","",IFERROR((RANK(Y1397,$Y$2:$Y$2028,1)+COUNTIF($Y$2:Y1397,Y1397))-1,""))</f>
        <v/>
      </c>
      <c r="AA1397" s="134" t="str">
        <f t="shared" si="482"/>
        <v/>
      </c>
      <c r="AB1397" s="134" t="str">
        <f>IF(AA1397="","",IFERROR((RANK(AA1397,$AA$2:$AA$2028,1)+COUNTIF($AA$2:AA1397,AA1397))-1,""))</f>
        <v/>
      </c>
      <c r="AC1397" s="134" t="str">
        <f t="shared" si="483"/>
        <v/>
      </c>
      <c r="AD1397" s="134" t="str">
        <f>IF(AC1397="","",IFERROR((RANK(AC1397,$AC$2:$AC$2028,1)+COUNTIF($AC$2:AC1397,AC1397))-1,""))</f>
        <v/>
      </c>
      <c r="AE1397" s="144" t="str">
        <f t="shared" si="475"/>
        <v/>
      </c>
      <c r="AF1397" s="144" t="str">
        <f>IF(AE1397="","",SUM($AE$2:AE1397))</f>
        <v/>
      </c>
    </row>
    <row r="1398" spans="14:32" x14ac:dyDescent="0.35">
      <c r="N1398" s="134" t="str">
        <f t="shared" si="473"/>
        <v/>
      </c>
      <c r="O1398" s="82" t="str">
        <f t="shared" si="476"/>
        <v/>
      </c>
      <c r="P1398" s="81" t="str">
        <f t="shared" si="474"/>
        <v/>
      </c>
      <c r="Q1398" s="81" t="str">
        <f t="shared" si="477"/>
        <v/>
      </c>
      <c r="R1398" s="135" t="str">
        <f t="shared" ca="1" si="478"/>
        <v/>
      </c>
      <c r="S1398" s="134" t="str">
        <f t="shared" ca="1" si="479"/>
        <v/>
      </c>
      <c r="T1398" s="134" t="str">
        <f ca="1">IF(S1398=Dashboard!$D$12,S1398,"")</f>
        <v/>
      </c>
      <c r="U1398" s="134" t="str">
        <f t="shared" ca="1" si="480"/>
        <v/>
      </c>
      <c r="V1398" s="83" t="str">
        <f ca="1">IF(U1398="","",IFERROR((RANK(U1398,$U$2:$U$2028,1)+COUNTIF($U$2:U1398,U1398))-1,""))</f>
        <v/>
      </c>
      <c r="W1398" s="134" t="str">
        <f t="shared" si="484"/>
        <v/>
      </c>
      <c r="X1398" s="134" t="str">
        <f>IF(W1398="","",IFERROR((RANK(W1398,$W$2:$W$2028,1)+COUNTIF($W$2:W1398,W1398))-1,""))</f>
        <v/>
      </c>
      <c r="Y1398" s="134" t="str">
        <f t="shared" si="481"/>
        <v/>
      </c>
      <c r="Z1398" s="134" t="str">
        <f>IF(Y1398="","",IFERROR((RANK(Y1398,$Y$2:$Y$2028,1)+COUNTIF($Y$2:Y1398,Y1398))-1,""))</f>
        <v/>
      </c>
      <c r="AA1398" s="134" t="str">
        <f t="shared" si="482"/>
        <v/>
      </c>
      <c r="AB1398" s="134" t="str">
        <f>IF(AA1398="","",IFERROR((RANK(AA1398,$AA$2:$AA$2028,1)+COUNTIF($AA$2:AA1398,AA1398))-1,""))</f>
        <v/>
      </c>
      <c r="AC1398" s="134" t="str">
        <f t="shared" si="483"/>
        <v/>
      </c>
      <c r="AD1398" s="134" t="str">
        <f>IF(AC1398="","",IFERROR((RANK(AC1398,$AC$2:$AC$2028,1)+COUNTIF($AC$2:AC1398,AC1398))-1,""))</f>
        <v/>
      </c>
      <c r="AE1398" s="144" t="str">
        <f t="shared" si="475"/>
        <v/>
      </c>
      <c r="AF1398" s="144" t="str">
        <f>IF(AE1398="","",SUM($AE$2:AE1398))</f>
        <v/>
      </c>
    </row>
    <row r="1399" spans="14:32" x14ac:dyDescent="0.35">
      <c r="N1399" s="134" t="str">
        <f t="shared" si="473"/>
        <v/>
      </c>
      <c r="O1399" s="82" t="str">
        <f t="shared" si="476"/>
        <v/>
      </c>
      <c r="P1399" s="81" t="str">
        <f t="shared" si="474"/>
        <v/>
      </c>
      <c r="Q1399" s="81" t="str">
        <f t="shared" si="477"/>
        <v/>
      </c>
      <c r="R1399" s="135" t="str">
        <f t="shared" ca="1" si="478"/>
        <v/>
      </c>
      <c r="S1399" s="134" t="str">
        <f t="shared" ca="1" si="479"/>
        <v/>
      </c>
      <c r="T1399" s="134" t="str">
        <f ca="1">IF(S1399=Dashboard!$D$12,S1399,"")</f>
        <v/>
      </c>
      <c r="U1399" s="134" t="str">
        <f t="shared" ca="1" si="480"/>
        <v/>
      </c>
      <c r="V1399" s="83" t="str">
        <f ca="1">IF(U1399="","",IFERROR((RANK(U1399,$U$2:$U$2028,1)+COUNTIF($U$2:U1399,U1399))-1,""))</f>
        <v/>
      </c>
      <c r="W1399" s="134" t="str">
        <f t="shared" si="484"/>
        <v/>
      </c>
      <c r="X1399" s="134" t="str">
        <f>IF(W1399="","",IFERROR((RANK(W1399,$W$2:$W$2028,1)+COUNTIF($W$2:W1399,W1399))-1,""))</f>
        <v/>
      </c>
      <c r="Y1399" s="134" t="str">
        <f t="shared" si="481"/>
        <v/>
      </c>
      <c r="Z1399" s="134" t="str">
        <f>IF(Y1399="","",IFERROR((RANK(Y1399,$Y$2:$Y$2028,1)+COUNTIF($Y$2:Y1399,Y1399))-1,""))</f>
        <v/>
      </c>
      <c r="AA1399" s="134" t="str">
        <f t="shared" si="482"/>
        <v/>
      </c>
      <c r="AB1399" s="134" t="str">
        <f>IF(AA1399="","",IFERROR((RANK(AA1399,$AA$2:$AA$2028,1)+COUNTIF($AA$2:AA1399,AA1399))-1,""))</f>
        <v/>
      </c>
      <c r="AC1399" s="134" t="str">
        <f t="shared" si="483"/>
        <v/>
      </c>
      <c r="AD1399" s="134" t="str">
        <f>IF(AC1399="","",IFERROR((RANK(AC1399,$AC$2:$AC$2028,1)+COUNTIF($AC$2:AC1399,AC1399))-1,""))</f>
        <v/>
      </c>
      <c r="AE1399" s="144" t="str">
        <f t="shared" si="475"/>
        <v/>
      </c>
      <c r="AF1399" s="144" t="str">
        <f>IF(AE1399="","",SUM($AE$2:AE1399))</f>
        <v/>
      </c>
    </row>
    <row r="1400" spans="14:32" x14ac:dyDescent="0.35">
      <c r="N1400" s="134" t="str">
        <f t="shared" si="473"/>
        <v/>
      </c>
      <c r="O1400" s="82" t="str">
        <f t="shared" si="476"/>
        <v/>
      </c>
      <c r="P1400" s="81" t="str">
        <f t="shared" si="474"/>
        <v/>
      </c>
      <c r="Q1400" s="81" t="str">
        <f t="shared" si="477"/>
        <v/>
      </c>
      <c r="R1400" s="135" t="str">
        <f t="shared" ca="1" si="478"/>
        <v/>
      </c>
      <c r="S1400" s="134" t="str">
        <f t="shared" ca="1" si="479"/>
        <v/>
      </c>
      <c r="T1400" s="134" t="str">
        <f ca="1">IF(S1400=Dashboard!$D$12,S1400,"")</f>
        <v/>
      </c>
      <c r="U1400" s="134" t="str">
        <f t="shared" ca="1" si="480"/>
        <v/>
      </c>
      <c r="V1400" s="83" t="str">
        <f ca="1">IF(U1400="","",IFERROR((RANK(U1400,$U$2:$U$2028,1)+COUNTIF($U$2:U1400,U1400))-1,""))</f>
        <v/>
      </c>
      <c r="W1400" s="134" t="str">
        <f t="shared" si="484"/>
        <v/>
      </c>
      <c r="X1400" s="134" t="str">
        <f>IF(W1400="","",IFERROR((RANK(W1400,$W$2:$W$2028,1)+COUNTIF($W$2:W1400,W1400))-1,""))</f>
        <v/>
      </c>
      <c r="Y1400" s="134" t="str">
        <f t="shared" si="481"/>
        <v/>
      </c>
      <c r="Z1400" s="134" t="str">
        <f>IF(Y1400="","",IFERROR((RANK(Y1400,$Y$2:$Y$2028,1)+COUNTIF($Y$2:Y1400,Y1400))-1,""))</f>
        <v/>
      </c>
      <c r="AA1400" s="134" t="str">
        <f t="shared" si="482"/>
        <v/>
      </c>
      <c r="AB1400" s="134" t="str">
        <f>IF(AA1400="","",IFERROR((RANK(AA1400,$AA$2:$AA$2028,1)+COUNTIF($AA$2:AA1400,AA1400))-1,""))</f>
        <v/>
      </c>
      <c r="AC1400" s="134" t="str">
        <f t="shared" si="483"/>
        <v/>
      </c>
      <c r="AD1400" s="134" t="str">
        <f>IF(AC1400="","",IFERROR((RANK(AC1400,$AC$2:$AC$2028,1)+COUNTIF($AC$2:AC1400,AC1400))-1,""))</f>
        <v/>
      </c>
      <c r="AE1400" s="144" t="str">
        <f t="shared" si="475"/>
        <v/>
      </c>
      <c r="AF1400" s="144" t="str">
        <f>IF(AE1400="","",SUM($AE$2:AE1400))</f>
        <v/>
      </c>
    </row>
    <row r="1401" spans="14:32" x14ac:dyDescent="0.35">
      <c r="N1401" s="134" t="str">
        <f t="shared" si="473"/>
        <v/>
      </c>
      <c r="O1401" s="82" t="str">
        <f t="shared" si="476"/>
        <v/>
      </c>
      <c r="P1401" s="81" t="str">
        <f t="shared" si="474"/>
        <v/>
      </c>
      <c r="Q1401" s="81" t="str">
        <f t="shared" si="477"/>
        <v/>
      </c>
      <c r="R1401" s="135" t="str">
        <f t="shared" ca="1" si="478"/>
        <v/>
      </c>
      <c r="S1401" s="134" t="str">
        <f t="shared" ca="1" si="479"/>
        <v/>
      </c>
      <c r="T1401" s="134" t="str">
        <f ca="1">IF(S1401=Dashboard!$D$12,S1401,"")</f>
        <v/>
      </c>
      <c r="U1401" s="134" t="str">
        <f t="shared" ca="1" si="480"/>
        <v/>
      </c>
      <c r="V1401" s="83" t="str">
        <f ca="1">IF(U1401="","",IFERROR((RANK(U1401,$U$2:$U$2028,1)+COUNTIF($U$2:U1401,U1401))-1,""))</f>
        <v/>
      </c>
      <c r="W1401" s="134" t="str">
        <f t="shared" si="484"/>
        <v/>
      </c>
      <c r="X1401" s="134" t="str">
        <f>IF(W1401="","",IFERROR((RANK(W1401,$W$2:$W$2028,1)+COUNTIF($W$2:W1401,W1401))-1,""))</f>
        <v/>
      </c>
      <c r="Y1401" s="134" t="str">
        <f t="shared" si="481"/>
        <v/>
      </c>
      <c r="Z1401" s="134" t="str">
        <f>IF(Y1401="","",IFERROR((RANK(Y1401,$Y$2:$Y$2028,1)+COUNTIF($Y$2:Y1401,Y1401))-1,""))</f>
        <v/>
      </c>
      <c r="AA1401" s="134" t="str">
        <f t="shared" si="482"/>
        <v/>
      </c>
      <c r="AB1401" s="134" t="str">
        <f>IF(AA1401="","",IFERROR((RANK(AA1401,$AA$2:$AA$2028,1)+COUNTIF($AA$2:AA1401,AA1401))-1,""))</f>
        <v/>
      </c>
      <c r="AC1401" s="134" t="str">
        <f t="shared" si="483"/>
        <v/>
      </c>
      <c r="AD1401" s="134" t="str">
        <f>IF(AC1401="","",IFERROR((RANK(AC1401,$AC$2:$AC$2028,1)+COUNTIF($AC$2:AC1401,AC1401))-1,""))</f>
        <v/>
      </c>
      <c r="AE1401" s="144" t="str">
        <f t="shared" si="475"/>
        <v/>
      </c>
      <c r="AF1401" s="144" t="str">
        <f>IF(AE1401="","",SUM($AE$2:AE1401))</f>
        <v/>
      </c>
    </row>
    <row r="1402" spans="14:32" x14ac:dyDescent="0.35">
      <c r="N1402" s="134" t="str">
        <f t="shared" si="473"/>
        <v/>
      </c>
      <c r="O1402" s="82" t="str">
        <f t="shared" si="476"/>
        <v/>
      </c>
      <c r="P1402" s="81" t="str">
        <f t="shared" si="474"/>
        <v/>
      </c>
      <c r="Q1402" s="81" t="str">
        <f t="shared" si="477"/>
        <v/>
      </c>
      <c r="R1402" s="135" t="str">
        <f t="shared" ca="1" si="478"/>
        <v/>
      </c>
      <c r="S1402" s="134" t="str">
        <f t="shared" ca="1" si="479"/>
        <v/>
      </c>
      <c r="T1402" s="134" t="str">
        <f ca="1">IF(S1402=Dashboard!$D$12,S1402,"")</f>
        <v/>
      </c>
      <c r="U1402" s="134" t="str">
        <f t="shared" ca="1" si="480"/>
        <v/>
      </c>
      <c r="V1402" s="83" t="str">
        <f ca="1">IF(U1402="","",IFERROR((RANK(U1402,$U$2:$U$2028,1)+COUNTIF($U$2:U1402,U1402))-1,""))</f>
        <v/>
      </c>
      <c r="W1402" s="134" t="str">
        <f t="shared" si="484"/>
        <v/>
      </c>
      <c r="X1402" s="134" t="str">
        <f>IF(W1402="","",IFERROR((RANK(W1402,$W$2:$W$2028,1)+COUNTIF($W$2:W1402,W1402))-1,""))</f>
        <v/>
      </c>
      <c r="Y1402" s="134" t="str">
        <f t="shared" si="481"/>
        <v/>
      </c>
      <c r="Z1402" s="134" t="str">
        <f>IF(Y1402="","",IFERROR((RANK(Y1402,$Y$2:$Y$2028,1)+COUNTIF($Y$2:Y1402,Y1402))-1,""))</f>
        <v/>
      </c>
      <c r="AA1402" s="134" t="str">
        <f t="shared" si="482"/>
        <v/>
      </c>
      <c r="AB1402" s="134" t="str">
        <f>IF(AA1402="","",IFERROR((RANK(AA1402,$AA$2:$AA$2028,1)+COUNTIF($AA$2:AA1402,AA1402))-1,""))</f>
        <v/>
      </c>
      <c r="AC1402" s="134" t="str">
        <f t="shared" si="483"/>
        <v/>
      </c>
      <c r="AD1402" s="134" t="str">
        <f>IF(AC1402="","",IFERROR((RANK(AC1402,$AC$2:$AC$2028,1)+COUNTIF($AC$2:AC1402,AC1402))-1,""))</f>
        <v/>
      </c>
      <c r="AE1402" s="144" t="str">
        <f t="shared" si="475"/>
        <v/>
      </c>
      <c r="AF1402" s="144" t="str">
        <f>IF(AE1402="","",SUM($AE$2:AE1402))</f>
        <v/>
      </c>
    </row>
    <row r="1403" spans="14:32" x14ac:dyDescent="0.35">
      <c r="N1403" s="134" t="str">
        <f t="shared" si="473"/>
        <v/>
      </c>
      <c r="O1403" s="82" t="str">
        <f t="shared" si="476"/>
        <v/>
      </c>
      <c r="P1403" s="81" t="str">
        <f t="shared" si="474"/>
        <v/>
      </c>
      <c r="Q1403" s="81" t="str">
        <f t="shared" si="477"/>
        <v/>
      </c>
      <c r="R1403" s="135" t="str">
        <f t="shared" ca="1" si="478"/>
        <v/>
      </c>
      <c r="S1403" s="134" t="str">
        <f t="shared" ca="1" si="479"/>
        <v/>
      </c>
      <c r="T1403" s="134" t="str">
        <f ca="1">IF(S1403=Dashboard!$D$12,S1403,"")</f>
        <v/>
      </c>
      <c r="U1403" s="134" t="str">
        <f t="shared" ca="1" si="480"/>
        <v/>
      </c>
      <c r="V1403" s="83" t="str">
        <f ca="1">IF(U1403="","",IFERROR((RANK(U1403,$U$2:$U$2028,1)+COUNTIF($U$2:U1403,U1403))-1,""))</f>
        <v/>
      </c>
      <c r="W1403" s="134" t="str">
        <f t="shared" si="484"/>
        <v/>
      </c>
      <c r="X1403" s="134" t="str">
        <f>IF(W1403="","",IFERROR((RANK(W1403,$W$2:$W$2028,1)+COUNTIF($W$2:W1403,W1403))-1,""))</f>
        <v/>
      </c>
      <c r="Y1403" s="134" t="str">
        <f t="shared" si="481"/>
        <v/>
      </c>
      <c r="Z1403" s="134" t="str">
        <f>IF(Y1403="","",IFERROR((RANK(Y1403,$Y$2:$Y$2028,1)+COUNTIF($Y$2:Y1403,Y1403))-1,""))</f>
        <v/>
      </c>
      <c r="AA1403" s="134" t="str">
        <f t="shared" si="482"/>
        <v/>
      </c>
      <c r="AB1403" s="134" t="str">
        <f>IF(AA1403="","",IFERROR((RANK(AA1403,$AA$2:$AA$2028,1)+COUNTIF($AA$2:AA1403,AA1403))-1,""))</f>
        <v/>
      </c>
      <c r="AC1403" s="134" t="str">
        <f t="shared" si="483"/>
        <v/>
      </c>
      <c r="AD1403" s="134" t="str">
        <f>IF(AC1403="","",IFERROR((RANK(AC1403,$AC$2:$AC$2028,1)+COUNTIF($AC$2:AC1403,AC1403))-1,""))</f>
        <v/>
      </c>
      <c r="AE1403" s="144" t="str">
        <f t="shared" si="475"/>
        <v/>
      </c>
      <c r="AF1403" s="144" t="str">
        <f>IF(AE1403="","",SUM($AE$2:AE1403))</f>
        <v/>
      </c>
    </row>
    <row r="1404" spans="14:32" x14ac:dyDescent="0.35">
      <c r="N1404" s="134" t="str">
        <f t="shared" si="473"/>
        <v/>
      </c>
      <c r="O1404" s="82" t="str">
        <f t="shared" si="476"/>
        <v/>
      </c>
      <c r="P1404" s="81" t="str">
        <f t="shared" si="474"/>
        <v/>
      </c>
      <c r="Q1404" s="81" t="str">
        <f t="shared" si="477"/>
        <v/>
      </c>
      <c r="R1404" s="135" t="str">
        <f t="shared" ca="1" si="478"/>
        <v/>
      </c>
      <c r="S1404" s="134" t="str">
        <f t="shared" ca="1" si="479"/>
        <v/>
      </c>
      <c r="T1404" s="134" t="str">
        <f ca="1">IF(S1404=Dashboard!$D$12,S1404,"")</f>
        <v/>
      </c>
      <c r="U1404" s="134" t="str">
        <f t="shared" ca="1" si="480"/>
        <v/>
      </c>
      <c r="V1404" s="83" t="str">
        <f ca="1">IF(U1404="","",IFERROR((RANK(U1404,$U$2:$U$2028,1)+COUNTIF($U$2:U1404,U1404))-1,""))</f>
        <v/>
      </c>
      <c r="W1404" s="134" t="str">
        <f t="shared" si="484"/>
        <v/>
      </c>
      <c r="X1404" s="134" t="str">
        <f>IF(W1404="","",IFERROR((RANK(W1404,$W$2:$W$2028,1)+COUNTIF($W$2:W1404,W1404))-1,""))</f>
        <v/>
      </c>
      <c r="Y1404" s="134" t="str">
        <f t="shared" si="481"/>
        <v/>
      </c>
      <c r="Z1404" s="134" t="str">
        <f>IF(Y1404="","",IFERROR((RANK(Y1404,$Y$2:$Y$2028,1)+COUNTIF($Y$2:Y1404,Y1404))-1,""))</f>
        <v/>
      </c>
      <c r="AA1404" s="134" t="str">
        <f t="shared" si="482"/>
        <v/>
      </c>
      <c r="AB1404" s="134" t="str">
        <f>IF(AA1404="","",IFERROR((RANK(AA1404,$AA$2:$AA$2028,1)+COUNTIF($AA$2:AA1404,AA1404))-1,""))</f>
        <v/>
      </c>
      <c r="AC1404" s="134" t="str">
        <f t="shared" si="483"/>
        <v/>
      </c>
      <c r="AD1404" s="134" t="str">
        <f>IF(AC1404="","",IFERROR((RANK(AC1404,$AC$2:$AC$2028,1)+COUNTIF($AC$2:AC1404,AC1404))-1,""))</f>
        <v/>
      </c>
      <c r="AE1404" s="144" t="str">
        <f t="shared" si="475"/>
        <v/>
      </c>
      <c r="AF1404" s="144" t="str">
        <f>IF(AE1404="","",SUM($AE$2:AE1404))</f>
        <v/>
      </c>
    </row>
    <row r="1405" spans="14:32" x14ac:dyDescent="0.35">
      <c r="N1405" s="134" t="str">
        <f t="shared" si="473"/>
        <v/>
      </c>
      <c r="O1405" s="82" t="str">
        <f t="shared" si="476"/>
        <v/>
      </c>
      <c r="P1405" s="81" t="str">
        <f t="shared" si="474"/>
        <v/>
      </c>
      <c r="Q1405" s="81" t="str">
        <f t="shared" si="477"/>
        <v/>
      </c>
      <c r="R1405" s="135" t="str">
        <f t="shared" ca="1" si="478"/>
        <v/>
      </c>
      <c r="S1405" s="134" t="str">
        <f t="shared" ca="1" si="479"/>
        <v/>
      </c>
      <c r="T1405" s="134" t="str">
        <f ca="1">IF(S1405=Dashboard!$D$12,S1405,"")</f>
        <v/>
      </c>
      <c r="U1405" s="134" t="str">
        <f t="shared" ca="1" si="480"/>
        <v/>
      </c>
      <c r="V1405" s="83" t="str">
        <f ca="1">IF(U1405="","",IFERROR((RANK(U1405,$U$2:$U$2028,1)+COUNTIF($U$2:U1405,U1405))-1,""))</f>
        <v/>
      </c>
      <c r="W1405" s="134" t="str">
        <f t="shared" si="484"/>
        <v/>
      </c>
      <c r="X1405" s="134" t="str">
        <f>IF(W1405="","",IFERROR((RANK(W1405,$W$2:$W$2028,1)+COUNTIF($W$2:W1405,W1405))-1,""))</f>
        <v/>
      </c>
      <c r="Y1405" s="134" t="str">
        <f t="shared" si="481"/>
        <v/>
      </c>
      <c r="Z1405" s="134" t="str">
        <f>IF(Y1405="","",IFERROR((RANK(Y1405,$Y$2:$Y$2028,1)+COUNTIF($Y$2:Y1405,Y1405))-1,""))</f>
        <v/>
      </c>
      <c r="AA1405" s="134" t="str">
        <f t="shared" si="482"/>
        <v/>
      </c>
      <c r="AB1405" s="134" t="str">
        <f>IF(AA1405="","",IFERROR((RANK(AA1405,$AA$2:$AA$2028,1)+COUNTIF($AA$2:AA1405,AA1405))-1,""))</f>
        <v/>
      </c>
      <c r="AC1405" s="134" t="str">
        <f t="shared" si="483"/>
        <v/>
      </c>
      <c r="AD1405" s="134" t="str">
        <f>IF(AC1405="","",IFERROR((RANK(AC1405,$AC$2:$AC$2028,1)+COUNTIF($AC$2:AC1405,AC1405))-1,""))</f>
        <v/>
      </c>
      <c r="AE1405" s="144" t="str">
        <f t="shared" si="475"/>
        <v/>
      </c>
      <c r="AF1405" s="144" t="str">
        <f>IF(AE1405="","",SUM($AE$2:AE1405))</f>
        <v/>
      </c>
    </row>
    <row r="1406" spans="14:32" x14ac:dyDescent="0.35">
      <c r="N1406" s="134" t="str">
        <f t="shared" si="473"/>
        <v/>
      </c>
      <c r="O1406" s="82" t="str">
        <f t="shared" si="476"/>
        <v/>
      </c>
      <c r="P1406" s="81" t="str">
        <f t="shared" si="474"/>
        <v/>
      </c>
      <c r="Q1406" s="81" t="str">
        <f t="shared" si="477"/>
        <v/>
      </c>
      <c r="R1406" s="135" t="str">
        <f t="shared" ca="1" si="478"/>
        <v/>
      </c>
      <c r="S1406" s="134" t="str">
        <f t="shared" ca="1" si="479"/>
        <v/>
      </c>
      <c r="T1406" s="134" t="str">
        <f ca="1">IF(S1406=Dashboard!$D$12,S1406,"")</f>
        <v/>
      </c>
      <c r="U1406" s="134" t="str">
        <f t="shared" ca="1" si="480"/>
        <v/>
      </c>
      <c r="V1406" s="83" t="str">
        <f ca="1">IF(U1406="","",IFERROR((RANK(U1406,$U$2:$U$2028,1)+COUNTIF($U$2:U1406,U1406))-1,""))</f>
        <v/>
      </c>
      <c r="W1406" s="134" t="str">
        <f t="shared" si="484"/>
        <v/>
      </c>
      <c r="X1406" s="134" t="str">
        <f>IF(W1406="","",IFERROR((RANK(W1406,$W$2:$W$2028,1)+COUNTIF($W$2:W1406,W1406))-1,""))</f>
        <v/>
      </c>
      <c r="Y1406" s="134" t="str">
        <f t="shared" si="481"/>
        <v/>
      </c>
      <c r="Z1406" s="134" t="str">
        <f>IF(Y1406="","",IFERROR((RANK(Y1406,$Y$2:$Y$2028,1)+COUNTIF($Y$2:Y1406,Y1406))-1,""))</f>
        <v/>
      </c>
      <c r="AA1406" s="134" t="str">
        <f t="shared" si="482"/>
        <v/>
      </c>
      <c r="AB1406" s="134" t="str">
        <f>IF(AA1406="","",IFERROR((RANK(AA1406,$AA$2:$AA$2028,1)+COUNTIF($AA$2:AA1406,AA1406))-1,""))</f>
        <v/>
      </c>
      <c r="AC1406" s="134" t="str">
        <f t="shared" si="483"/>
        <v/>
      </c>
      <c r="AD1406" s="134" t="str">
        <f>IF(AC1406="","",IFERROR((RANK(AC1406,$AC$2:$AC$2028,1)+COUNTIF($AC$2:AC1406,AC1406))-1,""))</f>
        <v/>
      </c>
      <c r="AE1406" s="144" t="str">
        <f t="shared" si="475"/>
        <v/>
      </c>
      <c r="AF1406" s="144" t="str">
        <f>IF(AE1406="","",SUM($AE$2:AE1406))</f>
        <v/>
      </c>
    </row>
    <row r="1407" spans="14:32" x14ac:dyDescent="0.35">
      <c r="N1407" s="134" t="str">
        <f t="shared" si="473"/>
        <v/>
      </c>
      <c r="O1407" s="82" t="str">
        <f t="shared" si="476"/>
        <v/>
      </c>
      <c r="P1407" s="81" t="str">
        <f t="shared" si="474"/>
        <v/>
      </c>
      <c r="Q1407" s="81" t="str">
        <f t="shared" si="477"/>
        <v/>
      </c>
      <c r="R1407" s="135" t="str">
        <f t="shared" ca="1" si="478"/>
        <v/>
      </c>
      <c r="S1407" s="134" t="str">
        <f t="shared" ca="1" si="479"/>
        <v/>
      </c>
      <c r="T1407" s="134" t="str">
        <f ca="1">IF(S1407=Dashboard!$D$12,S1407,"")</f>
        <v/>
      </c>
      <c r="U1407" s="134" t="str">
        <f t="shared" ca="1" si="480"/>
        <v/>
      </c>
      <c r="V1407" s="83" t="str">
        <f ca="1">IF(U1407="","",IFERROR((RANK(U1407,$U$2:$U$2028,1)+COUNTIF($U$2:U1407,U1407))-1,""))</f>
        <v/>
      </c>
      <c r="W1407" s="134" t="str">
        <f t="shared" si="484"/>
        <v/>
      </c>
      <c r="X1407" s="134" t="str">
        <f>IF(W1407="","",IFERROR((RANK(W1407,$W$2:$W$2028,1)+COUNTIF($W$2:W1407,W1407))-1,""))</f>
        <v/>
      </c>
      <c r="Y1407" s="134" t="str">
        <f t="shared" si="481"/>
        <v/>
      </c>
      <c r="Z1407" s="134" t="str">
        <f>IF(Y1407="","",IFERROR((RANK(Y1407,$Y$2:$Y$2028,1)+COUNTIF($Y$2:Y1407,Y1407))-1,""))</f>
        <v/>
      </c>
      <c r="AA1407" s="134" t="str">
        <f t="shared" si="482"/>
        <v/>
      </c>
      <c r="AB1407" s="134" t="str">
        <f>IF(AA1407="","",IFERROR((RANK(AA1407,$AA$2:$AA$2028,1)+COUNTIF($AA$2:AA1407,AA1407))-1,""))</f>
        <v/>
      </c>
      <c r="AC1407" s="134" t="str">
        <f t="shared" si="483"/>
        <v/>
      </c>
      <c r="AD1407" s="134" t="str">
        <f>IF(AC1407="","",IFERROR((RANK(AC1407,$AC$2:$AC$2028,1)+COUNTIF($AC$2:AC1407,AC1407))-1,""))</f>
        <v/>
      </c>
      <c r="AE1407" s="144" t="str">
        <f t="shared" si="475"/>
        <v/>
      </c>
      <c r="AF1407" s="144" t="str">
        <f>IF(AE1407="","",SUM($AE$2:AE1407))</f>
        <v/>
      </c>
    </row>
    <row r="1408" spans="14:32" x14ac:dyDescent="0.35">
      <c r="N1408" s="134" t="str">
        <f t="shared" si="473"/>
        <v/>
      </c>
      <c r="O1408" s="82" t="str">
        <f t="shared" si="476"/>
        <v/>
      </c>
      <c r="P1408" s="81" t="str">
        <f t="shared" si="474"/>
        <v/>
      </c>
      <c r="Q1408" s="81" t="str">
        <f t="shared" si="477"/>
        <v/>
      </c>
      <c r="R1408" s="135" t="str">
        <f t="shared" ca="1" si="478"/>
        <v/>
      </c>
      <c r="S1408" s="134" t="str">
        <f t="shared" ca="1" si="479"/>
        <v/>
      </c>
      <c r="T1408" s="134" t="str">
        <f ca="1">IF(S1408=Dashboard!$D$12,S1408,"")</f>
        <v/>
      </c>
      <c r="U1408" s="134" t="str">
        <f t="shared" ca="1" si="480"/>
        <v/>
      </c>
      <c r="V1408" s="83" t="str">
        <f ca="1">IF(U1408="","",IFERROR((RANK(U1408,$U$2:$U$2028,1)+COUNTIF($U$2:U1408,U1408))-1,""))</f>
        <v/>
      </c>
      <c r="W1408" s="134" t="str">
        <f t="shared" si="484"/>
        <v/>
      </c>
      <c r="X1408" s="134" t="str">
        <f>IF(W1408="","",IFERROR((RANK(W1408,$W$2:$W$2028,1)+COUNTIF($W$2:W1408,W1408))-1,""))</f>
        <v/>
      </c>
      <c r="Y1408" s="134" t="str">
        <f t="shared" si="481"/>
        <v/>
      </c>
      <c r="Z1408" s="134" t="str">
        <f>IF(Y1408="","",IFERROR((RANK(Y1408,$Y$2:$Y$2028,1)+COUNTIF($Y$2:Y1408,Y1408))-1,""))</f>
        <v/>
      </c>
      <c r="AA1408" s="134" t="str">
        <f t="shared" si="482"/>
        <v/>
      </c>
      <c r="AB1408" s="134" t="str">
        <f>IF(AA1408="","",IFERROR((RANK(AA1408,$AA$2:$AA$2028,1)+COUNTIF($AA$2:AA1408,AA1408))-1,""))</f>
        <v/>
      </c>
      <c r="AC1408" s="134" t="str">
        <f t="shared" si="483"/>
        <v/>
      </c>
      <c r="AD1408" s="134" t="str">
        <f>IF(AC1408="","",IFERROR((RANK(AC1408,$AC$2:$AC$2028,1)+COUNTIF($AC$2:AC1408,AC1408))-1,""))</f>
        <v/>
      </c>
      <c r="AE1408" s="144" t="str">
        <f t="shared" si="475"/>
        <v/>
      </c>
      <c r="AF1408" s="144" t="str">
        <f>IF(AE1408="","",SUM($AE$2:AE1408))</f>
        <v/>
      </c>
    </row>
    <row r="1409" spans="14:32" x14ac:dyDescent="0.35">
      <c r="N1409" s="134" t="str">
        <f t="shared" si="473"/>
        <v/>
      </c>
      <c r="O1409" s="82" t="str">
        <f t="shared" si="476"/>
        <v/>
      </c>
      <c r="P1409" s="81" t="str">
        <f t="shared" si="474"/>
        <v/>
      </c>
      <c r="Q1409" s="81" t="str">
        <f t="shared" si="477"/>
        <v/>
      </c>
      <c r="R1409" s="135" t="str">
        <f t="shared" ca="1" si="478"/>
        <v/>
      </c>
      <c r="S1409" s="134" t="str">
        <f t="shared" ca="1" si="479"/>
        <v/>
      </c>
      <c r="T1409" s="134" t="str">
        <f ca="1">IF(S1409=Dashboard!$D$12,S1409,"")</f>
        <v/>
      </c>
      <c r="U1409" s="134" t="str">
        <f t="shared" ca="1" si="480"/>
        <v/>
      </c>
      <c r="V1409" s="83" t="str">
        <f ca="1">IF(U1409="","",IFERROR((RANK(U1409,$U$2:$U$2028,1)+COUNTIF($U$2:U1409,U1409))-1,""))</f>
        <v/>
      </c>
      <c r="W1409" s="134" t="str">
        <f t="shared" si="484"/>
        <v/>
      </c>
      <c r="X1409" s="134" t="str">
        <f>IF(W1409="","",IFERROR((RANK(W1409,$W$2:$W$2028,1)+COUNTIF($W$2:W1409,W1409))-1,""))</f>
        <v/>
      </c>
      <c r="Y1409" s="134" t="str">
        <f t="shared" si="481"/>
        <v/>
      </c>
      <c r="Z1409" s="134" t="str">
        <f>IF(Y1409="","",IFERROR((RANK(Y1409,$Y$2:$Y$2028,1)+COUNTIF($Y$2:Y1409,Y1409))-1,""))</f>
        <v/>
      </c>
      <c r="AA1409" s="134" t="str">
        <f t="shared" si="482"/>
        <v/>
      </c>
      <c r="AB1409" s="134" t="str">
        <f>IF(AA1409="","",IFERROR((RANK(AA1409,$AA$2:$AA$2028,1)+COUNTIF($AA$2:AA1409,AA1409))-1,""))</f>
        <v/>
      </c>
      <c r="AC1409" s="134" t="str">
        <f t="shared" si="483"/>
        <v/>
      </c>
      <c r="AD1409" s="134" t="str">
        <f>IF(AC1409="","",IFERROR((RANK(AC1409,$AC$2:$AC$2028,1)+COUNTIF($AC$2:AC1409,AC1409))-1,""))</f>
        <v/>
      </c>
      <c r="AE1409" s="144" t="str">
        <f t="shared" si="475"/>
        <v/>
      </c>
      <c r="AF1409" s="144" t="str">
        <f>IF(AE1409="","",SUM($AE$2:AE1409))</f>
        <v/>
      </c>
    </row>
    <row r="1410" spans="14:32" x14ac:dyDescent="0.35">
      <c r="N1410" s="134" t="str">
        <f t="shared" ref="N1410:N1473" si="485">IF(A1410="","",COUNTIFS(M:M,M1410,H:H,"&lt;"&amp;H1410)+1)</f>
        <v/>
      </c>
      <c r="O1410" s="82" t="str">
        <f t="shared" si="476"/>
        <v/>
      </c>
      <c r="P1410" s="81" t="str">
        <f t="shared" ref="P1410:P1473" si="486">IF(A1410="","",COUNTIFS(M:M,M1410,H:H,"&gt;"&amp;H1410)+1)</f>
        <v/>
      </c>
      <c r="Q1410" s="81" t="str">
        <f t="shared" si="477"/>
        <v/>
      </c>
      <c r="R1410" s="135" t="str">
        <f t="shared" ca="1" si="478"/>
        <v/>
      </c>
      <c r="S1410" s="134" t="str">
        <f t="shared" ca="1" si="479"/>
        <v/>
      </c>
      <c r="T1410" s="134" t="str">
        <f ca="1">IF(S1410=Dashboard!$D$12,S1410,"")</f>
        <v/>
      </c>
      <c r="U1410" s="134" t="str">
        <f t="shared" ca="1" si="480"/>
        <v/>
      </c>
      <c r="V1410" s="83" t="str">
        <f ca="1">IF(U1410="","",IFERROR((RANK(U1410,$U$2:$U$2028,1)+COUNTIF($U$2:U1410,U1410))-1,""))</f>
        <v/>
      </c>
      <c r="W1410" s="134" t="str">
        <f t="shared" si="484"/>
        <v/>
      </c>
      <c r="X1410" s="134" t="str">
        <f>IF(W1410="","",IFERROR((RANK(W1410,$W$2:$W$2028,1)+COUNTIF($W$2:W1410,W1410))-1,""))</f>
        <v/>
      </c>
      <c r="Y1410" s="134" t="str">
        <f t="shared" si="481"/>
        <v/>
      </c>
      <c r="Z1410" s="134" t="str">
        <f>IF(Y1410="","",IFERROR((RANK(Y1410,$Y$2:$Y$2028,1)+COUNTIF($Y$2:Y1410,Y1410))-1,""))</f>
        <v/>
      </c>
      <c r="AA1410" s="134" t="str">
        <f t="shared" si="482"/>
        <v/>
      </c>
      <c r="AB1410" s="134" t="str">
        <f>IF(AA1410="","",IFERROR((RANK(AA1410,$AA$2:$AA$2028,1)+COUNTIF($AA$2:AA1410,AA1410))-1,""))</f>
        <v/>
      </c>
      <c r="AC1410" s="134" t="str">
        <f t="shared" si="483"/>
        <v/>
      </c>
      <c r="AD1410" s="134" t="str">
        <f>IF(AC1410="","",IFERROR((RANK(AC1410,$AC$2:$AC$2028,1)+COUNTIF($AC$2:AC1410,AC1410))-1,""))</f>
        <v/>
      </c>
      <c r="AE1410" s="144" t="str">
        <f t="shared" si="475"/>
        <v/>
      </c>
      <c r="AF1410" s="144" t="str">
        <f>IF(AE1410="","",SUM($AE$2:AE1410))</f>
        <v/>
      </c>
    </row>
    <row r="1411" spans="14:32" x14ac:dyDescent="0.35">
      <c r="N1411" s="134" t="str">
        <f t="shared" si="485"/>
        <v/>
      </c>
      <c r="O1411" s="82" t="str">
        <f t="shared" si="476"/>
        <v/>
      </c>
      <c r="P1411" s="81" t="str">
        <f t="shared" si="486"/>
        <v/>
      </c>
      <c r="Q1411" s="81" t="str">
        <f t="shared" si="477"/>
        <v/>
      </c>
      <c r="R1411" s="135" t="str">
        <f t="shared" ca="1" si="478"/>
        <v/>
      </c>
      <c r="S1411" s="134" t="str">
        <f t="shared" ca="1" si="479"/>
        <v/>
      </c>
      <c r="T1411" s="134" t="str">
        <f ca="1">IF(S1411=Dashboard!$D$12,S1411,"")</f>
        <v/>
      </c>
      <c r="U1411" s="134" t="str">
        <f t="shared" ca="1" si="480"/>
        <v/>
      </c>
      <c r="V1411" s="83" t="str">
        <f ca="1">IF(U1411="","",IFERROR((RANK(U1411,$U$2:$U$2028,1)+COUNTIF($U$2:U1411,U1411))-1,""))</f>
        <v/>
      </c>
      <c r="W1411" s="134" t="str">
        <f t="shared" si="484"/>
        <v/>
      </c>
      <c r="X1411" s="134" t="str">
        <f>IF(W1411="","",IFERROR((RANK(W1411,$W$2:$W$2028,1)+COUNTIF($W$2:W1411,W1411))-1,""))</f>
        <v/>
      </c>
      <c r="Y1411" s="134" t="str">
        <f t="shared" si="481"/>
        <v/>
      </c>
      <c r="Z1411" s="134" t="str">
        <f>IF(Y1411="","",IFERROR((RANK(Y1411,$Y$2:$Y$2028,1)+COUNTIF($Y$2:Y1411,Y1411))-1,""))</f>
        <v/>
      </c>
      <c r="AA1411" s="134" t="str">
        <f t="shared" si="482"/>
        <v/>
      </c>
      <c r="AB1411" s="134" t="str">
        <f>IF(AA1411="","",IFERROR((RANK(AA1411,$AA$2:$AA$2028,1)+COUNTIF($AA$2:AA1411,AA1411))-1,""))</f>
        <v/>
      </c>
      <c r="AC1411" s="134" t="str">
        <f t="shared" si="483"/>
        <v/>
      </c>
      <c r="AD1411" s="134" t="str">
        <f>IF(AC1411="","",IFERROR((RANK(AC1411,$AC$2:$AC$2028,1)+COUNTIF($AC$2:AC1411,AC1411))-1,""))</f>
        <v/>
      </c>
      <c r="AE1411" s="144" t="str">
        <f t="shared" si="475"/>
        <v/>
      </c>
      <c r="AF1411" s="144" t="str">
        <f>IF(AE1411="","",SUM($AE$2:AE1411))</f>
        <v/>
      </c>
    </row>
    <row r="1412" spans="14:32" x14ac:dyDescent="0.35">
      <c r="N1412" s="134" t="str">
        <f t="shared" si="485"/>
        <v/>
      </c>
      <c r="O1412" s="82" t="str">
        <f t="shared" si="476"/>
        <v/>
      </c>
      <c r="P1412" s="81" t="str">
        <f t="shared" si="486"/>
        <v/>
      </c>
      <c r="Q1412" s="81" t="str">
        <f t="shared" si="477"/>
        <v/>
      </c>
      <c r="R1412" s="135" t="str">
        <f t="shared" ca="1" si="478"/>
        <v/>
      </c>
      <c r="S1412" s="134" t="str">
        <f t="shared" ca="1" si="479"/>
        <v/>
      </c>
      <c r="T1412" s="134" t="str">
        <f ca="1">IF(S1412=Dashboard!$D$12,S1412,"")</f>
        <v/>
      </c>
      <c r="U1412" s="134" t="str">
        <f t="shared" ca="1" si="480"/>
        <v/>
      </c>
      <c r="V1412" s="83" t="str">
        <f ca="1">IF(U1412="","",IFERROR((RANK(U1412,$U$2:$U$2028,1)+COUNTIF($U$2:U1412,U1412))-1,""))</f>
        <v/>
      </c>
      <c r="W1412" s="134" t="str">
        <f t="shared" si="484"/>
        <v/>
      </c>
      <c r="X1412" s="134" t="str">
        <f>IF(W1412="","",IFERROR((RANK(W1412,$W$2:$W$2028,1)+COUNTIF($W$2:W1412,W1412))-1,""))</f>
        <v/>
      </c>
      <c r="Y1412" s="134" t="str">
        <f t="shared" si="481"/>
        <v/>
      </c>
      <c r="Z1412" s="134" t="str">
        <f>IF(Y1412="","",IFERROR((RANK(Y1412,$Y$2:$Y$2028,1)+COUNTIF($Y$2:Y1412,Y1412))-1,""))</f>
        <v/>
      </c>
      <c r="AA1412" s="134" t="str">
        <f t="shared" si="482"/>
        <v/>
      </c>
      <c r="AB1412" s="134" t="str">
        <f>IF(AA1412="","",IFERROR((RANK(AA1412,$AA$2:$AA$2028,1)+COUNTIF($AA$2:AA1412,AA1412))-1,""))</f>
        <v/>
      </c>
      <c r="AC1412" s="134" t="str">
        <f t="shared" si="483"/>
        <v/>
      </c>
      <c r="AD1412" s="134" t="str">
        <f>IF(AC1412="","",IFERROR((RANK(AC1412,$AC$2:$AC$2028,1)+COUNTIF($AC$2:AC1412,AC1412))-1,""))</f>
        <v/>
      </c>
      <c r="AE1412" s="144" t="str">
        <f t="shared" si="475"/>
        <v/>
      </c>
      <c r="AF1412" s="144" t="str">
        <f>IF(AE1412="","",SUM($AE$2:AE1412))</f>
        <v/>
      </c>
    </row>
    <row r="1413" spans="14:32" x14ac:dyDescent="0.35">
      <c r="N1413" s="134" t="str">
        <f t="shared" si="485"/>
        <v/>
      </c>
      <c r="O1413" s="82" t="str">
        <f t="shared" si="476"/>
        <v/>
      </c>
      <c r="P1413" s="81" t="str">
        <f t="shared" si="486"/>
        <v/>
      </c>
      <c r="Q1413" s="81" t="str">
        <f t="shared" si="477"/>
        <v/>
      </c>
      <c r="R1413" s="135" t="str">
        <f t="shared" ca="1" si="478"/>
        <v/>
      </c>
      <c r="S1413" s="134" t="str">
        <f t="shared" ca="1" si="479"/>
        <v/>
      </c>
      <c r="T1413" s="134" t="str">
        <f ca="1">IF(S1413=Dashboard!$D$12,S1413,"")</f>
        <v/>
      </c>
      <c r="U1413" s="134" t="str">
        <f t="shared" ca="1" si="480"/>
        <v/>
      </c>
      <c r="V1413" s="83" t="str">
        <f ca="1">IF(U1413="","",IFERROR((RANK(U1413,$U$2:$U$2028,1)+COUNTIF($U$2:U1413,U1413))-1,""))</f>
        <v/>
      </c>
      <c r="W1413" s="134" t="str">
        <f t="shared" si="484"/>
        <v/>
      </c>
      <c r="X1413" s="134" t="str">
        <f>IF(W1413="","",IFERROR((RANK(W1413,$W$2:$W$2028,1)+COUNTIF($W$2:W1413,W1413))-1,""))</f>
        <v/>
      </c>
      <c r="Y1413" s="134" t="str">
        <f t="shared" si="481"/>
        <v/>
      </c>
      <c r="Z1413" s="134" t="str">
        <f>IF(Y1413="","",IFERROR((RANK(Y1413,$Y$2:$Y$2028,1)+COUNTIF($Y$2:Y1413,Y1413))-1,""))</f>
        <v/>
      </c>
      <c r="AA1413" s="134" t="str">
        <f t="shared" si="482"/>
        <v/>
      </c>
      <c r="AB1413" s="134" t="str">
        <f>IF(AA1413="","",IFERROR((RANK(AA1413,$AA$2:$AA$2028,1)+COUNTIF($AA$2:AA1413,AA1413))-1,""))</f>
        <v/>
      </c>
      <c r="AC1413" s="134" t="str">
        <f t="shared" si="483"/>
        <v/>
      </c>
      <c r="AD1413" s="134" t="str">
        <f>IF(AC1413="","",IFERROR((RANK(AC1413,$AC$2:$AC$2028,1)+COUNTIF($AC$2:AC1413,AC1413))-1,""))</f>
        <v/>
      </c>
      <c r="AE1413" s="144" t="str">
        <f t="shared" si="475"/>
        <v/>
      </c>
      <c r="AF1413" s="144" t="str">
        <f>IF(AE1413="","",SUM($AE$2:AE1413))</f>
        <v/>
      </c>
    </row>
    <row r="1414" spans="14:32" x14ac:dyDescent="0.35">
      <c r="N1414" s="134" t="str">
        <f t="shared" si="485"/>
        <v/>
      </c>
      <c r="O1414" s="82" t="str">
        <f t="shared" si="476"/>
        <v/>
      </c>
      <c r="P1414" s="81" t="str">
        <f t="shared" si="486"/>
        <v/>
      </c>
      <c r="Q1414" s="81" t="str">
        <f t="shared" si="477"/>
        <v/>
      </c>
      <c r="R1414" s="135" t="str">
        <f t="shared" ca="1" si="478"/>
        <v/>
      </c>
      <c r="S1414" s="134" t="str">
        <f t="shared" ca="1" si="479"/>
        <v/>
      </c>
      <c r="T1414" s="134" t="str">
        <f ca="1">IF(S1414=Dashboard!$D$12,S1414,"")</f>
        <v/>
      </c>
      <c r="U1414" s="134" t="str">
        <f t="shared" ca="1" si="480"/>
        <v/>
      </c>
      <c r="V1414" s="83" t="str">
        <f ca="1">IF(U1414="","",IFERROR((RANK(U1414,$U$2:$U$2028,1)+COUNTIF($U$2:U1414,U1414))-1,""))</f>
        <v/>
      </c>
      <c r="W1414" s="134" t="str">
        <f t="shared" si="484"/>
        <v/>
      </c>
      <c r="X1414" s="134" t="str">
        <f>IF(W1414="","",IFERROR((RANK(W1414,$W$2:$W$2028,1)+COUNTIF($W$2:W1414,W1414))-1,""))</f>
        <v/>
      </c>
      <c r="Y1414" s="134" t="str">
        <f t="shared" si="481"/>
        <v/>
      </c>
      <c r="Z1414" s="134" t="str">
        <f>IF(Y1414="","",IFERROR((RANK(Y1414,$Y$2:$Y$2028,1)+COUNTIF($Y$2:Y1414,Y1414))-1,""))</f>
        <v/>
      </c>
      <c r="AA1414" s="134" t="str">
        <f t="shared" si="482"/>
        <v/>
      </c>
      <c r="AB1414" s="134" t="str">
        <f>IF(AA1414="","",IFERROR((RANK(AA1414,$AA$2:$AA$2028,1)+COUNTIF($AA$2:AA1414,AA1414))-1,""))</f>
        <v/>
      </c>
      <c r="AC1414" s="134" t="str">
        <f t="shared" si="483"/>
        <v/>
      </c>
      <c r="AD1414" s="134" t="str">
        <f>IF(AC1414="","",IFERROR((RANK(AC1414,$AC$2:$AC$2028,1)+COUNTIF($AC$2:AC1414,AC1414))-1,""))</f>
        <v/>
      </c>
      <c r="AE1414" s="144" t="str">
        <f t="shared" si="475"/>
        <v/>
      </c>
      <c r="AF1414" s="144" t="str">
        <f>IF(AE1414="","",SUM($AE$2:AE1414))</f>
        <v/>
      </c>
    </row>
    <row r="1415" spans="14:32" x14ac:dyDescent="0.35">
      <c r="N1415" s="134" t="str">
        <f t="shared" si="485"/>
        <v/>
      </c>
      <c r="O1415" s="82" t="str">
        <f t="shared" si="476"/>
        <v/>
      </c>
      <c r="P1415" s="81" t="str">
        <f t="shared" si="486"/>
        <v/>
      </c>
      <c r="Q1415" s="81" t="str">
        <f t="shared" si="477"/>
        <v/>
      </c>
      <c r="R1415" s="135" t="str">
        <f t="shared" ca="1" si="478"/>
        <v/>
      </c>
      <c r="S1415" s="134" t="str">
        <f t="shared" ca="1" si="479"/>
        <v/>
      </c>
      <c r="T1415" s="134" t="str">
        <f ca="1">IF(S1415=Dashboard!$D$12,S1415,"")</f>
        <v/>
      </c>
      <c r="U1415" s="134" t="str">
        <f t="shared" ca="1" si="480"/>
        <v/>
      </c>
      <c r="V1415" s="83" t="str">
        <f ca="1">IF(U1415="","",IFERROR((RANK(U1415,$U$2:$U$2028,1)+COUNTIF($U$2:U1415,U1415))-1,""))</f>
        <v/>
      </c>
      <c r="W1415" s="134" t="str">
        <f t="shared" si="484"/>
        <v/>
      </c>
      <c r="X1415" s="134" t="str">
        <f>IF(W1415="","",IFERROR((RANK(W1415,$W$2:$W$2028,1)+COUNTIF($W$2:W1415,W1415))-1,""))</f>
        <v/>
      </c>
      <c r="Y1415" s="134" t="str">
        <f t="shared" si="481"/>
        <v/>
      </c>
      <c r="Z1415" s="134" t="str">
        <f>IF(Y1415="","",IFERROR((RANK(Y1415,$Y$2:$Y$2028,1)+COUNTIF($Y$2:Y1415,Y1415))-1,""))</f>
        <v/>
      </c>
      <c r="AA1415" s="134" t="str">
        <f t="shared" si="482"/>
        <v/>
      </c>
      <c r="AB1415" s="134" t="str">
        <f>IF(AA1415="","",IFERROR((RANK(AA1415,$AA$2:$AA$2028,1)+COUNTIF($AA$2:AA1415,AA1415))-1,""))</f>
        <v/>
      </c>
      <c r="AC1415" s="134" t="str">
        <f t="shared" si="483"/>
        <v/>
      </c>
      <c r="AD1415" s="134" t="str">
        <f>IF(AC1415="","",IFERROR((RANK(AC1415,$AC$2:$AC$2028,1)+COUNTIF($AC$2:AC1415,AC1415))-1,""))</f>
        <v/>
      </c>
      <c r="AE1415" s="144" t="str">
        <f t="shared" ref="AE1415:AE1478" si="487">IF(P1415=1,P1415,"")</f>
        <v/>
      </c>
      <c r="AF1415" s="144" t="str">
        <f>IF(AE1415="","",SUM($AE$2:AE1415))</f>
        <v/>
      </c>
    </row>
    <row r="1416" spans="14:32" x14ac:dyDescent="0.35">
      <c r="N1416" s="134" t="str">
        <f t="shared" si="485"/>
        <v/>
      </c>
      <c r="O1416" s="82" t="str">
        <f t="shared" si="476"/>
        <v/>
      </c>
      <c r="P1416" s="81" t="str">
        <f t="shared" si="486"/>
        <v/>
      </c>
      <c r="Q1416" s="81" t="str">
        <f t="shared" si="477"/>
        <v/>
      </c>
      <c r="R1416" s="135" t="str">
        <f t="shared" ca="1" si="478"/>
        <v/>
      </c>
      <c r="S1416" s="134" t="str">
        <f t="shared" ca="1" si="479"/>
        <v/>
      </c>
      <c r="T1416" s="134" t="str">
        <f ca="1">IF(S1416=Dashboard!$D$12,S1416,"")</f>
        <v/>
      </c>
      <c r="U1416" s="134" t="str">
        <f t="shared" ca="1" si="480"/>
        <v/>
      </c>
      <c r="V1416" s="83" t="str">
        <f ca="1">IF(U1416="","",IFERROR((RANK(U1416,$U$2:$U$2028,1)+COUNTIF($U$2:U1416,U1416))-1,""))</f>
        <v/>
      </c>
      <c r="W1416" s="134" t="str">
        <f t="shared" si="484"/>
        <v/>
      </c>
      <c r="X1416" s="134" t="str">
        <f>IF(W1416="","",IFERROR((RANK(W1416,$W$2:$W$2028,1)+COUNTIF($W$2:W1416,W1416))-1,""))</f>
        <v/>
      </c>
      <c r="Y1416" s="134" t="str">
        <f t="shared" si="481"/>
        <v/>
      </c>
      <c r="Z1416" s="134" t="str">
        <f>IF(Y1416="","",IFERROR((RANK(Y1416,$Y$2:$Y$2028,1)+COUNTIF($Y$2:Y1416,Y1416))-1,""))</f>
        <v/>
      </c>
      <c r="AA1416" s="134" t="str">
        <f t="shared" si="482"/>
        <v/>
      </c>
      <c r="AB1416" s="134" t="str">
        <f>IF(AA1416="","",IFERROR((RANK(AA1416,$AA$2:$AA$2028,1)+COUNTIF($AA$2:AA1416,AA1416))-1,""))</f>
        <v/>
      </c>
      <c r="AC1416" s="134" t="str">
        <f t="shared" si="483"/>
        <v/>
      </c>
      <c r="AD1416" s="134" t="str">
        <f>IF(AC1416="","",IFERROR((RANK(AC1416,$AC$2:$AC$2028,1)+COUNTIF($AC$2:AC1416,AC1416))-1,""))</f>
        <v/>
      </c>
      <c r="AE1416" s="144" t="str">
        <f t="shared" si="487"/>
        <v/>
      </c>
      <c r="AF1416" s="144" t="str">
        <f>IF(AE1416="","",SUM($AE$2:AE1416))</f>
        <v/>
      </c>
    </row>
    <row r="1417" spans="14:32" x14ac:dyDescent="0.35">
      <c r="N1417" s="134" t="str">
        <f t="shared" si="485"/>
        <v/>
      </c>
      <c r="O1417" s="82" t="str">
        <f t="shared" si="476"/>
        <v/>
      </c>
      <c r="P1417" s="81" t="str">
        <f t="shared" si="486"/>
        <v/>
      </c>
      <c r="Q1417" s="81" t="str">
        <f t="shared" si="477"/>
        <v/>
      </c>
      <c r="R1417" s="135" t="str">
        <f t="shared" ca="1" si="478"/>
        <v/>
      </c>
      <c r="S1417" s="134" t="str">
        <f t="shared" ca="1" si="479"/>
        <v/>
      </c>
      <c r="T1417" s="134" t="str">
        <f ca="1">IF(S1417=Dashboard!$D$12,S1417,"")</f>
        <v/>
      </c>
      <c r="U1417" s="134" t="str">
        <f t="shared" ca="1" si="480"/>
        <v/>
      </c>
      <c r="V1417" s="83" t="str">
        <f ca="1">IF(U1417="","",IFERROR((RANK(U1417,$U$2:$U$2028,1)+COUNTIF($U$2:U1417,U1417))-1,""))</f>
        <v/>
      </c>
      <c r="W1417" s="134" t="str">
        <f t="shared" si="484"/>
        <v/>
      </c>
      <c r="X1417" s="134" t="str">
        <f>IF(W1417="","",IFERROR((RANK(W1417,$W$2:$W$2028,1)+COUNTIF($W$2:W1417,W1417))-1,""))</f>
        <v/>
      </c>
      <c r="Y1417" s="134" t="str">
        <f t="shared" si="481"/>
        <v/>
      </c>
      <c r="Z1417" s="134" t="str">
        <f>IF(Y1417="","",IFERROR((RANK(Y1417,$Y$2:$Y$2028,1)+COUNTIF($Y$2:Y1417,Y1417))-1,""))</f>
        <v/>
      </c>
      <c r="AA1417" s="134" t="str">
        <f t="shared" si="482"/>
        <v/>
      </c>
      <c r="AB1417" s="134" t="str">
        <f>IF(AA1417="","",IFERROR((RANK(AA1417,$AA$2:$AA$2028,1)+COUNTIF($AA$2:AA1417,AA1417))-1,""))</f>
        <v/>
      </c>
      <c r="AC1417" s="134" t="str">
        <f t="shared" si="483"/>
        <v/>
      </c>
      <c r="AD1417" s="134" t="str">
        <f>IF(AC1417="","",IFERROR((RANK(AC1417,$AC$2:$AC$2028,1)+COUNTIF($AC$2:AC1417,AC1417))-1,""))</f>
        <v/>
      </c>
      <c r="AE1417" s="144" t="str">
        <f t="shared" si="487"/>
        <v/>
      </c>
      <c r="AF1417" s="144" t="str">
        <f>IF(AE1417="","",SUM($AE$2:AE1417))</f>
        <v/>
      </c>
    </row>
    <row r="1418" spans="14:32" x14ac:dyDescent="0.35">
      <c r="N1418" s="134" t="str">
        <f t="shared" si="485"/>
        <v/>
      </c>
      <c r="O1418" s="82" t="str">
        <f t="shared" si="476"/>
        <v/>
      </c>
      <c r="P1418" s="81" t="str">
        <f t="shared" si="486"/>
        <v/>
      </c>
      <c r="Q1418" s="81" t="str">
        <f t="shared" si="477"/>
        <v/>
      </c>
      <c r="R1418" s="135" t="str">
        <f t="shared" ca="1" si="478"/>
        <v/>
      </c>
      <c r="S1418" s="134" t="str">
        <f t="shared" ca="1" si="479"/>
        <v/>
      </c>
      <c r="T1418" s="134" t="str">
        <f ca="1">IF(S1418=Dashboard!$D$12,S1418,"")</f>
        <v/>
      </c>
      <c r="U1418" s="134" t="str">
        <f t="shared" ca="1" si="480"/>
        <v/>
      </c>
      <c r="V1418" s="83" t="str">
        <f ca="1">IF(U1418="","",IFERROR((RANK(U1418,$U$2:$U$2028,1)+COUNTIF($U$2:U1418,U1418))-1,""))</f>
        <v/>
      </c>
      <c r="W1418" s="134" t="str">
        <f t="shared" si="484"/>
        <v/>
      </c>
      <c r="X1418" s="134" t="str">
        <f>IF(W1418="","",IFERROR((RANK(W1418,$W$2:$W$2028,1)+COUNTIF($W$2:W1418,W1418))-1,""))</f>
        <v/>
      </c>
      <c r="Y1418" s="134" t="str">
        <f t="shared" si="481"/>
        <v/>
      </c>
      <c r="Z1418" s="134" t="str">
        <f>IF(Y1418="","",IFERROR((RANK(Y1418,$Y$2:$Y$2028,1)+COUNTIF($Y$2:Y1418,Y1418))-1,""))</f>
        <v/>
      </c>
      <c r="AA1418" s="134" t="str">
        <f t="shared" si="482"/>
        <v/>
      </c>
      <c r="AB1418" s="134" t="str">
        <f>IF(AA1418="","",IFERROR((RANK(AA1418,$AA$2:$AA$2028,1)+COUNTIF($AA$2:AA1418,AA1418))-1,""))</f>
        <v/>
      </c>
      <c r="AC1418" s="134" t="str">
        <f t="shared" si="483"/>
        <v/>
      </c>
      <c r="AD1418" s="134" t="str">
        <f>IF(AC1418="","",IFERROR((RANK(AC1418,$AC$2:$AC$2028,1)+COUNTIF($AC$2:AC1418,AC1418))-1,""))</f>
        <v/>
      </c>
      <c r="AE1418" s="144" t="str">
        <f t="shared" si="487"/>
        <v/>
      </c>
      <c r="AF1418" s="144" t="str">
        <f>IF(AE1418="","",SUM($AE$2:AE1418))</f>
        <v/>
      </c>
    </row>
    <row r="1419" spans="14:32" x14ac:dyDescent="0.35">
      <c r="N1419" s="134" t="str">
        <f t="shared" si="485"/>
        <v/>
      </c>
      <c r="O1419" s="82" t="str">
        <f t="shared" si="476"/>
        <v/>
      </c>
      <c r="P1419" s="81" t="str">
        <f t="shared" si="486"/>
        <v/>
      </c>
      <c r="Q1419" s="81" t="str">
        <f t="shared" si="477"/>
        <v/>
      </c>
      <c r="R1419" s="135" t="str">
        <f t="shared" ca="1" si="478"/>
        <v/>
      </c>
      <c r="S1419" s="134" t="str">
        <f t="shared" ca="1" si="479"/>
        <v/>
      </c>
      <c r="T1419" s="134" t="str">
        <f ca="1">IF(S1419=Dashboard!$D$12,S1419,"")</f>
        <v/>
      </c>
      <c r="U1419" s="134" t="str">
        <f t="shared" ca="1" si="480"/>
        <v/>
      </c>
      <c r="V1419" s="83" t="str">
        <f ca="1">IF(U1419="","",IFERROR((RANK(U1419,$U$2:$U$2028,1)+COUNTIF($U$2:U1419,U1419))-1,""))</f>
        <v/>
      </c>
      <c r="W1419" s="134" t="str">
        <f t="shared" si="484"/>
        <v/>
      </c>
      <c r="X1419" s="134" t="str">
        <f>IF(W1419="","",IFERROR((RANK(W1419,$W$2:$W$2028,1)+COUNTIF($W$2:W1419,W1419))-1,""))</f>
        <v/>
      </c>
      <c r="Y1419" s="134" t="str">
        <f t="shared" si="481"/>
        <v/>
      </c>
      <c r="Z1419" s="134" t="str">
        <f>IF(Y1419="","",IFERROR((RANK(Y1419,$Y$2:$Y$2028,1)+COUNTIF($Y$2:Y1419,Y1419))-1,""))</f>
        <v/>
      </c>
      <c r="AA1419" s="134" t="str">
        <f t="shared" si="482"/>
        <v/>
      </c>
      <c r="AB1419" s="134" t="str">
        <f>IF(AA1419="","",IFERROR((RANK(AA1419,$AA$2:$AA$2028,1)+COUNTIF($AA$2:AA1419,AA1419))-1,""))</f>
        <v/>
      </c>
      <c r="AC1419" s="134" t="str">
        <f t="shared" si="483"/>
        <v/>
      </c>
      <c r="AD1419" s="134" t="str">
        <f>IF(AC1419="","",IFERROR((RANK(AC1419,$AC$2:$AC$2028,1)+COUNTIF($AC$2:AC1419,AC1419))-1,""))</f>
        <v/>
      </c>
      <c r="AE1419" s="144" t="str">
        <f t="shared" si="487"/>
        <v/>
      </c>
      <c r="AF1419" s="144" t="str">
        <f>IF(AE1419="","",SUM($AE$2:AE1419))</f>
        <v/>
      </c>
    </row>
    <row r="1420" spans="14:32" x14ac:dyDescent="0.35">
      <c r="N1420" s="134" t="str">
        <f t="shared" si="485"/>
        <v/>
      </c>
      <c r="O1420" s="82" t="str">
        <f t="shared" si="476"/>
        <v/>
      </c>
      <c r="P1420" s="81" t="str">
        <f t="shared" si="486"/>
        <v/>
      </c>
      <c r="Q1420" s="81" t="str">
        <f t="shared" si="477"/>
        <v/>
      </c>
      <c r="R1420" s="135" t="str">
        <f t="shared" ca="1" si="478"/>
        <v/>
      </c>
      <c r="S1420" s="134" t="str">
        <f t="shared" ca="1" si="479"/>
        <v/>
      </c>
      <c r="T1420" s="134" t="str">
        <f ca="1">IF(S1420=Dashboard!$D$12,S1420,"")</f>
        <v/>
      </c>
      <c r="U1420" s="134" t="str">
        <f t="shared" ca="1" si="480"/>
        <v/>
      </c>
      <c r="V1420" s="83" t="str">
        <f ca="1">IF(U1420="","",IFERROR((RANK(U1420,$U$2:$U$2028,1)+COUNTIF($U$2:U1420,U1420))-1,""))</f>
        <v/>
      </c>
      <c r="W1420" s="134" t="str">
        <f t="shared" si="484"/>
        <v/>
      </c>
      <c r="X1420" s="134" t="str">
        <f>IF(W1420="","",IFERROR((RANK(W1420,$W$2:$W$2028,1)+COUNTIF($W$2:W1420,W1420))-1,""))</f>
        <v/>
      </c>
      <c r="Y1420" s="134" t="str">
        <f t="shared" si="481"/>
        <v/>
      </c>
      <c r="Z1420" s="134" t="str">
        <f>IF(Y1420="","",IFERROR((RANK(Y1420,$Y$2:$Y$2028,1)+COUNTIF($Y$2:Y1420,Y1420))-1,""))</f>
        <v/>
      </c>
      <c r="AA1420" s="134" t="str">
        <f t="shared" si="482"/>
        <v/>
      </c>
      <c r="AB1420" s="134" t="str">
        <f>IF(AA1420="","",IFERROR((RANK(AA1420,$AA$2:$AA$2028,1)+COUNTIF($AA$2:AA1420,AA1420))-1,""))</f>
        <v/>
      </c>
      <c r="AC1420" s="134" t="str">
        <f t="shared" si="483"/>
        <v/>
      </c>
      <c r="AD1420" s="134" t="str">
        <f>IF(AC1420="","",IFERROR((RANK(AC1420,$AC$2:$AC$2028,1)+COUNTIF($AC$2:AC1420,AC1420))-1,""))</f>
        <v/>
      </c>
      <c r="AE1420" s="144" t="str">
        <f t="shared" si="487"/>
        <v/>
      </c>
      <c r="AF1420" s="144" t="str">
        <f>IF(AE1420="","",SUM($AE$2:AE1420))</f>
        <v/>
      </c>
    </row>
    <row r="1421" spans="14:32" x14ac:dyDescent="0.35">
      <c r="N1421" s="134" t="str">
        <f t="shared" si="485"/>
        <v/>
      </c>
      <c r="O1421" s="82" t="str">
        <f t="shared" si="476"/>
        <v/>
      </c>
      <c r="P1421" s="81" t="str">
        <f t="shared" si="486"/>
        <v/>
      </c>
      <c r="Q1421" s="81" t="str">
        <f t="shared" si="477"/>
        <v/>
      </c>
      <c r="R1421" s="135" t="str">
        <f t="shared" ca="1" si="478"/>
        <v/>
      </c>
      <c r="S1421" s="134" t="str">
        <f t="shared" ca="1" si="479"/>
        <v/>
      </c>
      <c r="T1421" s="134" t="str">
        <f ca="1">IF(S1421=Dashboard!$D$12,S1421,"")</f>
        <v/>
      </c>
      <c r="U1421" s="134" t="str">
        <f t="shared" ca="1" si="480"/>
        <v/>
      </c>
      <c r="V1421" s="83" t="str">
        <f ca="1">IF(U1421="","",IFERROR((RANK(U1421,$U$2:$U$2028,1)+COUNTIF($U$2:U1421,U1421))-1,""))</f>
        <v/>
      </c>
      <c r="W1421" s="134" t="str">
        <f t="shared" si="484"/>
        <v/>
      </c>
      <c r="X1421" s="134" t="str">
        <f>IF(W1421="","",IFERROR((RANK(W1421,$W$2:$W$2028,1)+COUNTIF($W$2:W1421,W1421))-1,""))</f>
        <v/>
      </c>
      <c r="Y1421" s="134" t="str">
        <f t="shared" si="481"/>
        <v/>
      </c>
      <c r="Z1421" s="134" t="str">
        <f>IF(Y1421="","",IFERROR((RANK(Y1421,$Y$2:$Y$2028,1)+COUNTIF($Y$2:Y1421,Y1421))-1,""))</f>
        <v/>
      </c>
      <c r="AA1421" s="134" t="str">
        <f t="shared" si="482"/>
        <v/>
      </c>
      <c r="AB1421" s="134" t="str">
        <f>IF(AA1421="","",IFERROR((RANK(AA1421,$AA$2:$AA$2028,1)+COUNTIF($AA$2:AA1421,AA1421))-1,""))</f>
        <v/>
      </c>
      <c r="AC1421" s="134" t="str">
        <f t="shared" si="483"/>
        <v/>
      </c>
      <c r="AD1421" s="134" t="str">
        <f>IF(AC1421="","",IFERROR((RANK(AC1421,$AC$2:$AC$2028,1)+COUNTIF($AC$2:AC1421,AC1421))-1,""))</f>
        <v/>
      </c>
      <c r="AE1421" s="144" t="str">
        <f t="shared" si="487"/>
        <v/>
      </c>
      <c r="AF1421" s="144" t="str">
        <f>IF(AE1421="","",SUM($AE$2:AE1421))</f>
        <v/>
      </c>
    </row>
    <row r="1422" spans="14:32" x14ac:dyDescent="0.35">
      <c r="N1422" s="134" t="str">
        <f t="shared" si="485"/>
        <v/>
      </c>
      <c r="O1422" s="82" t="str">
        <f t="shared" si="476"/>
        <v/>
      </c>
      <c r="P1422" s="81" t="str">
        <f t="shared" si="486"/>
        <v/>
      </c>
      <c r="Q1422" s="81" t="str">
        <f t="shared" si="477"/>
        <v/>
      </c>
      <c r="R1422" s="135" t="str">
        <f t="shared" ca="1" si="478"/>
        <v/>
      </c>
      <c r="S1422" s="134" t="str">
        <f t="shared" ca="1" si="479"/>
        <v/>
      </c>
      <c r="T1422" s="134" t="str">
        <f ca="1">IF(S1422=Dashboard!$D$12,S1422,"")</f>
        <v/>
      </c>
      <c r="U1422" s="134" t="str">
        <f t="shared" ca="1" si="480"/>
        <v/>
      </c>
      <c r="V1422" s="83" t="str">
        <f ca="1">IF(U1422="","",IFERROR((RANK(U1422,$U$2:$U$2028,1)+COUNTIF($U$2:U1422,U1422))-1,""))</f>
        <v/>
      </c>
      <c r="W1422" s="134" t="str">
        <f t="shared" si="484"/>
        <v/>
      </c>
      <c r="X1422" s="134" t="str">
        <f>IF(W1422="","",IFERROR((RANK(W1422,$W$2:$W$2028,1)+COUNTIF($W$2:W1422,W1422))-1,""))</f>
        <v/>
      </c>
      <c r="Y1422" s="134" t="str">
        <f t="shared" si="481"/>
        <v/>
      </c>
      <c r="Z1422" s="134" t="str">
        <f>IF(Y1422="","",IFERROR((RANK(Y1422,$Y$2:$Y$2028,1)+COUNTIF($Y$2:Y1422,Y1422))-1,""))</f>
        <v/>
      </c>
      <c r="AA1422" s="134" t="str">
        <f t="shared" si="482"/>
        <v/>
      </c>
      <c r="AB1422" s="134" t="str">
        <f>IF(AA1422="","",IFERROR((RANK(AA1422,$AA$2:$AA$2028,1)+COUNTIF($AA$2:AA1422,AA1422))-1,""))</f>
        <v/>
      </c>
      <c r="AC1422" s="134" t="str">
        <f t="shared" si="483"/>
        <v/>
      </c>
      <c r="AD1422" s="134" t="str">
        <f>IF(AC1422="","",IFERROR((RANK(AC1422,$AC$2:$AC$2028,1)+COUNTIF($AC$2:AC1422,AC1422))-1,""))</f>
        <v/>
      </c>
      <c r="AE1422" s="144" t="str">
        <f t="shared" si="487"/>
        <v/>
      </c>
      <c r="AF1422" s="144" t="str">
        <f>IF(AE1422="","",SUM($AE$2:AE1422))</f>
        <v/>
      </c>
    </row>
    <row r="1423" spans="14:32" x14ac:dyDescent="0.35">
      <c r="N1423" s="134" t="str">
        <f t="shared" si="485"/>
        <v/>
      </c>
      <c r="O1423" s="82" t="str">
        <f t="shared" si="476"/>
        <v/>
      </c>
      <c r="P1423" s="81" t="str">
        <f t="shared" si="486"/>
        <v/>
      </c>
      <c r="Q1423" s="81" t="str">
        <f t="shared" si="477"/>
        <v/>
      </c>
      <c r="R1423" s="135" t="str">
        <f t="shared" ca="1" si="478"/>
        <v/>
      </c>
      <c r="S1423" s="134" t="str">
        <f t="shared" ca="1" si="479"/>
        <v/>
      </c>
      <c r="T1423" s="134" t="str">
        <f ca="1">IF(S1423=Dashboard!$D$12,S1423,"")</f>
        <v/>
      </c>
      <c r="U1423" s="134" t="str">
        <f t="shared" ca="1" si="480"/>
        <v/>
      </c>
      <c r="V1423" s="83" t="str">
        <f ca="1">IF(U1423="","",IFERROR((RANK(U1423,$U$2:$U$2028,1)+COUNTIF($U$2:U1423,U1423))-1,""))</f>
        <v/>
      </c>
      <c r="W1423" s="134" t="str">
        <f t="shared" si="484"/>
        <v/>
      </c>
      <c r="X1423" s="134" t="str">
        <f>IF(W1423="","",IFERROR((RANK(W1423,$W$2:$W$2028,1)+COUNTIF($W$2:W1423,W1423))-1,""))</f>
        <v/>
      </c>
      <c r="Y1423" s="134" t="str">
        <f t="shared" si="481"/>
        <v/>
      </c>
      <c r="Z1423" s="134" t="str">
        <f>IF(Y1423="","",IFERROR((RANK(Y1423,$Y$2:$Y$2028,1)+COUNTIF($Y$2:Y1423,Y1423))-1,""))</f>
        <v/>
      </c>
      <c r="AA1423" s="134" t="str">
        <f t="shared" si="482"/>
        <v/>
      </c>
      <c r="AB1423" s="134" t="str">
        <f>IF(AA1423="","",IFERROR((RANK(AA1423,$AA$2:$AA$2028,1)+COUNTIF($AA$2:AA1423,AA1423))-1,""))</f>
        <v/>
      </c>
      <c r="AC1423" s="134" t="str">
        <f t="shared" si="483"/>
        <v/>
      </c>
      <c r="AD1423" s="134" t="str">
        <f>IF(AC1423="","",IFERROR((RANK(AC1423,$AC$2:$AC$2028,1)+COUNTIF($AC$2:AC1423,AC1423))-1,""))</f>
        <v/>
      </c>
      <c r="AE1423" s="144" t="str">
        <f t="shared" si="487"/>
        <v/>
      </c>
      <c r="AF1423" s="144" t="str">
        <f>IF(AE1423="","",SUM($AE$2:AE1423))</f>
        <v/>
      </c>
    </row>
    <row r="1424" spans="14:32" x14ac:dyDescent="0.35">
      <c r="N1424" s="134" t="str">
        <f t="shared" si="485"/>
        <v/>
      </c>
      <c r="O1424" s="82" t="str">
        <f t="shared" si="476"/>
        <v/>
      </c>
      <c r="P1424" s="81" t="str">
        <f t="shared" si="486"/>
        <v/>
      </c>
      <c r="Q1424" s="81" t="str">
        <f t="shared" si="477"/>
        <v/>
      </c>
      <c r="R1424" s="135" t="str">
        <f t="shared" ca="1" si="478"/>
        <v/>
      </c>
      <c r="S1424" s="134" t="str">
        <f t="shared" ca="1" si="479"/>
        <v/>
      </c>
      <c r="T1424" s="134" t="str">
        <f ca="1">IF(S1424=Dashboard!$D$12,S1424,"")</f>
        <v/>
      </c>
      <c r="U1424" s="134" t="str">
        <f t="shared" ca="1" si="480"/>
        <v/>
      </c>
      <c r="V1424" s="83" t="str">
        <f ca="1">IF(U1424="","",IFERROR((RANK(U1424,$U$2:$U$2028,1)+COUNTIF($U$2:U1424,U1424))-1,""))</f>
        <v/>
      </c>
      <c r="W1424" s="134" t="str">
        <f t="shared" si="484"/>
        <v/>
      </c>
      <c r="X1424" s="134" t="str">
        <f>IF(W1424="","",IFERROR((RANK(W1424,$W$2:$W$2028,1)+COUNTIF($W$2:W1424,W1424))-1,""))</f>
        <v/>
      </c>
      <c r="Y1424" s="134" t="str">
        <f t="shared" si="481"/>
        <v/>
      </c>
      <c r="Z1424" s="134" t="str">
        <f>IF(Y1424="","",IFERROR((RANK(Y1424,$Y$2:$Y$2028,1)+COUNTIF($Y$2:Y1424,Y1424))-1,""))</f>
        <v/>
      </c>
      <c r="AA1424" s="134" t="str">
        <f t="shared" si="482"/>
        <v/>
      </c>
      <c r="AB1424" s="134" t="str">
        <f>IF(AA1424="","",IFERROR((RANK(AA1424,$AA$2:$AA$2028,1)+COUNTIF($AA$2:AA1424,AA1424))-1,""))</f>
        <v/>
      </c>
      <c r="AC1424" s="134" t="str">
        <f t="shared" si="483"/>
        <v/>
      </c>
      <c r="AD1424" s="134" t="str">
        <f>IF(AC1424="","",IFERROR((RANK(AC1424,$AC$2:$AC$2028,1)+COUNTIF($AC$2:AC1424,AC1424))-1,""))</f>
        <v/>
      </c>
      <c r="AE1424" s="144" t="str">
        <f t="shared" si="487"/>
        <v/>
      </c>
      <c r="AF1424" s="144" t="str">
        <f>IF(AE1424="","",SUM($AE$2:AE1424))</f>
        <v/>
      </c>
    </row>
    <row r="1425" spans="14:32" x14ac:dyDescent="0.35">
      <c r="N1425" s="134" t="str">
        <f t="shared" si="485"/>
        <v/>
      </c>
      <c r="O1425" s="82" t="str">
        <f t="shared" si="476"/>
        <v/>
      </c>
      <c r="P1425" s="81" t="str">
        <f t="shared" si="486"/>
        <v/>
      </c>
      <c r="Q1425" s="81" t="str">
        <f t="shared" si="477"/>
        <v/>
      </c>
      <c r="R1425" s="135" t="str">
        <f t="shared" ca="1" si="478"/>
        <v/>
      </c>
      <c r="S1425" s="134" t="str">
        <f t="shared" ca="1" si="479"/>
        <v/>
      </c>
      <c r="T1425" s="134" t="str">
        <f ca="1">IF(S1425=Dashboard!$D$12,S1425,"")</f>
        <v/>
      </c>
      <c r="U1425" s="134" t="str">
        <f t="shared" ca="1" si="480"/>
        <v/>
      </c>
      <c r="V1425" s="83" t="str">
        <f ca="1">IF(U1425="","",IFERROR((RANK(U1425,$U$2:$U$2028,1)+COUNTIF($U$2:U1425,U1425))-1,""))</f>
        <v/>
      </c>
      <c r="W1425" s="134" t="str">
        <f t="shared" si="484"/>
        <v/>
      </c>
      <c r="X1425" s="134" t="str">
        <f>IF(W1425="","",IFERROR((RANK(W1425,$W$2:$W$2028,1)+COUNTIF($W$2:W1425,W1425))-1,""))</f>
        <v/>
      </c>
      <c r="Y1425" s="134" t="str">
        <f t="shared" si="481"/>
        <v/>
      </c>
      <c r="Z1425" s="134" t="str">
        <f>IF(Y1425="","",IFERROR((RANK(Y1425,$Y$2:$Y$2028,1)+COUNTIF($Y$2:Y1425,Y1425))-1,""))</f>
        <v/>
      </c>
      <c r="AA1425" s="134" t="str">
        <f t="shared" si="482"/>
        <v/>
      </c>
      <c r="AB1425" s="134" t="str">
        <f>IF(AA1425="","",IFERROR((RANK(AA1425,$AA$2:$AA$2028,1)+COUNTIF($AA$2:AA1425,AA1425))-1,""))</f>
        <v/>
      </c>
      <c r="AC1425" s="134" t="str">
        <f t="shared" si="483"/>
        <v/>
      </c>
      <c r="AD1425" s="134" t="str">
        <f>IF(AC1425="","",IFERROR((RANK(AC1425,$AC$2:$AC$2028,1)+COUNTIF($AC$2:AC1425,AC1425))-1,""))</f>
        <v/>
      </c>
      <c r="AE1425" s="144" t="str">
        <f t="shared" si="487"/>
        <v/>
      </c>
      <c r="AF1425" s="144" t="str">
        <f>IF(AE1425="","",SUM($AE$2:AE1425))</f>
        <v/>
      </c>
    </row>
    <row r="1426" spans="14:32" x14ac:dyDescent="0.35">
      <c r="N1426" s="134" t="str">
        <f t="shared" si="485"/>
        <v/>
      </c>
      <c r="O1426" s="82" t="str">
        <f t="shared" si="476"/>
        <v/>
      </c>
      <c r="P1426" s="81" t="str">
        <f t="shared" si="486"/>
        <v/>
      </c>
      <c r="Q1426" s="81" t="str">
        <f t="shared" si="477"/>
        <v/>
      </c>
      <c r="R1426" s="135" t="str">
        <f t="shared" ca="1" si="478"/>
        <v/>
      </c>
      <c r="S1426" s="134" t="str">
        <f t="shared" ca="1" si="479"/>
        <v/>
      </c>
      <c r="T1426" s="134" t="str">
        <f ca="1">IF(S1426=Dashboard!$D$12,S1426,"")</f>
        <v/>
      </c>
      <c r="U1426" s="134" t="str">
        <f t="shared" ca="1" si="480"/>
        <v/>
      </c>
      <c r="V1426" s="83" t="str">
        <f ca="1">IF(U1426="","",IFERROR((RANK(U1426,$U$2:$U$2028,1)+COUNTIF($U$2:U1426,U1426))-1,""))</f>
        <v/>
      </c>
      <c r="W1426" s="134" t="str">
        <f t="shared" si="484"/>
        <v/>
      </c>
      <c r="X1426" s="134" t="str">
        <f>IF(W1426="","",IFERROR((RANK(W1426,$W$2:$W$2028,1)+COUNTIF($W$2:W1426,W1426))-1,""))</f>
        <v/>
      </c>
      <c r="Y1426" s="134" t="str">
        <f t="shared" si="481"/>
        <v/>
      </c>
      <c r="Z1426" s="134" t="str">
        <f>IF(Y1426="","",IFERROR((RANK(Y1426,$Y$2:$Y$2028,1)+COUNTIF($Y$2:Y1426,Y1426))-1,""))</f>
        <v/>
      </c>
      <c r="AA1426" s="134" t="str">
        <f t="shared" si="482"/>
        <v/>
      </c>
      <c r="AB1426" s="134" t="str">
        <f>IF(AA1426="","",IFERROR((RANK(AA1426,$AA$2:$AA$2028,1)+COUNTIF($AA$2:AA1426,AA1426))-1,""))</f>
        <v/>
      </c>
      <c r="AC1426" s="134" t="str">
        <f t="shared" si="483"/>
        <v/>
      </c>
      <c r="AD1426" s="134" t="str">
        <f>IF(AC1426="","",IFERROR((RANK(AC1426,$AC$2:$AC$2028,1)+COUNTIF($AC$2:AC1426,AC1426))-1,""))</f>
        <v/>
      </c>
      <c r="AE1426" s="144" t="str">
        <f t="shared" si="487"/>
        <v/>
      </c>
      <c r="AF1426" s="144" t="str">
        <f>IF(AE1426="","",SUM($AE$2:AE1426))</f>
        <v/>
      </c>
    </row>
    <row r="1427" spans="14:32" x14ac:dyDescent="0.35">
      <c r="N1427" s="134" t="str">
        <f t="shared" si="485"/>
        <v/>
      </c>
      <c r="O1427" s="82" t="str">
        <f t="shared" si="476"/>
        <v/>
      </c>
      <c r="P1427" s="81" t="str">
        <f t="shared" si="486"/>
        <v/>
      </c>
      <c r="Q1427" s="81" t="str">
        <f t="shared" si="477"/>
        <v/>
      </c>
      <c r="R1427" s="135" t="str">
        <f t="shared" ca="1" si="478"/>
        <v/>
      </c>
      <c r="S1427" s="134" t="str">
        <f t="shared" ca="1" si="479"/>
        <v/>
      </c>
      <c r="T1427" s="134" t="str">
        <f ca="1">IF(S1427=Dashboard!$D$12,S1427,"")</f>
        <v/>
      </c>
      <c r="U1427" s="134" t="str">
        <f t="shared" ca="1" si="480"/>
        <v/>
      </c>
      <c r="V1427" s="83" t="str">
        <f ca="1">IF(U1427="","",IFERROR((RANK(U1427,$U$2:$U$2028,1)+COUNTIF($U$2:U1427,U1427))-1,""))</f>
        <v/>
      </c>
      <c r="W1427" s="134" t="str">
        <f t="shared" si="484"/>
        <v/>
      </c>
      <c r="X1427" s="134" t="str">
        <f>IF(W1427="","",IFERROR((RANK(W1427,$W$2:$W$2028,1)+COUNTIF($W$2:W1427,W1427))-1,""))</f>
        <v/>
      </c>
      <c r="Y1427" s="134" t="str">
        <f t="shared" si="481"/>
        <v/>
      </c>
      <c r="Z1427" s="134" t="str">
        <f>IF(Y1427="","",IFERROR((RANK(Y1427,$Y$2:$Y$2028,1)+COUNTIF($Y$2:Y1427,Y1427))-1,""))</f>
        <v/>
      </c>
      <c r="AA1427" s="134" t="str">
        <f t="shared" si="482"/>
        <v/>
      </c>
      <c r="AB1427" s="134" t="str">
        <f>IF(AA1427="","",IFERROR((RANK(AA1427,$AA$2:$AA$2028,1)+COUNTIF($AA$2:AA1427,AA1427))-1,""))</f>
        <v/>
      </c>
      <c r="AC1427" s="134" t="str">
        <f t="shared" si="483"/>
        <v/>
      </c>
      <c r="AD1427" s="134" t="str">
        <f>IF(AC1427="","",IFERROR((RANK(AC1427,$AC$2:$AC$2028,1)+COUNTIF($AC$2:AC1427,AC1427))-1,""))</f>
        <v/>
      </c>
      <c r="AE1427" s="144" t="str">
        <f t="shared" si="487"/>
        <v/>
      </c>
      <c r="AF1427" s="144" t="str">
        <f>IF(AE1427="","",SUM($AE$2:AE1427))</f>
        <v/>
      </c>
    </row>
    <row r="1428" spans="14:32" x14ac:dyDescent="0.35">
      <c r="N1428" s="134" t="str">
        <f t="shared" si="485"/>
        <v/>
      </c>
      <c r="O1428" s="82" t="str">
        <f t="shared" si="476"/>
        <v/>
      </c>
      <c r="P1428" s="81" t="str">
        <f t="shared" si="486"/>
        <v/>
      </c>
      <c r="Q1428" s="81" t="str">
        <f t="shared" si="477"/>
        <v/>
      </c>
      <c r="R1428" s="135" t="str">
        <f t="shared" ca="1" si="478"/>
        <v/>
      </c>
      <c r="S1428" s="134" t="str">
        <f t="shared" ca="1" si="479"/>
        <v/>
      </c>
      <c r="T1428" s="134" t="str">
        <f ca="1">IF(S1428=Dashboard!$D$12,S1428,"")</f>
        <v/>
      </c>
      <c r="U1428" s="134" t="str">
        <f t="shared" ca="1" si="480"/>
        <v/>
      </c>
      <c r="V1428" s="83" t="str">
        <f ca="1">IF(U1428="","",IFERROR((RANK(U1428,$U$2:$U$2028,1)+COUNTIF($U$2:U1428,U1428))-1,""))</f>
        <v/>
      </c>
      <c r="W1428" s="134" t="str">
        <f t="shared" si="484"/>
        <v/>
      </c>
      <c r="X1428" s="134" t="str">
        <f>IF(W1428="","",IFERROR((RANK(W1428,$W$2:$W$2028,1)+COUNTIF($W$2:W1428,W1428))-1,""))</f>
        <v/>
      </c>
      <c r="Y1428" s="134" t="str">
        <f t="shared" si="481"/>
        <v/>
      </c>
      <c r="Z1428" s="134" t="str">
        <f>IF(Y1428="","",IFERROR((RANK(Y1428,$Y$2:$Y$2028,1)+COUNTIF($Y$2:Y1428,Y1428))-1,""))</f>
        <v/>
      </c>
      <c r="AA1428" s="134" t="str">
        <f t="shared" si="482"/>
        <v/>
      </c>
      <c r="AB1428" s="134" t="str">
        <f>IF(AA1428="","",IFERROR((RANK(AA1428,$AA$2:$AA$2028,1)+COUNTIF($AA$2:AA1428,AA1428))-1,""))</f>
        <v/>
      </c>
      <c r="AC1428" s="134" t="str">
        <f t="shared" si="483"/>
        <v/>
      </c>
      <c r="AD1428" s="134" t="str">
        <f>IF(AC1428="","",IFERROR((RANK(AC1428,$AC$2:$AC$2028,1)+COUNTIF($AC$2:AC1428,AC1428))-1,""))</f>
        <v/>
      </c>
      <c r="AE1428" s="144" t="str">
        <f t="shared" si="487"/>
        <v/>
      </c>
      <c r="AF1428" s="144" t="str">
        <f>IF(AE1428="","",SUM($AE$2:AE1428))</f>
        <v/>
      </c>
    </row>
    <row r="1429" spans="14:32" x14ac:dyDescent="0.35">
      <c r="N1429" s="134" t="str">
        <f t="shared" si="485"/>
        <v/>
      </c>
      <c r="O1429" s="82" t="str">
        <f t="shared" si="476"/>
        <v/>
      </c>
      <c r="P1429" s="81" t="str">
        <f t="shared" si="486"/>
        <v/>
      </c>
      <c r="Q1429" s="81" t="str">
        <f t="shared" si="477"/>
        <v/>
      </c>
      <c r="R1429" s="135" t="str">
        <f t="shared" ca="1" si="478"/>
        <v/>
      </c>
      <c r="S1429" s="134" t="str">
        <f t="shared" ca="1" si="479"/>
        <v/>
      </c>
      <c r="T1429" s="134" t="str">
        <f ca="1">IF(S1429=Dashboard!$D$12,S1429,"")</f>
        <v/>
      </c>
      <c r="U1429" s="134" t="str">
        <f t="shared" ca="1" si="480"/>
        <v/>
      </c>
      <c r="V1429" s="83" t="str">
        <f ca="1">IF(U1429="","",IFERROR((RANK(U1429,$U$2:$U$2028,1)+COUNTIF($U$2:U1429,U1429))-1,""))</f>
        <v/>
      </c>
      <c r="W1429" s="134" t="str">
        <f t="shared" si="484"/>
        <v/>
      </c>
      <c r="X1429" s="134" t="str">
        <f>IF(W1429="","",IFERROR((RANK(W1429,$W$2:$W$2028,1)+COUNTIF($W$2:W1429,W1429))-1,""))</f>
        <v/>
      </c>
      <c r="Y1429" s="134" t="str">
        <f t="shared" si="481"/>
        <v/>
      </c>
      <c r="Z1429" s="134" t="str">
        <f>IF(Y1429="","",IFERROR((RANK(Y1429,$Y$2:$Y$2028,1)+COUNTIF($Y$2:Y1429,Y1429))-1,""))</f>
        <v/>
      </c>
      <c r="AA1429" s="134" t="str">
        <f t="shared" si="482"/>
        <v/>
      </c>
      <c r="AB1429" s="134" t="str">
        <f>IF(AA1429="","",IFERROR((RANK(AA1429,$AA$2:$AA$2028,1)+COUNTIF($AA$2:AA1429,AA1429))-1,""))</f>
        <v/>
      </c>
      <c r="AC1429" s="134" t="str">
        <f t="shared" si="483"/>
        <v/>
      </c>
      <c r="AD1429" s="134" t="str">
        <f>IF(AC1429="","",IFERROR((RANK(AC1429,$AC$2:$AC$2028,1)+COUNTIF($AC$2:AC1429,AC1429))-1,""))</f>
        <v/>
      </c>
      <c r="AE1429" s="144" t="str">
        <f t="shared" si="487"/>
        <v/>
      </c>
      <c r="AF1429" s="144" t="str">
        <f>IF(AE1429="","",SUM($AE$2:AE1429))</f>
        <v/>
      </c>
    </row>
    <row r="1430" spans="14:32" x14ac:dyDescent="0.35">
      <c r="N1430" s="134" t="str">
        <f t="shared" si="485"/>
        <v/>
      </c>
      <c r="O1430" s="82" t="str">
        <f t="shared" si="476"/>
        <v/>
      </c>
      <c r="P1430" s="81" t="str">
        <f t="shared" si="486"/>
        <v/>
      </c>
      <c r="Q1430" s="81" t="str">
        <f t="shared" si="477"/>
        <v/>
      </c>
      <c r="R1430" s="135" t="str">
        <f t="shared" ca="1" si="478"/>
        <v/>
      </c>
      <c r="S1430" s="134" t="str">
        <f t="shared" ca="1" si="479"/>
        <v/>
      </c>
      <c r="T1430" s="134" t="str">
        <f ca="1">IF(S1430=Dashboard!$D$12,S1430,"")</f>
        <v/>
      </c>
      <c r="U1430" s="134" t="str">
        <f t="shared" ca="1" si="480"/>
        <v/>
      </c>
      <c r="V1430" s="83" t="str">
        <f ca="1">IF(U1430="","",IFERROR((RANK(U1430,$U$2:$U$2028,1)+COUNTIF($U$2:U1430,U1430))-1,""))</f>
        <v/>
      </c>
      <c r="W1430" s="134" t="str">
        <f t="shared" si="484"/>
        <v/>
      </c>
      <c r="X1430" s="134" t="str">
        <f>IF(W1430="","",IFERROR((RANK(W1430,$W$2:$W$2028,1)+COUNTIF($W$2:W1430,W1430))-1,""))</f>
        <v/>
      </c>
      <c r="Y1430" s="134" t="str">
        <f t="shared" si="481"/>
        <v/>
      </c>
      <c r="Z1430" s="134" t="str">
        <f>IF(Y1430="","",IFERROR((RANK(Y1430,$Y$2:$Y$2028,1)+COUNTIF($Y$2:Y1430,Y1430))-1,""))</f>
        <v/>
      </c>
      <c r="AA1430" s="134" t="str">
        <f t="shared" si="482"/>
        <v/>
      </c>
      <c r="AB1430" s="134" t="str">
        <f>IF(AA1430="","",IFERROR((RANK(AA1430,$AA$2:$AA$2028,1)+COUNTIF($AA$2:AA1430,AA1430))-1,""))</f>
        <v/>
      </c>
      <c r="AC1430" s="134" t="str">
        <f t="shared" si="483"/>
        <v/>
      </c>
      <c r="AD1430" s="134" t="str">
        <f>IF(AC1430="","",IFERROR((RANK(AC1430,$AC$2:$AC$2028,1)+COUNTIF($AC$2:AC1430,AC1430))-1,""))</f>
        <v/>
      </c>
      <c r="AE1430" s="144" t="str">
        <f t="shared" si="487"/>
        <v/>
      </c>
      <c r="AF1430" s="144" t="str">
        <f>IF(AE1430="","",SUM($AE$2:AE1430))</f>
        <v/>
      </c>
    </row>
    <row r="1431" spans="14:32" x14ac:dyDescent="0.35">
      <c r="N1431" s="134" t="str">
        <f t="shared" si="485"/>
        <v/>
      </c>
      <c r="O1431" s="82" t="str">
        <f t="shared" si="476"/>
        <v/>
      </c>
      <c r="P1431" s="81" t="str">
        <f t="shared" si="486"/>
        <v/>
      </c>
      <c r="Q1431" s="81" t="str">
        <f t="shared" si="477"/>
        <v/>
      </c>
      <c r="R1431" s="135" t="str">
        <f t="shared" ca="1" si="478"/>
        <v/>
      </c>
      <c r="S1431" s="134" t="str">
        <f t="shared" ca="1" si="479"/>
        <v/>
      </c>
      <c r="T1431" s="134" t="str">
        <f ca="1">IF(S1431=Dashboard!$D$12,S1431,"")</f>
        <v/>
      </c>
      <c r="U1431" s="134" t="str">
        <f t="shared" ca="1" si="480"/>
        <v/>
      </c>
      <c r="V1431" s="83" t="str">
        <f ca="1">IF(U1431="","",IFERROR((RANK(U1431,$U$2:$U$2028,1)+COUNTIF($U$2:U1431,U1431))-1,""))</f>
        <v/>
      </c>
      <c r="W1431" s="134" t="str">
        <f t="shared" si="484"/>
        <v/>
      </c>
      <c r="X1431" s="134" t="str">
        <f>IF(W1431="","",IFERROR((RANK(W1431,$W$2:$W$2028,1)+COUNTIF($W$2:W1431,W1431))-1,""))</f>
        <v/>
      </c>
      <c r="Y1431" s="134" t="str">
        <f t="shared" si="481"/>
        <v/>
      </c>
      <c r="Z1431" s="134" t="str">
        <f>IF(Y1431="","",IFERROR((RANK(Y1431,$Y$2:$Y$2028,1)+COUNTIF($Y$2:Y1431,Y1431))-1,""))</f>
        <v/>
      </c>
      <c r="AA1431" s="134" t="str">
        <f t="shared" si="482"/>
        <v/>
      </c>
      <c r="AB1431" s="134" t="str">
        <f>IF(AA1431="","",IFERROR((RANK(AA1431,$AA$2:$AA$2028,1)+COUNTIF($AA$2:AA1431,AA1431))-1,""))</f>
        <v/>
      </c>
      <c r="AC1431" s="134" t="str">
        <f t="shared" si="483"/>
        <v/>
      </c>
      <c r="AD1431" s="134" t="str">
        <f>IF(AC1431="","",IFERROR((RANK(AC1431,$AC$2:$AC$2028,1)+COUNTIF($AC$2:AC1431,AC1431))-1,""))</f>
        <v/>
      </c>
      <c r="AE1431" s="144" t="str">
        <f t="shared" si="487"/>
        <v/>
      </c>
      <c r="AF1431" s="144" t="str">
        <f>IF(AE1431="","",SUM($AE$2:AE1431))</f>
        <v/>
      </c>
    </row>
    <row r="1432" spans="14:32" x14ac:dyDescent="0.35">
      <c r="N1432" s="134" t="str">
        <f t="shared" si="485"/>
        <v/>
      </c>
      <c r="O1432" s="82" t="str">
        <f t="shared" si="476"/>
        <v/>
      </c>
      <c r="P1432" s="81" t="str">
        <f t="shared" si="486"/>
        <v/>
      </c>
      <c r="Q1432" s="81" t="str">
        <f t="shared" si="477"/>
        <v/>
      </c>
      <c r="R1432" s="135" t="str">
        <f t="shared" ca="1" si="478"/>
        <v/>
      </c>
      <c r="S1432" s="134" t="str">
        <f t="shared" ca="1" si="479"/>
        <v/>
      </c>
      <c r="T1432" s="134" t="str">
        <f ca="1">IF(S1432=Dashboard!$D$12,S1432,"")</f>
        <v/>
      </c>
      <c r="U1432" s="134" t="str">
        <f t="shared" ca="1" si="480"/>
        <v/>
      </c>
      <c r="V1432" s="83" t="str">
        <f ca="1">IF(U1432="","",IFERROR((RANK(U1432,$U$2:$U$2028,1)+COUNTIF($U$2:U1432,U1432))-1,""))</f>
        <v/>
      </c>
      <c r="W1432" s="134" t="str">
        <f t="shared" si="484"/>
        <v/>
      </c>
      <c r="X1432" s="134" t="str">
        <f>IF(W1432="","",IFERROR((RANK(W1432,$W$2:$W$2028,1)+COUNTIF($W$2:W1432,W1432))-1,""))</f>
        <v/>
      </c>
      <c r="Y1432" s="134" t="str">
        <f t="shared" si="481"/>
        <v/>
      </c>
      <c r="Z1432" s="134" t="str">
        <f>IF(Y1432="","",IFERROR((RANK(Y1432,$Y$2:$Y$2028,1)+COUNTIF($Y$2:Y1432,Y1432))-1,""))</f>
        <v/>
      </c>
      <c r="AA1432" s="134" t="str">
        <f t="shared" si="482"/>
        <v/>
      </c>
      <c r="AB1432" s="134" t="str">
        <f>IF(AA1432="","",IFERROR((RANK(AA1432,$AA$2:$AA$2028,1)+COUNTIF($AA$2:AA1432,AA1432))-1,""))</f>
        <v/>
      </c>
      <c r="AC1432" s="134" t="str">
        <f t="shared" si="483"/>
        <v/>
      </c>
      <c r="AD1432" s="134" t="str">
        <f>IF(AC1432="","",IFERROR((RANK(AC1432,$AC$2:$AC$2028,1)+COUNTIF($AC$2:AC1432,AC1432))-1,""))</f>
        <v/>
      </c>
      <c r="AE1432" s="144" t="str">
        <f t="shared" si="487"/>
        <v/>
      </c>
      <c r="AF1432" s="144" t="str">
        <f>IF(AE1432="","",SUM($AE$2:AE1432))</f>
        <v/>
      </c>
    </row>
    <row r="1433" spans="14:32" x14ac:dyDescent="0.35">
      <c r="N1433" s="134" t="str">
        <f t="shared" si="485"/>
        <v/>
      </c>
      <c r="O1433" s="82" t="str">
        <f t="shared" si="476"/>
        <v/>
      </c>
      <c r="P1433" s="81" t="str">
        <f t="shared" si="486"/>
        <v/>
      </c>
      <c r="Q1433" s="81" t="str">
        <f t="shared" si="477"/>
        <v/>
      </c>
      <c r="R1433" s="135" t="str">
        <f t="shared" ca="1" si="478"/>
        <v/>
      </c>
      <c r="S1433" s="134" t="str">
        <f t="shared" ca="1" si="479"/>
        <v/>
      </c>
      <c r="T1433" s="134" t="str">
        <f ca="1">IF(S1433=Dashboard!$D$12,S1433,"")</f>
        <v/>
      </c>
      <c r="U1433" s="134" t="str">
        <f t="shared" ca="1" si="480"/>
        <v/>
      </c>
      <c r="V1433" s="83" t="str">
        <f ca="1">IF(U1433="","",IFERROR((RANK(U1433,$U$2:$U$2028,1)+COUNTIF($U$2:U1433,U1433))-1,""))</f>
        <v/>
      </c>
      <c r="W1433" s="134" t="str">
        <f t="shared" si="484"/>
        <v/>
      </c>
      <c r="X1433" s="134" t="str">
        <f>IF(W1433="","",IFERROR((RANK(W1433,$W$2:$W$2028,1)+COUNTIF($W$2:W1433,W1433))-1,""))</f>
        <v/>
      </c>
      <c r="Y1433" s="134" t="str">
        <f t="shared" si="481"/>
        <v/>
      </c>
      <c r="Z1433" s="134" t="str">
        <f>IF(Y1433="","",IFERROR((RANK(Y1433,$Y$2:$Y$2028,1)+COUNTIF($Y$2:Y1433,Y1433))-1,""))</f>
        <v/>
      </c>
      <c r="AA1433" s="134" t="str">
        <f t="shared" si="482"/>
        <v/>
      </c>
      <c r="AB1433" s="134" t="str">
        <f>IF(AA1433="","",IFERROR((RANK(AA1433,$AA$2:$AA$2028,1)+COUNTIF($AA$2:AA1433,AA1433))-1,""))</f>
        <v/>
      </c>
      <c r="AC1433" s="134" t="str">
        <f t="shared" si="483"/>
        <v/>
      </c>
      <c r="AD1433" s="134" t="str">
        <f>IF(AC1433="","",IFERROR((RANK(AC1433,$AC$2:$AC$2028,1)+COUNTIF($AC$2:AC1433,AC1433))-1,""))</f>
        <v/>
      </c>
      <c r="AE1433" s="144" t="str">
        <f t="shared" si="487"/>
        <v/>
      </c>
      <c r="AF1433" s="144" t="str">
        <f>IF(AE1433="","",SUM($AE$2:AE1433))</f>
        <v/>
      </c>
    </row>
    <row r="1434" spans="14:32" x14ac:dyDescent="0.35">
      <c r="N1434" s="134" t="str">
        <f t="shared" si="485"/>
        <v/>
      </c>
      <c r="O1434" s="82" t="str">
        <f t="shared" si="476"/>
        <v/>
      </c>
      <c r="P1434" s="81" t="str">
        <f t="shared" si="486"/>
        <v/>
      </c>
      <c r="Q1434" s="81" t="str">
        <f t="shared" si="477"/>
        <v/>
      </c>
      <c r="R1434" s="135" t="str">
        <f t="shared" ca="1" si="478"/>
        <v/>
      </c>
      <c r="S1434" s="134" t="str">
        <f t="shared" ca="1" si="479"/>
        <v/>
      </c>
      <c r="T1434" s="134" t="str">
        <f ca="1">IF(S1434=Dashboard!$D$12,S1434,"")</f>
        <v/>
      </c>
      <c r="U1434" s="134" t="str">
        <f t="shared" ca="1" si="480"/>
        <v/>
      </c>
      <c r="V1434" s="83" t="str">
        <f ca="1">IF(U1434="","",IFERROR((RANK(U1434,$U$2:$U$2028,1)+COUNTIF($U$2:U1434,U1434))-1,""))</f>
        <v/>
      </c>
      <c r="W1434" s="134" t="str">
        <f t="shared" si="484"/>
        <v/>
      </c>
      <c r="X1434" s="134" t="str">
        <f>IF(W1434="","",IFERROR((RANK(W1434,$W$2:$W$2028,1)+COUNTIF($W$2:W1434,W1434))-1,""))</f>
        <v/>
      </c>
      <c r="Y1434" s="134" t="str">
        <f t="shared" si="481"/>
        <v/>
      </c>
      <c r="Z1434" s="134" t="str">
        <f>IF(Y1434="","",IFERROR((RANK(Y1434,$Y$2:$Y$2028,1)+COUNTIF($Y$2:Y1434,Y1434))-1,""))</f>
        <v/>
      </c>
      <c r="AA1434" s="134" t="str">
        <f t="shared" si="482"/>
        <v/>
      </c>
      <c r="AB1434" s="134" t="str">
        <f>IF(AA1434="","",IFERROR((RANK(AA1434,$AA$2:$AA$2028,1)+COUNTIF($AA$2:AA1434,AA1434))-1,""))</f>
        <v/>
      </c>
      <c r="AC1434" s="134" t="str">
        <f t="shared" si="483"/>
        <v/>
      </c>
      <c r="AD1434" s="134" t="str">
        <f>IF(AC1434="","",IFERROR((RANK(AC1434,$AC$2:$AC$2028,1)+COUNTIF($AC$2:AC1434,AC1434))-1,""))</f>
        <v/>
      </c>
      <c r="AE1434" s="144" t="str">
        <f t="shared" si="487"/>
        <v/>
      </c>
      <c r="AF1434" s="144" t="str">
        <f>IF(AE1434="","",SUM($AE$2:AE1434))</f>
        <v/>
      </c>
    </row>
    <row r="1435" spans="14:32" x14ac:dyDescent="0.35">
      <c r="N1435" s="134" t="str">
        <f t="shared" si="485"/>
        <v/>
      </c>
      <c r="O1435" s="82" t="str">
        <f t="shared" si="476"/>
        <v/>
      </c>
      <c r="P1435" s="81" t="str">
        <f t="shared" si="486"/>
        <v/>
      </c>
      <c r="Q1435" s="81" t="str">
        <f t="shared" si="477"/>
        <v/>
      </c>
      <c r="R1435" s="135" t="str">
        <f t="shared" ca="1" si="478"/>
        <v/>
      </c>
      <c r="S1435" s="134" t="str">
        <f t="shared" ca="1" si="479"/>
        <v/>
      </c>
      <c r="T1435" s="134" t="str">
        <f ca="1">IF(S1435=Dashboard!$D$12,S1435,"")</f>
        <v/>
      </c>
      <c r="U1435" s="134" t="str">
        <f t="shared" ca="1" si="480"/>
        <v/>
      </c>
      <c r="V1435" s="83" t="str">
        <f ca="1">IF(U1435="","",IFERROR((RANK(U1435,$U$2:$U$2028,1)+COUNTIF($U$2:U1435,U1435))-1,""))</f>
        <v/>
      </c>
      <c r="W1435" s="134" t="str">
        <f t="shared" si="484"/>
        <v/>
      </c>
      <c r="X1435" s="134" t="str">
        <f>IF(W1435="","",IFERROR((RANK(W1435,$W$2:$W$2028,1)+COUNTIF($W$2:W1435,W1435))-1,""))</f>
        <v/>
      </c>
      <c r="Y1435" s="134" t="str">
        <f t="shared" si="481"/>
        <v/>
      </c>
      <c r="Z1435" s="134" t="str">
        <f>IF(Y1435="","",IFERROR((RANK(Y1435,$Y$2:$Y$2028,1)+COUNTIF($Y$2:Y1435,Y1435))-1,""))</f>
        <v/>
      </c>
      <c r="AA1435" s="134" t="str">
        <f t="shared" si="482"/>
        <v/>
      </c>
      <c r="AB1435" s="134" t="str">
        <f>IF(AA1435="","",IFERROR((RANK(AA1435,$AA$2:$AA$2028,1)+COUNTIF($AA$2:AA1435,AA1435))-1,""))</f>
        <v/>
      </c>
      <c r="AC1435" s="134" t="str">
        <f t="shared" si="483"/>
        <v/>
      </c>
      <c r="AD1435" s="134" t="str">
        <f>IF(AC1435="","",IFERROR((RANK(AC1435,$AC$2:$AC$2028,1)+COUNTIF($AC$2:AC1435,AC1435))-1,""))</f>
        <v/>
      </c>
      <c r="AE1435" s="144" t="str">
        <f t="shared" si="487"/>
        <v/>
      </c>
      <c r="AF1435" s="144" t="str">
        <f>IF(AE1435="","",SUM($AE$2:AE1435))</f>
        <v/>
      </c>
    </row>
    <row r="1436" spans="14:32" x14ac:dyDescent="0.35">
      <c r="N1436" s="134" t="str">
        <f t="shared" si="485"/>
        <v/>
      </c>
      <c r="O1436" s="82" t="str">
        <f t="shared" si="476"/>
        <v/>
      </c>
      <c r="P1436" s="81" t="str">
        <f t="shared" si="486"/>
        <v/>
      </c>
      <c r="Q1436" s="81" t="str">
        <f t="shared" si="477"/>
        <v/>
      </c>
      <c r="R1436" s="135" t="str">
        <f t="shared" ca="1" si="478"/>
        <v/>
      </c>
      <c r="S1436" s="134" t="str">
        <f t="shared" ca="1" si="479"/>
        <v/>
      </c>
      <c r="T1436" s="134" t="str">
        <f ca="1">IF(S1436=Dashboard!$D$12,S1436,"")</f>
        <v/>
      </c>
      <c r="U1436" s="134" t="str">
        <f t="shared" ca="1" si="480"/>
        <v/>
      </c>
      <c r="V1436" s="83" t="str">
        <f ca="1">IF(U1436="","",IFERROR((RANK(U1436,$U$2:$U$2028,1)+COUNTIF($U$2:U1436,U1436))-1,""))</f>
        <v/>
      </c>
      <c r="W1436" s="134" t="str">
        <f t="shared" si="484"/>
        <v/>
      </c>
      <c r="X1436" s="134" t="str">
        <f>IF(W1436="","",IFERROR((RANK(W1436,$W$2:$W$2028,1)+COUNTIF($W$2:W1436,W1436))-1,""))</f>
        <v/>
      </c>
      <c r="Y1436" s="134" t="str">
        <f t="shared" si="481"/>
        <v/>
      </c>
      <c r="Z1436" s="134" t="str">
        <f>IF(Y1436="","",IFERROR((RANK(Y1436,$Y$2:$Y$2028,1)+COUNTIF($Y$2:Y1436,Y1436))-1,""))</f>
        <v/>
      </c>
      <c r="AA1436" s="134" t="str">
        <f t="shared" si="482"/>
        <v/>
      </c>
      <c r="AB1436" s="134" t="str">
        <f>IF(AA1436="","",IFERROR((RANK(AA1436,$AA$2:$AA$2028,1)+COUNTIF($AA$2:AA1436,AA1436))-1,""))</f>
        <v/>
      </c>
      <c r="AC1436" s="134" t="str">
        <f t="shared" si="483"/>
        <v/>
      </c>
      <c r="AD1436" s="134" t="str">
        <f>IF(AC1436="","",IFERROR((RANK(AC1436,$AC$2:$AC$2028,1)+COUNTIF($AC$2:AC1436,AC1436))-1,""))</f>
        <v/>
      </c>
      <c r="AE1436" s="144" t="str">
        <f t="shared" si="487"/>
        <v/>
      </c>
      <c r="AF1436" s="144" t="str">
        <f>IF(AE1436="","",SUM($AE$2:AE1436))</f>
        <v/>
      </c>
    </row>
    <row r="1437" spans="14:32" x14ac:dyDescent="0.35">
      <c r="N1437" s="134" t="str">
        <f t="shared" si="485"/>
        <v/>
      </c>
      <c r="O1437" s="82" t="str">
        <f t="shared" si="476"/>
        <v/>
      </c>
      <c r="P1437" s="81" t="str">
        <f t="shared" si="486"/>
        <v/>
      </c>
      <c r="Q1437" s="81" t="str">
        <f t="shared" si="477"/>
        <v/>
      </c>
      <c r="R1437" s="135" t="str">
        <f t="shared" ca="1" si="478"/>
        <v/>
      </c>
      <c r="S1437" s="134" t="str">
        <f t="shared" ca="1" si="479"/>
        <v/>
      </c>
      <c r="T1437" s="134" t="str">
        <f ca="1">IF(S1437=Dashboard!$D$12,S1437,"")</f>
        <v/>
      </c>
      <c r="U1437" s="134" t="str">
        <f t="shared" ca="1" si="480"/>
        <v/>
      </c>
      <c r="V1437" s="83" t="str">
        <f ca="1">IF(U1437="","",IFERROR((RANK(U1437,$U$2:$U$2028,1)+COUNTIF($U$2:U1437,U1437))-1,""))</f>
        <v/>
      </c>
      <c r="W1437" s="134" t="str">
        <f t="shared" si="484"/>
        <v/>
      </c>
      <c r="X1437" s="134" t="str">
        <f>IF(W1437="","",IFERROR((RANK(W1437,$W$2:$W$2028,1)+COUNTIF($W$2:W1437,W1437))-1,""))</f>
        <v/>
      </c>
      <c r="Y1437" s="134" t="str">
        <f t="shared" si="481"/>
        <v/>
      </c>
      <c r="Z1437" s="134" t="str">
        <f>IF(Y1437="","",IFERROR((RANK(Y1437,$Y$2:$Y$2028,1)+COUNTIF($Y$2:Y1437,Y1437))-1,""))</f>
        <v/>
      </c>
      <c r="AA1437" s="134" t="str">
        <f t="shared" si="482"/>
        <v/>
      </c>
      <c r="AB1437" s="134" t="str">
        <f>IF(AA1437="","",IFERROR((RANK(AA1437,$AA$2:$AA$2028,1)+COUNTIF($AA$2:AA1437,AA1437))-1,""))</f>
        <v/>
      </c>
      <c r="AC1437" s="134" t="str">
        <f t="shared" si="483"/>
        <v/>
      </c>
      <c r="AD1437" s="134" t="str">
        <f>IF(AC1437="","",IFERROR((RANK(AC1437,$AC$2:$AC$2028,1)+COUNTIF($AC$2:AC1437,AC1437))-1,""))</f>
        <v/>
      </c>
      <c r="AE1437" s="144" t="str">
        <f t="shared" si="487"/>
        <v/>
      </c>
      <c r="AF1437" s="144" t="str">
        <f>IF(AE1437="","",SUM($AE$2:AE1437))</f>
        <v/>
      </c>
    </row>
    <row r="1438" spans="14:32" x14ac:dyDescent="0.35">
      <c r="N1438" s="134" t="str">
        <f t="shared" si="485"/>
        <v/>
      </c>
      <c r="O1438" s="82" t="str">
        <f t="shared" ref="O1438:O1501" si="488">IF(A1438="","",N1438&amp;"-"&amp;M1438)</f>
        <v/>
      </c>
      <c r="P1438" s="81" t="str">
        <f t="shared" si="486"/>
        <v/>
      </c>
      <c r="Q1438" s="81" t="str">
        <f t="shared" ref="Q1438:Q1501" si="489">IF(A1438="","",IF(P1438=1,M1438,""))</f>
        <v/>
      </c>
      <c r="R1438" s="135" t="str">
        <f t="shared" ref="R1438:R1501" ca="1" si="490">IF(Q1438="","",I1438-TODAY())</f>
        <v/>
      </c>
      <c r="S1438" s="134" t="str">
        <f t="shared" ref="S1438:S1501" ca="1" si="491">IF(R1438="","",
IF(R1438&lt;-90,"Pass&gt;90",IF(R1438&lt;-60,"Pass 61-90",IF(R1438&lt;-30,"Pass 31-60",IF(R1438&lt;0,"Pass 0-30",IF(R1438&lt;31,"Run 0-30",IF(R1438&lt;61,"Run 31-60",IF(R1438&lt;91,"Run 60-90","Run &gt;90"))))))))</f>
        <v/>
      </c>
      <c r="T1438" s="134" t="str">
        <f ca="1">IF(S1438=Dashboard!$D$12,S1438,"")</f>
        <v/>
      </c>
      <c r="U1438" s="134" t="str">
        <f t="shared" ref="U1438:U1501" ca="1" si="492">IF(T1438="","",R1438)</f>
        <v/>
      </c>
      <c r="V1438" s="83" t="str">
        <f ca="1">IF(U1438="","",IFERROR((RANK(U1438,$U$2:$U$2028,1)+COUNTIF($U$2:U1438,U1438))-1,""))</f>
        <v/>
      </c>
      <c r="W1438" s="134" t="str">
        <f t="shared" si="484"/>
        <v/>
      </c>
      <c r="X1438" s="134" t="str">
        <f>IF(W1438="","",IFERROR((RANK(W1438,$W$2:$W$2028,1)+COUNTIF($W$2:W1438,W1438))-1,""))</f>
        <v/>
      </c>
      <c r="Y1438" s="134" t="str">
        <f t="shared" ref="Y1438:Y1501" si="493">IF($J1438=Y$1,$U1438,"")</f>
        <v/>
      </c>
      <c r="Z1438" s="134" t="str">
        <f>IF(Y1438="","",IFERROR((RANK(Y1438,$Y$2:$Y$2028,1)+COUNTIF($Y$2:Y1438,Y1438))-1,""))</f>
        <v/>
      </c>
      <c r="AA1438" s="134" t="str">
        <f t="shared" ref="AA1438:AA1501" si="494">IF($J1438=AA$1,$U1438,"")</f>
        <v/>
      </c>
      <c r="AB1438" s="134" t="str">
        <f>IF(AA1438="","",IFERROR((RANK(AA1438,$AA$2:$AA$2028,1)+COUNTIF($AA$2:AA1438,AA1438))-1,""))</f>
        <v/>
      </c>
      <c r="AC1438" s="134" t="str">
        <f t="shared" ref="AC1438:AC1501" si="495">IF($J1438=AC$1,$U1438,"")</f>
        <v/>
      </c>
      <c r="AD1438" s="134" t="str">
        <f>IF(AC1438="","",IFERROR((RANK(AC1438,$AC$2:$AC$2028,1)+COUNTIF($AC$2:AC1438,AC1438))-1,""))</f>
        <v/>
      </c>
      <c r="AE1438" s="144" t="str">
        <f t="shared" si="487"/>
        <v/>
      </c>
      <c r="AF1438" s="144" t="str">
        <f>IF(AE1438="","",SUM($AE$2:AE1438))</f>
        <v/>
      </c>
    </row>
    <row r="1439" spans="14:32" x14ac:dyDescent="0.35">
      <c r="N1439" s="134" t="str">
        <f t="shared" si="485"/>
        <v/>
      </c>
      <c r="O1439" s="82" t="str">
        <f t="shared" si="488"/>
        <v/>
      </c>
      <c r="P1439" s="81" t="str">
        <f t="shared" si="486"/>
        <v/>
      </c>
      <c r="Q1439" s="81" t="str">
        <f t="shared" si="489"/>
        <v/>
      </c>
      <c r="R1439" s="135" t="str">
        <f t="shared" ca="1" si="490"/>
        <v/>
      </c>
      <c r="S1439" s="134" t="str">
        <f t="shared" ca="1" si="491"/>
        <v/>
      </c>
      <c r="T1439" s="134" t="str">
        <f ca="1">IF(S1439=Dashboard!$D$12,S1439,"")</f>
        <v/>
      </c>
      <c r="U1439" s="134" t="str">
        <f t="shared" ca="1" si="492"/>
        <v/>
      </c>
      <c r="V1439" s="83" t="str">
        <f ca="1">IF(U1439="","",IFERROR((RANK(U1439,$U$2:$U$2028,1)+COUNTIF($U$2:U1439,U1439))-1,""))</f>
        <v/>
      </c>
      <c r="W1439" s="134" t="str">
        <f t="shared" ref="W1439:W1502" si="496">IF($J1439=$W$1,U1439,"")</f>
        <v/>
      </c>
      <c r="X1439" s="134" t="str">
        <f>IF(W1439="","",IFERROR((RANK(W1439,$W$2:$W$2028,1)+COUNTIF($W$2:W1439,W1439))-1,""))</f>
        <v/>
      </c>
      <c r="Y1439" s="134" t="str">
        <f t="shared" si="493"/>
        <v/>
      </c>
      <c r="Z1439" s="134" t="str">
        <f>IF(Y1439="","",IFERROR((RANK(Y1439,$Y$2:$Y$2028,1)+COUNTIF($Y$2:Y1439,Y1439))-1,""))</f>
        <v/>
      </c>
      <c r="AA1439" s="134" t="str">
        <f t="shared" si="494"/>
        <v/>
      </c>
      <c r="AB1439" s="134" t="str">
        <f>IF(AA1439="","",IFERROR((RANK(AA1439,$AA$2:$AA$2028,1)+COUNTIF($AA$2:AA1439,AA1439))-1,""))</f>
        <v/>
      </c>
      <c r="AC1439" s="134" t="str">
        <f t="shared" si="495"/>
        <v/>
      </c>
      <c r="AD1439" s="134" t="str">
        <f>IF(AC1439="","",IFERROR((RANK(AC1439,$AC$2:$AC$2028,1)+COUNTIF($AC$2:AC1439,AC1439))-1,""))</f>
        <v/>
      </c>
      <c r="AE1439" s="144" t="str">
        <f t="shared" si="487"/>
        <v/>
      </c>
      <c r="AF1439" s="144" t="str">
        <f>IF(AE1439="","",SUM($AE$2:AE1439))</f>
        <v/>
      </c>
    </row>
    <row r="1440" spans="14:32" x14ac:dyDescent="0.35">
      <c r="N1440" s="134" t="str">
        <f t="shared" si="485"/>
        <v/>
      </c>
      <c r="O1440" s="82" t="str">
        <f t="shared" si="488"/>
        <v/>
      </c>
      <c r="P1440" s="81" t="str">
        <f t="shared" si="486"/>
        <v/>
      </c>
      <c r="Q1440" s="81" t="str">
        <f t="shared" si="489"/>
        <v/>
      </c>
      <c r="R1440" s="135" t="str">
        <f t="shared" ca="1" si="490"/>
        <v/>
      </c>
      <c r="S1440" s="134" t="str">
        <f t="shared" ca="1" si="491"/>
        <v/>
      </c>
      <c r="T1440" s="134" t="str">
        <f ca="1">IF(S1440=Dashboard!$D$12,S1440,"")</f>
        <v/>
      </c>
      <c r="U1440" s="134" t="str">
        <f t="shared" ca="1" si="492"/>
        <v/>
      </c>
      <c r="V1440" s="83" t="str">
        <f ca="1">IF(U1440="","",IFERROR((RANK(U1440,$U$2:$U$2028,1)+COUNTIF($U$2:U1440,U1440))-1,""))</f>
        <v/>
      </c>
      <c r="W1440" s="134" t="str">
        <f t="shared" si="496"/>
        <v/>
      </c>
      <c r="X1440" s="134" t="str">
        <f>IF(W1440="","",IFERROR((RANK(W1440,$W$2:$W$2028,1)+COUNTIF($W$2:W1440,W1440))-1,""))</f>
        <v/>
      </c>
      <c r="Y1440" s="134" t="str">
        <f t="shared" si="493"/>
        <v/>
      </c>
      <c r="Z1440" s="134" t="str">
        <f>IF(Y1440="","",IFERROR((RANK(Y1440,$Y$2:$Y$2028,1)+COUNTIF($Y$2:Y1440,Y1440))-1,""))</f>
        <v/>
      </c>
      <c r="AA1440" s="134" t="str">
        <f t="shared" si="494"/>
        <v/>
      </c>
      <c r="AB1440" s="134" t="str">
        <f>IF(AA1440="","",IFERROR((RANK(AA1440,$AA$2:$AA$2028,1)+COUNTIF($AA$2:AA1440,AA1440))-1,""))</f>
        <v/>
      </c>
      <c r="AC1440" s="134" t="str">
        <f t="shared" si="495"/>
        <v/>
      </c>
      <c r="AD1440" s="134" t="str">
        <f>IF(AC1440="","",IFERROR((RANK(AC1440,$AC$2:$AC$2028,1)+COUNTIF($AC$2:AC1440,AC1440))-1,""))</f>
        <v/>
      </c>
      <c r="AE1440" s="144" t="str">
        <f t="shared" si="487"/>
        <v/>
      </c>
      <c r="AF1440" s="144" t="str">
        <f>IF(AE1440="","",SUM($AE$2:AE1440))</f>
        <v/>
      </c>
    </row>
    <row r="1441" spans="14:32" x14ac:dyDescent="0.35">
      <c r="N1441" s="134" t="str">
        <f t="shared" si="485"/>
        <v/>
      </c>
      <c r="O1441" s="82" t="str">
        <f t="shared" si="488"/>
        <v/>
      </c>
      <c r="P1441" s="81" t="str">
        <f t="shared" si="486"/>
        <v/>
      </c>
      <c r="Q1441" s="81" t="str">
        <f t="shared" si="489"/>
        <v/>
      </c>
      <c r="R1441" s="135" t="str">
        <f t="shared" ca="1" si="490"/>
        <v/>
      </c>
      <c r="S1441" s="134" t="str">
        <f t="shared" ca="1" si="491"/>
        <v/>
      </c>
      <c r="T1441" s="134" t="str">
        <f ca="1">IF(S1441=Dashboard!$D$12,S1441,"")</f>
        <v/>
      </c>
      <c r="U1441" s="134" t="str">
        <f t="shared" ca="1" si="492"/>
        <v/>
      </c>
      <c r="V1441" s="83" t="str">
        <f ca="1">IF(U1441="","",IFERROR((RANK(U1441,$U$2:$U$2028,1)+COUNTIF($U$2:U1441,U1441))-1,""))</f>
        <v/>
      </c>
      <c r="W1441" s="134" t="str">
        <f t="shared" si="496"/>
        <v/>
      </c>
      <c r="X1441" s="134" t="str">
        <f>IF(W1441="","",IFERROR((RANK(W1441,$W$2:$W$2028,1)+COUNTIF($W$2:W1441,W1441))-1,""))</f>
        <v/>
      </c>
      <c r="Y1441" s="134" t="str">
        <f t="shared" si="493"/>
        <v/>
      </c>
      <c r="Z1441" s="134" t="str">
        <f>IF(Y1441="","",IFERROR((RANK(Y1441,$Y$2:$Y$2028,1)+COUNTIF($Y$2:Y1441,Y1441))-1,""))</f>
        <v/>
      </c>
      <c r="AA1441" s="134" t="str">
        <f t="shared" si="494"/>
        <v/>
      </c>
      <c r="AB1441" s="134" t="str">
        <f>IF(AA1441="","",IFERROR((RANK(AA1441,$AA$2:$AA$2028,1)+COUNTIF($AA$2:AA1441,AA1441))-1,""))</f>
        <v/>
      </c>
      <c r="AC1441" s="134" t="str">
        <f t="shared" si="495"/>
        <v/>
      </c>
      <c r="AD1441" s="134" t="str">
        <f>IF(AC1441="","",IFERROR((RANK(AC1441,$AC$2:$AC$2028,1)+COUNTIF($AC$2:AC1441,AC1441))-1,""))</f>
        <v/>
      </c>
      <c r="AE1441" s="144" t="str">
        <f t="shared" si="487"/>
        <v/>
      </c>
      <c r="AF1441" s="144" t="str">
        <f>IF(AE1441="","",SUM($AE$2:AE1441))</f>
        <v/>
      </c>
    </row>
    <row r="1442" spans="14:32" x14ac:dyDescent="0.35">
      <c r="N1442" s="134" t="str">
        <f t="shared" si="485"/>
        <v/>
      </c>
      <c r="O1442" s="82" t="str">
        <f t="shared" si="488"/>
        <v/>
      </c>
      <c r="P1442" s="81" t="str">
        <f t="shared" si="486"/>
        <v/>
      </c>
      <c r="Q1442" s="81" t="str">
        <f t="shared" si="489"/>
        <v/>
      </c>
      <c r="R1442" s="135" t="str">
        <f t="shared" ca="1" si="490"/>
        <v/>
      </c>
      <c r="S1442" s="134" t="str">
        <f t="shared" ca="1" si="491"/>
        <v/>
      </c>
      <c r="T1442" s="134" t="str">
        <f ca="1">IF(S1442=Dashboard!$D$12,S1442,"")</f>
        <v/>
      </c>
      <c r="U1442" s="134" t="str">
        <f t="shared" ca="1" si="492"/>
        <v/>
      </c>
      <c r="V1442" s="83" t="str">
        <f ca="1">IF(U1442="","",IFERROR((RANK(U1442,$U$2:$U$2028,1)+COUNTIF($U$2:U1442,U1442))-1,""))</f>
        <v/>
      </c>
      <c r="W1442" s="134" t="str">
        <f t="shared" si="496"/>
        <v/>
      </c>
      <c r="X1442" s="134" t="str">
        <f>IF(W1442="","",IFERROR((RANK(W1442,$W$2:$W$2028,1)+COUNTIF($W$2:W1442,W1442))-1,""))</f>
        <v/>
      </c>
      <c r="Y1442" s="134" t="str">
        <f t="shared" si="493"/>
        <v/>
      </c>
      <c r="Z1442" s="134" t="str">
        <f>IF(Y1442="","",IFERROR((RANK(Y1442,$Y$2:$Y$2028,1)+COUNTIF($Y$2:Y1442,Y1442))-1,""))</f>
        <v/>
      </c>
      <c r="AA1442" s="134" t="str">
        <f t="shared" si="494"/>
        <v/>
      </c>
      <c r="AB1442" s="134" t="str">
        <f>IF(AA1442="","",IFERROR((RANK(AA1442,$AA$2:$AA$2028,1)+COUNTIF($AA$2:AA1442,AA1442))-1,""))</f>
        <v/>
      </c>
      <c r="AC1442" s="134" t="str">
        <f t="shared" si="495"/>
        <v/>
      </c>
      <c r="AD1442" s="134" t="str">
        <f>IF(AC1442="","",IFERROR((RANK(AC1442,$AC$2:$AC$2028,1)+COUNTIF($AC$2:AC1442,AC1442))-1,""))</f>
        <v/>
      </c>
      <c r="AE1442" s="144" t="str">
        <f t="shared" si="487"/>
        <v/>
      </c>
      <c r="AF1442" s="144" t="str">
        <f>IF(AE1442="","",SUM($AE$2:AE1442))</f>
        <v/>
      </c>
    </row>
    <row r="1443" spans="14:32" x14ac:dyDescent="0.35">
      <c r="N1443" s="134" t="str">
        <f t="shared" si="485"/>
        <v/>
      </c>
      <c r="O1443" s="82" t="str">
        <f t="shared" si="488"/>
        <v/>
      </c>
      <c r="P1443" s="81" t="str">
        <f t="shared" si="486"/>
        <v/>
      </c>
      <c r="Q1443" s="81" t="str">
        <f t="shared" si="489"/>
        <v/>
      </c>
      <c r="R1443" s="135" t="str">
        <f t="shared" ca="1" si="490"/>
        <v/>
      </c>
      <c r="S1443" s="134" t="str">
        <f t="shared" ca="1" si="491"/>
        <v/>
      </c>
      <c r="T1443" s="134" t="str">
        <f ca="1">IF(S1443=Dashboard!$D$12,S1443,"")</f>
        <v/>
      </c>
      <c r="U1443" s="134" t="str">
        <f t="shared" ca="1" si="492"/>
        <v/>
      </c>
      <c r="V1443" s="83" t="str">
        <f ca="1">IF(U1443="","",IFERROR((RANK(U1443,$U$2:$U$2028,1)+COUNTIF($U$2:U1443,U1443))-1,""))</f>
        <v/>
      </c>
      <c r="W1443" s="134" t="str">
        <f t="shared" si="496"/>
        <v/>
      </c>
      <c r="X1443" s="134" t="str">
        <f>IF(W1443="","",IFERROR((RANK(W1443,$W$2:$W$2028,1)+COUNTIF($W$2:W1443,W1443))-1,""))</f>
        <v/>
      </c>
      <c r="Y1443" s="134" t="str">
        <f t="shared" si="493"/>
        <v/>
      </c>
      <c r="Z1443" s="134" t="str">
        <f>IF(Y1443="","",IFERROR((RANK(Y1443,$Y$2:$Y$2028,1)+COUNTIF($Y$2:Y1443,Y1443))-1,""))</f>
        <v/>
      </c>
      <c r="AA1443" s="134" t="str">
        <f t="shared" si="494"/>
        <v/>
      </c>
      <c r="AB1443" s="134" t="str">
        <f>IF(AA1443="","",IFERROR((RANK(AA1443,$AA$2:$AA$2028,1)+COUNTIF($AA$2:AA1443,AA1443))-1,""))</f>
        <v/>
      </c>
      <c r="AC1443" s="134" t="str">
        <f t="shared" si="495"/>
        <v/>
      </c>
      <c r="AD1443" s="134" t="str">
        <f>IF(AC1443="","",IFERROR((RANK(AC1443,$AC$2:$AC$2028,1)+COUNTIF($AC$2:AC1443,AC1443))-1,""))</f>
        <v/>
      </c>
      <c r="AE1443" s="144" t="str">
        <f t="shared" si="487"/>
        <v/>
      </c>
      <c r="AF1443" s="144" t="str">
        <f>IF(AE1443="","",SUM($AE$2:AE1443))</f>
        <v/>
      </c>
    </row>
    <row r="1444" spans="14:32" x14ac:dyDescent="0.35">
      <c r="N1444" s="134" t="str">
        <f t="shared" si="485"/>
        <v/>
      </c>
      <c r="O1444" s="82" t="str">
        <f t="shared" si="488"/>
        <v/>
      </c>
      <c r="P1444" s="81" t="str">
        <f t="shared" si="486"/>
        <v/>
      </c>
      <c r="Q1444" s="81" t="str">
        <f t="shared" si="489"/>
        <v/>
      </c>
      <c r="R1444" s="135" t="str">
        <f t="shared" ca="1" si="490"/>
        <v/>
      </c>
      <c r="S1444" s="134" t="str">
        <f t="shared" ca="1" si="491"/>
        <v/>
      </c>
      <c r="T1444" s="134" t="str">
        <f ca="1">IF(S1444=Dashboard!$D$12,S1444,"")</f>
        <v/>
      </c>
      <c r="U1444" s="134" t="str">
        <f t="shared" ca="1" si="492"/>
        <v/>
      </c>
      <c r="V1444" s="83" t="str">
        <f ca="1">IF(U1444="","",IFERROR((RANK(U1444,$U$2:$U$2028,1)+COUNTIF($U$2:U1444,U1444))-1,""))</f>
        <v/>
      </c>
      <c r="W1444" s="134" t="str">
        <f t="shared" si="496"/>
        <v/>
      </c>
      <c r="X1444" s="134" t="str">
        <f>IF(W1444="","",IFERROR((RANK(W1444,$W$2:$W$2028,1)+COUNTIF($W$2:W1444,W1444))-1,""))</f>
        <v/>
      </c>
      <c r="Y1444" s="134" t="str">
        <f t="shared" si="493"/>
        <v/>
      </c>
      <c r="Z1444" s="134" t="str">
        <f>IF(Y1444="","",IFERROR((RANK(Y1444,$Y$2:$Y$2028,1)+COUNTIF($Y$2:Y1444,Y1444))-1,""))</f>
        <v/>
      </c>
      <c r="AA1444" s="134" t="str">
        <f t="shared" si="494"/>
        <v/>
      </c>
      <c r="AB1444" s="134" t="str">
        <f>IF(AA1444="","",IFERROR((RANK(AA1444,$AA$2:$AA$2028,1)+COUNTIF($AA$2:AA1444,AA1444))-1,""))</f>
        <v/>
      </c>
      <c r="AC1444" s="134" t="str">
        <f t="shared" si="495"/>
        <v/>
      </c>
      <c r="AD1444" s="134" t="str">
        <f>IF(AC1444="","",IFERROR((RANK(AC1444,$AC$2:$AC$2028,1)+COUNTIF($AC$2:AC1444,AC1444))-1,""))</f>
        <v/>
      </c>
      <c r="AE1444" s="144" t="str">
        <f t="shared" si="487"/>
        <v/>
      </c>
      <c r="AF1444" s="144" t="str">
        <f>IF(AE1444="","",SUM($AE$2:AE1444))</f>
        <v/>
      </c>
    </row>
    <row r="1445" spans="14:32" x14ac:dyDescent="0.35">
      <c r="N1445" s="134" t="str">
        <f t="shared" si="485"/>
        <v/>
      </c>
      <c r="O1445" s="82" t="str">
        <f t="shared" si="488"/>
        <v/>
      </c>
      <c r="P1445" s="81" t="str">
        <f t="shared" si="486"/>
        <v/>
      </c>
      <c r="Q1445" s="81" t="str">
        <f t="shared" si="489"/>
        <v/>
      </c>
      <c r="R1445" s="135" t="str">
        <f t="shared" ca="1" si="490"/>
        <v/>
      </c>
      <c r="S1445" s="134" t="str">
        <f t="shared" ca="1" si="491"/>
        <v/>
      </c>
      <c r="T1445" s="134" t="str">
        <f ca="1">IF(S1445=Dashboard!$D$12,S1445,"")</f>
        <v/>
      </c>
      <c r="U1445" s="134" t="str">
        <f t="shared" ca="1" si="492"/>
        <v/>
      </c>
      <c r="V1445" s="83" t="str">
        <f ca="1">IF(U1445="","",IFERROR((RANK(U1445,$U$2:$U$2028,1)+COUNTIF($U$2:U1445,U1445))-1,""))</f>
        <v/>
      </c>
      <c r="W1445" s="134" t="str">
        <f t="shared" si="496"/>
        <v/>
      </c>
      <c r="X1445" s="134" t="str">
        <f>IF(W1445="","",IFERROR((RANK(W1445,$W$2:$W$2028,1)+COUNTIF($W$2:W1445,W1445))-1,""))</f>
        <v/>
      </c>
      <c r="Y1445" s="134" t="str">
        <f t="shared" si="493"/>
        <v/>
      </c>
      <c r="Z1445" s="134" t="str">
        <f>IF(Y1445="","",IFERROR((RANK(Y1445,$Y$2:$Y$2028,1)+COUNTIF($Y$2:Y1445,Y1445))-1,""))</f>
        <v/>
      </c>
      <c r="AA1445" s="134" t="str">
        <f t="shared" si="494"/>
        <v/>
      </c>
      <c r="AB1445" s="134" t="str">
        <f>IF(AA1445="","",IFERROR((RANK(AA1445,$AA$2:$AA$2028,1)+COUNTIF($AA$2:AA1445,AA1445))-1,""))</f>
        <v/>
      </c>
      <c r="AC1445" s="134" t="str">
        <f t="shared" si="495"/>
        <v/>
      </c>
      <c r="AD1445" s="134" t="str">
        <f>IF(AC1445="","",IFERROR((RANK(AC1445,$AC$2:$AC$2028,1)+COUNTIF($AC$2:AC1445,AC1445))-1,""))</f>
        <v/>
      </c>
      <c r="AE1445" s="144" t="str">
        <f t="shared" si="487"/>
        <v/>
      </c>
      <c r="AF1445" s="144" t="str">
        <f>IF(AE1445="","",SUM($AE$2:AE1445))</f>
        <v/>
      </c>
    </row>
    <row r="1446" spans="14:32" x14ac:dyDescent="0.35">
      <c r="N1446" s="134" t="str">
        <f t="shared" si="485"/>
        <v/>
      </c>
      <c r="O1446" s="82" t="str">
        <f t="shared" si="488"/>
        <v/>
      </c>
      <c r="P1446" s="81" t="str">
        <f t="shared" si="486"/>
        <v/>
      </c>
      <c r="Q1446" s="81" t="str">
        <f t="shared" si="489"/>
        <v/>
      </c>
      <c r="R1446" s="135" t="str">
        <f t="shared" ca="1" si="490"/>
        <v/>
      </c>
      <c r="S1446" s="134" t="str">
        <f t="shared" ca="1" si="491"/>
        <v/>
      </c>
      <c r="T1446" s="134" t="str">
        <f ca="1">IF(S1446=Dashboard!$D$12,S1446,"")</f>
        <v/>
      </c>
      <c r="U1446" s="134" t="str">
        <f t="shared" ca="1" si="492"/>
        <v/>
      </c>
      <c r="V1446" s="83" t="str">
        <f ca="1">IF(U1446="","",IFERROR((RANK(U1446,$U$2:$U$2028,1)+COUNTIF($U$2:U1446,U1446))-1,""))</f>
        <v/>
      </c>
      <c r="W1446" s="134" t="str">
        <f t="shared" si="496"/>
        <v/>
      </c>
      <c r="X1446" s="134" t="str">
        <f>IF(W1446="","",IFERROR((RANK(W1446,$W$2:$W$2028,1)+COUNTIF($W$2:W1446,W1446))-1,""))</f>
        <v/>
      </c>
      <c r="Y1446" s="134" t="str">
        <f t="shared" si="493"/>
        <v/>
      </c>
      <c r="Z1446" s="134" t="str">
        <f>IF(Y1446="","",IFERROR((RANK(Y1446,$Y$2:$Y$2028,1)+COUNTIF($Y$2:Y1446,Y1446))-1,""))</f>
        <v/>
      </c>
      <c r="AA1446" s="134" t="str">
        <f t="shared" si="494"/>
        <v/>
      </c>
      <c r="AB1446" s="134" t="str">
        <f>IF(AA1446="","",IFERROR((RANK(AA1446,$AA$2:$AA$2028,1)+COUNTIF($AA$2:AA1446,AA1446))-1,""))</f>
        <v/>
      </c>
      <c r="AC1446" s="134" t="str">
        <f t="shared" si="495"/>
        <v/>
      </c>
      <c r="AD1446" s="134" t="str">
        <f>IF(AC1446="","",IFERROR((RANK(AC1446,$AC$2:$AC$2028,1)+COUNTIF($AC$2:AC1446,AC1446))-1,""))</f>
        <v/>
      </c>
      <c r="AE1446" s="144" t="str">
        <f t="shared" si="487"/>
        <v/>
      </c>
      <c r="AF1446" s="144" t="str">
        <f>IF(AE1446="","",SUM($AE$2:AE1446))</f>
        <v/>
      </c>
    </row>
    <row r="1447" spans="14:32" x14ac:dyDescent="0.35">
      <c r="N1447" s="134" t="str">
        <f t="shared" si="485"/>
        <v/>
      </c>
      <c r="O1447" s="82" t="str">
        <f t="shared" si="488"/>
        <v/>
      </c>
      <c r="P1447" s="81" t="str">
        <f t="shared" si="486"/>
        <v/>
      </c>
      <c r="Q1447" s="81" t="str">
        <f t="shared" si="489"/>
        <v/>
      </c>
      <c r="R1447" s="135" t="str">
        <f t="shared" ca="1" si="490"/>
        <v/>
      </c>
      <c r="S1447" s="134" t="str">
        <f t="shared" ca="1" si="491"/>
        <v/>
      </c>
      <c r="T1447" s="134" t="str">
        <f ca="1">IF(S1447=Dashboard!$D$12,S1447,"")</f>
        <v/>
      </c>
      <c r="U1447" s="134" t="str">
        <f t="shared" ca="1" si="492"/>
        <v/>
      </c>
      <c r="V1447" s="83" t="str">
        <f ca="1">IF(U1447="","",IFERROR((RANK(U1447,$U$2:$U$2028,1)+COUNTIF($U$2:U1447,U1447))-1,""))</f>
        <v/>
      </c>
      <c r="W1447" s="134" t="str">
        <f t="shared" si="496"/>
        <v/>
      </c>
      <c r="X1447" s="134" t="str">
        <f>IF(W1447="","",IFERROR((RANK(W1447,$W$2:$W$2028,1)+COUNTIF($W$2:W1447,W1447))-1,""))</f>
        <v/>
      </c>
      <c r="Y1447" s="134" t="str">
        <f t="shared" si="493"/>
        <v/>
      </c>
      <c r="Z1447" s="134" t="str">
        <f>IF(Y1447="","",IFERROR((RANK(Y1447,$Y$2:$Y$2028,1)+COUNTIF($Y$2:Y1447,Y1447))-1,""))</f>
        <v/>
      </c>
      <c r="AA1447" s="134" t="str">
        <f t="shared" si="494"/>
        <v/>
      </c>
      <c r="AB1447" s="134" t="str">
        <f>IF(AA1447="","",IFERROR((RANK(AA1447,$AA$2:$AA$2028,1)+COUNTIF($AA$2:AA1447,AA1447))-1,""))</f>
        <v/>
      </c>
      <c r="AC1447" s="134" t="str">
        <f t="shared" si="495"/>
        <v/>
      </c>
      <c r="AD1447" s="134" t="str">
        <f>IF(AC1447="","",IFERROR((RANK(AC1447,$AC$2:$AC$2028,1)+COUNTIF($AC$2:AC1447,AC1447))-1,""))</f>
        <v/>
      </c>
      <c r="AE1447" s="144" t="str">
        <f t="shared" si="487"/>
        <v/>
      </c>
      <c r="AF1447" s="144" t="str">
        <f>IF(AE1447="","",SUM($AE$2:AE1447))</f>
        <v/>
      </c>
    </row>
    <row r="1448" spans="14:32" x14ac:dyDescent="0.35">
      <c r="N1448" s="134" t="str">
        <f t="shared" si="485"/>
        <v/>
      </c>
      <c r="O1448" s="82" t="str">
        <f t="shared" si="488"/>
        <v/>
      </c>
      <c r="P1448" s="81" t="str">
        <f t="shared" si="486"/>
        <v/>
      </c>
      <c r="Q1448" s="81" t="str">
        <f t="shared" si="489"/>
        <v/>
      </c>
      <c r="R1448" s="135" t="str">
        <f t="shared" ca="1" si="490"/>
        <v/>
      </c>
      <c r="S1448" s="134" t="str">
        <f t="shared" ca="1" si="491"/>
        <v/>
      </c>
      <c r="T1448" s="134" t="str">
        <f ca="1">IF(S1448=Dashboard!$D$12,S1448,"")</f>
        <v/>
      </c>
      <c r="U1448" s="134" t="str">
        <f t="shared" ca="1" si="492"/>
        <v/>
      </c>
      <c r="V1448" s="83" t="str">
        <f ca="1">IF(U1448="","",IFERROR((RANK(U1448,$U$2:$U$2028,1)+COUNTIF($U$2:U1448,U1448))-1,""))</f>
        <v/>
      </c>
      <c r="W1448" s="134" t="str">
        <f t="shared" si="496"/>
        <v/>
      </c>
      <c r="X1448" s="134" t="str">
        <f>IF(W1448="","",IFERROR((RANK(W1448,$W$2:$W$2028,1)+COUNTIF($W$2:W1448,W1448))-1,""))</f>
        <v/>
      </c>
      <c r="Y1448" s="134" t="str">
        <f t="shared" si="493"/>
        <v/>
      </c>
      <c r="Z1448" s="134" t="str">
        <f>IF(Y1448="","",IFERROR((RANK(Y1448,$Y$2:$Y$2028,1)+COUNTIF($Y$2:Y1448,Y1448))-1,""))</f>
        <v/>
      </c>
      <c r="AA1448" s="134" t="str">
        <f t="shared" si="494"/>
        <v/>
      </c>
      <c r="AB1448" s="134" t="str">
        <f>IF(AA1448="","",IFERROR((RANK(AA1448,$AA$2:$AA$2028,1)+COUNTIF($AA$2:AA1448,AA1448))-1,""))</f>
        <v/>
      </c>
      <c r="AC1448" s="134" t="str">
        <f t="shared" si="495"/>
        <v/>
      </c>
      <c r="AD1448" s="134" t="str">
        <f>IF(AC1448="","",IFERROR((RANK(AC1448,$AC$2:$AC$2028,1)+COUNTIF($AC$2:AC1448,AC1448))-1,""))</f>
        <v/>
      </c>
      <c r="AE1448" s="144" t="str">
        <f t="shared" si="487"/>
        <v/>
      </c>
      <c r="AF1448" s="144" t="str">
        <f>IF(AE1448="","",SUM($AE$2:AE1448))</f>
        <v/>
      </c>
    </row>
    <row r="1449" spans="14:32" x14ac:dyDescent="0.35">
      <c r="N1449" s="134" t="str">
        <f t="shared" si="485"/>
        <v/>
      </c>
      <c r="O1449" s="82" t="str">
        <f t="shared" si="488"/>
        <v/>
      </c>
      <c r="P1449" s="81" t="str">
        <f t="shared" si="486"/>
        <v/>
      </c>
      <c r="Q1449" s="81" t="str">
        <f t="shared" si="489"/>
        <v/>
      </c>
      <c r="R1449" s="135" t="str">
        <f t="shared" ca="1" si="490"/>
        <v/>
      </c>
      <c r="S1449" s="134" t="str">
        <f t="shared" ca="1" si="491"/>
        <v/>
      </c>
      <c r="T1449" s="134" t="str">
        <f ca="1">IF(S1449=Dashboard!$D$12,S1449,"")</f>
        <v/>
      </c>
      <c r="U1449" s="134" t="str">
        <f t="shared" ca="1" si="492"/>
        <v/>
      </c>
      <c r="V1449" s="83" t="str">
        <f ca="1">IF(U1449="","",IFERROR((RANK(U1449,$U$2:$U$2028,1)+COUNTIF($U$2:U1449,U1449))-1,""))</f>
        <v/>
      </c>
      <c r="W1449" s="134" t="str">
        <f t="shared" si="496"/>
        <v/>
      </c>
      <c r="X1449" s="134" t="str">
        <f>IF(W1449="","",IFERROR((RANK(W1449,$W$2:$W$2028,1)+COUNTIF($W$2:W1449,W1449))-1,""))</f>
        <v/>
      </c>
      <c r="Y1449" s="134" t="str">
        <f t="shared" si="493"/>
        <v/>
      </c>
      <c r="Z1449" s="134" t="str">
        <f>IF(Y1449="","",IFERROR((RANK(Y1449,$Y$2:$Y$2028,1)+COUNTIF($Y$2:Y1449,Y1449))-1,""))</f>
        <v/>
      </c>
      <c r="AA1449" s="134" t="str">
        <f t="shared" si="494"/>
        <v/>
      </c>
      <c r="AB1449" s="134" t="str">
        <f>IF(AA1449="","",IFERROR((RANK(AA1449,$AA$2:$AA$2028,1)+COUNTIF($AA$2:AA1449,AA1449))-1,""))</f>
        <v/>
      </c>
      <c r="AC1449" s="134" t="str">
        <f t="shared" si="495"/>
        <v/>
      </c>
      <c r="AD1449" s="134" t="str">
        <f>IF(AC1449="","",IFERROR((RANK(AC1449,$AC$2:$AC$2028,1)+COUNTIF($AC$2:AC1449,AC1449))-1,""))</f>
        <v/>
      </c>
      <c r="AE1449" s="144" t="str">
        <f t="shared" si="487"/>
        <v/>
      </c>
      <c r="AF1449" s="144" t="str">
        <f>IF(AE1449="","",SUM($AE$2:AE1449))</f>
        <v/>
      </c>
    </row>
    <row r="1450" spans="14:32" x14ac:dyDescent="0.35">
      <c r="N1450" s="134" t="str">
        <f t="shared" si="485"/>
        <v/>
      </c>
      <c r="O1450" s="82" t="str">
        <f t="shared" si="488"/>
        <v/>
      </c>
      <c r="P1450" s="81" t="str">
        <f t="shared" si="486"/>
        <v/>
      </c>
      <c r="Q1450" s="81" t="str">
        <f t="shared" si="489"/>
        <v/>
      </c>
      <c r="R1450" s="135" t="str">
        <f t="shared" ca="1" si="490"/>
        <v/>
      </c>
      <c r="S1450" s="134" t="str">
        <f t="shared" ca="1" si="491"/>
        <v/>
      </c>
      <c r="T1450" s="134" t="str">
        <f ca="1">IF(S1450=Dashboard!$D$12,S1450,"")</f>
        <v/>
      </c>
      <c r="U1450" s="134" t="str">
        <f t="shared" ca="1" si="492"/>
        <v/>
      </c>
      <c r="V1450" s="83" t="str">
        <f ca="1">IF(U1450="","",IFERROR((RANK(U1450,$U$2:$U$2028,1)+COUNTIF($U$2:U1450,U1450))-1,""))</f>
        <v/>
      </c>
      <c r="W1450" s="134" t="str">
        <f t="shared" si="496"/>
        <v/>
      </c>
      <c r="X1450" s="134" t="str">
        <f>IF(W1450="","",IFERROR((RANK(W1450,$W$2:$W$2028,1)+COUNTIF($W$2:W1450,W1450))-1,""))</f>
        <v/>
      </c>
      <c r="Y1450" s="134" t="str">
        <f t="shared" si="493"/>
        <v/>
      </c>
      <c r="Z1450" s="134" t="str">
        <f>IF(Y1450="","",IFERROR((RANK(Y1450,$Y$2:$Y$2028,1)+COUNTIF($Y$2:Y1450,Y1450))-1,""))</f>
        <v/>
      </c>
      <c r="AA1450" s="134" t="str">
        <f t="shared" si="494"/>
        <v/>
      </c>
      <c r="AB1450" s="134" t="str">
        <f>IF(AA1450="","",IFERROR((RANK(AA1450,$AA$2:$AA$2028,1)+COUNTIF($AA$2:AA1450,AA1450))-1,""))</f>
        <v/>
      </c>
      <c r="AC1450" s="134" t="str">
        <f t="shared" si="495"/>
        <v/>
      </c>
      <c r="AD1450" s="134" t="str">
        <f>IF(AC1450="","",IFERROR((RANK(AC1450,$AC$2:$AC$2028,1)+COUNTIF($AC$2:AC1450,AC1450))-1,""))</f>
        <v/>
      </c>
      <c r="AE1450" s="144" t="str">
        <f t="shared" si="487"/>
        <v/>
      </c>
      <c r="AF1450" s="144" t="str">
        <f>IF(AE1450="","",SUM($AE$2:AE1450))</f>
        <v/>
      </c>
    </row>
    <row r="1451" spans="14:32" x14ac:dyDescent="0.35">
      <c r="N1451" s="134" t="str">
        <f t="shared" si="485"/>
        <v/>
      </c>
      <c r="O1451" s="82" t="str">
        <f t="shared" si="488"/>
        <v/>
      </c>
      <c r="P1451" s="81" t="str">
        <f t="shared" si="486"/>
        <v/>
      </c>
      <c r="Q1451" s="81" t="str">
        <f t="shared" si="489"/>
        <v/>
      </c>
      <c r="R1451" s="135" t="str">
        <f t="shared" ca="1" si="490"/>
        <v/>
      </c>
      <c r="S1451" s="134" t="str">
        <f t="shared" ca="1" si="491"/>
        <v/>
      </c>
      <c r="T1451" s="134" t="str">
        <f ca="1">IF(S1451=Dashboard!$D$12,S1451,"")</f>
        <v/>
      </c>
      <c r="U1451" s="134" t="str">
        <f t="shared" ca="1" si="492"/>
        <v/>
      </c>
      <c r="V1451" s="83" t="str">
        <f ca="1">IF(U1451="","",IFERROR((RANK(U1451,$U$2:$U$2028,1)+COUNTIF($U$2:U1451,U1451))-1,""))</f>
        <v/>
      </c>
      <c r="W1451" s="134" t="str">
        <f t="shared" si="496"/>
        <v/>
      </c>
      <c r="X1451" s="134" t="str">
        <f>IF(W1451="","",IFERROR((RANK(W1451,$W$2:$W$2028,1)+COUNTIF($W$2:W1451,W1451))-1,""))</f>
        <v/>
      </c>
      <c r="Y1451" s="134" t="str">
        <f t="shared" si="493"/>
        <v/>
      </c>
      <c r="Z1451" s="134" t="str">
        <f>IF(Y1451="","",IFERROR((RANK(Y1451,$Y$2:$Y$2028,1)+COUNTIF($Y$2:Y1451,Y1451))-1,""))</f>
        <v/>
      </c>
      <c r="AA1451" s="134" t="str">
        <f t="shared" si="494"/>
        <v/>
      </c>
      <c r="AB1451" s="134" t="str">
        <f>IF(AA1451="","",IFERROR((RANK(AA1451,$AA$2:$AA$2028,1)+COUNTIF($AA$2:AA1451,AA1451))-1,""))</f>
        <v/>
      </c>
      <c r="AC1451" s="134" t="str">
        <f t="shared" si="495"/>
        <v/>
      </c>
      <c r="AD1451" s="134" t="str">
        <f>IF(AC1451="","",IFERROR((RANK(AC1451,$AC$2:$AC$2028,1)+COUNTIF($AC$2:AC1451,AC1451))-1,""))</f>
        <v/>
      </c>
      <c r="AE1451" s="144" t="str">
        <f t="shared" si="487"/>
        <v/>
      </c>
      <c r="AF1451" s="144" t="str">
        <f>IF(AE1451="","",SUM($AE$2:AE1451))</f>
        <v/>
      </c>
    </row>
    <row r="1452" spans="14:32" x14ac:dyDescent="0.35">
      <c r="N1452" s="134" t="str">
        <f t="shared" si="485"/>
        <v/>
      </c>
      <c r="O1452" s="82" t="str">
        <f t="shared" si="488"/>
        <v/>
      </c>
      <c r="P1452" s="81" t="str">
        <f t="shared" si="486"/>
        <v/>
      </c>
      <c r="Q1452" s="81" t="str">
        <f t="shared" si="489"/>
        <v/>
      </c>
      <c r="R1452" s="135" t="str">
        <f t="shared" ca="1" si="490"/>
        <v/>
      </c>
      <c r="S1452" s="134" t="str">
        <f t="shared" ca="1" si="491"/>
        <v/>
      </c>
      <c r="T1452" s="134" t="str">
        <f ca="1">IF(S1452=Dashboard!$D$12,S1452,"")</f>
        <v/>
      </c>
      <c r="U1452" s="134" t="str">
        <f t="shared" ca="1" si="492"/>
        <v/>
      </c>
      <c r="V1452" s="83" t="str">
        <f ca="1">IF(U1452="","",IFERROR((RANK(U1452,$U$2:$U$2028,1)+COUNTIF($U$2:U1452,U1452))-1,""))</f>
        <v/>
      </c>
      <c r="W1452" s="134" t="str">
        <f t="shared" si="496"/>
        <v/>
      </c>
      <c r="X1452" s="134" t="str">
        <f>IF(W1452="","",IFERROR((RANK(W1452,$W$2:$W$2028,1)+COUNTIF($W$2:W1452,W1452))-1,""))</f>
        <v/>
      </c>
      <c r="Y1452" s="134" t="str">
        <f t="shared" si="493"/>
        <v/>
      </c>
      <c r="Z1452" s="134" t="str">
        <f>IF(Y1452="","",IFERROR((RANK(Y1452,$Y$2:$Y$2028,1)+COUNTIF($Y$2:Y1452,Y1452))-1,""))</f>
        <v/>
      </c>
      <c r="AA1452" s="134" t="str">
        <f t="shared" si="494"/>
        <v/>
      </c>
      <c r="AB1452" s="134" t="str">
        <f>IF(AA1452="","",IFERROR((RANK(AA1452,$AA$2:$AA$2028,1)+COUNTIF($AA$2:AA1452,AA1452))-1,""))</f>
        <v/>
      </c>
      <c r="AC1452" s="134" t="str">
        <f t="shared" si="495"/>
        <v/>
      </c>
      <c r="AD1452" s="134" t="str">
        <f>IF(AC1452="","",IFERROR((RANK(AC1452,$AC$2:$AC$2028,1)+COUNTIF($AC$2:AC1452,AC1452))-1,""))</f>
        <v/>
      </c>
      <c r="AE1452" s="144" t="str">
        <f t="shared" si="487"/>
        <v/>
      </c>
      <c r="AF1452" s="144" t="str">
        <f>IF(AE1452="","",SUM($AE$2:AE1452))</f>
        <v/>
      </c>
    </row>
    <row r="1453" spans="14:32" x14ac:dyDescent="0.35">
      <c r="N1453" s="134" t="str">
        <f t="shared" si="485"/>
        <v/>
      </c>
      <c r="O1453" s="82" t="str">
        <f t="shared" si="488"/>
        <v/>
      </c>
      <c r="P1453" s="81" t="str">
        <f t="shared" si="486"/>
        <v/>
      </c>
      <c r="Q1453" s="81" t="str">
        <f t="shared" si="489"/>
        <v/>
      </c>
      <c r="R1453" s="135" t="str">
        <f t="shared" ca="1" si="490"/>
        <v/>
      </c>
      <c r="S1453" s="134" t="str">
        <f t="shared" ca="1" si="491"/>
        <v/>
      </c>
      <c r="T1453" s="134" t="str">
        <f ca="1">IF(S1453=Dashboard!$D$12,S1453,"")</f>
        <v/>
      </c>
      <c r="U1453" s="134" t="str">
        <f t="shared" ca="1" si="492"/>
        <v/>
      </c>
      <c r="V1453" s="83" t="str">
        <f ca="1">IF(U1453="","",IFERROR((RANK(U1453,$U$2:$U$2028,1)+COUNTIF($U$2:U1453,U1453))-1,""))</f>
        <v/>
      </c>
      <c r="W1453" s="134" t="str">
        <f t="shared" si="496"/>
        <v/>
      </c>
      <c r="X1453" s="134" t="str">
        <f>IF(W1453="","",IFERROR((RANK(W1453,$W$2:$W$2028,1)+COUNTIF($W$2:W1453,W1453))-1,""))</f>
        <v/>
      </c>
      <c r="Y1453" s="134" t="str">
        <f t="shared" si="493"/>
        <v/>
      </c>
      <c r="Z1453" s="134" t="str">
        <f>IF(Y1453="","",IFERROR((RANK(Y1453,$Y$2:$Y$2028,1)+COUNTIF($Y$2:Y1453,Y1453))-1,""))</f>
        <v/>
      </c>
      <c r="AA1453" s="134" t="str">
        <f t="shared" si="494"/>
        <v/>
      </c>
      <c r="AB1453" s="134" t="str">
        <f>IF(AA1453="","",IFERROR((RANK(AA1453,$AA$2:$AA$2028,1)+COUNTIF($AA$2:AA1453,AA1453))-1,""))</f>
        <v/>
      </c>
      <c r="AC1453" s="134" t="str">
        <f t="shared" si="495"/>
        <v/>
      </c>
      <c r="AD1453" s="134" t="str">
        <f>IF(AC1453="","",IFERROR((RANK(AC1453,$AC$2:$AC$2028,1)+COUNTIF($AC$2:AC1453,AC1453))-1,""))</f>
        <v/>
      </c>
      <c r="AE1453" s="144" t="str">
        <f t="shared" si="487"/>
        <v/>
      </c>
      <c r="AF1453" s="144" t="str">
        <f>IF(AE1453="","",SUM($AE$2:AE1453))</f>
        <v/>
      </c>
    </row>
    <row r="1454" spans="14:32" x14ac:dyDescent="0.35">
      <c r="N1454" s="134" t="str">
        <f t="shared" si="485"/>
        <v/>
      </c>
      <c r="O1454" s="82" t="str">
        <f t="shared" si="488"/>
        <v/>
      </c>
      <c r="P1454" s="81" t="str">
        <f t="shared" si="486"/>
        <v/>
      </c>
      <c r="Q1454" s="81" t="str">
        <f t="shared" si="489"/>
        <v/>
      </c>
      <c r="R1454" s="135" t="str">
        <f t="shared" ca="1" si="490"/>
        <v/>
      </c>
      <c r="S1454" s="134" t="str">
        <f t="shared" ca="1" si="491"/>
        <v/>
      </c>
      <c r="T1454" s="134" t="str">
        <f ca="1">IF(S1454=Dashboard!$D$12,S1454,"")</f>
        <v/>
      </c>
      <c r="U1454" s="134" t="str">
        <f t="shared" ca="1" si="492"/>
        <v/>
      </c>
      <c r="V1454" s="83" t="str">
        <f ca="1">IF(U1454="","",IFERROR((RANK(U1454,$U$2:$U$2028,1)+COUNTIF($U$2:U1454,U1454))-1,""))</f>
        <v/>
      </c>
      <c r="W1454" s="134" t="str">
        <f t="shared" si="496"/>
        <v/>
      </c>
      <c r="X1454" s="134" t="str">
        <f>IF(W1454="","",IFERROR((RANK(W1454,$W$2:$W$2028,1)+COUNTIF($W$2:W1454,W1454))-1,""))</f>
        <v/>
      </c>
      <c r="Y1454" s="134" t="str">
        <f t="shared" si="493"/>
        <v/>
      </c>
      <c r="Z1454" s="134" t="str">
        <f>IF(Y1454="","",IFERROR((RANK(Y1454,$Y$2:$Y$2028,1)+COUNTIF($Y$2:Y1454,Y1454))-1,""))</f>
        <v/>
      </c>
      <c r="AA1454" s="134" t="str">
        <f t="shared" si="494"/>
        <v/>
      </c>
      <c r="AB1454" s="134" t="str">
        <f>IF(AA1454="","",IFERROR((RANK(AA1454,$AA$2:$AA$2028,1)+COUNTIF($AA$2:AA1454,AA1454))-1,""))</f>
        <v/>
      </c>
      <c r="AC1454" s="134" t="str">
        <f t="shared" si="495"/>
        <v/>
      </c>
      <c r="AD1454" s="134" t="str">
        <f>IF(AC1454="","",IFERROR((RANK(AC1454,$AC$2:$AC$2028,1)+COUNTIF($AC$2:AC1454,AC1454))-1,""))</f>
        <v/>
      </c>
      <c r="AE1454" s="144" t="str">
        <f t="shared" si="487"/>
        <v/>
      </c>
      <c r="AF1454" s="144" t="str">
        <f>IF(AE1454="","",SUM($AE$2:AE1454))</f>
        <v/>
      </c>
    </row>
    <row r="1455" spans="14:32" x14ac:dyDescent="0.35">
      <c r="N1455" s="134" t="str">
        <f t="shared" si="485"/>
        <v/>
      </c>
      <c r="O1455" s="82" t="str">
        <f t="shared" si="488"/>
        <v/>
      </c>
      <c r="P1455" s="81" t="str">
        <f t="shared" si="486"/>
        <v/>
      </c>
      <c r="Q1455" s="81" t="str">
        <f t="shared" si="489"/>
        <v/>
      </c>
      <c r="R1455" s="135" t="str">
        <f t="shared" ca="1" si="490"/>
        <v/>
      </c>
      <c r="S1455" s="134" t="str">
        <f t="shared" ca="1" si="491"/>
        <v/>
      </c>
      <c r="T1455" s="134" t="str">
        <f ca="1">IF(S1455=Dashboard!$D$12,S1455,"")</f>
        <v/>
      </c>
      <c r="U1455" s="134" t="str">
        <f t="shared" ca="1" si="492"/>
        <v/>
      </c>
      <c r="V1455" s="83" t="str">
        <f ca="1">IF(U1455="","",IFERROR((RANK(U1455,$U$2:$U$2028,1)+COUNTIF($U$2:U1455,U1455))-1,""))</f>
        <v/>
      </c>
      <c r="W1455" s="134" t="str">
        <f t="shared" si="496"/>
        <v/>
      </c>
      <c r="X1455" s="134" t="str">
        <f>IF(W1455="","",IFERROR((RANK(W1455,$W$2:$W$2028,1)+COUNTIF($W$2:W1455,W1455))-1,""))</f>
        <v/>
      </c>
      <c r="Y1455" s="134" t="str">
        <f t="shared" si="493"/>
        <v/>
      </c>
      <c r="Z1455" s="134" t="str">
        <f>IF(Y1455="","",IFERROR((RANK(Y1455,$Y$2:$Y$2028,1)+COUNTIF($Y$2:Y1455,Y1455))-1,""))</f>
        <v/>
      </c>
      <c r="AA1455" s="134" t="str">
        <f t="shared" si="494"/>
        <v/>
      </c>
      <c r="AB1455" s="134" t="str">
        <f>IF(AA1455="","",IFERROR((RANK(AA1455,$AA$2:$AA$2028,1)+COUNTIF($AA$2:AA1455,AA1455))-1,""))</f>
        <v/>
      </c>
      <c r="AC1455" s="134" t="str">
        <f t="shared" si="495"/>
        <v/>
      </c>
      <c r="AD1455" s="134" t="str">
        <f>IF(AC1455="","",IFERROR((RANK(AC1455,$AC$2:$AC$2028,1)+COUNTIF($AC$2:AC1455,AC1455))-1,""))</f>
        <v/>
      </c>
      <c r="AE1455" s="144" t="str">
        <f t="shared" si="487"/>
        <v/>
      </c>
      <c r="AF1455" s="144" t="str">
        <f>IF(AE1455="","",SUM($AE$2:AE1455))</f>
        <v/>
      </c>
    </row>
    <row r="1456" spans="14:32" x14ac:dyDescent="0.35">
      <c r="N1456" s="134" t="str">
        <f t="shared" si="485"/>
        <v/>
      </c>
      <c r="O1456" s="82" t="str">
        <f t="shared" si="488"/>
        <v/>
      </c>
      <c r="P1456" s="81" t="str">
        <f t="shared" si="486"/>
        <v/>
      </c>
      <c r="Q1456" s="81" t="str">
        <f t="shared" si="489"/>
        <v/>
      </c>
      <c r="R1456" s="135" t="str">
        <f t="shared" ca="1" si="490"/>
        <v/>
      </c>
      <c r="S1456" s="134" t="str">
        <f t="shared" ca="1" si="491"/>
        <v/>
      </c>
      <c r="T1456" s="134" t="str">
        <f ca="1">IF(S1456=Dashboard!$D$12,S1456,"")</f>
        <v/>
      </c>
      <c r="U1456" s="134" t="str">
        <f t="shared" ca="1" si="492"/>
        <v/>
      </c>
      <c r="V1456" s="83" t="str">
        <f ca="1">IF(U1456="","",IFERROR((RANK(U1456,$U$2:$U$2028,1)+COUNTIF($U$2:U1456,U1456))-1,""))</f>
        <v/>
      </c>
      <c r="W1456" s="134" t="str">
        <f t="shared" si="496"/>
        <v/>
      </c>
      <c r="X1456" s="134" t="str">
        <f>IF(W1456="","",IFERROR((RANK(W1456,$W$2:$W$2028,1)+COUNTIF($W$2:W1456,W1456))-1,""))</f>
        <v/>
      </c>
      <c r="Y1456" s="134" t="str">
        <f t="shared" si="493"/>
        <v/>
      </c>
      <c r="Z1456" s="134" t="str">
        <f>IF(Y1456="","",IFERROR((RANK(Y1456,$Y$2:$Y$2028,1)+COUNTIF($Y$2:Y1456,Y1456))-1,""))</f>
        <v/>
      </c>
      <c r="AA1456" s="134" t="str">
        <f t="shared" si="494"/>
        <v/>
      </c>
      <c r="AB1456" s="134" t="str">
        <f>IF(AA1456="","",IFERROR((RANK(AA1456,$AA$2:$AA$2028,1)+COUNTIF($AA$2:AA1456,AA1456))-1,""))</f>
        <v/>
      </c>
      <c r="AC1456" s="134" t="str">
        <f t="shared" si="495"/>
        <v/>
      </c>
      <c r="AD1456" s="134" t="str">
        <f>IF(AC1456="","",IFERROR((RANK(AC1456,$AC$2:$AC$2028,1)+COUNTIF($AC$2:AC1456,AC1456))-1,""))</f>
        <v/>
      </c>
      <c r="AE1456" s="144" t="str">
        <f t="shared" si="487"/>
        <v/>
      </c>
      <c r="AF1456" s="144" t="str">
        <f>IF(AE1456="","",SUM($AE$2:AE1456))</f>
        <v/>
      </c>
    </row>
    <row r="1457" spans="14:32" x14ac:dyDescent="0.35">
      <c r="N1457" s="134" t="str">
        <f t="shared" si="485"/>
        <v/>
      </c>
      <c r="O1457" s="82" t="str">
        <f t="shared" si="488"/>
        <v/>
      </c>
      <c r="P1457" s="81" t="str">
        <f t="shared" si="486"/>
        <v/>
      </c>
      <c r="Q1457" s="81" t="str">
        <f t="shared" si="489"/>
        <v/>
      </c>
      <c r="R1457" s="135" t="str">
        <f t="shared" ca="1" si="490"/>
        <v/>
      </c>
      <c r="S1457" s="134" t="str">
        <f t="shared" ca="1" si="491"/>
        <v/>
      </c>
      <c r="T1457" s="134" t="str">
        <f ca="1">IF(S1457=Dashboard!$D$12,S1457,"")</f>
        <v/>
      </c>
      <c r="U1457" s="134" t="str">
        <f t="shared" ca="1" si="492"/>
        <v/>
      </c>
      <c r="V1457" s="83" t="str">
        <f ca="1">IF(U1457="","",IFERROR((RANK(U1457,$U$2:$U$2028,1)+COUNTIF($U$2:U1457,U1457))-1,""))</f>
        <v/>
      </c>
      <c r="W1457" s="134" t="str">
        <f t="shared" si="496"/>
        <v/>
      </c>
      <c r="X1457" s="134" t="str">
        <f>IF(W1457="","",IFERROR((RANK(W1457,$W$2:$W$2028,1)+COUNTIF($W$2:W1457,W1457))-1,""))</f>
        <v/>
      </c>
      <c r="Y1457" s="134" t="str">
        <f t="shared" si="493"/>
        <v/>
      </c>
      <c r="Z1457" s="134" t="str">
        <f>IF(Y1457="","",IFERROR((RANK(Y1457,$Y$2:$Y$2028,1)+COUNTIF($Y$2:Y1457,Y1457))-1,""))</f>
        <v/>
      </c>
      <c r="AA1457" s="134" t="str">
        <f t="shared" si="494"/>
        <v/>
      </c>
      <c r="AB1457" s="134" t="str">
        <f>IF(AA1457="","",IFERROR((RANK(AA1457,$AA$2:$AA$2028,1)+COUNTIF($AA$2:AA1457,AA1457))-1,""))</f>
        <v/>
      </c>
      <c r="AC1457" s="134" t="str">
        <f t="shared" si="495"/>
        <v/>
      </c>
      <c r="AD1457" s="134" t="str">
        <f>IF(AC1457="","",IFERROR((RANK(AC1457,$AC$2:$AC$2028,1)+COUNTIF($AC$2:AC1457,AC1457))-1,""))</f>
        <v/>
      </c>
      <c r="AE1457" s="144" t="str">
        <f t="shared" si="487"/>
        <v/>
      </c>
      <c r="AF1457" s="144" t="str">
        <f>IF(AE1457="","",SUM($AE$2:AE1457))</f>
        <v/>
      </c>
    </row>
    <row r="1458" spans="14:32" x14ac:dyDescent="0.35">
      <c r="N1458" s="134" t="str">
        <f t="shared" si="485"/>
        <v/>
      </c>
      <c r="O1458" s="82" t="str">
        <f t="shared" si="488"/>
        <v/>
      </c>
      <c r="P1458" s="81" t="str">
        <f t="shared" si="486"/>
        <v/>
      </c>
      <c r="Q1458" s="81" t="str">
        <f t="shared" si="489"/>
        <v/>
      </c>
      <c r="R1458" s="135" t="str">
        <f t="shared" ca="1" si="490"/>
        <v/>
      </c>
      <c r="S1458" s="134" t="str">
        <f t="shared" ca="1" si="491"/>
        <v/>
      </c>
      <c r="T1458" s="134" t="str">
        <f ca="1">IF(S1458=Dashboard!$D$12,S1458,"")</f>
        <v/>
      </c>
      <c r="U1458" s="134" t="str">
        <f t="shared" ca="1" si="492"/>
        <v/>
      </c>
      <c r="V1458" s="83" t="str">
        <f ca="1">IF(U1458="","",IFERROR((RANK(U1458,$U$2:$U$2028,1)+COUNTIF($U$2:U1458,U1458))-1,""))</f>
        <v/>
      </c>
      <c r="W1458" s="134" t="str">
        <f t="shared" si="496"/>
        <v/>
      </c>
      <c r="X1458" s="134" t="str">
        <f>IF(W1458="","",IFERROR((RANK(W1458,$W$2:$W$2028,1)+COUNTIF($W$2:W1458,W1458))-1,""))</f>
        <v/>
      </c>
      <c r="Y1458" s="134" t="str">
        <f t="shared" si="493"/>
        <v/>
      </c>
      <c r="Z1458" s="134" t="str">
        <f>IF(Y1458="","",IFERROR((RANK(Y1458,$Y$2:$Y$2028,1)+COUNTIF($Y$2:Y1458,Y1458))-1,""))</f>
        <v/>
      </c>
      <c r="AA1458" s="134" t="str">
        <f t="shared" si="494"/>
        <v/>
      </c>
      <c r="AB1458" s="134" t="str">
        <f>IF(AA1458="","",IFERROR((RANK(AA1458,$AA$2:$AA$2028,1)+COUNTIF($AA$2:AA1458,AA1458))-1,""))</f>
        <v/>
      </c>
      <c r="AC1458" s="134" t="str">
        <f t="shared" si="495"/>
        <v/>
      </c>
      <c r="AD1458" s="134" t="str">
        <f>IF(AC1458="","",IFERROR((RANK(AC1458,$AC$2:$AC$2028,1)+COUNTIF($AC$2:AC1458,AC1458))-1,""))</f>
        <v/>
      </c>
      <c r="AE1458" s="144" t="str">
        <f t="shared" si="487"/>
        <v/>
      </c>
      <c r="AF1458" s="144" t="str">
        <f>IF(AE1458="","",SUM($AE$2:AE1458))</f>
        <v/>
      </c>
    </row>
    <row r="1459" spans="14:32" x14ac:dyDescent="0.35">
      <c r="N1459" s="134" t="str">
        <f t="shared" si="485"/>
        <v/>
      </c>
      <c r="O1459" s="82" t="str">
        <f t="shared" si="488"/>
        <v/>
      </c>
      <c r="P1459" s="81" t="str">
        <f t="shared" si="486"/>
        <v/>
      </c>
      <c r="Q1459" s="81" t="str">
        <f t="shared" si="489"/>
        <v/>
      </c>
      <c r="R1459" s="135" t="str">
        <f t="shared" ca="1" si="490"/>
        <v/>
      </c>
      <c r="S1459" s="134" t="str">
        <f t="shared" ca="1" si="491"/>
        <v/>
      </c>
      <c r="T1459" s="134" t="str">
        <f ca="1">IF(S1459=Dashboard!$D$12,S1459,"")</f>
        <v/>
      </c>
      <c r="U1459" s="134" t="str">
        <f t="shared" ca="1" si="492"/>
        <v/>
      </c>
      <c r="V1459" s="83" t="str">
        <f ca="1">IF(U1459="","",IFERROR((RANK(U1459,$U$2:$U$2028,1)+COUNTIF($U$2:U1459,U1459))-1,""))</f>
        <v/>
      </c>
      <c r="W1459" s="134" t="str">
        <f t="shared" si="496"/>
        <v/>
      </c>
      <c r="X1459" s="134" t="str">
        <f>IF(W1459="","",IFERROR((RANK(W1459,$W$2:$W$2028,1)+COUNTIF($W$2:W1459,W1459))-1,""))</f>
        <v/>
      </c>
      <c r="Y1459" s="134" t="str">
        <f t="shared" si="493"/>
        <v/>
      </c>
      <c r="Z1459" s="134" t="str">
        <f>IF(Y1459="","",IFERROR((RANK(Y1459,$Y$2:$Y$2028,1)+COUNTIF($Y$2:Y1459,Y1459))-1,""))</f>
        <v/>
      </c>
      <c r="AA1459" s="134" t="str">
        <f t="shared" si="494"/>
        <v/>
      </c>
      <c r="AB1459" s="134" t="str">
        <f>IF(AA1459="","",IFERROR((RANK(AA1459,$AA$2:$AA$2028,1)+COUNTIF($AA$2:AA1459,AA1459))-1,""))</f>
        <v/>
      </c>
      <c r="AC1459" s="134" t="str">
        <f t="shared" si="495"/>
        <v/>
      </c>
      <c r="AD1459" s="134" t="str">
        <f>IF(AC1459="","",IFERROR((RANK(AC1459,$AC$2:$AC$2028,1)+COUNTIF($AC$2:AC1459,AC1459))-1,""))</f>
        <v/>
      </c>
      <c r="AE1459" s="144" t="str">
        <f t="shared" si="487"/>
        <v/>
      </c>
      <c r="AF1459" s="144" t="str">
        <f>IF(AE1459="","",SUM($AE$2:AE1459))</f>
        <v/>
      </c>
    </row>
    <row r="1460" spans="14:32" x14ac:dyDescent="0.35">
      <c r="N1460" s="134" t="str">
        <f t="shared" si="485"/>
        <v/>
      </c>
      <c r="O1460" s="82" t="str">
        <f t="shared" si="488"/>
        <v/>
      </c>
      <c r="P1460" s="81" t="str">
        <f t="shared" si="486"/>
        <v/>
      </c>
      <c r="Q1460" s="81" t="str">
        <f t="shared" si="489"/>
        <v/>
      </c>
      <c r="R1460" s="135" t="str">
        <f t="shared" ca="1" si="490"/>
        <v/>
      </c>
      <c r="S1460" s="134" t="str">
        <f t="shared" ca="1" si="491"/>
        <v/>
      </c>
      <c r="T1460" s="134" t="str">
        <f ca="1">IF(S1460=Dashboard!$D$12,S1460,"")</f>
        <v/>
      </c>
      <c r="U1460" s="134" t="str">
        <f t="shared" ca="1" si="492"/>
        <v/>
      </c>
      <c r="V1460" s="83" t="str">
        <f ca="1">IF(U1460="","",IFERROR((RANK(U1460,$U$2:$U$2028,1)+COUNTIF($U$2:U1460,U1460))-1,""))</f>
        <v/>
      </c>
      <c r="W1460" s="134" t="str">
        <f t="shared" si="496"/>
        <v/>
      </c>
      <c r="X1460" s="134" t="str">
        <f>IF(W1460="","",IFERROR((RANK(W1460,$W$2:$W$2028,1)+COUNTIF($W$2:W1460,W1460))-1,""))</f>
        <v/>
      </c>
      <c r="Y1460" s="134" t="str">
        <f t="shared" si="493"/>
        <v/>
      </c>
      <c r="Z1460" s="134" t="str">
        <f>IF(Y1460="","",IFERROR((RANK(Y1460,$Y$2:$Y$2028,1)+COUNTIF($Y$2:Y1460,Y1460))-1,""))</f>
        <v/>
      </c>
      <c r="AA1460" s="134" t="str">
        <f t="shared" si="494"/>
        <v/>
      </c>
      <c r="AB1460" s="134" t="str">
        <f>IF(AA1460="","",IFERROR((RANK(AA1460,$AA$2:$AA$2028,1)+COUNTIF($AA$2:AA1460,AA1460))-1,""))</f>
        <v/>
      </c>
      <c r="AC1460" s="134" t="str">
        <f t="shared" si="495"/>
        <v/>
      </c>
      <c r="AD1460" s="134" t="str">
        <f>IF(AC1460="","",IFERROR((RANK(AC1460,$AC$2:$AC$2028,1)+COUNTIF($AC$2:AC1460,AC1460))-1,""))</f>
        <v/>
      </c>
      <c r="AE1460" s="144" t="str">
        <f t="shared" si="487"/>
        <v/>
      </c>
      <c r="AF1460" s="144" t="str">
        <f>IF(AE1460="","",SUM($AE$2:AE1460))</f>
        <v/>
      </c>
    </row>
    <row r="1461" spans="14:32" x14ac:dyDescent="0.35">
      <c r="N1461" s="134" t="str">
        <f t="shared" si="485"/>
        <v/>
      </c>
      <c r="O1461" s="82" t="str">
        <f t="shared" si="488"/>
        <v/>
      </c>
      <c r="P1461" s="81" t="str">
        <f t="shared" si="486"/>
        <v/>
      </c>
      <c r="Q1461" s="81" t="str">
        <f t="shared" si="489"/>
        <v/>
      </c>
      <c r="R1461" s="135" t="str">
        <f t="shared" ca="1" si="490"/>
        <v/>
      </c>
      <c r="S1461" s="134" t="str">
        <f t="shared" ca="1" si="491"/>
        <v/>
      </c>
      <c r="T1461" s="134" t="str">
        <f ca="1">IF(S1461=Dashboard!$D$12,S1461,"")</f>
        <v/>
      </c>
      <c r="U1461" s="134" t="str">
        <f t="shared" ca="1" si="492"/>
        <v/>
      </c>
      <c r="V1461" s="83" t="str">
        <f ca="1">IF(U1461="","",IFERROR((RANK(U1461,$U$2:$U$2028,1)+COUNTIF($U$2:U1461,U1461))-1,""))</f>
        <v/>
      </c>
      <c r="W1461" s="134" t="str">
        <f t="shared" si="496"/>
        <v/>
      </c>
      <c r="X1461" s="134" t="str">
        <f>IF(W1461="","",IFERROR((RANK(W1461,$W$2:$W$2028,1)+COUNTIF($W$2:W1461,W1461))-1,""))</f>
        <v/>
      </c>
      <c r="Y1461" s="134" t="str">
        <f t="shared" si="493"/>
        <v/>
      </c>
      <c r="Z1461" s="134" t="str">
        <f>IF(Y1461="","",IFERROR((RANK(Y1461,$Y$2:$Y$2028,1)+COUNTIF($Y$2:Y1461,Y1461))-1,""))</f>
        <v/>
      </c>
      <c r="AA1461" s="134" t="str">
        <f t="shared" si="494"/>
        <v/>
      </c>
      <c r="AB1461" s="134" t="str">
        <f>IF(AA1461="","",IFERROR((RANK(AA1461,$AA$2:$AA$2028,1)+COUNTIF($AA$2:AA1461,AA1461))-1,""))</f>
        <v/>
      </c>
      <c r="AC1461" s="134" t="str">
        <f t="shared" si="495"/>
        <v/>
      </c>
      <c r="AD1461" s="134" t="str">
        <f>IF(AC1461="","",IFERROR((RANK(AC1461,$AC$2:$AC$2028,1)+COUNTIF($AC$2:AC1461,AC1461))-1,""))</f>
        <v/>
      </c>
      <c r="AE1461" s="144" t="str">
        <f t="shared" si="487"/>
        <v/>
      </c>
      <c r="AF1461" s="144" t="str">
        <f>IF(AE1461="","",SUM($AE$2:AE1461))</f>
        <v/>
      </c>
    </row>
    <row r="1462" spans="14:32" x14ac:dyDescent="0.35">
      <c r="N1462" s="134" t="str">
        <f t="shared" si="485"/>
        <v/>
      </c>
      <c r="O1462" s="82" t="str">
        <f t="shared" si="488"/>
        <v/>
      </c>
      <c r="P1462" s="81" t="str">
        <f t="shared" si="486"/>
        <v/>
      </c>
      <c r="Q1462" s="81" t="str">
        <f t="shared" si="489"/>
        <v/>
      </c>
      <c r="R1462" s="135" t="str">
        <f t="shared" ca="1" si="490"/>
        <v/>
      </c>
      <c r="S1462" s="134" t="str">
        <f t="shared" ca="1" si="491"/>
        <v/>
      </c>
      <c r="T1462" s="134" t="str">
        <f ca="1">IF(S1462=Dashboard!$D$12,S1462,"")</f>
        <v/>
      </c>
      <c r="U1462" s="134" t="str">
        <f t="shared" ca="1" si="492"/>
        <v/>
      </c>
      <c r="V1462" s="83" t="str">
        <f ca="1">IF(U1462="","",IFERROR((RANK(U1462,$U$2:$U$2028,1)+COUNTIF($U$2:U1462,U1462))-1,""))</f>
        <v/>
      </c>
      <c r="W1462" s="134" t="str">
        <f t="shared" si="496"/>
        <v/>
      </c>
      <c r="X1462" s="134" t="str">
        <f>IF(W1462="","",IFERROR((RANK(W1462,$W$2:$W$2028,1)+COUNTIF($W$2:W1462,W1462))-1,""))</f>
        <v/>
      </c>
      <c r="Y1462" s="134" t="str">
        <f t="shared" si="493"/>
        <v/>
      </c>
      <c r="Z1462" s="134" t="str">
        <f>IF(Y1462="","",IFERROR((RANK(Y1462,$Y$2:$Y$2028,1)+COUNTIF($Y$2:Y1462,Y1462))-1,""))</f>
        <v/>
      </c>
      <c r="AA1462" s="134" t="str">
        <f t="shared" si="494"/>
        <v/>
      </c>
      <c r="AB1462" s="134" t="str">
        <f>IF(AA1462="","",IFERROR((RANK(AA1462,$AA$2:$AA$2028,1)+COUNTIF($AA$2:AA1462,AA1462))-1,""))</f>
        <v/>
      </c>
      <c r="AC1462" s="134" t="str">
        <f t="shared" si="495"/>
        <v/>
      </c>
      <c r="AD1462" s="134" t="str">
        <f>IF(AC1462="","",IFERROR((RANK(AC1462,$AC$2:$AC$2028,1)+COUNTIF($AC$2:AC1462,AC1462))-1,""))</f>
        <v/>
      </c>
      <c r="AE1462" s="144" t="str">
        <f t="shared" si="487"/>
        <v/>
      </c>
      <c r="AF1462" s="144" t="str">
        <f>IF(AE1462="","",SUM($AE$2:AE1462))</f>
        <v/>
      </c>
    </row>
    <row r="1463" spans="14:32" x14ac:dyDescent="0.35">
      <c r="N1463" s="134" t="str">
        <f t="shared" si="485"/>
        <v/>
      </c>
      <c r="O1463" s="82" t="str">
        <f t="shared" si="488"/>
        <v/>
      </c>
      <c r="P1463" s="81" t="str">
        <f t="shared" si="486"/>
        <v/>
      </c>
      <c r="Q1463" s="81" t="str">
        <f t="shared" si="489"/>
        <v/>
      </c>
      <c r="R1463" s="135" t="str">
        <f t="shared" ca="1" si="490"/>
        <v/>
      </c>
      <c r="S1463" s="134" t="str">
        <f t="shared" ca="1" si="491"/>
        <v/>
      </c>
      <c r="T1463" s="134" t="str">
        <f ca="1">IF(S1463=Dashboard!$D$12,S1463,"")</f>
        <v/>
      </c>
      <c r="U1463" s="134" t="str">
        <f t="shared" ca="1" si="492"/>
        <v/>
      </c>
      <c r="V1463" s="83" t="str">
        <f ca="1">IF(U1463="","",IFERROR((RANK(U1463,$U$2:$U$2028,1)+COUNTIF($U$2:U1463,U1463))-1,""))</f>
        <v/>
      </c>
      <c r="W1463" s="134" t="str">
        <f t="shared" si="496"/>
        <v/>
      </c>
      <c r="X1463" s="134" t="str">
        <f>IF(W1463="","",IFERROR((RANK(W1463,$W$2:$W$2028,1)+COUNTIF($W$2:W1463,W1463))-1,""))</f>
        <v/>
      </c>
      <c r="Y1463" s="134" t="str">
        <f t="shared" si="493"/>
        <v/>
      </c>
      <c r="Z1463" s="134" t="str">
        <f>IF(Y1463="","",IFERROR((RANK(Y1463,$Y$2:$Y$2028,1)+COUNTIF($Y$2:Y1463,Y1463))-1,""))</f>
        <v/>
      </c>
      <c r="AA1463" s="134" t="str">
        <f t="shared" si="494"/>
        <v/>
      </c>
      <c r="AB1463" s="134" t="str">
        <f>IF(AA1463="","",IFERROR((RANK(AA1463,$AA$2:$AA$2028,1)+COUNTIF($AA$2:AA1463,AA1463))-1,""))</f>
        <v/>
      </c>
      <c r="AC1463" s="134" t="str">
        <f t="shared" si="495"/>
        <v/>
      </c>
      <c r="AD1463" s="134" t="str">
        <f>IF(AC1463="","",IFERROR((RANK(AC1463,$AC$2:$AC$2028,1)+COUNTIF($AC$2:AC1463,AC1463))-1,""))</f>
        <v/>
      </c>
      <c r="AE1463" s="144" t="str">
        <f t="shared" si="487"/>
        <v/>
      </c>
      <c r="AF1463" s="144" t="str">
        <f>IF(AE1463="","",SUM($AE$2:AE1463))</f>
        <v/>
      </c>
    </row>
    <row r="1464" spans="14:32" x14ac:dyDescent="0.35">
      <c r="N1464" s="134" t="str">
        <f t="shared" si="485"/>
        <v/>
      </c>
      <c r="O1464" s="82" t="str">
        <f t="shared" si="488"/>
        <v/>
      </c>
      <c r="P1464" s="81" t="str">
        <f t="shared" si="486"/>
        <v/>
      </c>
      <c r="Q1464" s="81" t="str">
        <f t="shared" si="489"/>
        <v/>
      </c>
      <c r="R1464" s="135" t="str">
        <f t="shared" ca="1" si="490"/>
        <v/>
      </c>
      <c r="S1464" s="134" t="str">
        <f t="shared" ca="1" si="491"/>
        <v/>
      </c>
      <c r="T1464" s="134" t="str">
        <f ca="1">IF(S1464=Dashboard!$D$12,S1464,"")</f>
        <v/>
      </c>
      <c r="U1464" s="134" t="str">
        <f t="shared" ca="1" si="492"/>
        <v/>
      </c>
      <c r="V1464" s="83" t="str">
        <f ca="1">IF(U1464="","",IFERROR((RANK(U1464,$U$2:$U$2028,1)+COUNTIF($U$2:U1464,U1464))-1,""))</f>
        <v/>
      </c>
      <c r="W1464" s="134" t="str">
        <f t="shared" si="496"/>
        <v/>
      </c>
      <c r="X1464" s="134" t="str">
        <f>IF(W1464="","",IFERROR((RANK(W1464,$W$2:$W$2028,1)+COUNTIF($W$2:W1464,W1464))-1,""))</f>
        <v/>
      </c>
      <c r="Y1464" s="134" t="str">
        <f t="shared" si="493"/>
        <v/>
      </c>
      <c r="Z1464" s="134" t="str">
        <f>IF(Y1464="","",IFERROR((RANK(Y1464,$Y$2:$Y$2028,1)+COUNTIF($Y$2:Y1464,Y1464))-1,""))</f>
        <v/>
      </c>
      <c r="AA1464" s="134" t="str">
        <f t="shared" si="494"/>
        <v/>
      </c>
      <c r="AB1464" s="134" t="str">
        <f>IF(AA1464="","",IFERROR((RANK(AA1464,$AA$2:$AA$2028,1)+COUNTIF($AA$2:AA1464,AA1464))-1,""))</f>
        <v/>
      </c>
      <c r="AC1464" s="134" t="str">
        <f t="shared" si="495"/>
        <v/>
      </c>
      <c r="AD1464" s="134" t="str">
        <f>IF(AC1464="","",IFERROR((RANK(AC1464,$AC$2:$AC$2028,1)+COUNTIF($AC$2:AC1464,AC1464))-1,""))</f>
        <v/>
      </c>
      <c r="AE1464" s="144" t="str">
        <f t="shared" si="487"/>
        <v/>
      </c>
      <c r="AF1464" s="144" t="str">
        <f>IF(AE1464="","",SUM($AE$2:AE1464))</f>
        <v/>
      </c>
    </row>
    <row r="1465" spans="14:32" x14ac:dyDescent="0.35">
      <c r="N1465" s="134" t="str">
        <f t="shared" si="485"/>
        <v/>
      </c>
      <c r="O1465" s="82" t="str">
        <f t="shared" si="488"/>
        <v/>
      </c>
      <c r="P1465" s="81" t="str">
        <f t="shared" si="486"/>
        <v/>
      </c>
      <c r="Q1465" s="81" t="str">
        <f t="shared" si="489"/>
        <v/>
      </c>
      <c r="R1465" s="135" t="str">
        <f t="shared" ca="1" si="490"/>
        <v/>
      </c>
      <c r="S1465" s="134" t="str">
        <f t="shared" ca="1" si="491"/>
        <v/>
      </c>
      <c r="T1465" s="134" t="str">
        <f ca="1">IF(S1465=Dashboard!$D$12,S1465,"")</f>
        <v/>
      </c>
      <c r="U1465" s="134" t="str">
        <f t="shared" ca="1" si="492"/>
        <v/>
      </c>
      <c r="V1465" s="83" t="str">
        <f ca="1">IF(U1465="","",IFERROR((RANK(U1465,$U$2:$U$2028,1)+COUNTIF($U$2:U1465,U1465))-1,""))</f>
        <v/>
      </c>
      <c r="W1465" s="134" t="str">
        <f t="shared" si="496"/>
        <v/>
      </c>
      <c r="X1465" s="134" t="str">
        <f>IF(W1465="","",IFERROR((RANK(W1465,$W$2:$W$2028,1)+COUNTIF($W$2:W1465,W1465))-1,""))</f>
        <v/>
      </c>
      <c r="Y1465" s="134" t="str">
        <f t="shared" si="493"/>
        <v/>
      </c>
      <c r="Z1465" s="134" t="str">
        <f>IF(Y1465="","",IFERROR((RANK(Y1465,$Y$2:$Y$2028,1)+COUNTIF($Y$2:Y1465,Y1465))-1,""))</f>
        <v/>
      </c>
      <c r="AA1465" s="134" t="str">
        <f t="shared" si="494"/>
        <v/>
      </c>
      <c r="AB1465" s="134" t="str">
        <f>IF(AA1465="","",IFERROR((RANK(AA1465,$AA$2:$AA$2028,1)+COUNTIF($AA$2:AA1465,AA1465))-1,""))</f>
        <v/>
      </c>
      <c r="AC1465" s="134" t="str">
        <f t="shared" si="495"/>
        <v/>
      </c>
      <c r="AD1465" s="134" t="str">
        <f>IF(AC1465="","",IFERROR((RANK(AC1465,$AC$2:$AC$2028,1)+COUNTIF($AC$2:AC1465,AC1465))-1,""))</f>
        <v/>
      </c>
      <c r="AE1465" s="144" t="str">
        <f t="shared" si="487"/>
        <v/>
      </c>
      <c r="AF1465" s="144" t="str">
        <f>IF(AE1465="","",SUM($AE$2:AE1465))</f>
        <v/>
      </c>
    </row>
    <row r="1466" spans="14:32" x14ac:dyDescent="0.35">
      <c r="N1466" s="134" t="str">
        <f t="shared" si="485"/>
        <v/>
      </c>
      <c r="O1466" s="82" t="str">
        <f t="shared" si="488"/>
        <v/>
      </c>
      <c r="P1466" s="81" t="str">
        <f t="shared" si="486"/>
        <v/>
      </c>
      <c r="Q1466" s="81" t="str">
        <f t="shared" si="489"/>
        <v/>
      </c>
      <c r="R1466" s="135" t="str">
        <f t="shared" ca="1" si="490"/>
        <v/>
      </c>
      <c r="S1466" s="134" t="str">
        <f t="shared" ca="1" si="491"/>
        <v/>
      </c>
      <c r="T1466" s="134" t="str">
        <f ca="1">IF(S1466=Dashboard!$D$12,S1466,"")</f>
        <v/>
      </c>
      <c r="U1466" s="134" t="str">
        <f t="shared" ca="1" si="492"/>
        <v/>
      </c>
      <c r="V1466" s="83" t="str">
        <f ca="1">IF(U1466="","",IFERROR((RANK(U1466,$U$2:$U$2028,1)+COUNTIF($U$2:U1466,U1466))-1,""))</f>
        <v/>
      </c>
      <c r="W1466" s="134" t="str">
        <f t="shared" si="496"/>
        <v/>
      </c>
      <c r="X1466" s="134" t="str">
        <f>IF(W1466="","",IFERROR((RANK(W1466,$W$2:$W$2028,1)+COUNTIF($W$2:W1466,W1466))-1,""))</f>
        <v/>
      </c>
      <c r="Y1466" s="134" t="str">
        <f t="shared" si="493"/>
        <v/>
      </c>
      <c r="Z1466" s="134" t="str">
        <f>IF(Y1466="","",IFERROR((RANK(Y1466,$Y$2:$Y$2028,1)+COUNTIF($Y$2:Y1466,Y1466))-1,""))</f>
        <v/>
      </c>
      <c r="AA1466" s="134" t="str">
        <f t="shared" si="494"/>
        <v/>
      </c>
      <c r="AB1466" s="134" t="str">
        <f>IF(AA1466="","",IFERROR((RANK(AA1466,$AA$2:$AA$2028,1)+COUNTIF($AA$2:AA1466,AA1466))-1,""))</f>
        <v/>
      </c>
      <c r="AC1466" s="134" t="str">
        <f t="shared" si="495"/>
        <v/>
      </c>
      <c r="AD1466" s="134" t="str">
        <f>IF(AC1466="","",IFERROR((RANK(AC1466,$AC$2:$AC$2028,1)+COUNTIF($AC$2:AC1466,AC1466))-1,""))</f>
        <v/>
      </c>
      <c r="AE1466" s="144" t="str">
        <f t="shared" si="487"/>
        <v/>
      </c>
      <c r="AF1466" s="144" t="str">
        <f>IF(AE1466="","",SUM($AE$2:AE1466))</f>
        <v/>
      </c>
    </row>
    <row r="1467" spans="14:32" x14ac:dyDescent="0.35">
      <c r="N1467" s="134" t="str">
        <f t="shared" si="485"/>
        <v/>
      </c>
      <c r="O1467" s="82" t="str">
        <f t="shared" si="488"/>
        <v/>
      </c>
      <c r="P1467" s="81" t="str">
        <f t="shared" si="486"/>
        <v/>
      </c>
      <c r="Q1467" s="81" t="str">
        <f t="shared" si="489"/>
        <v/>
      </c>
      <c r="R1467" s="135" t="str">
        <f t="shared" ca="1" si="490"/>
        <v/>
      </c>
      <c r="S1467" s="134" t="str">
        <f t="shared" ca="1" si="491"/>
        <v/>
      </c>
      <c r="T1467" s="134" t="str">
        <f ca="1">IF(S1467=Dashboard!$D$12,S1467,"")</f>
        <v/>
      </c>
      <c r="U1467" s="134" t="str">
        <f t="shared" ca="1" si="492"/>
        <v/>
      </c>
      <c r="V1467" s="83" t="str">
        <f ca="1">IF(U1467="","",IFERROR((RANK(U1467,$U$2:$U$2028,1)+COUNTIF($U$2:U1467,U1467))-1,""))</f>
        <v/>
      </c>
      <c r="W1467" s="134" t="str">
        <f t="shared" si="496"/>
        <v/>
      </c>
      <c r="X1467" s="134" t="str">
        <f>IF(W1467="","",IFERROR((RANK(W1467,$W$2:$W$2028,1)+COUNTIF($W$2:W1467,W1467))-1,""))</f>
        <v/>
      </c>
      <c r="Y1467" s="134" t="str">
        <f t="shared" si="493"/>
        <v/>
      </c>
      <c r="Z1467" s="134" t="str">
        <f>IF(Y1467="","",IFERROR((RANK(Y1467,$Y$2:$Y$2028,1)+COUNTIF($Y$2:Y1467,Y1467))-1,""))</f>
        <v/>
      </c>
      <c r="AA1467" s="134" t="str">
        <f t="shared" si="494"/>
        <v/>
      </c>
      <c r="AB1467" s="134" t="str">
        <f>IF(AA1467="","",IFERROR((RANK(AA1467,$AA$2:$AA$2028,1)+COUNTIF($AA$2:AA1467,AA1467))-1,""))</f>
        <v/>
      </c>
      <c r="AC1467" s="134" t="str">
        <f t="shared" si="495"/>
        <v/>
      </c>
      <c r="AD1467" s="134" t="str">
        <f>IF(AC1467="","",IFERROR((RANK(AC1467,$AC$2:$AC$2028,1)+COUNTIF($AC$2:AC1467,AC1467))-1,""))</f>
        <v/>
      </c>
      <c r="AE1467" s="144" t="str">
        <f t="shared" si="487"/>
        <v/>
      </c>
      <c r="AF1467" s="144" t="str">
        <f>IF(AE1467="","",SUM($AE$2:AE1467))</f>
        <v/>
      </c>
    </row>
    <row r="1468" spans="14:32" x14ac:dyDescent="0.35">
      <c r="N1468" s="134" t="str">
        <f t="shared" si="485"/>
        <v/>
      </c>
      <c r="O1468" s="82" t="str">
        <f t="shared" si="488"/>
        <v/>
      </c>
      <c r="P1468" s="81" t="str">
        <f t="shared" si="486"/>
        <v/>
      </c>
      <c r="Q1468" s="81" t="str">
        <f t="shared" si="489"/>
        <v/>
      </c>
      <c r="R1468" s="135" t="str">
        <f t="shared" ca="1" si="490"/>
        <v/>
      </c>
      <c r="S1468" s="134" t="str">
        <f t="shared" ca="1" si="491"/>
        <v/>
      </c>
      <c r="T1468" s="134" t="str">
        <f ca="1">IF(S1468=Dashboard!$D$12,S1468,"")</f>
        <v/>
      </c>
      <c r="U1468" s="134" t="str">
        <f t="shared" ca="1" si="492"/>
        <v/>
      </c>
      <c r="V1468" s="83" t="str">
        <f ca="1">IF(U1468="","",IFERROR((RANK(U1468,$U$2:$U$2028,1)+COUNTIF($U$2:U1468,U1468))-1,""))</f>
        <v/>
      </c>
      <c r="W1468" s="134" t="str">
        <f t="shared" si="496"/>
        <v/>
      </c>
      <c r="X1468" s="134" t="str">
        <f>IF(W1468="","",IFERROR((RANK(W1468,$W$2:$W$2028,1)+COUNTIF($W$2:W1468,W1468))-1,""))</f>
        <v/>
      </c>
      <c r="Y1468" s="134" t="str">
        <f t="shared" si="493"/>
        <v/>
      </c>
      <c r="Z1468" s="134" t="str">
        <f>IF(Y1468="","",IFERROR((RANK(Y1468,$Y$2:$Y$2028,1)+COUNTIF($Y$2:Y1468,Y1468))-1,""))</f>
        <v/>
      </c>
      <c r="AA1468" s="134" t="str">
        <f t="shared" si="494"/>
        <v/>
      </c>
      <c r="AB1468" s="134" t="str">
        <f>IF(AA1468="","",IFERROR((RANK(AA1468,$AA$2:$AA$2028,1)+COUNTIF($AA$2:AA1468,AA1468))-1,""))</f>
        <v/>
      </c>
      <c r="AC1468" s="134" t="str">
        <f t="shared" si="495"/>
        <v/>
      </c>
      <c r="AD1468" s="134" t="str">
        <f>IF(AC1468="","",IFERROR((RANK(AC1468,$AC$2:$AC$2028,1)+COUNTIF($AC$2:AC1468,AC1468))-1,""))</f>
        <v/>
      </c>
      <c r="AE1468" s="144" t="str">
        <f t="shared" si="487"/>
        <v/>
      </c>
      <c r="AF1468" s="144" t="str">
        <f>IF(AE1468="","",SUM($AE$2:AE1468))</f>
        <v/>
      </c>
    </row>
    <row r="1469" spans="14:32" x14ac:dyDescent="0.35">
      <c r="N1469" s="134" t="str">
        <f t="shared" si="485"/>
        <v/>
      </c>
      <c r="O1469" s="82" t="str">
        <f t="shared" si="488"/>
        <v/>
      </c>
      <c r="P1469" s="81" t="str">
        <f t="shared" si="486"/>
        <v/>
      </c>
      <c r="Q1469" s="81" t="str">
        <f t="shared" si="489"/>
        <v/>
      </c>
      <c r="R1469" s="135" t="str">
        <f t="shared" ca="1" si="490"/>
        <v/>
      </c>
      <c r="S1469" s="134" t="str">
        <f t="shared" ca="1" si="491"/>
        <v/>
      </c>
      <c r="T1469" s="134" t="str">
        <f ca="1">IF(S1469=Dashboard!$D$12,S1469,"")</f>
        <v/>
      </c>
      <c r="U1469" s="134" t="str">
        <f t="shared" ca="1" si="492"/>
        <v/>
      </c>
      <c r="V1469" s="83" t="str">
        <f ca="1">IF(U1469="","",IFERROR((RANK(U1469,$U$2:$U$2028,1)+COUNTIF($U$2:U1469,U1469))-1,""))</f>
        <v/>
      </c>
      <c r="W1469" s="134" t="str">
        <f t="shared" si="496"/>
        <v/>
      </c>
      <c r="X1469" s="134" t="str">
        <f>IF(W1469="","",IFERROR((RANK(W1469,$W$2:$W$2028,1)+COUNTIF($W$2:W1469,W1469))-1,""))</f>
        <v/>
      </c>
      <c r="Y1469" s="134" t="str">
        <f t="shared" si="493"/>
        <v/>
      </c>
      <c r="Z1469" s="134" t="str">
        <f>IF(Y1469="","",IFERROR((RANK(Y1469,$Y$2:$Y$2028,1)+COUNTIF($Y$2:Y1469,Y1469))-1,""))</f>
        <v/>
      </c>
      <c r="AA1469" s="134" t="str">
        <f t="shared" si="494"/>
        <v/>
      </c>
      <c r="AB1469" s="134" t="str">
        <f>IF(AA1469="","",IFERROR((RANK(AA1469,$AA$2:$AA$2028,1)+COUNTIF($AA$2:AA1469,AA1469))-1,""))</f>
        <v/>
      </c>
      <c r="AC1469" s="134" t="str">
        <f t="shared" si="495"/>
        <v/>
      </c>
      <c r="AD1469" s="134" t="str">
        <f>IF(AC1469="","",IFERROR((RANK(AC1469,$AC$2:$AC$2028,1)+COUNTIF($AC$2:AC1469,AC1469))-1,""))</f>
        <v/>
      </c>
      <c r="AE1469" s="144" t="str">
        <f t="shared" si="487"/>
        <v/>
      </c>
      <c r="AF1469" s="144" t="str">
        <f>IF(AE1469="","",SUM($AE$2:AE1469))</f>
        <v/>
      </c>
    </row>
    <row r="1470" spans="14:32" x14ac:dyDescent="0.35">
      <c r="N1470" s="134" t="str">
        <f t="shared" si="485"/>
        <v/>
      </c>
      <c r="O1470" s="82" t="str">
        <f t="shared" si="488"/>
        <v/>
      </c>
      <c r="P1470" s="81" t="str">
        <f t="shared" si="486"/>
        <v/>
      </c>
      <c r="Q1470" s="81" t="str">
        <f t="shared" si="489"/>
        <v/>
      </c>
      <c r="R1470" s="135" t="str">
        <f t="shared" ca="1" si="490"/>
        <v/>
      </c>
      <c r="S1470" s="134" t="str">
        <f t="shared" ca="1" si="491"/>
        <v/>
      </c>
      <c r="T1470" s="134" t="str">
        <f ca="1">IF(S1470=Dashboard!$D$12,S1470,"")</f>
        <v/>
      </c>
      <c r="U1470" s="134" t="str">
        <f t="shared" ca="1" si="492"/>
        <v/>
      </c>
      <c r="V1470" s="83" t="str">
        <f ca="1">IF(U1470="","",IFERROR((RANK(U1470,$U$2:$U$2028,1)+COUNTIF($U$2:U1470,U1470))-1,""))</f>
        <v/>
      </c>
      <c r="W1470" s="134" t="str">
        <f t="shared" si="496"/>
        <v/>
      </c>
      <c r="X1470" s="134" t="str">
        <f>IF(W1470="","",IFERROR((RANK(W1470,$W$2:$W$2028,1)+COUNTIF($W$2:W1470,W1470))-1,""))</f>
        <v/>
      </c>
      <c r="Y1470" s="134" t="str">
        <f t="shared" si="493"/>
        <v/>
      </c>
      <c r="Z1470" s="134" t="str">
        <f>IF(Y1470="","",IFERROR((RANK(Y1470,$Y$2:$Y$2028,1)+COUNTIF($Y$2:Y1470,Y1470))-1,""))</f>
        <v/>
      </c>
      <c r="AA1470" s="134" t="str">
        <f t="shared" si="494"/>
        <v/>
      </c>
      <c r="AB1470" s="134" t="str">
        <f>IF(AA1470="","",IFERROR((RANK(AA1470,$AA$2:$AA$2028,1)+COUNTIF($AA$2:AA1470,AA1470))-1,""))</f>
        <v/>
      </c>
      <c r="AC1470" s="134" t="str">
        <f t="shared" si="495"/>
        <v/>
      </c>
      <c r="AD1470" s="134" t="str">
        <f>IF(AC1470="","",IFERROR((RANK(AC1470,$AC$2:$AC$2028,1)+COUNTIF($AC$2:AC1470,AC1470))-1,""))</f>
        <v/>
      </c>
      <c r="AE1470" s="144" t="str">
        <f t="shared" si="487"/>
        <v/>
      </c>
      <c r="AF1470" s="144" t="str">
        <f>IF(AE1470="","",SUM($AE$2:AE1470))</f>
        <v/>
      </c>
    </row>
    <row r="1471" spans="14:32" x14ac:dyDescent="0.35">
      <c r="N1471" s="134" t="str">
        <f t="shared" si="485"/>
        <v/>
      </c>
      <c r="O1471" s="82" t="str">
        <f t="shared" si="488"/>
        <v/>
      </c>
      <c r="P1471" s="81" t="str">
        <f t="shared" si="486"/>
        <v/>
      </c>
      <c r="Q1471" s="81" t="str">
        <f t="shared" si="489"/>
        <v/>
      </c>
      <c r="R1471" s="135" t="str">
        <f t="shared" ca="1" si="490"/>
        <v/>
      </c>
      <c r="S1471" s="134" t="str">
        <f t="shared" ca="1" si="491"/>
        <v/>
      </c>
      <c r="T1471" s="134" t="str">
        <f ca="1">IF(S1471=Dashboard!$D$12,S1471,"")</f>
        <v/>
      </c>
      <c r="U1471" s="134" t="str">
        <f t="shared" ca="1" si="492"/>
        <v/>
      </c>
      <c r="V1471" s="83" t="str">
        <f ca="1">IF(U1471="","",IFERROR((RANK(U1471,$U$2:$U$2028,1)+COUNTIF($U$2:U1471,U1471))-1,""))</f>
        <v/>
      </c>
      <c r="W1471" s="134" t="str">
        <f t="shared" si="496"/>
        <v/>
      </c>
      <c r="X1471" s="134" t="str">
        <f>IF(W1471="","",IFERROR((RANK(W1471,$W$2:$W$2028,1)+COUNTIF($W$2:W1471,W1471))-1,""))</f>
        <v/>
      </c>
      <c r="Y1471" s="134" t="str">
        <f t="shared" si="493"/>
        <v/>
      </c>
      <c r="Z1471" s="134" t="str">
        <f>IF(Y1471="","",IFERROR((RANK(Y1471,$Y$2:$Y$2028,1)+COUNTIF($Y$2:Y1471,Y1471))-1,""))</f>
        <v/>
      </c>
      <c r="AA1471" s="134" t="str">
        <f t="shared" si="494"/>
        <v/>
      </c>
      <c r="AB1471" s="134" t="str">
        <f>IF(AA1471="","",IFERROR((RANK(AA1471,$AA$2:$AA$2028,1)+COUNTIF($AA$2:AA1471,AA1471))-1,""))</f>
        <v/>
      </c>
      <c r="AC1471" s="134" t="str">
        <f t="shared" si="495"/>
        <v/>
      </c>
      <c r="AD1471" s="134" t="str">
        <f>IF(AC1471="","",IFERROR((RANK(AC1471,$AC$2:$AC$2028,1)+COUNTIF($AC$2:AC1471,AC1471))-1,""))</f>
        <v/>
      </c>
      <c r="AE1471" s="144" t="str">
        <f t="shared" si="487"/>
        <v/>
      </c>
      <c r="AF1471" s="144" t="str">
        <f>IF(AE1471="","",SUM($AE$2:AE1471))</f>
        <v/>
      </c>
    </row>
    <row r="1472" spans="14:32" x14ac:dyDescent="0.35">
      <c r="N1472" s="134" t="str">
        <f t="shared" si="485"/>
        <v/>
      </c>
      <c r="O1472" s="82" t="str">
        <f t="shared" si="488"/>
        <v/>
      </c>
      <c r="P1472" s="81" t="str">
        <f t="shared" si="486"/>
        <v/>
      </c>
      <c r="Q1472" s="81" t="str">
        <f t="shared" si="489"/>
        <v/>
      </c>
      <c r="R1472" s="135" t="str">
        <f t="shared" ca="1" si="490"/>
        <v/>
      </c>
      <c r="S1472" s="134" t="str">
        <f t="shared" ca="1" si="491"/>
        <v/>
      </c>
      <c r="T1472" s="134" t="str">
        <f ca="1">IF(S1472=Dashboard!$D$12,S1472,"")</f>
        <v/>
      </c>
      <c r="U1472" s="134" t="str">
        <f t="shared" ca="1" si="492"/>
        <v/>
      </c>
      <c r="V1472" s="83" t="str">
        <f ca="1">IF(U1472="","",IFERROR((RANK(U1472,$U$2:$U$2028,1)+COUNTIF($U$2:U1472,U1472))-1,""))</f>
        <v/>
      </c>
      <c r="W1472" s="134" t="str">
        <f t="shared" si="496"/>
        <v/>
      </c>
      <c r="X1472" s="134" t="str">
        <f>IF(W1472="","",IFERROR((RANK(W1472,$W$2:$W$2028,1)+COUNTIF($W$2:W1472,W1472))-1,""))</f>
        <v/>
      </c>
      <c r="Y1472" s="134" t="str">
        <f t="shared" si="493"/>
        <v/>
      </c>
      <c r="Z1472" s="134" t="str">
        <f>IF(Y1472="","",IFERROR((RANK(Y1472,$Y$2:$Y$2028,1)+COUNTIF($Y$2:Y1472,Y1472))-1,""))</f>
        <v/>
      </c>
      <c r="AA1472" s="134" t="str">
        <f t="shared" si="494"/>
        <v/>
      </c>
      <c r="AB1472" s="134" t="str">
        <f>IF(AA1472="","",IFERROR((RANK(AA1472,$AA$2:$AA$2028,1)+COUNTIF($AA$2:AA1472,AA1472))-1,""))</f>
        <v/>
      </c>
      <c r="AC1472" s="134" t="str">
        <f t="shared" si="495"/>
        <v/>
      </c>
      <c r="AD1472" s="134" t="str">
        <f>IF(AC1472="","",IFERROR((RANK(AC1472,$AC$2:$AC$2028,1)+COUNTIF($AC$2:AC1472,AC1472))-1,""))</f>
        <v/>
      </c>
      <c r="AE1472" s="144" t="str">
        <f t="shared" si="487"/>
        <v/>
      </c>
      <c r="AF1472" s="144" t="str">
        <f>IF(AE1472="","",SUM($AE$2:AE1472))</f>
        <v/>
      </c>
    </row>
    <row r="1473" spans="14:32" x14ac:dyDescent="0.35">
      <c r="N1473" s="134" t="str">
        <f t="shared" si="485"/>
        <v/>
      </c>
      <c r="O1473" s="82" t="str">
        <f t="shared" si="488"/>
        <v/>
      </c>
      <c r="P1473" s="81" t="str">
        <f t="shared" si="486"/>
        <v/>
      </c>
      <c r="Q1473" s="81" t="str">
        <f t="shared" si="489"/>
        <v/>
      </c>
      <c r="R1473" s="135" t="str">
        <f t="shared" ca="1" si="490"/>
        <v/>
      </c>
      <c r="S1473" s="134" t="str">
        <f t="shared" ca="1" si="491"/>
        <v/>
      </c>
      <c r="T1473" s="134" t="str">
        <f ca="1">IF(S1473=Dashboard!$D$12,S1473,"")</f>
        <v/>
      </c>
      <c r="U1473" s="134" t="str">
        <f t="shared" ca="1" si="492"/>
        <v/>
      </c>
      <c r="V1473" s="83" t="str">
        <f ca="1">IF(U1473="","",IFERROR((RANK(U1473,$U$2:$U$2028,1)+COUNTIF($U$2:U1473,U1473))-1,""))</f>
        <v/>
      </c>
      <c r="W1473" s="134" t="str">
        <f t="shared" si="496"/>
        <v/>
      </c>
      <c r="X1473" s="134" t="str">
        <f>IF(W1473="","",IFERROR((RANK(W1473,$W$2:$W$2028,1)+COUNTIF($W$2:W1473,W1473))-1,""))</f>
        <v/>
      </c>
      <c r="Y1473" s="134" t="str">
        <f t="shared" si="493"/>
        <v/>
      </c>
      <c r="Z1473" s="134" t="str">
        <f>IF(Y1473="","",IFERROR((RANK(Y1473,$Y$2:$Y$2028,1)+COUNTIF($Y$2:Y1473,Y1473))-1,""))</f>
        <v/>
      </c>
      <c r="AA1473" s="134" t="str">
        <f t="shared" si="494"/>
        <v/>
      </c>
      <c r="AB1473" s="134" t="str">
        <f>IF(AA1473="","",IFERROR((RANK(AA1473,$AA$2:$AA$2028,1)+COUNTIF($AA$2:AA1473,AA1473))-1,""))</f>
        <v/>
      </c>
      <c r="AC1473" s="134" t="str">
        <f t="shared" si="495"/>
        <v/>
      </c>
      <c r="AD1473" s="134" t="str">
        <f>IF(AC1473="","",IFERROR((RANK(AC1473,$AC$2:$AC$2028,1)+COUNTIF($AC$2:AC1473,AC1473))-1,""))</f>
        <v/>
      </c>
      <c r="AE1473" s="144" t="str">
        <f t="shared" si="487"/>
        <v/>
      </c>
      <c r="AF1473" s="144" t="str">
        <f>IF(AE1473="","",SUM($AE$2:AE1473))</f>
        <v/>
      </c>
    </row>
    <row r="1474" spans="14:32" x14ac:dyDescent="0.35">
      <c r="N1474" s="134" t="str">
        <f t="shared" ref="N1474:N1537" si="497">IF(A1474="","",COUNTIFS(M:M,M1474,H:H,"&lt;"&amp;H1474)+1)</f>
        <v/>
      </c>
      <c r="O1474" s="82" t="str">
        <f t="shared" si="488"/>
        <v/>
      </c>
      <c r="P1474" s="81" t="str">
        <f t="shared" ref="P1474:P1537" si="498">IF(A1474="","",COUNTIFS(M:M,M1474,H:H,"&gt;"&amp;H1474)+1)</f>
        <v/>
      </c>
      <c r="Q1474" s="81" t="str">
        <f t="shared" si="489"/>
        <v/>
      </c>
      <c r="R1474" s="135" t="str">
        <f t="shared" ca="1" si="490"/>
        <v/>
      </c>
      <c r="S1474" s="134" t="str">
        <f t="shared" ca="1" si="491"/>
        <v/>
      </c>
      <c r="T1474" s="134" t="str">
        <f ca="1">IF(S1474=Dashboard!$D$12,S1474,"")</f>
        <v/>
      </c>
      <c r="U1474" s="134" t="str">
        <f t="shared" ca="1" si="492"/>
        <v/>
      </c>
      <c r="V1474" s="83" t="str">
        <f ca="1">IF(U1474="","",IFERROR((RANK(U1474,$U$2:$U$2028,1)+COUNTIF($U$2:U1474,U1474))-1,""))</f>
        <v/>
      </c>
      <c r="W1474" s="134" t="str">
        <f t="shared" si="496"/>
        <v/>
      </c>
      <c r="X1474" s="134" t="str">
        <f>IF(W1474="","",IFERROR((RANK(W1474,$W$2:$W$2028,1)+COUNTIF($W$2:W1474,W1474))-1,""))</f>
        <v/>
      </c>
      <c r="Y1474" s="134" t="str">
        <f t="shared" si="493"/>
        <v/>
      </c>
      <c r="Z1474" s="134" t="str">
        <f>IF(Y1474="","",IFERROR((RANK(Y1474,$Y$2:$Y$2028,1)+COUNTIF($Y$2:Y1474,Y1474))-1,""))</f>
        <v/>
      </c>
      <c r="AA1474" s="134" t="str">
        <f t="shared" si="494"/>
        <v/>
      </c>
      <c r="AB1474" s="134" t="str">
        <f>IF(AA1474="","",IFERROR((RANK(AA1474,$AA$2:$AA$2028,1)+COUNTIF($AA$2:AA1474,AA1474))-1,""))</f>
        <v/>
      </c>
      <c r="AC1474" s="134" t="str">
        <f t="shared" si="495"/>
        <v/>
      </c>
      <c r="AD1474" s="134" t="str">
        <f>IF(AC1474="","",IFERROR((RANK(AC1474,$AC$2:$AC$2028,1)+COUNTIF($AC$2:AC1474,AC1474))-1,""))</f>
        <v/>
      </c>
      <c r="AE1474" s="144" t="str">
        <f t="shared" si="487"/>
        <v/>
      </c>
      <c r="AF1474" s="144" t="str">
        <f>IF(AE1474="","",SUM($AE$2:AE1474))</f>
        <v/>
      </c>
    </row>
    <row r="1475" spans="14:32" x14ac:dyDescent="0.35">
      <c r="N1475" s="134" t="str">
        <f t="shared" si="497"/>
        <v/>
      </c>
      <c r="O1475" s="82" t="str">
        <f t="shared" si="488"/>
        <v/>
      </c>
      <c r="P1475" s="81" t="str">
        <f t="shared" si="498"/>
        <v/>
      </c>
      <c r="Q1475" s="81" t="str">
        <f t="shared" si="489"/>
        <v/>
      </c>
      <c r="R1475" s="135" t="str">
        <f t="shared" ca="1" si="490"/>
        <v/>
      </c>
      <c r="S1475" s="134" t="str">
        <f t="shared" ca="1" si="491"/>
        <v/>
      </c>
      <c r="T1475" s="134" t="str">
        <f ca="1">IF(S1475=Dashboard!$D$12,S1475,"")</f>
        <v/>
      </c>
      <c r="U1475" s="134" t="str">
        <f t="shared" ca="1" si="492"/>
        <v/>
      </c>
      <c r="V1475" s="83" t="str">
        <f ca="1">IF(U1475="","",IFERROR((RANK(U1475,$U$2:$U$2028,1)+COUNTIF($U$2:U1475,U1475))-1,""))</f>
        <v/>
      </c>
      <c r="W1475" s="134" t="str">
        <f t="shared" si="496"/>
        <v/>
      </c>
      <c r="X1475" s="134" t="str">
        <f>IF(W1475="","",IFERROR((RANK(W1475,$W$2:$W$2028,1)+COUNTIF($W$2:W1475,W1475))-1,""))</f>
        <v/>
      </c>
      <c r="Y1475" s="134" t="str">
        <f t="shared" si="493"/>
        <v/>
      </c>
      <c r="Z1475" s="134" t="str">
        <f>IF(Y1475="","",IFERROR((RANK(Y1475,$Y$2:$Y$2028,1)+COUNTIF($Y$2:Y1475,Y1475))-1,""))</f>
        <v/>
      </c>
      <c r="AA1475" s="134" t="str">
        <f t="shared" si="494"/>
        <v/>
      </c>
      <c r="AB1475" s="134" t="str">
        <f>IF(AA1475="","",IFERROR((RANK(AA1475,$AA$2:$AA$2028,1)+COUNTIF($AA$2:AA1475,AA1475))-1,""))</f>
        <v/>
      </c>
      <c r="AC1475" s="134" t="str">
        <f t="shared" si="495"/>
        <v/>
      </c>
      <c r="AD1475" s="134" t="str">
        <f>IF(AC1475="","",IFERROR((RANK(AC1475,$AC$2:$AC$2028,1)+COUNTIF($AC$2:AC1475,AC1475))-1,""))</f>
        <v/>
      </c>
      <c r="AE1475" s="144" t="str">
        <f t="shared" si="487"/>
        <v/>
      </c>
      <c r="AF1475" s="144" t="str">
        <f>IF(AE1475="","",SUM($AE$2:AE1475))</f>
        <v/>
      </c>
    </row>
    <row r="1476" spans="14:32" x14ac:dyDescent="0.35">
      <c r="N1476" s="134" t="str">
        <f t="shared" si="497"/>
        <v/>
      </c>
      <c r="O1476" s="82" t="str">
        <f t="shared" si="488"/>
        <v/>
      </c>
      <c r="P1476" s="81" t="str">
        <f t="shared" si="498"/>
        <v/>
      </c>
      <c r="Q1476" s="81" t="str">
        <f t="shared" si="489"/>
        <v/>
      </c>
      <c r="R1476" s="135" t="str">
        <f t="shared" ca="1" si="490"/>
        <v/>
      </c>
      <c r="S1476" s="134" t="str">
        <f t="shared" ca="1" si="491"/>
        <v/>
      </c>
      <c r="T1476" s="134" t="str">
        <f ca="1">IF(S1476=Dashboard!$D$12,S1476,"")</f>
        <v/>
      </c>
      <c r="U1476" s="134" t="str">
        <f t="shared" ca="1" si="492"/>
        <v/>
      </c>
      <c r="V1476" s="83" t="str">
        <f ca="1">IF(U1476="","",IFERROR((RANK(U1476,$U$2:$U$2028,1)+COUNTIF($U$2:U1476,U1476))-1,""))</f>
        <v/>
      </c>
      <c r="W1476" s="134" t="str">
        <f t="shared" si="496"/>
        <v/>
      </c>
      <c r="X1476" s="134" t="str">
        <f>IF(W1476="","",IFERROR((RANK(W1476,$W$2:$W$2028,1)+COUNTIF($W$2:W1476,W1476))-1,""))</f>
        <v/>
      </c>
      <c r="Y1476" s="134" t="str">
        <f t="shared" si="493"/>
        <v/>
      </c>
      <c r="Z1476" s="134" t="str">
        <f>IF(Y1476="","",IFERROR((RANK(Y1476,$Y$2:$Y$2028,1)+COUNTIF($Y$2:Y1476,Y1476))-1,""))</f>
        <v/>
      </c>
      <c r="AA1476" s="134" t="str">
        <f t="shared" si="494"/>
        <v/>
      </c>
      <c r="AB1476" s="134" t="str">
        <f>IF(AA1476="","",IFERROR((RANK(AA1476,$AA$2:$AA$2028,1)+COUNTIF($AA$2:AA1476,AA1476))-1,""))</f>
        <v/>
      </c>
      <c r="AC1476" s="134" t="str">
        <f t="shared" si="495"/>
        <v/>
      </c>
      <c r="AD1476" s="134" t="str">
        <f>IF(AC1476="","",IFERROR((RANK(AC1476,$AC$2:$AC$2028,1)+COUNTIF($AC$2:AC1476,AC1476))-1,""))</f>
        <v/>
      </c>
      <c r="AE1476" s="144" t="str">
        <f t="shared" si="487"/>
        <v/>
      </c>
      <c r="AF1476" s="144" t="str">
        <f>IF(AE1476="","",SUM($AE$2:AE1476))</f>
        <v/>
      </c>
    </row>
    <row r="1477" spans="14:32" x14ac:dyDescent="0.35">
      <c r="N1477" s="134" t="str">
        <f t="shared" si="497"/>
        <v/>
      </c>
      <c r="O1477" s="82" t="str">
        <f t="shared" si="488"/>
        <v/>
      </c>
      <c r="P1477" s="81" t="str">
        <f t="shared" si="498"/>
        <v/>
      </c>
      <c r="Q1477" s="81" t="str">
        <f t="shared" si="489"/>
        <v/>
      </c>
      <c r="R1477" s="135" t="str">
        <f t="shared" ca="1" si="490"/>
        <v/>
      </c>
      <c r="S1477" s="134" t="str">
        <f t="shared" ca="1" si="491"/>
        <v/>
      </c>
      <c r="T1477" s="134" t="str">
        <f ca="1">IF(S1477=Dashboard!$D$12,S1477,"")</f>
        <v/>
      </c>
      <c r="U1477" s="134" t="str">
        <f t="shared" ca="1" si="492"/>
        <v/>
      </c>
      <c r="V1477" s="83" t="str">
        <f ca="1">IF(U1477="","",IFERROR((RANK(U1477,$U$2:$U$2028,1)+COUNTIF($U$2:U1477,U1477))-1,""))</f>
        <v/>
      </c>
      <c r="W1477" s="134" t="str">
        <f t="shared" si="496"/>
        <v/>
      </c>
      <c r="X1477" s="134" t="str">
        <f>IF(W1477="","",IFERROR((RANK(W1477,$W$2:$W$2028,1)+COUNTIF($W$2:W1477,W1477))-1,""))</f>
        <v/>
      </c>
      <c r="Y1477" s="134" t="str">
        <f t="shared" si="493"/>
        <v/>
      </c>
      <c r="Z1477" s="134" t="str">
        <f>IF(Y1477="","",IFERROR((RANK(Y1477,$Y$2:$Y$2028,1)+COUNTIF($Y$2:Y1477,Y1477))-1,""))</f>
        <v/>
      </c>
      <c r="AA1477" s="134" t="str">
        <f t="shared" si="494"/>
        <v/>
      </c>
      <c r="AB1477" s="134" t="str">
        <f>IF(AA1477="","",IFERROR((RANK(AA1477,$AA$2:$AA$2028,1)+COUNTIF($AA$2:AA1477,AA1477))-1,""))</f>
        <v/>
      </c>
      <c r="AC1477" s="134" t="str">
        <f t="shared" si="495"/>
        <v/>
      </c>
      <c r="AD1477" s="134" t="str">
        <f>IF(AC1477="","",IFERROR((RANK(AC1477,$AC$2:$AC$2028,1)+COUNTIF($AC$2:AC1477,AC1477))-1,""))</f>
        <v/>
      </c>
      <c r="AE1477" s="144" t="str">
        <f t="shared" si="487"/>
        <v/>
      </c>
      <c r="AF1477" s="144" t="str">
        <f>IF(AE1477="","",SUM($AE$2:AE1477))</f>
        <v/>
      </c>
    </row>
    <row r="1478" spans="14:32" x14ac:dyDescent="0.35">
      <c r="N1478" s="134" t="str">
        <f t="shared" si="497"/>
        <v/>
      </c>
      <c r="O1478" s="82" t="str">
        <f t="shared" si="488"/>
        <v/>
      </c>
      <c r="P1478" s="81" t="str">
        <f t="shared" si="498"/>
        <v/>
      </c>
      <c r="Q1478" s="81" t="str">
        <f t="shared" si="489"/>
        <v/>
      </c>
      <c r="R1478" s="135" t="str">
        <f t="shared" ca="1" si="490"/>
        <v/>
      </c>
      <c r="S1478" s="134" t="str">
        <f t="shared" ca="1" si="491"/>
        <v/>
      </c>
      <c r="T1478" s="134" t="str">
        <f ca="1">IF(S1478=Dashboard!$D$12,S1478,"")</f>
        <v/>
      </c>
      <c r="U1478" s="134" t="str">
        <f t="shared" ca="1" si="492"/>
        <v/>
      </c>
      <c r="V1478" s="83" t="str">
        <f ca="1">IF(U1478="","",IFERROR((RANK(U1478,$U$2:$U$2028,1)+COUNTIF($U$2:U1478,U1478))-1,""))</f>
        <v/>
      </c>
      <c r="W1478" s="134" t="str">
        <f t="shared" si="496"/>
        <v/>
      </c>
      <c r="X1478" s="134" t="str">
        <f>IF(W1478="","",IFERROR((RANK(W1478,$W$2:$W$2028,1)+COUNTIF($W$2:W1478,W1478))-1,""))</f>
        <v/>
      </c>
      <c r="Y1478" s="134" t="str">
        <f t="shared" si="493"/>
        <v/>
      </c>
      <c r="Z1478" s="134" t="str">
        <f>IF(Y1478="","",IFERROR((RANK(Y1478,$Y$2:$Y$2028,1)+COUNTIF($Y$2:Y1478,Y1478))-1,""))</f>
        <v/>
      </c>
      <c r="AA1478" s="134" t="str">
        <f t="shared" si="494"/>
        <v/>
      </c>
      <c r="AB1478" s="134" t="str">
        <f>IF(AA1478="","",IFERROR((RANK(AA1478,$AA$2:$AA$2028,1)+COUNTIF($AA$2:AA1478,AA1478))-1,""))</f>
        <v/>
      </c>
      <c r="AC1478" s="134" t="str">
        <f t="shared" si="495"/>
        <v/>
      </c>
      <c r="AD1478" s="134" t="str">
        <f>IF(AC1478="","",IFERROR((RANK(AC1478,$AC$2:$AC$2028,1)+COUNTIF($AC$2:AC1478,AC1478))-1,""))</f>
        <v/>
      </c>
      <c r="AE1478" s="144" t="str">
        <f t="shared" si="487"/>
        <v/>
      </c>
      <c r="AF1478" s="144" t="str">
        <f>IF(AE1478="","",SUM($AE$2:AE1478))</f>
        <v/>
      </c>
    </row>
    <row r="1479" spans="14:32" x14ac:dyDescent="0.35">
      <c r="N1479" s="134" t="str">
        <f t="shared" si="497"/>
        <v/>
      </c>
      <c r="O1479" s="82" t="str">
        <f t="shared" si="488"/>
        <v/>
      </c>
      <c r="P1479" s="81" t="str">
        <f t="shared" si="498"/>
        <v/>
      </c>
      <c r="Q1479" s="81" t="str">
        <f t="shared" si="489"/>
        <v/>
      </c>
      <c r="R1479" s="135" t="str">
        <f t="shared" ca="1" si="490"/>
        <v/>
      </c>
      <c r="S1479" s="134" t="str">
        <f t="shared" ca="1" si="491"/>
        <v/>
      </c>
      <c r="T1479" s="134" t="str">
        <f ca="1">IF(S1479=Dashboard!$D$12,S1479,"")</f>
        <v/>
      </c>
      <c r="U1479" s="134" t="str">
        <f t="shared" ca="1" si="492"/>
        <v/>
      </c>
      <c r="V1479" s="83" t="str">
        <f ca="1">IF(U1479="","",IFERROR((RANK(U1479,$U$2:$U$2028,1)+COUNTIF($U$2:U1479,U1479))-1,""))</f>
        <v/>
      </c>
      <c r="W1479" s="134" t="str">
        <f t="shared" si="496"/>
        <v/>
      </c>
      <c r="X1479" s="134" t="str">
        <f>IF(W1479="","",IFERROR((RANK(W1479,$W$2:$W$2028,1)+COUNTIF($W$2:W1479,W1479))-1,""))</f>
        <v/>
      </c>
      <c r="Y1479" s="134" t="str">
        <f t="shared" si="493"/>
        <v/>
      </c>
      <c r="Z1479" s="134" t="str">
        <f>IF(Y1479="","",IFERROR((RANK(Y1479,$Y$2:$Y$2028,1)+COUNTIF($Y$2:Y1479,Y1479))-1,""))</f>
        <v/>
      </c>
      <c r="AA1479" s="134" t="str">
        <f t="shared" si="494"/>
        <v/>
      </c>
      <c r="AB1479" s="134" t="str">
        <f>IF(AA1479="","",IFERROR((RANK(AA1479,$AA$2:$AA$2028,1)+COUNTIF($AA$2:AA1479,AA1479))-1,""))</f>
        <v/>
      </c>
      <c r="AC1479" s="134" t="str">
        <f t="shared" si="495"/>
        <v/>
      </c>
      <c r="AD1479" s="134" t="str">
        <f>IF(AC1479="","",IFERROR((RANK(AC1479,$AC$2:$AC$2028,1)+COUNTIF($AC$2:AC1479,AC1479))-1,""))</f>
        <v/>
      </c>
      <c r="AE1479" s="144" t="str">
        <f t="shared" ref="AE1479:AE1542" si="499">IF(P1479=1,P1479,"")</f>
        <v/>
      </c>
      <c r="AF1479" s="144" t="str">
        <f>IF(AE1479="","",SUM($AE$2:AE1479))</f>
        <v/>
      </c>
    </row>
    <row r="1480" spans="14:32" x14ac:dyDescent="0.35">
      <c r="N1480" s="134" t="str">
        <f t="shared" si="497"/>
        <v/>
      </c>
      <c r="O1480" s="82" t="str">
        <f t="shared" si="488"/>
        <v/>
      </c>
      <c r="P1480" s="81" t="str">
        <f t="shared" si="498"/>
        <v/>
      </c>
      <c r="Q1480" s="81" t="str">
        <f t="shared" si="489"/>
        <v/>
      </c>
      <c r="R1480" s="135" t="str">
        <f t="shared" ca="1" si="490"/>
        <v/>
      </c>
      <c r="S1480" s="134" t="str">
        <f t="shared" ca="1" si="491"/>
        <v/>
      </c>
      <c r="T1480" s="134" t="str">
        <f ca="1">IF(S1480=Dashboard!$D$12,S1480,"")</f>
        <v/>
      </c>
      <c r="U1480" s="134" t="str">
        <f t="shared" ca="1" si="492"/>
        <v/>
      </c>
      <c r="V1480" s="83" t="str">
        <f ca="1">IF(U1480="","",IFERROR((RANK(U1480,$U$2:$U$2028,1)+COUNTIF($U$2:U1480,U1480))-1,""))</f>
        <v/>
      </c>
      <c r="W1480" s="134" t="str">
        <f t="shared" si="496"/>
        <v/>
      </c>
      <c r="X1480" s="134" t="str">
        <f>IF(W1480="","",IFERROR((RANK(W1480,$W$2:$W$2028,1)+COUNTIF($W$2:W1480,W1480))-1,""))</f>
        <v/>
      </c>
      <c r="Y1480" s="134" t="str">
        <f t="shared" si="493"/>
        <v/>
      </c>
      <c r="Z1480" s="134" t="str">
        <f>IF(Y1480="","",IFERROR((RANK(Y1480,$Y$2:$Y$2028,1)+COUNTIF($Y$2:Y1480,Y1480))-1,""))</f>
        <v/>
      </c>
      <c r="AA1480" s="134" t="str">
        <f t="shared" si="494"/>
        <v/>
      </c>
      <c r="AB1480" s="134" t="str">
        <f>IF(AA1480="","",IFERROR((RANK(AA1480,$AA$2:$AA$2028,1)+COUNTIF($AA$2:AA1480,AA1480))-1,""))</f>
        <v/>
      </c>
      <c r="AC1480" s="134" t="str">
        <f t="shared" si="495"/>
        <v/>
      </c>
      <c r="AD1480" s="134" t="str">
        <f>IF(AC1480="","",IFERROR((RANK(AC1480,$AC$2:$AC$2028,1)+COUNTIF($AC$2:AC1480,AC1480))-1,""))</f>
        <v/>
      </c>
      <c r="AE1480" s="144" t="str">
        <f t="shared" si="499"/>
        <v/>
      </c>
      <c r="AF1480" s="144" t="str">
        <f>IF(AE1480="","",SUM($AE$2:AE1480))</f>
        <v/>
      </c>
    </row>
    <row r="1481" spans="14:32" x14ac:dyDescent="0.35">
      <c r="N1481" s="134" t="str">
        <f t="shared" si="497"/>
        <v/>
      </c>
      <c r="O1481" s="82" t="str">
        <f t="shared" si="488"/>
        <v/>
      </c>
      <c r="P1481" s="81" t="str">
        <f t="shared" si="498"/>
        <v/>
      </c>
      <c r="Q1481" s="81" t="str">
        <f t="shared" si="489"/>
        <v/>
      </c>
      <c r="R1481" s="135" t="str">
        <f t="shared" ca="1" si="490"/>
        <v/>
      </c>
      <c r="S1481" s="134" t="str">
        <f t="shared" ca="1" si="491"/>
        <v/>
      </c>
      <c r="T1481" s="134" t="str">
        <f ca="1">IF(S1481=Dashboard!$D$12,S1481,"")</f>
        <v/>
      </c>
      <c r="U1481" s="134" t="str">
        <f t="shared" ca="1" si="492"/>
        <v/>
      </c>
      <c r="V1481" s="83" t="str">
        <f ca="1">IF(U1481="","",IFERROR((RANK(U1481,$U$2:$U$2028,1)+COUNTIF($U$2:U1481,U1481))-1,""))</f>
        <v/>
      </c>
      <c r="W1481" s="134" t="str">
        <f t="shared" si="496"/>
        <v/>
      </c>
      <c r="X1481" s="134" t="str">
        <f>IF(W1481="","",IFERROR((RANK(W1481,$W$2:$W$2028,1)+COUNTIF($W$2:W1481,W1481))-1,""))</f>
        <v/>
      </c>
      <c r="Y1481" s="134" t="str">
        <f t="shared" si="493"/>
        <v/>
      </c>
      <c r="Z1481" s="134" t="str">
        <f>IF(Y1481="","",IFERROR((RANK(Y1481,$Y$2:$Y$2028,1)+COUNTIF($Y$2:Y1481,Y1481))-1,""))</f>
        <v/>
      </c>
      <c r="AA1481" s="134" t="str">
        <f t="shared" si="494"/>
        <v/>
      </c>
      <c r="AB1481" s="134" t="str">
        <f>IF(AA1481="","",IFERROR((RANK(AA1481,$AA$2:$AA$2028,1)+COUNTIF($AA$2:AA1481,AA1481))-1,""))</f>
        <v/>
      </c>
      <c r="AC1481" s="134" t="str">
        <f t="shared" si="495"/>
        <v/>
      </c>
      <c r="AD1481" s="134" t="str">
        <f>IF(AC1481="","",IFERROR((RANK(AC1481,$AC$2:$AC$2028,1)+COUNTIF($AC$2:AC1481,AC1481))-1,""))</f>
        <v/>
      </c>
      <c r="AE1481" s="144" t="str">
        <f t="shared" si="499"/>
        <v/>
      </c>
      <c r="AF1481" s="144" t="str">
        <f>IF(AE1481="","",SUM($AE$2:AE1481))</f>
        <v/>
      </c>
    </row>
    <row r="1482" spans="14:32" x14ac:dyDescent="0.35">
      <c r="N1482" s="134" t="str">
        <f t="shared" si="497"/>
        <v/>
      </c>
      <c r="O1482" s="82" t="str">
        <f t="shared" si="488"/>
        <v/>
      </c>
      <c r="P1482" s="81" t="str">
        <f t="shared" si="498"/>
        <v/>
      </c>
      <c r="Q1482" s="81" t="str">
        <f t="shared" si="489"/>
        <v/>
      </c>
      <c r="R1482" s="135" t="str">
        <f t="shared" ca="1" si="490"/>
        <v/>
      </c>
      <c r="S1482" s="134" t="str">
        <f t="shared" ca="1" si="491"/>
        <v/>
      </c>
      <c r="T1482" s="134" t="str">
        <f ca="1">IF(S1482=Dashboard!$D$12,S1482,"")</f>
        <v/>
      </c>
      <c r="U1482" s="134" t="str">
        <f t="shared" ca="1" si="492"/>
        <v/>
      </c>
      <c r="V1482" s="83" t="str">
        <f ca="1">IF(U1482="","",IFERROR((RANK(U1482,$U$2:$U$2028,1)+COUNTIF($U$2:U1482,U1482))-1,""))</f>
        <v/>
      </c>
      <c r="W1482" s="134" t="str">
        <f t="shared" si="496"/>
        <v/>
      </c>
      <c r="X1482" s="134" t="str">
        <f>IF(W1482="","",IFERROR((RANK(W1482,$W$2:$W$2028,1)+COUNTIF($W$2:W1482,W1482))-1,""))</f>
        <v/>
      </c>
      <c r="Y1482" s="134" t="str">
        <f t="shared" si="493"/>
        <v/>
      </c>
      <c r="Z1482" s="134" t="str">
        <f>IF(Y1482="","",IFERROR((RANK(Y1482,$Y$2:$Y$2028,1)+COUNTIF($Y$2:Y1482,Y1482))-1,""))</f>
        <v/>
      </c>
      <c r="AA1482" s="134" t="str">
        <f t="shared" si="494"/>
        <v/>
      </c>
      <c r="AB1482" s="134" t="str">
        <f>IF(AA1482="","",IFERROR((RANK(AA1482,$AA$2:$AA$2028,1)+COUNTIF($AA$2:AA1482,AA1482))-1,""))</f>
        <v/>
      </c>
      <c r="AC1482" s="134" t="str">
        <f t="shared" si="495"/>
        <v/>
      </c>
      <c r="AD1482" s="134" t="str">
        <f>IF(AC1482="","",IFERROR((RANK(AC1482,$AC$2:$AC$2028,1)+COUNTIF($AC$2:AC1482,AC1482))-1,""))</f>
        <v/>
      </c>
      <c r="AE1482" s="144" t="str">
        <f t="shared" si="499"/>
        <v/>
      </c>
      <c r="AF1482" s="144" t="str">
        <f>IF(AE1482="","",SUM($AE$2:AE1482))</f>
        <v/>
      </c>
    </row>
    <row r="1483" spans="14:32" x14ac:dyDescent="0.35">
      <c r="N1483" s="134" t="str">
        <f t="shared" si="497"/>
        <v/>
      </c>
      <c r="O1483" s="82" t="str">
        <f t="shared" si="488"/>
        <v/>
      </c>
      <c r="P1483" s="81" t="str">
        <f t="shared" si="498"/>
        <v/>
      </c>
      <c r="Q1483" s="81" t="str">
        <f t="shared" si="489"/>
        <v/>
      </c>
      <c r="R1483" s="135" t="str">
        <f t="shared" ca="1" si="490"/>
        <v/>
      </c>
      <c r="S1483" s="134" t="str">
        <f t="shared" ca="1" si="491"/>
        <v/>
      </c>
      <c r="T1483" s="134" t="str">
        <f ca="1">IF(S1483=Dashboard!$D$12,S1483,"")</f>
        <v/>
      </c>
      <c r="U1483" s="134" t="str">
        <f t="shared" ca="1" si="492"/>
        <v/>
      </c>
      <c r="V1483" s="83" t="str">
        <f ca="1">IF(U1483="","",IFERROR((RANK(U1483,$U$2:$U$2028,1)+COUNTIF($U$2:U1483,U1483))-1,""))</f>
        <v/>
      </c>
      <c r="W1483" s="134" t="str">
        <f t="shared" si="496"/>
        <v/>
      </c>
      <c r="X1483" s="134" t="str">
        <f>IF(W1483="","",IFERROR((RANK(W1483,$W$2:$W$2028,1)+COUNTIF($W$2:W1483,W1483))-1,""))</f>
        <v/>
      </c>
      <c r="Y1483" s="134" t="str">
        <f t="shared" si="493"/>
        <v/>
      </c>
      <c r="Z1483" s="134" t="str">
        <f>IF(Y1483="","",IFERROR((RANK(Y1483,$Y$2:$Y$2028,1)+COUNTIF($Y$2:Y1483,Y1483))-1,""))</f>
        <v/>
      </c>
      <c r="AA1483" s="134" t="str">
        <f t="shared" si="494"/>
        <v/>
      </c>
      <c r="AB1483" s="134" t="str">
        <f>IF(AA1483="","",IFERROR((RANK(AA1483,$AA$2:$AA$2028,1)+COUNTIF($AA$2:AA1483,AA1483))-1,""))</f>
        <v/>
      </c>
      <c r="AC1483" s="134" t="str">
        <f t="shared" si="495"/>
        <v/>
      </c>
      <c r="AD1483" s="134" t="str">
        <f>IF(AC1483="","",IFERROR((RANK(AC1483,$AC$2:$AC$2028,1)+COUNTIF($AC$2:AC1483,AC1483))-1,""))</f>
        <v/>
      </c>
      <c r="AE1483" s="144" t="str">
        <f t="shared" si="499"/>
        <v/>
      </c>
      <c r="AF1483" s="144" t="str">
        <f>IF(AE1483="","",SUM($AE$2:AE1483))</f>
        <v/>
      </c>
    </row>
    <row r="1484" spans="14:32" x14ac:dyDescent="0.35">
      <c r="N1484" s="134" t="str">
        <f t="shared" si="497"/>
        <v/>
      </c>
      <c r="O1484" s="82" t="str">
        <f t="shared" si="488"/>
        <v/>
      </c>
      <c r="P1484" s="81" t="str">
        <f t="shared" si="498"/>
        <v/>
      </c>
      <c r="Q1484" s="81" t="str">
        <f t="shared" si="489"/>
        <v/>
      </c>
      <c r="R1484" s="135" t="str">
        <f t="shared" ca="1" si="490"/>
        <v/>
      </c>
      <c r="S1484" s="134" t="str">
        <f t="shared" ca="1" si="491"/>
        <v/>
      </c>
      <c r="T1484" s="134" t="str">
        <f ca="1">IF(S1484=Dashboard!$D$12,S1484,"")</f>
        <v/>
      </c>
      <c r="U1484" s="134" t="str">
        <f t="shared" ca="1" si="492"/>
        <v/>
      </c>
      <c r="V1484" s="83" t="str">
        <f ca="1">IF(U1484="","",IFERROR((RANK(U1484,$U$2:$U$2028,1)+COUNTIF($U$2:U1484,U1484))-1,""))</f>
        <v/>
      </c>
      <c r="W1484" s="134" t="str">
        <f t="shared" si="496"/>
        <v/>
      </c>
      <c r="X1484" s="134" t="str">
        <f>IF(W1484="","",IFERROR((RANK(W1484,$W$2:$W$2028,1)+COUNTIF($W$2:W1484,W1484))-1,""))</f>
        <v/>
      </c>
      <c r="Y1484" s="134" t="str">
        <f t="shared" si="493"/>
        <v/>
      </c>
      <c r="Z1484" s="134" t="str">
        <f>IF(Y1484="","",IFERROR((RANK(Y1484,$Y$2:$Y$2028,1)+COUNTIF($Y$2:Y1484,Y1484))-1,""))</f>
        <v/>
      </c>
      <c r="AA1484" s="134" t="str">
        <f t="shared" si="494"/>
        <v/>
      </c>
      <c r="AB1484" s="134" t="str">
        <f>IF(AA1484="","",IFERROR((RANK(AA1484,$AA$2:$AA$2028,1)+COUNTIF($AA$2:AA1484,AA1484))-1,""))</f>
        <v/>
      </c>
      <c r="AC1484" s="134" t="str">
        <f t="shared" si="495"/>
        <v/>
      </c>
      <c r="AD1484" s="134" t="str">
        <f>IF(AC1484="","",IFERROR((RANK(AC1484,$AC$2:$AC$2028,1)+COUNTIF($AC$2:AC1484,AC1484))-1,""))</f>
        <v/>
      </c>
      <c r="AE1484" s="144" t="str">
        <f t="shared" si="499"/>
        <v/>
      </c>
      <c r="AF1484" s="144" t="str">
        <f>IF(AE1484="","",SUM($AE$2:AE1484))</f>
        <v/>
      </c>
    </row>
    <row r="1485" spans="14:32" x14ac:dyDescent="0.35">
      <c r="N1485" s="134" t="str">
        <f t="shared" si="497"/>
        <v/>
      </c>
      <c r="O1485" s="82" t="str">
        <f t="shared" si="488"/>
        <v/>
      </c>
      <c r="P1485" s="81" t="str">
        <f t="shared" si="498"/>
        <v/>
      </c>
      <c r="Q1485" s="81" t="str">
        <f t="shared" si="489"/>
        <v/>
      </c>
      <c r="R1485" s="135" t="str">
        <f t="shared" ca="1" si="490"/>
        <v/>
      </c>
      <c r="S1485" s="134" t="str">
        <f t="shared" ca="1" si="491"/>
        <v/>
      </c>
      <c r="T1485" s="134" t="str">
        <f ca="1">IF(S1485=Dashboard!$D$12,S1485,"")</f>
        <v/>
      </c>
      <c r="U1485" s="134" t="str">
        <f t="shared" ca="1" si="492"/>
        <v/>
      </c>
      <c r="V1485" s="83" t="str">
        <f ca="1">IF(U1485="","",IFERROR((RANK(U1485,$U$2:$U$2028,1)+COUNTIF($U$2:U1485,U1485))-1,""))</f>
        <v/>
      </c>
      <c r="W1485" s="134" t="str">
        <f t="shared" si="496"/>
        <v/>
      </c>
      <c r="X1485" s="134" t="str">
        <f>IF(W1485="","",IFERROR((RANK(W1485,$W$2:$W$2028,1)+COUNTIF($W$2:W1485,W1485))-1,""))</f>
        <v/>
      </c>
      <c r="Y1485" s="134" t="str">
        <f t="shared" si="493"/>
        <v/>
      </c>
      <c r="Z1485" s="134" t="str">
        <f>IF(Y1485="","",IFERROR((RANK(Y1485,$Y$2:$Y$2028,1)+COUNTIF($Y$2:Y1485,Y1485))-1,""))</f>
        <v/>
      </c>
      <c r="AA1485" s="134" t="str">
        <f t="shared" si="494"/>
        <v/>
      </c>
      <c r="AB1485" s="134" t="str">
        <f>IF(AA1485="","",IFERROR((RANK(AA1485,$AA$2:$AA$2028,1)+COUNTIF($AA$2:AA1485,AA1485))-1,""))</f>
        <v/>
      </c>
      <c r="AC1485" s="134" t="str">
        <f t="shared" si="495"/>
        <v/>
      </c>
      <c r="AD1485" s="134" t="str">
        <f>IF(AC1485="","",IFERROR((RANK(AC1485,$AC$2:$AC$2028,1)+COUNTIF($AC$2:AC1485,AC1485))-1,""))</f>
        <v/>
      </c>
      <c r="AE1485" s="144" t="str">
        <f t="shared" si="499"/>
        <v/>
      </c>
      <c r="AF1485" s="144" t="str">
        <f>IF(AE1485="","",SUM($AE$2:AE1485))</f>
        <v/>
      </c>
    </row>
    <row r="1486" spans="14:32" x14ac:dyDescent="0.35">
      <c r="N1486" s="134" t="str">
        <f t="shared" si="497"/>
        <v/>
      </c>
      <c r="O1486" s="82" t="str">
        <f t="shared" si="488"/>
        <v/>
      </c>
      <c r="P1486" s="81" t="str">
        <f t="shared" si="498"/>
        <v/>
      </c>
      <c r="Q1486" s="81" t="str">
        <f t="shared" si="489"/>
        <v/>
      </c>
      <c r="R1486" s="135" t="str">
        <f t="shared" ca="1" si="490"/>
        <v/>
      </c>
      <c r="S1486" s="134" t="str">
        <f t="shared" ca="1" si="491"/>
        <v/>
      </c>
      <c r="T1486" s="134" t="str">
        <f ca="1">IF(S1486=Dashboard!$D$12,S1486,"")</f>
        <v/>
      </c>
      <c r="U1486" s="134" t="str">
        <f t="shared" ca="1" si="492"/>
        <v/>
      </c>
      <c r="V1486" s="83" t="str">
        <f ca="1">IF(U1486="","",IFERROR((RANK(U1486,$U$2:$U$2028,1)+COUNTIF($U$2:U1486,U1486))-1,""))</f>
        <v/>
      </c>
      <c r="W1486" s="134" t="str">
        <f t="shared" si="496"/>
        <v/>
      </c>
      <c r="X1486" s="134" t="str">
        <f>IF(W1486="","",IFERROR((RANK(W1486,$W$2:$W$2028,1)+COUNTIF($W$2:W1486,W1486))-1,""))</f>
        <v/>
      </c>
      <c r="Y1486" s="134" t="str">
        <f t="shared" si="493"/>
        <v/>
      </c>
      <c r="Z1486" s="134" t="str">
        <f>IF(Y1486="","",IFERROR((RANK(Y1486,$Y$2:$Y$2028,1)+COUNTIF($Y$2:Y1486,Y1486))-1,""))</f>
        <v/>
      </c>
      <c r="AA1486" s="134" t="str">
        <f t="shared" si="494"/>
        <v/>
      </c>
      <c r="AB1486" s="134" t="str">
        <f>IF(AA1486="","",IFERROR((RANK(AA1486,$AA$2:$AA$2028,1)+COUNTIF($AA$2:AA1486,AA1486))-1,""))</f>
        <v/>
      </c>
      <c r="AC1486" s="134" t="str">
        <f t="shared" si="495"/>
        <v/>
      </c>
      <c r="AD1486" s="134" t="str">
        <f>IF(AC1486="","",IFERROR((RANK(AC1486,$AC$2:$AC$2028,1)+COUNTIF($AC$2:AC1486,AC1486))-1,""))</f>
        <v/>
      </c>
      <c r="AE1486" s="144" t="str">
        <f t="shared" si="499"/>
        <v/>
      </c>
      <c r="AF1486" s="144" t="str">
        <f>IF(AE1486="","",SUM($AE$2:AE1486))</f>
        <v/>
      </c>
    </row>
    <row r="1487" spans="14:32" x14ac:dyDescent="0.35">
      <c r="N1487" s="134" t="str">
        <f t="shared" si="497"/>
        <v/>
      </c>
      <c r="O1487" s="82" t="str">
        <f t="shared" si="488"/>
        <v/>
      </c>
      <c r="P1487" s="81" t="str">
        <f t="shared" si="498"/>
        <v/>
      </c>
      <c r="Q1487" s="81" t="str">
        <f t="shared" si="489"/>
        <v/>
      </c>
      <c r="R1487" s="135" t="str">
        <f t="shared" ca="1" si="490"/>
        <v/>
      </c>
      <c r="S1487" s="134" t="str">
        <f t="shared" ca="1" si="491"/>
        <v/>
      </c>
      <c r="T1487" s="134" t="str">
        <f ca="1">IF(S1487=Dashboard!$D$12,S1487,"")</f>
        <v/>
      </c>
      <c r="U1487" s="134" t="str">
        <f t="shared" ca="1" si="492"/>
        <v/>
      </c>
      <c r="V1487" s="83" t="str">
        <f ca="1">IF(U1487="","",IFERROR((RANK(U1487,$U$2:$U$2028,1)+COUNTIF($U$2:U1487,U1487))-1,""))</f>
        <v/>
      </c>
      <c r="W1487" s="134" t="str">
        <f t="shared" si="496"/>
        <v/>
      </c>
      <c r="X1487" s="134" t="str">
        <f>IF(W1487="","",IFERROR((RANK(W1487,$W$2:$W$2028,1)+COUNTIF($W$2:W1487,W1487))-1,""))</f>
        <v/>
      </c>
      <c r="Y1487" s="134" t="str">
        <f t="shared" si="493"/>
        <v/>
      </c>
      <c r="Z1487" s="134" t="str">
        <f>IF(Y1487="","",IFERROR((RANK(Y1487,$Y$2:$Y$2028,1)+COUNTIF($Y$2:Y1487,Y1487))-1,""))</f>
        <v/>
      </c>
      <c r="AA1487" s="134" t="str">
        <f t="shared" si="494"/>
        <v/>
      </c>
      <c r="AB1487" s="134" t="str">
        <f>IF(AA1487="","",IFERROR((RANK(AA1487,$AA$2:$AA$2028,1)+COUNTIF($AA$2:AA1487,AA1487))-1,""))</f>
        <v/>
      </c>
      <c r="AC1487" s="134" t="str">
        <f t="shared" si="495"/>
        <v/>
      </c>
      <c r="AD1487" s="134" t="str">
        <f>IF(AC1487="","",IFERROR((RANK(AC1487,$AC$2:$AC$2028,1)+COUNTIF($AC$2:AC1487,AC1487))-1,""))</f>
        <v/>
      </c>
      <c r="AE1487" s="144" t="str">
        <f t="shared" si="499"/>
        <v/>
      </c>
      <c r="AF1487" s="144" t="str">
        <f>IF(AE1487="","",SUM($AE$2:AE1487))</f>
        <v/>
      </c>
    </row>
    <row r="1488" spans="14:32" x14ac:dyDescent="0.35">
      <c r="N1488" s="134" t="str">
        <f t="shared" si="497"/>
        <v/>
      </c>
      <c r="O1488" s="82" t="str">
        <f t="shared" si="488"/>
        <v/>
      </c>
      <c r="P1488" s="81" t="str">
        <f t="shared" si="498"/>
        <v/>
      </c>
      <c r="Q1488" s="81" t="str">
        <f t="shared" si="489"/>
        <v/>
      </c>
      <c r="R1488" s="135" t="str">
        <f t="shared" ca="1" si="490"/>
        <v/>
      </c>
      <c r="S1488" s="134" t="str">
        <f t="shared" ca="1" si="491"/>
        <v/>
      </c>
      <c r="T1488" s="134" t="str">
        <f ca="1">IF(S1488=Dashboard!$D$12,S1488,"")</f>
        <v/>
      </c>
      <c r="U1488" s="134" t="str">
        <f t="shared" ca="1" si="492"/>
        <v/>
      </c>
      <c r="V1488" s="83" t="str">
        <f ca="1">IF(U1488="","",IFERROR((RANK(U1488,$U$2:$U$2028,1)+COUNTIF($U$2:U1488,U1488))-1,""))</f>
        <v/>
      </c>
      <c r="W1488" s="134" t="str">
        <f t="shared" si="496"/>
        <v/>
      </c>
      <c r="X1488" s="134" t="str">
        <f>IF(W1488="","",IFERROR((RANK(W1488,$W$2:$W$2028,1)+COUNTIF($W$2:W1488,W1488))-1,""))</f>
        <v/>
      </c>
      <c r="Y1488" s="134" t="str">
        <f t="shared" si="493"/>
        <v/>
      </c>
      <c r="Z1488" s="134" t="str">
        <f>IF(Y1488="","",IFERROR((RANK(Y1488,$Y$2:$Y$2028,1)+COUNTIF($Y$2:Y1488,Y1488))-1,""))</f>
        <v/>
      </c>
      <c r="AA1488" s="134" t="str">
        <f t="shared" si="494"/>
        <v/>
      </c>
      <c r="AB1488" s="134" t="str">
        <f>IF(AA1488="","",IFERROR((RANK(AA1488,$AA$2:$AA$2028,1)+COUNTIF($AA$2:AA1488,AA1488))-1,""))</f>
        <v/>
      </c>
      <c r="AC1488" s="134" t="str">
        <f t="shared" si="495"/>
        <v/>
      </c>
      <c r="AD1488" s="134" t="str">
        <f>IF(AC1488="","",IFERROR((RANK(AC1488,$AC$2:$AC$2028,1)+COUNTIF($AC$2:AC1488,AC1488))-1,""))</f>
        <v/>
      </c>
      <c r="AE1488" s="144" t="str">
        <f t="shared" si="499"/>
        <v/>
      </c>
      <c r="AF1488" s="144" t="str">
        <f>IF(AE1488="","",SUM($AE$2:AE1488))</f>
        <v/>
      </c>
    </row>
    <row r="1489" spans="14:32" x14ac:dyDescent="0.35">
      <c r="N1489" s="134" t="str">
        <f t="shared" si="497"/>
        <v/>
      </c>
      <c r="O1489" s="82" t="str">
        <f t="shared" si="488"/>
        <v/>
      </c>
      <c r="P1489" s="81" t="str">
        <f t="shared" si="498"/>
        <v/>
      </c>
      <c r="Q1489" s="81" t="str">
        <f t="shared" si="489"/>
        <v/>
      </c>
      <c r="R1489" s="135" t="str">
        <f t="shared" ca="1" si="490"/>
        <v/>
      </c>
      <c r="S1489" s="134" t="str">
        <f t="shared" ca="1" si="491"/>
        <v/>
      </c>
      <c r="T1489" s="134" t="str">
        <f ca="1">IF(S1489=Dashboard!$D$12,S1489,"")</f>
        <v/>
      </c>
      <c r="U1489" s="134" t="str">
        <f t="shared" ca="1" si="492"/>
        <v/>
      </c>
      <c r="V1489" s="83" t="str">
        <f ca="1">IF(U1489="","",IFERROR((RANK(U1489,$U$2:$U$2028,1)+COUNTIF($U$2:U1489,U1489))-1,""))</f>
        <v/>
      </c>
      <c r="W1489" s="134" t="str">
        <f t="shared" si="496"/>
        <v/>
      </c>
      <c r="X1489" s="134" t="str">
        <f>IF(W1489="","",IFERROR((RANK(W1489,$W$2:$W$2028,1)+COUNTIF($W$2:W1489,W1489))-1,""))</f>
        <v/>
      </c>
      <c r="Y1489" s="134" t="str">
        <f t="shared" si="493"/>
        <v/>
      </c>
      <c r="Z1489" s="134" t="str">
        <f>IF(Y1489="","",IFERROR((RANK(Y1489,$Y$2:$Y$2028,1)+COUNTIF($Y$2:Y1489,Y1489))-1,""))</f>
        <v/>
      </c>
      <c r="AA1489" s="134" t="str">
        <f t="shared" si="494"/>
        <v/>
      </c>
      <c r="AB1489" s="134" t="str">
        <f>IF(AA1489="","",IFERROR((RANK(AA1489,$AA$2:$AA$2028,1)+COUNTIF($AA$2:AA1489,AA1489))-1,""))</f>
        <v/>
      </c>
      <c r="AC1489" s="134" t="str">
        <f t="shared" si="495"/>
        <v/>
      </c>
      <c r="AD1489" s="134" t="str">
        <f>IF(AC1489="","",IFERROR((RANK(AC1489,$AC$2:$AC$2028,1)+COUNTIF($AC$2:AC1489,AC1489))-1,""))</f>
        <v/>
      </c>
      <c r="AE1489" s="144" t="str">
        <f t="shared" si="499"/>
        <v/>
      </c>
      <c r="AF1489" s="144" t="str">
        <f>IF(AE1489="","",SUM($AE$2:AE1489))</f>
        <v/>
      </c>
    </row>
    <row r="1490" spans="14:32" x14ac:dyDescent="0.35">
      <c r="N1490" s="134" t="str">
        <f t="shared" si="497"/>
        <v/>
      </c>
      <c r="O1490" s="82" t="str">
        <f t="shared" si="488"/>
        <v/>
      </c>
      <c r="P1490" s="81" t="str">
        <f t="shared" si="498"/>
        <v/>
      </c>
      <c r="Q1490" s="81" t="str">
        <f t="shared" si="489"/>
        <v/>
      </c>
      <c r="R1490" s="135" t="str">
        <f t="shared" ca="1" si="490"/>
        <v/>
      </c>
      <c r="S1490" s="134" t="str">
        <f t="shared" ca="1" si="491"/>
        <v/>
      </c>
      <c r="T1490" s="134" t="str">
        <f ca="1">IF(S1490=Dashboard!$D$12,S1490,"")</f>
        <v/>
      </c>
      <c r="U1490" s="134" t="str">
        <f t="shared" ca="1" si="492"/>
        <v/>
      </c>
      <c r="V1490" s="83" t="str">
        <f ca="1">IF(U1490="","",IFERROR((RANK(U1490,$U$2:$U$2028,1)+COUNTIF($U$2:U1490,U1490))-1,""))</f>
        <v/>
      </c>
      <c r="W1490" s="134" t="str">
        <f t="shared" si="496"/>
        <v/>
      </c>
      <c r="X1490" s="134" t="str">
        <f>IF(W1490="","",IFERROR((RANK(W1490,$W$2:$W$2028,1)+COUNTIF($W$2:W1490,W1490))-1,""))</f>
        <v/>
      </c>
      <c r="Y1490" s="134" t="str">
        <f t="shared" si="493"/>
        <v/>
      </c>
      <c r="Z1490" s="134" t="str">
        <f>IF(Y1490="","",IFERROR((RANK(Y1490,$Y$2:$Y$2028,1)+COUNTIF($Y$2:Y1490,Y1490))-1,""))</f>
        <v/>
      </c>
      <c r="AA1490" s="134" t="str">
        <f t="shared" si="494"/>
        <v/>
      </c>
      <c r="AB1490" s="134" t="str">
        <f>IF(AA1490="","",IFERROR((RANK(AA1490,$AA$2:$AA$2028,1)+COUNTIF($AA$2:AA1490,AA1490))-1,""))</f>
        <v/>
      </c>
      <c r="AC1490" s="134" t="str">
        <f t="shared" si="495"/>
        <v/>
      </c>
      <c r="AD1490" s="134" t="str">
        <f>IF(AC1490="","",IFERROR((RANK(AC1490,$AC$2:$AC$2028,1)+COUNTIF($AC$2:AC1490,AC1490))-1,""))</f>
        <v/>
      </c>
      <c r="AE1490" s="144" t="str">
        <f t="shared" si="499"/>
        <v/>
      </c>
      <c r="AF1490" s="144" t="str">
        <f>IF(AE1490="","",SUM($AE$2:AE1490))</f>
        <v/>
      </c>
    </row>
    <row r="1491" spans="14:32" x14ac:dyDescent="0.35">
      <c r="N1491" s="134" t="str">
        <f t="shared" si="497"/>
        <v/>
      </c>
      <c r="O1491" s="82" t="str">
        <f t="shared" si="488"/>
        <v/>
      </c>
      <c r="P1491" s="81" t="str">
        <f t="shared" si="498"/>
        <v/>
      </c>
      <c r="Q1491" s="81" t="str">
        <f t="shared" si="489"/>
        <v/>
      </c>
      <c r="R1491" s="135" t="str">
        <f t="shared" ca="1" si="490"/>
        <v/>
      </c>
      <c r="S1491" s="134" t="str">
        <f t="shared" ca="1" si="491"/>
        <v/>
      </c>
      <c r="T1491" s="134" t="str">
        <f ca="1">IF(S1491=Dashboard!$D$12,S1491,"")</f>
        <v/>
      </c>
      <c r="U1491" s="134" t="str">
        <f t="shared" ca="1" si="492"/>
        <v/>
      </c>
      <c r="V1491" s="83" t="str">
        <f ca="1">IF(U1491="","",IFERROR((RANK(U1491,$U$2:$U$2028,1)+COUNTIF($U$2:U1491,U1491))-1,""))</f>
        <v/>
      </c>
      <c r="W1491" s="134" t="str">
        <f t="shared" si="496"/>
        <v/>
      </c>
      <c r="X1491" s="134" t="str">
        <f>IF(W1491="","",IFERROR((RANK(W1491,$W$2:$W$2028,1)+COUNTIF($W$2:W1491,W1491))-1,""))</f>
        <v/>
      </c>
      <c r="Y1491" s="134" t="str">
        <f t="shared" si="493"/>
        <v/>
      </c>
      <c r="Z1491" s="134" t="str">
        <f>IF(Y1491="","",IFERROR((RANK(Y1491,$Y$2:$Y$2028,1)+COUNTIF($Y$2:Y1491,Y1491))-1,""))</f>
        <v/>
      </c>
      <c r="AA1491" s="134" t="str">
        <f t="shared" si="494"/>
        <v/>
      </c>
      <c r="AB1491" s="134" t="str">
        <f>IF(AA1491="","",IFERROR((RANK(AA1491,$AA$2:$AA$2028,1)+COUNTIF($AA$2:AA1491,AA1491))-1,""))</f>
        <v/>
      </c>
      <c r="AC1491" s="134" t="str">
        <f t="shared" si="495"/>
        <v/>
      </c>
      <c r="AD1491" s="134" t="str">
        <f>IF(AC1491="","",IFERROR((RANK(AC1491,$AC$2:$AC$2028,1)+COUNTIF($AC$2:AC1491,AC1491))-1,""))</f>
        <v/>
      </c>
      <c r="AE1491" s="144" t="str">
        <f t="shared" si="499"/>
        <v/>
      </c>
      <c r="AF1491" s="144" t="str">
        <f>IF(AE1491="","",SUM($AE$2:AE1491))</f>
        <v/>
      </c>
    </row>
    <row r="1492" spans="14:32" x14ac:dyDescent="0.35">
      <c r="N1492" s="134" t="str">
        <f t="shared" si="497"/>
        <v/>
      </c>
      <c r="O1492" s="82" t="str">
        <f t="shared" si="488"/>
        <v/>
      </c>
      <c r="P1492" s="81" t="str">
        <f t="shared" si="498"/>
        <v/>
      </c>
      <c r="Q1492" s="81" t="str">
        <f t="shared" si="489"/>
        <v/>
      </c>
      <c r="R1492" s="135" t="str">
        <f t="shared" ca="1" si="490"/>
        <v/>
      </c>
      <c r="S1492" s="134" t="str">
        <f t="shared" ca="1" si="491"/>
        <v/>
      </c>
      <c r="T1492" s="134" t="str">
        <f ca="1">IF(S1492=Dashboard!$D$12,S1492,"")</f>
        <v/>
      </c>
      <c r="U1492" s="134" t="str">
        <f t="shared" ca="1" si="492"/>
        <v/>
      </c>
      <c r="V1492" s="83" t="str">
        <f ca="1">IF(U1492="","",IFERROR((RANK(U1492,$U$2:$U$2028,1)+COUNTIF($U$2:U1492,U1492))-1,""))</f>
        <v/>
      </c>
      <c r="W1492" s="134" t="str">
        <f t="shared" si="496"/>
        <v/>
      </c>
      <c r="X1492" s="134" t="str">
        <f>IF(W1492="","",IFERROR((RANK(W1492,$W$2:$W$2028,1)+COUNTIF($W$2:W1492,W1492))-1,""))</f>
        <v/>
      </c>
      <c r="Y1492" s="134" t="str">
        <f t="shared" si="493"/>
        <v/>
      </c>
      <c r="Z1492" s="134" t="str">
        <f>IF(Y1492="","",IFERROR((RANK(Y1492,$Y$2:$Y$2028,1)+COUNTIF($Y$2:Y1492,Y1492))-1,""))</f>
        <v/>
      </c>
      <c r="AA1492" s="134" t="str">
        <f t="shared" si="494"/>
        <v/>
      </c>
      <c r="AB1492" s="134" t="str">
        <f>IF(AA1492="","",IFERROR((RANK(AA1492,$AA$2:$AA$2028,1)+COUNTIF($AA$2:AA1492,AA1492))-1,""))</f>
        <v/>
      </c>
      <c r="AC1492" s="134" t="str">
        <f t="shared" si="495"/>
        <v/>
      </c>
      <c r="AD1492" s="134" t="str">
        <f>IF(AC1492="","",IFERROR((RANK(AC1492,$AC$2:$AC$2028,1)+COUNTIF($AC$2:AC1492,AC1492))-1,""))</f>
        <v/>
      </c>
      <c r="AE1492" s="144" t="str">
        <f t="shared" si="499"/>
        <v/>
      </c>
      <c r="AF1492" s="144" t="str">
        <f>IF(AE1492="","",SUM($AE$2:AE1492))</f>
        <v/>
      </c>
    </row>
    <row r="1493" spans="14:32" x14ac:dyDescent="0.35">
      <c r="N1493" s="134" t="str">
        <f t="shared" si="497"/>
        <v/>
      </c>
      <c r="O1493" s="82" t="str">
        <f t="shared" si="488"/>
        <v/>
      </c>
      <c r="P1493" s="81" t="str">
        <f t="shared" si="498"/>
        <v/>
      </c>
      <c r="Q1493" s="81" t="str">
        <f t="shared" si="489"/>
        <v/>
      </c>
      <c r="R1493" s="135" t="str">
        <f t="shared" ca="1" si="490"/>
        <v/>
      </c>
      <c r="S1493" s="134" t="str">
        <f t="shared" ca="1" si="491"/>
        <v/>
      </c>
      <c r="T1493" s="134" t="str">
        <f ca="1">IF(S1493=Dashboard!$D$12,S1493,"")</f>
        <v/>
      </c>
      <c r="U1493" s="134" t="str">
        <f t="shared" ca="1" si="492"/>
        <v/>
      </c>
      <c r="V1493" s="83" t="str">
        <f ca="1">IF(U1493="","",IFERROR((RANK(U1493,$U$2:$U$2028,1)+COUNTIF($U$2:U1493,U1493))-1,""))</f>
        <v/>
      </c>
      <c r="W1493" s="134" t="str">
        <f t="shared" si="496"/>
        <v/>
      </c>
      <c r="X1493" s="134" t="str">
        <f>IF(W1493="","",IFERROR((RANK(W1493,$W$2:$W$2028,1)+COUNTIF($W$2:W1493,W1493))-1,""))</f>
        <v/>
      </c>
      <c r="Y1493" s="134" t="str">
        <f t="shared" si="493"/>
        <v/>
      </c>
      <c r="Z1493" s="134" t="str">
        <f>IF(Y1493="","",IFERROR((RANK(Y1493,$Y$2:$Y$2028,1)+COUNTIF($Y$2:Y1493,Y1493))-1,""))</f>
        <v/>
      </c>
      <c r="AA1493" s="134" t="str">
        <f t="shared" si="494"/>
        <v/>
      </c>
      <c r="AB1493" s="134" t="str">
        <f>IF(AA1493="","",IFERROR((RANK(AA1493,$AA$2:$AA$2028,1)+COUNTIF($AA$2:AA1493,AA1493))-1,""))</f>
        <v/>
      </c>
      <c r="AC1493" s="134" t="str">
        <f t="shared" si="495"/>
        <v/>
      </c>
      <c r="AD1493" s="134" t="str">
        <f>IF(AC1493="","",IFERROR((RANK(AC1493,$AC$2:$AC$2028,1)+COUNTIF($AC$2:AC1493,AC1493))-1,""))</f>
        <v/>
      </c>
      <c r="AE1493" s="144" t="str">
        <f t="shared" si="499"/>
        <v/>
      </c>
      <c r="AF1493" s="144" t="str">
        <f>IF(AE1493="","",SUM($AE$2:AE1493))</f>
        <v/>
      </c>
    </row>
    <row r="1494" spans="14:32" x14ac:dyDescent="0.35">
      <c r="N1494" s="134" t="str">
        <f t="shared" si="497"/>
        <v/>
      </c>
      <c r="O1494" s="82" t="str">
        <f t="shared" si="488"/>
        <v/>
      </c>
      <c r="P1494" s="81" t="str">
        <f t="shared" si="498"/>
        <v/>
      </c>
      <c r="Q1494" s="81" t="str">
        <f t="shared" si="489"/>
        <v/>
      </c>
      <c r="R1494" s="135" t="str">
        <f t="shared" ca="1" si="490"/>
        <v/>
      </c>
      <c r="S1494" s="134" t="str">
        <f t="shared" ca="1" si="491"/>
        <v/>
      </c>
      <c r="T1494" s="134" t="str">
        <f ca="1">IF(S1494=Dashboard!$D$12,S1494,"")</f>
        <v/>
      </c>
      <c r="U1494" s="134" t="str">
        <f t="shared" ca="1" si="492"/>
        <v/>
      </c>
      <c r="V1494" s="83" t="str">
        <f ca="1">IF(U1494="","",IFERROR((RANK(U1494,$U$2:$U$2028,1)+COUNTIF($U$2:U1494,U1494))-1,""))</f>
        <v/>
      </c>
      <c r="W1494" s="134" t="str">
        <f t="shared" si="496"/>
        <v/>
      </c>
      <c r="X1494" s="134" t="str">
        <f>IF(W1494="","",IFERROR((RANK(W1494,$W$2:$W$2028,1)+COUNTIF($W$2:W1494,W1494))-1,""))</f>
        <v/>
      </c>
      <c r="Y1494" s="134" t="str">
        <f t="shared" si="493"/>
        <v/>
      </c>
      <c r="Z1494" s="134" t="str">
        <f>IF(Y1494="","",IFERROR((RANK(Y1494,$Y$2:$Y$2028,1)+COUNTIF($Y$2:Y1494,Y1494))-1,""))</f>
        <v/>
      </c>
      <c r="AA1494" s="134" t="str">
        <f t="shared" si="494"/>
        <v/>
      </c>
      <c r="AB1494" s="134" t="str">
        <f>IF(AA1494="","",IFERROR((RANK(AA1494,$AA$2:$AA$2028,1)+COUNTIF($AA$2:AA1494,AA1494))-1,""))</f>
        <v/>
      </c>
      <c r="AC1494" s="134" t="str">
        <f t="shared" si="495"/>
        <v/>
      </c>
      <c r="AD1494" s="134" t="str">
        <f>IF(AC1494="","",IFERROR((RANK(AC1494,$AC$2:$AC$2028,1)+COUNTIF($AC$2:AC1494,AC1494))-1,""))</f>
        <v/>
      </c>
      <c r="AE1494" s="144" t="str">
        <f t="shared" si="499"/>
        <v/>
      </c>
      <c r="AF1494" s="144" t="str">
        <f>IF(AE1494="","",SUM($AE$2:AE1494))</f>
        <v/>
      </c>
    </row>
    <row r="1495" spans="14:32" x14ac:dyDescent="0.35">
      <c r="N1495" s="134" t="str">
        <f t="shared" si="497"/>
        <v/>
      </c>
      <c r="O1495" s="82" t="str">
        <f t="shared" si="488"/>
        <v/>
      </c>
      <c r="P1495" s="81" t="str">
        <f t="shared" si="498"/>
        <v/>
      </c>
      <c r="Q1495" s="81" t="str">
        <f t="shared" si="489"/>
        <v/>
      </c>
      <c r="R1495" s="135" t="str">
        <f t="shared" ca="1" si="490"/>
        <v/>
      </c>
      <c r="S1495" s="134" t="str">
        <f t="shared" ca="1" si="491"/>
        <v/>
      </c>
      <c r="T1495" s="134" t="str">
        <f ca="1">IF(S1495=Dashboard!$D$12,S1495,"")</f>
        <v/>
      </c>
      <c r="U1495" s="134" t="str">
        <f t="shared" ca="1" si="492"/>
        <v/>
      </c>
      <c r="V1495" s="83" t="str">
        <f ca="1">IF(U1495="","",IFERROR((RANK(U1495,$U$2:$U$2028,1)+COUNTIF($U$2:U1495,U1495))-1,""))</f>
        <v/>
      </c>
      <c r="W1495" s="134" t="str">
        <f t="shared" si="496"/>
        <v/>
      </c>
      <c r="X1495" s="134" t="str">
        <f>IF(W1495="","",IFERROR((RANK(W1495,$W$2:$W$2028,1)+COUNTIF($W$2:W1495,W1495))-1,""))</f>
        <v/>
      </c>
      <c r="Y1495" s="134" t="str">
        <f t="shared" si="493"/>
        <v/>
      </c>
      <c r="Z1495" s="134" t="str">
        <f>IF(Y1495="","",IFERROR((RANK(Y1495,$Y$2:$Y$2028,1)+COUNTIF($Y$2:Y1495,Y1495))-1,""))</f>
        <v/>
      </c>
      <c r="AA1495" s="134" t="str">
        <f t="shared" si="494"/>
        <v/>
      </c>
      <c r="AB1495" s="134" t="str">
        <f>IF(AA1495="","",IFERROR((RANK(AA1495,$AA$2:$AA$2028,1)+COUNTIF($AA$2:AA1495,AA1495))-1,""))</f>
        <v/>
      </c>
      <c r="AC1495" s="134" t="str">
        <f t="shared" si="495"/>
        <v/>
      </c>
      <c r="AD1495" s="134" t="str">
        <f>IF(AC1495="","",IFERROR((RANK(AC1495,$AC$2:$AC$2028,1)+COUNTIF($AC$2:AC1495,AC1495))-1,""))</f>
        <v/>
      </c>
      <c r="AE1495" s="144" t="str">
        <f t="shared" si="499"/>
        <v/>
      </c>
      <c r="AF1495" s="144" t="str">
        <f>IF(AE1495="","",SUM($AE$2:AE1495))</f>
        <v/>
      </c>
    </row>
    <row r="1496" spans="14:32" x14ac:dyDescent="0.35">
      <c r="N1496" s="134" t="str">
        <f t="shared" si="497"/>
        <v/>
      </c>
      <c r="O1496" s="82" t="str">
        <f t="shared" si="488"/>
        <v/>
      </c>
      <c r="P1496" s="81" t="str">
        <f t="shared" si="498"/>
        <v/>
      </c>
      <c r="Q1496" s="81" t="str">
        <f t="shared" si="489"/>
        <v/>
      </c>
      <c r="R1496" s="135" t="str">
        <f t="shared" ca="1" si="490"/>
        <v/>
      </c>
      <c r="S1496" s="134" t="str">
        <f t="shared" ca="1" si="491"/>
        <v/>
      </c>
      <c r="T1496" s="134" t="str">
        <f ca="1">IF(S1496=Dashboard!$D$12,S1496,"")</f>
        <v/>
      </c>
      <c r="U1496" s="134" t="str">
        <f t="shared" ca="1" si="492"/>
        <v/>
      </c>
      <c r="V1496" s="83" t="str">
        <f ca="1">IF(U1496="","",IFERROR((RANK(U1496,$U$2:$U$2028,1)+COUNTIF($U$2:U1496,U1496))-1,""))</f>
        <v/>
      </c>
      <c r="W1496" s="134" t="str">
        <f t="shared" si="496"/>
        <v/>
      </c>
      <c r="X1496" s="134" t="str">
        <f>IF(W1496="","",IFERROR((RANK(W1496,$W$2:$W$2028,1)+COUNTIF($W$2:W1496,W1496))-1,""))</f>
        <v/>
      </c>
      <c r="Y1496" s="134" t="str">
        <f t="shared" si="493"/>
        <v/>
      </c>
      <c r="Z1496" s="134" t="str">
        <f>IF(Y1496="","",IFERROR((RANK(Y1496,$Y$2:$Y$2028,1)+COUNTIF($Y$2:Y1496,Y1496))-1,""))</f>
        <v/>
      </c>
      <c r="AA1496" s="134" t="str">
        <f t="shared" si="494"/>
        <v/>
      </c>
      <c r="AB1496" s="134" t="str">
        <f>IF(AA1496="","",IFERROR((RANK(AA1496,$AA$2:$AA$2028,1)+COUNTIF($AA$2:AA1496,AA1496))-1,""))</f>
        <v/>
      </c>
      <c r="AC1496" s="134" t="str">
        <f t="shared" si="495"/>
        <v/>
      </c>
      <c r="AD1496" s="134" t="str">
        <f>IF(AC1496="","",IFERROR((RANK(AC1496,$AC$2:$AC$2028,1)+COUNTIF($AC$2:AC1496,AC1496))-1,""))</f>
        <v/>
      </c>
      <c r="AE1496" s="144" t="str">
        <f t="shared" si="499"/>
        <v/>
      </c>
      <c r="AF1496" s="144" t="str">
        <f>IF(AE1496="","",SUM($AE$2:AE1496))</f>
        <v/>
      </c>
    </row>
    <row r="1497" spans="14:32" x14ac:dyDescent="0.35">
      <c r="N1497" s="134" t="str">
        <f t="shared" si="497"/>
        <v/>
      </c>
      <c r="O1497" s="82" t="str">
        <f t="shared" si="488"/>
        <v/>
      </c>
      <c r="P1497" s="81" t="str">
        <f t="shared" si="498"/>
        <v/>
      </c>
      <c r="Q1497" s="81" t="str">
        <f t="shared" si="489"/>
        <v/>
      </c>
      <c r="R1497" s="135" t="str">
        <f t="shared" ca="1" si="490"/>
        <v/>
      </c>
      <c r="S1497" s="134" t="str">
        <f t="shared" ca="1" si="491"/>
        <v/>
      </c>
      <c r="T1497" s="134" t="str">
        <f ca="1">IF(S1497=Dashboard!$D$12,S1497,"")</f>
        <v/>
      </c>
      <c r="U1497" s="134" t="str">
        <f t="shared" ca="1" si="492"/>
        <v/>
      </c>
      <c r="V1497" s="83" t="str">
        <f ca="1">IF(U1497="","",IFERROR((RANK(U1497,$U$2:$U$2028,1)+COUNTIF($U$2:U1497,U1497))-1,""))</f>
        <v/>
      </c>
      <c r="W1497" s="134" t="str">
        <f t="shared" si="496"/>
        <v/>
      </c>
      <c r="X1497" s="134" t="str">
        <f>IF(W1497="","",IFERROR((RANK(W1497,$W$2:$W$2028,1)+COUNTIF($W$2:W1497,W1497))-1,""))</f>
        <v/>
      </c>
      <c r="Y1497" s="134" t="str">
        <f t="shared" si="493"/>
        <v/>
      </c>
      <c r="Z1497" s="134" t="str">
        <f>IF(Y1497="","",IFERROR((RANK(Y1497,$Y$2:$Y$2028,1)+COUNTIF($Y$2:Y1497,Y1497))-1,""))</f>
        <v/>
      </c>
      <c r="AA1497" s="134" t="str">
        <f t="shared" si="494"/>
        <v/>
      </c>
      <c r="AB1497" s="134" t="str">
        <f>IF(AA1497="","",IFERROR((RANK(AA1497,$AA$2:$AA$2028,1)+COUNTIF($AA$2:AA1497,AA1497))-1,""))</f>
        <v/>
      </c>
      <c r="AC1497" s="134" t="str">
        <f t="shared" si="495"/>
        <v/>
      </c>
      <c r="AD1497" s="134" t="str">
        <f>IF(AC1497="","",IFERROR((RANK(AC1497,$AC$2:$AC$2028,1)+COUNTIF($AC$2:AC1497,AC1497))-1,""))</f>
        <v/>
      </c>
      <c r="AE1497" s="144" t="str">
        <f t="shared" si="499"/>
        <v/>
      </c>
      <c r="AF1497" s="144" t="str">
        <f>IF(AE1497="","",SUM($AE$2:AE1497))</f>
        <v/>
      </c>
    </row>
    <row r="1498" spans="14:32" x14ac:dyDescent="0.35">
      <c r="N1498" s="134" t="str">
        <f t="shared" si="497"/>
        <v/>
      </c>
      <c r="O1498" s="82" t="str">
        <f t="shared" si="488"/>
        <v/>
      </c>
      <c r="P1498" s="81" t="str">
        <f t="shared" si="498"/>
        <v/>
      </c>
      <c r="Q1498" s="81" t="str">
        <f t="shared" si="489"/>
        <v/>
      </c>
      <c r="R1498" s="135" t="str">
        <f t="shared" ca="1" si="490"/>
        <v/>
      </c>
      <c r="S1498" s="134" t="str">
        <f t="shared" ca="1" si="491"/>
        <v/>
      </c>
      <c r="T1498" s="134" t="str">
        <f ca="1">IF(S1498=Dashboard!$D$12,S1498,"")</f>
        <v/>
      </c>
      <c r="U1498" s="134" t="str">
        <f t="shared" ca="1" si="492"/>
        <v/>
      </c>
      <c r="V1498" s="83" t="str">
        <f ca="1">IF(U1498="","",IFERROR((RANK(U1498,$U$2:$U$2028,1)+COUNTIF($U$2:U1498,U1498))-1,""))</f>
        <v/>
      </c>
      <c r="W1498" s="134" t="str">
        <f t="shared" si="496"/>
        <v/>
      </c>
      <c r="X1498" s="134" t="str">
        <f>IF(W1498="","",IFERROR((RANK(W1498,$W$2:$W$2028,1)+COUNTIF($W$2:W1498,W1498))-1,""))</f>
        <v/>
      </c>
      <c r="Y1498" s="134" t="str">
        <f t="shared" si="493"/>
        <v/>
      </c>
      <c r="Z1498" s="134" t="str">
        <f>IF(Y1498="","",IFERROR((RANK(Y1498,$Y$2:$Y$2028,1)+COUNTIF($Y$2:Y1498,Y1498))-1,""))</f>
        <v/>
      </c>
      <c r="AA1498" s="134" t="str">
        <f t="shared" si="494"/>
        <v/>
      </c>
      <c r="AB1498" s="134" t="str">
        <f>IF(AA1498="","",IFERROR((RANK(AA1498,$AA$2:$AA$2028,1)+COUNTIF($AA$2:AA1498,AA1498))-1,""))</f>
        <v/>
      </c>
      <c r="AC1498" s="134" t="str">
        <f t="shared" si="495"/>
        <v/>
      </c>
      <c r="AD1498" s="134" t="str">
        <f>IF(AC1498="","",IFERROR((RANK(AC1498,$AC$2:$AC$2028,1)+COUNTIF($AC$2:AC1498,AC1498))-1,""))</f>
        <v/>
      </c>
      <c r="AE1498" s="144" t="str">
        <f t="shared" si="499"/>
        <v/>
      </c>
      <c r="AF1498" s="144" t="str">
        <f>IF(AE1498="","",SUM($AE$2:AE1498))</f>
        <v/>
      </c>
    </row>
    <row r="1499" spans="14:32" x14ac:dyDescent="0.35">
      <c r="N1499" s="134" t="str">
        <f t="shared" si="497"/>
        <v/>
      </c>
      <c r="O1499" s="82" t="str">
        <f t="shared" si="488"/>
        <v/>
      </c>
      <c r="P1499" s="81" t="str">
        <f t="shared" si="498"/>
        <v/>
      </c>
      <c r="Q1499" s="81" t="str">
        <f t="shared" si="489"/>
        <v/>
      </c>
      <c r="R1499" s="135" t="str">
        <f t="shared" ca="1" si="490"/>
        <v/>
      </c>
      <c r="S1499" s="134" t="str">
        <f t="shared" ca="1" si="491"/>
        <v/>
      </c>
      <c r="T1499" s="134" t="str">
        <f ca="1">IF(S1499=Dashboard!$D$12,S1499,"")</f>
        <v/>
      </c>
      <c r="U1499" s="134" t="str">
        <f t="shared" ca="1" si="492"/>
        <v/>
      </c>
      <c r="V1499" s="83" t="str">
        <f ca="1">IF(U1499="","",IFERROR((RANK(U1499,$U$2:$U$2028,1)+COUNTIF($U$2:U1499,U1499))-1,""))</f>
        <v/>
      </c>
      <c r="W1499" s="134" t="str">
        <f t="shared" si="496"/>
        <v/>
      </c>
      <c r="X1499" s="134" t="str">
        <f>IF(W1499="","",IFERROR((RANK(W1499,$W$2:$W$2028,1)+COUNTIF($W$2:W1499,W1499))-1,""))</f>
        <v/>
      </c>
      <c r="Y1499" s="134" t="str">
        <f t="shared" si="493"/>
        <v/>
      </c>
      <c r="Z1499" s="134" t="str">
        <f>IF(Y1499="","",IFERROR((RANK(Y1499,$Y$2:$Y$2028,1)+COUNTIF($Y$2:Y1499,Y1499))-1,""))</f>
        <v/>
      </c>
      <c r="AA1499" s="134" t="str">
        <f t="shared" si="494"/>
        <v/>
      </c>
      <c r="AB1499" s="134" t="str">
        <f>IF(AA1499="","",IFERROR((RANK(AA1499,$AA$2:$AA$2028,1)+COUNTIF($AA$2:AA1499,AA1499))-1,""))</f>
        <v/>
      </c>
      <c r="AC1499" s="134" t="str">
        <f t="shared" si="495"/>
        <v/>
      </c>
      <c r="AD1499" s="134" t="str">
        <f>IF(AC1499="","",IFERROR((RANK(AC1499,$AC$2:$AC$2028,1)+COUNTIF($AC$2:AC1499,AC1499))-1,""))</f>
        <v/>
      </c>
      <c r="AE1499" s="144" t="str">
        <f t="shared" si="499"/>
        <v/>
      </c>
      <c r="AF1499" s="144" t="str">
        <f>IF(AE1499="","",SUM($AE$2:AE1499))</f>
        <v/>
      </c>
    </row>
    <row r="1500" spans="14:32" x14ac:dyDescent="0.35">
      <c r="N1500" s="134" t="str">
        <f t="shared" si="497"/>
        <v/>
      </c>
      <c r="O1500" s="82" t="str">
        <f t="shared" si="488"/>
        <v/>
      </c>
      <c r="P1500" s="81" t="str">
        <f t="shared" si="498"/>
        <v/>
      </c>
      <c r="Q1500" s="81" t="str">
        <f t="shared" si="489"/>
        <v/>
      </c>
      <c r="R1500" s="135" t="str">
        <f t="shared" ca="1" si="490"/>
        <v/>
      </c>
      <c r="S1500" s="134" t="str">
        <f t="shared" ca="1" si="491"/>
        <v/>
      </c>
      <c r="T1500" s="134" t="str">
        <f ca="1">IF(S1500=Dashboard!$D$12,S1500,"")</f>
        <v/>
      </c>
      <c r="U1500" s="134" t="str">
        <f t="shared" ca="1" si="492"/>
        <v/>
      </c>
      <c r="V1500" s="83" t="str">
        <f ca="1">IF(U1500="","",IFERROR((RANK(U1500,$U$2:$U$2028,1)+COUNTIF($U$2:U1500,U1500))-1,""))</f>
        <v/>
      </c>
      <c r="W1500" s="134" t="str">
        <f t="shared" si="496"/>
        <v/>
      </c>
      <c r="X1500" s="134" t="str">
        <f>IF(W1500="","",IFERROR((RANK(W1500,$W$2:$W$2028,1)+COUNTIF($W$2:W1500,W1500))-1,""))</f>
        <v/>
      </c>
      <c r="Y1500" s="134" t="str">
        <f t="shared" si="493"/>
        <v/>
      </c>
      <c r="Z1500" s="134" t="str">
        <f>IF(Y1500="","",IFERROR((RANK(Y1500,$Y$2:$Y$2028,1)+COUNTIF($Y$2:Y1500,Y1500))-1,""))</f>
        <v/>
      </c>
      <c r="AA1500" s="134" t="str">
        <f t="shared" si="494"/>
        <v/>
      </c>
      <c r="AB1500" s="134" t="str">
        <f>IF(AA1500="","",IFERROR((RANK(AA1500,$AA$2:$AA$2028,1)+COUNTIF($AA$2:AA1500,AA1500))-1,""))</f>
        <v/>
      </c>
      <c r="AC1500" s="134" t="str">
        <f t="shared" si="495"/>
        <v/>
      </c>
      <c r="AD1500" s="134" t="str">
        <f>IF(AC1500="","",IFERROR((RANK(AC1500,$AC$2:$AC$2028,1)+COUNTIF($AC$2:AC1500,AC1500))-1,""))</f>
        <v/>
      </c>
      <c r="AE1500" s="144" t="str">
        <f t="shared" si="499"/>
        <v/>
      </c>
      <c r="AF1500" s="144" t="str">
        <f>IF(AE1500="","",SUM($AE$2:AE1500))</f>
        <v/>
      </c>
    </row>
    <row r="1501" spans="14:32" x14ac:dyDescent="0.35">
      <c r="N1501" s="134" t="str">
        <f t="shared" si="497"/>
        <v/>
      </c>
      <c r="O1501" s="82" t="str">
        <f t="shared" si="488"/>
        <v/>
      </c>
      <c r="P1501" s="81" t="str">
        <f t="shared" si="498"/>
        <v/>
      </c>
      <c r="Q1501" s="81" t="str">
        <f t="shared" si="489"/>
        <v/>
      </c>
      <c r="R1501" s="135" t="str">
        <f t="shared" ca="1" si="490"/>
        <v/>
      </c>
      <c r="S1501" s="134" t="str">
        <f t="shared" ca="1" si="491"/>
        <v/>
      </c>
      <c r="T1501" s="134" t="str">
        <f ca="1">IF(S1501=Dashboard!$D$12,S1501,"")</f>
        <v/>
      </c>
      <c r="U1501" s="134" t="str">
        <f t="shared" ca="1" si="492"/>
        <v/>
      </c>
      <c r="V1501" s="83" t="str">
        <f ca="1">IF(U1501="","",IFERROR((RANK(U1501,$U$2:$U$2028,1)+COUNTIF($U$2:U1501,U1501))-1,""))</f>
        <v/>
      </c>
      <c r="W1501" s="134" t="str">
        <f t="shared" si="496"/>
        <v/>
      </c>
      <c r="X1501" s="134" t="str">
        <f>IF(W1501="","",IFERROR((RANK(W1501,$W$2:$W$2028,1)+COUNTIF($W$2:W1501,W1501))-1,""))</f>
        <v/>
      </c>
      <c r="Y1501" s="134" t="str">
        <f t="shared" si="493"/>
        <v/>
      </c>
      <c r="Z1501" s="134" t="str">
        <f>IF(Y1501="","",IFERROR((RANK(Y1501,$Y$2:$Y$2028,1)+COUNTIF($Y$2:Y1501,Y1501))-1,""))</f>
        <v/>
      </c>
      <c r="AA1501" s="134" t="str">
        <f t="shared" si="494"/>
        <v/>
      </c>
      <c r="AB1501" s="134" t="str">
        <f>IF(AA1501="","",IFERROR((RANK(AA1501,$AA$2:$AA$2028,1)+COUNTIF($AA$2:AA1501,AA1501))-1,""))</f>
        <v/>
      </c>
      <c r="AC1501" s="134" t="str">
        <f t="shared" si="495"/>
        <v/>
      </c>
      <c r="AD1501" s="134" t="str">
        <f>IF(AC1501="","",IFERROR((RANK(AC1501,$AC$2:$AC$2028,1)+COUNTIF($AC$2:AC1501,AC1501))-1,""))</f>
        <v/>
      </c>
      <c r="AE1501" s="144" t="str">
        <f t="shared" si="499"/>
        <v/>
      </c>
      <c r="AF1501" s="144" t="str">
        <f>IF(AE1501="","",SUM($AE$2:AE1501))</f>
        <v/>
      </c>
    </row>
    <row r="1502" spans="14:32" x14ac:dyDescent="0.35">
      <c r="N1502" s="134" t="str">
        <f t="shared" si="497"/>
        <v/>
      </c>
      <c r="O1502" s="82" t="str">
        <f t="shared" ref="O1502:O1565" si="500">IF(A1502="","",N1502&amp;"-"&amp;M1502)</f>
        <v/>
      </c>
      <c r="P1502" s="81" t="str">
        <f t="shared" si="498"/>
        <v/>
      </c>
      <c r="Q1502" s="81" t="str">
        <f t="shared" ref="Q1502:Q1565" si="501">IF(A1502="","",IF(P1502=1,M1502,""))</f>
        <v/>
      </c>
      <c r="R1502" s="135" t="str">
        <f t="shared" ref="R1502:R1565" ca="1" si="502">IF(Q1502="","",I1502-TODAY())</f>
        <v/>
      </c>
      <c r="S1502" s="134" t="str">
        <f t="shared" ref="S1502:S1565" ca="1" si="503">IF(R1502="","",
IF(R1502&lt;-90,"Pass&gt;90",IF(R1502&lt;-60,"Pass 61-90",IF(R1502&lt;-30,"Pass 31-60",IF(R1502&lt;0,"Pass 0-30",IF(R1502&lt;31,"Run 0-30",IF(R1502&lt;61,"Run 31-60",IF(R1502&lt;91,"Run 60-90","Run &gt;90"))))))))</f>
        <v/>
      </c>
      <c r="T1502" s="134" t="str">
        <f ca="1">IF(S1502=Dashboard!$D$12,S1502,"")</f>
        <v/>
      </c>
      <c r="U1502" s="134" t="str">
        <f t="shared" ref="U1502:U1565" ca="1" si="504">IF(T1502="","",R1502)</f>
        <v/>
      </c>
      <c r="V1502" s="83" t="str">
        <f ca="1">IF(U1502="","",IFERROR((RANK(U1502,$U$2:$U$2028,1)+COUNTIF($U$2:U1502,U1502))-1,""))</f>
        <v/>
      </c>
      <c r="W1502" s="134" t="str">
        <f t="shared" si="496"/>
        <v/>
      </c>
      <c r="X1502" s="134" t="str">
        <f>IF(W1502="","",IFERROR((RANK(W1502,$W$2:$W$2028,1)+COUNTIF($W$2:W1502,W1502))-1,""))</f>
        <v/>
      </c>
      <c r="Y1502" s="134" t="str">
        <f t="shared" ref="Y1502:Y1565" si="505">IF($J1502=Y$1,$U1502,"")</f>
        <v/>
      </c>
      <c r="Z1502" s="134" t="str">
        <f>IF(Y1502="","",IFERROR((RANK(Y1502,$Y$2:$Y$2028,1)+COUNTIF($Y$2:Y1502,Y1502))-1,""))</f>
        <v/>
      </c>
      <c r="AA1502" s="134" t="str">
        <f t="shared" ref="AA1502:AA1565" si="506">IF($J1502=AA$1,$U1502,"")</f>
        <v/>
      </c>
      <c r="AB1502" s="134" t="str">
        <f>IF(AA1502="","",IFERROR((RANK(AA1502,$AA$2:$AA$2028,1)+COUNTIF($AA$2:AA1502,AA1502))-1,""))</f>
        <v/>
      </c>
      <c r="AC1502" s="134" t="str">
        <f t="shared" ref="AC1502:AC1565" si="507">IF($J1502=AC$1,$U1502,"")</f>
        <v/>
      </c>
      <c r="AD1502" s="134" t="str">
        <f>IF(AC1502="","",IFERROR((RANK(AC1502,$AC$2:$AC$2028,1)+COUNTIF($AC$2:AC1502,AC1502))-1,""))</f>
        <v/>
      </c>
      <c r="AE1502" s="144" t="str">
        <f t="shared" si="499"/>
        <v/>
      </c>
      <c r="AF1502" s="144" t="str">
        <f>IF(AE1502="","",SUM($AE$2:AE1502))</f>
        <v/>
      </c>
    </row>
    <row r="1503" spans="14:32" x14ac:dyDescent="0.35">
      <c r="N1503" s="134" t="str">
        <f t="shared" si="497"/>
        <v/>
      </c>
      <c r="O1503" s="82" t="str">
        <f t="shared" si="500"/>
        <v/>
      </c>
      <c r="P1503" s="81" t="str">
        <f t="shared" si="498"/>
        <v/>
      </c>
      <c r="Q1503" s="81" t="str">
        <f t="shared" si="501"/>
        <v/>
      </c>
      <c r="R1503" s="135" t="str">
        <f t="shared" ca="1" si="502"/>
        <v/>
      </c>
      <c r="S1503" s="134" t="str">
        <f t="shared" ca="1" si="503"/>
        <v/>
      </c>
      <c r="T1503" s="134" t="str">
        <f ca="1">IF(S1503=Dashboard!$D$12,S1503,"")</f>
        <v/>
      </c>
      <c r="U1503" s="134" t="str">
        <f t="shared" ca="1" si="504"/>
        <v/>
      </c>
      <c r="V1503" s="83" t="str">
        <f ca="1">IF(U1503="","",IFERROR((RANK(U1503,$U$2:$U$2028,1)+COUNTIF($U$2:U1503,U1503))-1,""))</f>
        <v/>
      </c>
      <c r="W1503" s="134" t="str">
        <f t="shared" ref="W1503:W1566" si="508">IF($J1503=$W$1,U1503,"")</f>
        <v/>
      </c>
      <c r="X1503" s="134" t="str">
        <f>IF(W1503="","",IFERROR((RANK(W1503,$W$2:$W$2028,1)+COUNTIF($W$2:W1503,W1503))-1,""))</f>
        <v/>
      </c>
      <c r="Y1503" s="134" t="str">
        <f t="shared" si="505"/>
        <v/>
      </c>
      <c r="Z1503" s="134" t="str">
        <f>IF(Y1503="","",IFERROR((RANK(Y1503,$Y$2:$Y$2028,1)+COUNTIF($Y$2:Y1503,Y1503))-1,""))</f>
        <v/>
      </c>
      <c r="AA1503" s="134" t="str">
        <f t="shared" si="506"/>
        <v/>
      </c>
      <c r="AB1503" s="134" t="str">
        <f>IF(AA1503="","",IFERROR((RANK(AA1503,$AA$2:$AA$2028,1)+COUNTIF($AA$2:AA1503,AA1503))-1,""))</f>
        <v/>
      </c>
      <c r="AC1503" s="134" t="str">
        <f t="shared" si="507"/>
        <v/>
      </c>
      <c r="AD1503" s="134" t="str">
        <f>IF(AC1503="","",IFERROR((RANK(AC1503,$AC$2:$AC$2028,1)+COUNTIF($AC$2:AC1503,AC1503))-1,""))</f>
        <v/>
      </c>
      <c r="AE1503" s="144" t="str">
        <f t="shared" si="499"/>
        <v/>
      </c>
      <c r="AF1503" s="144" t="str">
        <f>IF(AE1503="","",SUM($AE$2:AE1503))</f>
        <v/>
      </c>
    </row>
    <row r="1504" spans="14:32" x14ac:dyDescent="0.35">
      <c r="N1504" s="134" t="str">
        <f t="shared" si="497"/>
        <v/>
      </c>
      <c r="O1504" s="82" t="str">
        <f t="shared" si="500"/>
        <v/>
      </c>
      <c r="P1504" s="81" t="str">
        <f t="shared" si="498"/>
        <v/>
      </c>
      <c r="Q1504" s="81" t="str">
        <f t="shared" si="501"/>
        <v/>
      </c>
      <c r="R1504" s="135" t="str">
        <f t="shared" ca="1" si="502"/>
        <v/>
      </c>
      <c r="S1504" s="134" t="str">
        <f t="shared" ca="1" si="503"/>
        <v/>
      </c>
      <c r="T1504" s="134" t="str">
        <f ca="1">IF(S1504=Dashboard!$D$12,S1504,"")</f>
        <v/>
      </c>
      <c r="U1504" s="134" t="str">
        <f t="shared" ca="1" si="504"/>
        <v/>
      </c>
      <c r="V1504" s="83" t="str">
        <f ca="1">IF(U1504="","",IFERROR((RANK(U1504,$U$2:$U$2028,1)+COUNTIF($U$2:U1504,U1504))-1,""))</f>
        <v/>
      </c>
      <c r="W1504" s="134" t="str">
        <f t="shared" si="508"/>
        <v/>
      </c>
      <c r="X1504" s="134" t="str">
        <f>IF(W1504="","",IFERROR((RANK(W1504,$W$2:$W$2028,1)+COUNTIF($W$2:W1504,W1504))-1,""))</f>
        <v/>
      </c>
      <c r="Y1504" s="134" t="str">
        <f t="shared" si="505"/>
        <v/>
      </c>
      <c r="Z1504" s="134" t="str">
        <f>IF(Y1504="","",IFERROR((RANK(Y1504,$Y$2:$Y$2028,1)+COUNTIF($Y$2:Y1504,Y1504))-1,""))</f>
        <v/>
      </c>
      <c r="AA1504" s="134" t="str">
        <f t="shared" si="506"/>
        <v/>
      </c>
      <c r="AB1504" s="134" t="str">
        <f>IF(AA1504="","",IFERROR((RANK(AA1504,$AA$2:$AA$2028,1)+COUNTIF($AA$2:AA1504,AA1504))-1,""))</f>
        <v/>
      </c>
      <c r="AC1504" s="134" t="str">
        <f t="shared" si="507"/>
        <v/>
      </c>
      <c r="AD1504" s="134" t="str">
        <f>IF(AC1504="","",IFERROR((RANK(AC1504,$AC$2:$AC$2028,1)+COUNTIF($AC$2:AC1504,AC1504))-1,""))</f>
        <v/>
      </c>
      <c r="AE1504" s="144" t="str">
        <f t="shared" si="499"/>
        <v/>
      </c>
      <c r="AF1504" s="144" t="str">
        <f>IF(AE1504="","",SUM($AE$2:AE1504))</f>
        <v/>
      </c>
    </row>
    <row r="1505" spans="14:32" x14ac:dyDescent="0.35">
      <c r="N1505" s="134" t="str">
        <f t="shared" si="497"/>
        <v/>
      </c>
      <c r="O1505" s="82" t="str">
        <f t="shared" si="500"/>
        <v/>
      </c>
      <c r="P1505" s="81" t="str">
        <f t="shared" si="498"/>
        <v/>
      </c>
      <c r="Q1505" s="81" t="str">
        <f t="shared" si="501"/>
        <v/>
      </c>
      <c r="R1505" s="135" t="str">
        <f t="shared" ca="1" si="502"/>
        <v/>
      </c>
      <c r="S1505" s="134" t="str">
        <f t="shared" ca="1" si="503"/>
        <v/>
      </c>
      <c r="T1505" s="134" t="str">
        <f ca="1">IF(S1505=Dashboard!$D$12,S1505,"")</f>
        <v/>
      </c>
      <c r="U1505" s="134" t="str">
        <f t="shared" ca="1" si="504"/>
        <v/>
      </c>
      <c r="V1505" s="83" t="str">
        <f ca="1">IF(U1505="","",IFERROR((RANK(U1505,$U$2:$U$2028,1)+COUNTIF($U$2:U1505,U1505))-1,""))</f>
        <v/>
      </c>
      <c r="W1505" s="134" t="str">
        <f t="shared" si="508"/>
        <v/>
      </c>
      <c r="X1505" s="134" t="str">
        <f>IF(W1505="","",IFERROR((RANK(W1505,$W$2:$W$2028,1)+COUNTIF($W$2:W1505,W1505))-1,""))</f>
        <v/>
      </c>
      <c r="Y1505" s="134" t="str">
        <f t="shared" si="505"/>
        <v/>
      </c>
      <c r="Z1505" s="134" t="str">
        <f>IF(Y1505="","",IFERROR((RANK(Y1505,$Y$2:$Y$2028,1)+COUNTIF($Y$2:Y1505,Y1505))-1,""))</f>
        <v/>
      </c>
      <c r="AA1505" s="134" t="str">
        <f t="shared" si="506"/>
        <v/>
      </c>
      <c r="AB1505" s="134" t="str">
        <f>IF(AA1505="","",IFERROR((RANK(AA1505,$AA$2:$AA$2028,1)+COUNTIF($AA$2:AA1505,AA1505))-1,""))</f>
        <v/>
      </c>
      <c r="AC1505" s="134" t="str">
        <f t="shared" si="507"/>
        <v/>
      </c>
      <c r="AD1505" s="134" t="str">
        <f>IF(AC1505="","",IFERROR((RANK(AC1505,$AC$2:$AC$2028,1)+COUNTIF($AC$2:AC1505,AC1505))-1,""))</f>
        <v/>
      </c>
      <c r="AE1505" s="144" t="str">
        <f t="shared" si="499"/>
        <v/>
      </c>
      <c r="AF1505" s="144" t="str">
        <f>IF(AE1505="","",SUM($AE$2:AE1505))</f>
        <v/>
      </c>
    </row>
    <row r="1506" spans="14:32" x14ac:dyDescent="0.35">
      <c r="N1506" s="134" t="str">
        <f t="shared" si="497"/>
        <v/>
      </c>
      <c r="O1506" s="82" t="str">
        <f t="shared" si="500"/>
        <v/>
      </c>
      <c r="P1506" s="81" t="str">
        <f t="shared" si="498"/>
        <v/>
      </c>
      <c r="Q1506" s="81" t="str">
        <f t="shared" si="501"/>
        <v/>
      </c>
      <c r="R1506" s="135" t="str">
        <f t="shared" ca="1" si="502"/>
        <v/>
      </c>
      <c r="S1506" s="134" t="str">
        <f t="shared" ca="1" si="503"/>
        <v/>
      </c>
      <c r="T1506" s="134" t="str">
        <f ca="1">IF(S1506=Dashboard!$D$12,S1506,"")</f>
        <v/>
      </c>
      <c r="U1506" s="134" t="str">
        <f t="shared" ca="1" si="504"/>
        <v/>
      </c>
      <c r="V1506" s="83" t="str">
        <f ca="1">IF(U1506="","",IFERROR((RANK(U1506,$U$2:$U$2028,1)+COUNTIF($U$2:U1506,U1506))-1,""))</f>
        <v/>
      </c>
      <c r="W1506" s="134" t="str">
        <f t="shared" si="508"/>
        <v/>
      </c>
      <c r="X1506" s="134" t="str">
        <f>IF(W1506="","",IFERROR((RANK(W1506,$W$2:$W$2028,1)+COUNTIF($W$2:W1506,W1506))-1,""))</f>
        <v/>
      </c>
      <c r="Y1506" s="134" t="str">
        <f t="shared" si="505"/>
        <v/>
      </c>
      <c r="Z1506" s="134" t="str">
        <f>IF(Y1506="","",IFERROR((RANK(Y1506,$Y$2:$Y$2028,1)+COUNTIF($Y$2:Y1506,Y1506))-1,""))</f>
        <v/>
      </c>
      <c r="AA1506" s="134" t="str">
        <f t="shared" si="506"/>
        <v/>
      </c>
      <c r="AB1506" s="134" t="str">
        <f>IF(AA1506="","",IFERROR((RANK(AA1506,$AA$2:$AA$2028,1)+COUNTIF($AA$2:AA1506,AA1506))-1,""))</f>
        <v/>
      </c>
      <c r="AC1506" s="134" t="str">
        <f t="shared" si="507"/>
        <v/>
      </c>
      <c r="AD1506" s="134" t="str">
        <f>IF(AC1506="","",IFERROR((RANK(AC1506,$AC$2:$AC$2028,1)+COUNTIF($AC$2:AC1506,AC1506))-1,""))</f>
        <v/>
      </c>
      <c r="AE1506" s="144" t="str">
        <f t="shared" si="499"/>
        <v/>
      </c>
      <c r="AF1506" s="144" t="str">
        <f>IF(AE1506="","",SUM($AE$2:AE1506))</f>
        <v/>
      </c>
    </row>
    <row r="1507" spans="14:32" x14ac:dyDescent="0.35">
      <c r="N1507" s="134" t="str">
        <f t="shared" si="497"/>
        <v/>
      </c>
      <c r="O1507" s="82" t="str">
        <f t="shared" si="500"/>
        <v/>
      </c>
      <c r="P1507" s="81" t="str">
        <f t="shared" si="498"/>
        <v/>
      </c>
      <c r="Q1507" s="81" t="str">
        <f t="shared" si="501"/>
        <v/>
      </c>
      <c r="R1507" s="135" t="str">
        <f t="shared" ca="1" si="502"/>
        <v/>
      </c>
      <c r="S1507" s="134" t="str">
        <f t="shared" ca="1" si="503"/>
        <v/>
      </c>
      <c r="T1507" s="134" t="str">
        <f ca="1">IF(S1507=Dashboard!$D$12,S1507,"")</f>
        <v/>
      </c>
      <c r="U1507" s="134" t="str">
        <f t="shared" ca="1" si="504"/>
        <v/>
      </c>
      <c r="V1507" s="83" t="str">
        <f ca="1">IF(U1507="","",IFERROR((RANK(U1507,$U$2:$U$2028,1)+COUNTIF($U$2:U1507,U1507))-1,""))</f>
        <v/>
      </c>
      <c r="W1507" s="134" t="str">
        <f t="shared" si="508"/>
        <v/>
      </c>
      <c r="X1507" s="134" t="str">
        <f>IF(W1507="","",IFERROR((RANK(W1507,$W$2:$W$2028,1)+COUNTIF($W$2:W1507,W1507))-1,""))</f>
        <v/>
      </c>
      <c r="Y1507" s="134" t="str">
        <f t="shared" si="505"/>
        <v/>
      </c>
      <c r="Z1507" s="134" t="str">
        <f>IF(Y1507="","",IFERROR((RANK(Y1507,$Y$2:$Y$2028,1)+COUNTIF($Y$2:Y1507,Y1507))-1,""))</f>
        <v/>
      </c>
      <c r="AA1507" s="134" t="str">
        <f t="shared" si="506"/>
        <v/>
      </c>
      <c r="AB1507" s="134" t="str">
        <f>IF(AA1507="","",IFERROR((RANK(AA1507,$AA$2:$AA$2028,1)+COUNTIF($AA$2:AA1507,AA1507))-1,""))</f>
        <v/>
      </c>
      <c r="AC1507" s="134" t="str">
        <f t="shared" si="507"/>
        <v/>
      </c>
      <c r="AD1507" s="134" t="str">
        <f>IF(AC1507="","",IFERROR((RANK(AC1507,$AC$2:$AC$2028,1)+COUNTIF($AC$2:AC1507,AC1507))-1,""))</f>
        <v/>
      </c>
      <c r="AE1507" s="144" t="str">
        <f t="shared" si="499"/>
        <v/>
      </c>
      <c r="AF1507" s="144" t="str">
        <f>IF(AE1507="","",SUM($AE$2:AE1507))</f>
        <v/>
      </c>
    </row>
    <row r="1508" spans="14:32" x14ac:dyDescent="0.35">
      <c r="N1508" s="134" t="str">
        <f t="shared" si="497"/>
        <v/>
      </c>
      <c r="O1508" s="82" t="str">
        <f t="shared" si="500"/>
        <v/>
      </c>
      <c r="P1508" s="81" t="str">
        <f t="shared" si="498"/>
        <v/>
      </c>
      <c r="Q1508" s="81" t="str">
        <f t="shared" si="501"/>
        <v/>
      </c>
      <c r="R1508" s="135" t="str">
        <f t="shared" ca="1" si="502"/>
        <v/>
      </c>
      <c r="S1508" s="134" t="str">
        <f t="shared" ca="1" si="503"/>
        <v/>
      </c>
      <c r="T1508" s="134" t="str">
        <f ca="1">IF(S1508=Dashboard!$D$12,S1508,"")</f>
        <v/>
      </c>
      <c r="U1508" s="134" t="str">
        <f t="shared" ca="1" si="504"/>
        <v/>
      </c>
      <c r="V1508" s="83" t="str">
        <f ca="1">IF(U1508="","",IFERROR((RANK(U1508,$U$2:$U$2028,1)+COUNTIF($U$2:U1508,U1508))-1,""))</f>
        <v/>
      </c>
      <c r="W1508" s="134" t="str">
        <f t="shared" si="508"/>
        <v/>
      </c>
      <c r="X1508" s="134" t="str">
        <f>IF(W1508="","",IFERROR((RANK(W1508,$W$2:$W$2028,1)+COUNTIF($W$2:W1508,W1508))-1,""))</f>
        <v/>
      </c>
      <c r="Y1508" s="134" t="str">
        <f t="shared" si="505"/>
        <v/>
      </c>
      <c r="Z1508" s="134" t="str">
        <f>IF(Y1508="","",IFERROR((RANK(Y1508,$Y$2:$Y$2028,1)+COUNTIF($Y$2:Y1508,Y1508))-1,""))</f>
        <v/>
      </c>
      <c r="AA1508" s="134" t="str">
        <f t="shared" si="506"/>
        <v/>
      </c>
      <c r="AB1508" s="134" t="str">
        <f>IF(AA1508="","",IFERROR((RANK(AA1508,$AA$2:$AA$2028,1)+COUNTIF($AA$2:AA1508,AA1508))-1,""))</f>
        <v/>
      </c>
      <c r="AC1508" s="134" t="str">
        <f t="shared" si="507"/>
        <v/>
      </c>
      <c r="AD1508" s="134" t="str">
        <f>IF(AC1508="","",IFERROR((RANK(AC1508,$AC$2:$AC$2028,1)+COUNTIF($AC$2:AC1508,AC1508))-1,""))</f>
        <v/>
      </c>
      <c r="AE1508" s="144" t="str">
        <f t="shared" si="499"/>
        <v/>
      </c>
      <c r="AF1508" s="144" t="str">
        <f>IF(AE1508="","",SUM($AE$2:AE1508))</f>
        <v/>
      </c>
    </row>
    <row r="1509" spans="14:32" x14ac:dyDescent="0.35">
      <c r="N1509" s="134" t="str">
        <f t="shared" si="497"/>
        <v/>
      </c>
      <c r="O1509" s="82" t="str">
        <f t="shared" si="500"/>
        <v/>
      </c>
      <c r="P1509" s="81" t="str">
        <f t="shared" si="498"/>
        <v/>
      </c>
      <c r="Q1509" s="81" t="str">
        <f t="shared" si="501"/>
        <v/>
      </c>
      <c r="R1509" s="135" t="str">
        <f t="shared" ca="1" si="502"/>
        <v/>
      </c>
      <c r="S1509" s="134" t="str">
        <f t="shared" ca="1" si="503"/>
        <v/>
      </c>
      <c r="T1509" s="134" t="str">
        <f ca="1">IF(S1509=Dashboard!$D$12,S1509,"")</f>
        <v/>
      </c>
      <c r="U1509" s="134" t="str">
        <f t="shared" ca="1" si="504"/>
        <v/>
      </c>
      <c r="V1509" s="83" t="str">
        <f ca="1">IF(U1509="","",IFERROR((RANK(U1509,$U$2:$U$2028,1)+COUNTIF($U$2:U1509,U1509))-1,""))</f>
        <v/>
      </c>
      <c r="W1509" s="134" t="str">
        <f t="shared" si="508"/>
        <v/>
      </c>
      <c r="X1509" s="134" t="str">
        <f>IF(W1509="","",IFERROR((RANK(W1509,$W$2:$W$2028,1)+COUNTIF($W$2:W1509,W1509))-1,""))</f>
        <v/>
      </c>
      <c r="Y1509" s="134" t="str">
        <f t="shared" si="505"/>
        <v/>
      </c>
      <c r="Z1509" s="134" t="str">
        <f>IF(Y1509="","",IFERROR((RANK(Y1509,$Y$2:$Y$2028,1)+COUNTIF($Y$2:Y1509,Y1509))-1,""))</f>
        <v/>
      </c>
      <c r="AA1509" s="134" t="str">
        <f t="shared" si="506"/>
        <v/>
      </c>
      <c r="AB1509" s="134" t="str">
        <f>IF(AA1509="","",IFERROR((RANK(AA1509,$AA$2:$AA$2028,1)+COUNTIF($AA$2:AA1509,AA1509))-1,""))</f>
        <v/>
      </c>
      <c r="AC1509" s="134" t="str">
        <f t="shared" si="507"/>
        <v/>
      </c>
      <c r="AD1509" s="134" t="str">
        <f>IF(AC1509="","",IFERROR((RANK(AC1509,$AC$2:$AC$2028,1)+COUNTIF($AC$2:AC1509,AC1509))-1,""))</f>
        <v/>
      </c>
      <c r="AE1509" s="144" t="str">
        <f t="shared" si="499"/>
        <v/>
      </c>
      <c r="AF1509" s="144" t="str">
        <f>IF(AE1509="","",SUM($AE$2:AE1509))</f>
        <v/>
      </c>
    </row>
    <row r="1510" spans="14:32" x14ac:dyDescent="0.35">
      <c r="N1510" s="134" t="str">
        <f t="shared" si="497"/>
        <v/>
      </c>
      <c r="O1510" s="82" t="str">
        <f t="shared" si="500"/>
        <v/>
      </c>
      <c r="P1510" s="81" t="str">
        <f t="shared" si="498"/>
        <v/>
      </c>
      <c r="Q1510" s="81" t="str">
        <f t="shared" si="501"/>
        <v/>
      </c>
      <c r="R1510" s="135" t="str">
        <f t="shared" ca="1" si="502"/>
        <v/>
      </c>
      <c r="S1510" s="134" t="str">
        <f t="shared" ca="1" si="503"/>
        <v/>
      </c>
      <c r="T1510" s="134" t="str">
        <f ca="1">IF(S1510=Dashboard!$D$12,S1510,"")</f>
        <v/>
      </c>
      <c r="U1510" s="134" t="str">
        <f t="shared" ca="1" si="504"/>
        <v/>
      </c>
      <c r="V1510" s="83" t="str">
        <f ca="1">IF(U1510="","",IFERROR((RANK(U1510,$U$2:$U$2028,1)+COUNTIF($U$2:U1510,U1510))-1,""))</f>
        <v/>
      </c>
      <c r="W1510" s="134" t="str">
        <f t="shared" si="508"/>
        <v/>
      </c>
      <c r="X1510" s="134" t="str">
        <f>IF(W1510="","",IFERROR((RANK(W1510,$W$2:$W$2028,1)+COUNTIF($W$2:W1510,W1510))-1,""))</f>
        <v/>
      </c>
      <c r="Y1510" s="134" t="str">
        <f t="shared" si="505"/>
        <v/>
      </c>
      <c r="Z1510" s="134" t="str">
        <f>IF(Y1510="","",IFERROR((RANK(Y1510,$Y$2:$Y$2028,1)+COUNTIF($Y$2:Y1510,Y1510))-1,""))</f>
        <v/>
      </c>
      <c r="AA1510" s="134" t="str">
        <f t="shared" si="506"/>
        <v/>
      </c>
      <c r="AB1510" s="134" t="str">
        <f>IF(AA1510="","",IFERROR((RANK(AA1510,$AA$2:$AA$2028,1)+COUNTIF($AA$2:AA1510,AA1510))-1,""))</f>
        <v/>
      </c>
      <c r="AC1510" s="134" t="str">
        <f t="shared" si="507"/>
        <v/>
      </c>
      <c r="AD1510" s="134" t="str">
        <f>IF(AC1510="","",IFERROR((RANK(AC1510,$AC$2:$AC$2028,1)+COUNTIF($AC$2:AC1510,AC1510))-1,""))</f>
        <v/>
      </c>
      <c r="AE1510" s="144" t="str">
        <f t="shared" si="499"/>
        <v/>
      </c>
      <c r="AF1510" s="144" t="str">
        <f>IF(AE1510="","",SUM($AE$2:AE1510))</f>
        <v/>
      </c>
    </row>
    <row r="1511" spans="14:32" x14ac:dyDescent="0.35">
      <c r="N1511" s="134" t="str">
        <f t="shared" si="497"/>
        <v/>
      </c>
      <c r="O1511" s="82" t="str">
        <f t="shared" si="500"/>
        <v/>
      </c>
      <c r="P1511" s="81" t="str">
        <f t="shared" si="498"/>
        <v/>
      </c>
      <c r="Q1511" s="81" t="str">
        <f t="shared" si="501"/>
        <v/>
      </c>
      <c r="R1511" s="135" t="str">
        <f t="shared" ca="1" si="502"/>
        <v/>
      </c>
      <c r="S1511" s="134" t="str">
        <f t="shared" ca="1" si="503"/>
        <v/>
      </c>
      <c r="T1511" s="134" t="str">
        <f ca="1">IF(S1511=Dashboard!$D$12,S1511,"")</f>
        <v/>
      </c>
      <c r="U1511" s="134" t="str">
        <f t="shared" ca="1" si="504"/>
        <v/>
      </c>
      <c r="V1511" s="83" t="str">
        <f ca="1">IF(U1511="","",IFERROR((RANK(U1511,$U$2:$U$2028,1)+COUNTIF($U$2:U1511,U1511))-1,""))</f>
        <v/>
      </c>
      <c r="W1511" s="134" t="str">
        <f t="shared" si="508"/>
        <v/>
      </c>
      <c r="X1511" s="134" t="str">
        <f>IF(W1511="","",IFERROR((RANK(W1511,$W$2:$W$2028,1)+COUNTIF($W$2:W1511,W1511))-1,""))</f>
        <v/>
      </c>
      <c r="Y1511" s="134" t="str">
        <f t="shared" si="505"/>
        <v/>
      </c>
      <c r="Z1511" s="134" t="str">
        <f>IF(Y1511="","",IFERROR((RANK(Y1511,$Y$2:$Y$2028,1)+COUNTIF($Y$2:Y1511,Y1511))-1,""))</f>
        <v/>
      </c>
      <c r="AA1511" s="134" t="str">
        <f t="shared" si="506"/>
        <v/>
      </c>
      <c r="AB1511" s="134" t="str">
        <f>IF(AA1511="","",IFERROR((RANK(AA1511,$AA$2:$AA$2028,1)+COUNTIF($AA$2:AA1511,AA1511))-1,""))</f>
        <v/>
      </c>
      <c r="AC1511" s="134" t="str">
        <f t="shared" si="507"/>
        <v/>
      </c>
      <c r="AD1511" s="134" t="str">
        <f>IF(AC1511="","",IFERROR((RANK(AC1511,$AC$2:$AC$2028,1)+COUNTIF($AC$2:AC1511,AC1511))-1,""))</f>
        <v/>
      </c>
      <c r="AE1511" s="144" t="str">
        <f t="shared" si="499"/>
        <v/>
      </c>
      <c r="AF1511" s="144" t="str">
        <f>IF(AE1511="","",SUM($AE$2:AE1511))</f>
        <v/>
      </c>
    </row>
    <row r="1512" spans="14:32" x14ac:dyDescent="0.35">
      <c r="N1512" s="134" t="str">
        <f t="shared" si="497"/>
        <v/>
      </c>
      <c r="O1512" s="82" t="str">
        <f t="shared" si="500"/>
        <v/>
      </c>
      <c r="P1512" s="81" t="str">
        <f t="shared" si="498"/>
        <v/>
      </c>
      <c r="Q1512" s="81" t="str">
        <f t="shared" si="501"/>
        <v/>
      </c>
      <c r="R1512" s="135" t="str">
        <f t="shared" ca="1" si="502"/>
        <v/>
      </c>
      <c r="S1512" s="134" t="str">
        <f t="shared" ca="1" si="503"/>
        <v/>
      </c>
      <c r="T1512" s="134" t="str">
        <f ca="1">IF(S1512=Dashboard!$D$12,S1512,"")</f>
        <v/>
      </c>
      <c r="U1512" s="134" t="str">
        <f t="shared" ca="1" si="504"/>
        <v/>
      </c>
      <c r="V1512" s="83" t="str">
        <f ca="1">IF(U1512="","",IFERROR((RANK(U1512,$U$2:$U$2028,1)+COUNTIF($U$2:U1512,U1512))-1,""))</f>
        <v/>
      </c>
      <c r="W1512" s="134" t="str">
        <f t="shared" si="508"/>
        <v/>
      </c>
      <c r="X1512" s="134" t="str">
        <f>IF(W1512="","",IFERROR((RANK(W1512,$W$2:$W$2028,1)+COUNTIF($W$2:W1512,W1512))-1,""))</f>
        <v/>
      </c>
      <c r="Y1512" s="134" t="str">
        <f t="shared" si="505"/>
        <v/>
      </c>
      <c r="Z1512" s="134" t="str">
        <f>IF(Y1512="","",IFERROR((RANK(Y1512,$Y$2:$Y$2028,1)+COUNTIF($Y$2:Y1512,Y1512))-1,""))</f>
        <v/>
      </c>
      <c r="AA1512" s="134" t="str">
        <f t="shared" si="506"/>
        <v/>
      </c>
      <c r="AB1512" s="134" t="str">
        <f>IF(AA1512="","",IFERROR((RANK(AA1512,$AA$2:$AA$2028,1)+COUNTIF($AA$2:AA1512,AA1512))-1,""))</f>
        <v/>
      </c>
      <c r="AC1512" s="134" t="str">
        <f t="shared" si="507"/>
        <v/>
      </c>
      <c r="AD1512" s="134" t="str">
        <f>IF(AC1512="","",IFERROR((RANK(AC1512,$AC$2:$AC$2028,1)+COUNTIF($AC$2:AC1512,AC1512))-1,""))</f>
        <v/>
      </c>
      <c r="AE1512" s="144" t="str">
        <f t="shared" si="499"/>
        <v/>
      </c>
      <c r="AF1512" s="144" t="str">
        <f>IF(AE1512="","",SUM($AE$2:AE1512))</f>
        <v/>
      </c>
    </row>
    <row r="1513" spans="14:32" x14ac:dyDescent="0.35">
      <c r="N1513" s="134" t="str">
        <f t="shared" si="497"/>
        <v/>
      </c>
      <c r="O1513" s="82" t="str">
        <f t="shared" si="500"/>
        <v/>
      </c>
      <c r="P1513" s="81" t="str">
        <f t="shared" si="498"/>
        <v/>
      </c>
      <c r="Q1513" s="81" t="str">
        <f t="shared" si="501"/>
        <v/>
      </c>
      <c r="R1513" s="135" t="str">
        <f t="shared" ca="1" si="502"/>
        <v/>
      </c>
      <c r="S1513" s="134" t="str">
        <f t="shared" ca="1" si="503"/>
        <v/>
      </c>
      <c r="T1513" s="134" t="str">
        <f ca="1">IF(S1513=Dashboard!$D$12,S1513,"")</f>
        <v/>
      </c>
      <c r="U1513" s="134" t="str">
        <f t="shared" ca="1" si="504"/>
        <v/>
      </c>
      <c r="V1513" s="83" t="str">
        <f ca="1">IF(U1513="","",IFERROR((RANK(U1513,$U$2:$U$2028,1)+COUNTIF($U$2:U1513,U1513))-1,""))</f>
        <v/>
      </c>
      <c r="W1513" s="134" t="str">
        <f t="shared" si="508"/>
        <v/>
      </c>
      <c r="X1513" s="134" t="str">
        <f>IF(W1513="","",IFERROR((RANK(W1513,$W$2:$W$2028,1)+COUNTIF($W$2:W1513,W1513))-1,""))</f>
        <v/>
      </c>
      <c r="Y1513" s="134" t="str">
        <f t="shared" si="505"/>
        <v/>
      </c>
      <c r="Z1513" s="134" t="str">
        <f>IF(Y1513="","",IFERROR((RANK(Y1513,$Y$2:$Y$2028,1)+COUNTIF($Y$2:Y1513,Y1513))-1,""))</f>
        <v/>
      </c>
      <c r="AA1513" s="134" t="str">
        <f t="shared" si="506"/>
        <v/>
      </c>
      <c r="AB1513" s="134" t="str">
        <f>IF(AA1513="","",IFERROR((RANK(AA1513,$AA$2:$AA$2028,1)+COUNTIF($AA$2:AA1513,AA1513))-1,""))</f>
        <v/>
      </c>
      <c r="AC1513" s="134" t="str">
        <f t="shared" si="507"/>
        <v/>
      </c>
      <c r="AD1513" s="134" t="str">
        <f>IF(AC1513="","",IFERROR((RANK(AC1513,$AC$2:$AC$2028,1)+COUNTIF($AC$2:AC1513,AC1513))-1,""))</f>
        <v/>
      </c>
      <c r="AE1513" s="144" t="str">
        <f t="shared" si="499"/>
        <v/>
      </c>
      <c r="AF1513" s="144" t="str">
        <f>IF(AE1513="","",SUM($AE$2:AE1513))</f>
        <v/>
      </c>
    </row>
    <row r="1514" spans="14:32" x14ac:dyDescent="0.35">
      <c r="N1514" s="134" t="str">
        <f t="shared" si="497"/>
        <v/>
      </c>
      <c r="O1514" s="82" t="str">
        <f t="shared" si="500"/>
        <v/>
      </c>
      <c r="P1514" s="81" t="str">
        <f t="shared" si="498"/>
        <v/>
      </c>
      <c r="Q1514" s="81" t="str">
        <f t="shared" si="501"/>
        <v/>
      </c>
      <c r="R1514" s="135" t="str">
        <f t="shared" ca="1" si="502"/>
        <v/>
      </c>
      <c r="S1514" s="134" t="str">
        <f t="shared" ca="1" si="503"/>
        <v/>
      </c>
      <c r="T1514" s="134" t="str">
        <f ca="1">IF(S1514=Dashboard!$D$12,S1514,"")</f>
        <v/>
      </c>
      <c r="U1514" s="134" t="str">
        <f t="shared" ca="1" si="504"/>
        <v/>
      </c>
      <c r="V1514" s="83" t="str">
        <f ca="1">IF(U1514="","",IFERROR((RANK(U1514,$U$2:$U$2028,1)+COUNTIF($U$2:U1514,U1514))-1,""))</f>
        <v/>
      </c>
      <c r="W1514" s="134" t="str">
        <f t="shared" si="508"/>
        <v/>
      </c>
      <c r="X1514" s="134" t="str">
        <f>IF(W1514="","",IFERROR((RANK(W1514,$W$2:$W$2028,1)+COUNTIF($W$2:W1514,W1514))-1,""))</f>
        <v/>
      </c>
      <c r="Y1514" s="134" t="str">
        <f t="shared" si="505"/>
        <v/>
      </c>
      <c r="Z1514" s="134" t="str">
        <f>IF(Y1514="","",IFERROR((RANK(Y1514,$Y$2:$Y$2028,1)+COUNTIF($Y$2:Y1514,Y1514))-1,""))</f>
        <v/>
      </c>
      <c r="AA1514" s="134" t="str">
        <f t="shared" si="506"/>
        <v/>
      </c>
      <c r="AB1514" s="134" t="str">
        <f>IF(AA1514="","",IFERROR((RANK(AA1514,$AA$2:$AA$2028,1)+COUNTIF($AA$2:AA1514,AA1514))-1,""))</f>
        <v/>
      </c>
      <c r="AC1514" s="134" t="str">
        <f t="shared" si="507"/>
        <v/>
      </c>
      <c r="AD1514" s="134" t="str">
        <f>IF(AC1514="","",IFERROR((RANK(AC1514,$AC$2:$AC$2028,1)+COUNTIF($AC$2:AC1514,AC1514))-1,""))</f>
        <v/>
      </c>
      <c r="AE1514" s="144" t="str">
        <f t="shared" si="499"/>
        <v/>
      </c>
      <c r="AF1514" s="144" t="str">
        <f>IF(AE1514="","",SUM($AE$2:AE1514))</f>
        <v/>
      </c>
    </row>
    <row r="1515" spans="14:32" x14ac:dyDescent="0.35">
      <c r="N1515" s="134" t="str">
        <f t="shared" si="497"/>
        <v/>
      </c>
      <c r="O1515" s="82" t="str">
        <f t="shared" si="500"/>
        <v/>
      </c>
      <c r="P1515" s="81" t="str">
        <f t="shared" si="498"/>
        <v/>
      </c>
      <c r="Q1515" s="81" t="str">
        <f t="shared" si="501"/>
        <v/>
      </c>
      <c r="R1515" s="135" t="str">
        <f t="shared" ca="1" si="502"/>
        <v/>
      </c>
      <c r="S1515" s="134" t="str">
        <f t="shared" ca="1" si="503"/>
        <v/>
      </c>
      <c r="T1515" s="134" t="str">
        <f ca="1">IF(S1515=Dashboard!$D$12,S1515,"")</f>
        <v/>
      </c>
      <c r="U1515" s="134" t="str">
        <f t="shared" ca="1" si="504"/>
        <v/>
      </c>
      <c r="V1515" s="83" t="str">
        <f ca="1">IF(U1515="","",IFERROR((RANK(U1515,$U$2:$U$2028,1)+COUNTIF($U$2:U1515,U1515))-1,""))</f>
        <v/>
      </c>
      <c r="W1515" s="134" t="str">
        <f t="shared" si="508"/>
        <v/>
      </c>
      <c r="X1515" s="134" t="str">
        <f>IF(W1515="","",IFERROR((RANK(W1515,$W$2:$W$2028,1)+COUNTIF($W$2:W1515,W1515))-1,""))</f>
        <v/>
      </c>
      <c r="Y1515" s="134" t="str">
        <f t="shared" si="505"/>
        <v/>
      </c>
      <c r="Z1515" s="134" t="str">
        <f>IF(Y1515="","",IFERROR((RANK(Y1515,$Y$2:$Y$2028,1)+COUNTIF($Y$2:Y1515,Y1515))-1,""))</f>
        <v/>
      </c>
      <c r="AA1515" s="134" t="str">
        <f t="shared" si="506"/>
        <v/>
      </c>
      <c r="AB1515" s="134" t="str">
        <f>IF(AA1515="","",IFERROR((RANK(AA1515,$AA$2:$AA$2028,1)+COUNTIF($AA$2:AA1515,AA1515))-1,""))</f>
        <v/>
      </c>
      <c r="AC1515" s="134" t="str">
        <f t="shared" si="507"/>
        <v/>
      </c>
      <c r="AD1515" s="134" t="str">
        <f>IF(AC1515="","",IFERROR((RANK(AC1515,$AC$2:$AC$2028,1)+COUNTIF($AC$2:AC1515,AC1515))-1,""))</f>
        <v/>
      </c>
      <c r="AE1515" s="144" t="str">
        <f t="shared" si="499"/>
        <v/>
      </c>
      <c r="AF1515" s="144" t="str">
        <f>IF(AE1515="","",SUM($AE$2:AE1515))</f>
        <v/>
      </c>
    </row>
    <row r="1516" spans="14:32" x14ac:dyDescent="0.35">
      <c r="N1516" s="134" t="str">
        <f t="shared" si="497"/>
        <v/>
      </c>
      <c r="O1516" s="82" t="str">
        <f t="shared" si="500"/>
        <v/>
      </c>
      <c r="P1516" s="81" t="str">
        <f t="shared" si="498"/>
        <v/>
      </c>
      <c r="Q1516" s="81" t="str">
        <f t="shared" si="501"/>
        <v/>
      </c>
      <c r="R1516" s="135" t="str">
        <f t="shared" ca="1" si="502"/>
        <v/>
      </c>
      <c r="S1516" s="134" t="str">
        <f t="shared" ca="1" si="503"/>
        <v/>
      </c>
      <c r="T1516" s="134" t="str">
        <f ca="1">IF(S1516=Dashboard!$D$12,S1516,"")</f>
        <v/>
      </c>
      <c r="U1516" s="134" t="str">
        <f t="shared" ca="1" si="504"/>
        <v/>
      </c>
      <c r="V1516" s="83" t="str">
        <f ca="1">IF(U1516="","",IFERROR((RANK(U1516,$U$2:$U$2028,1)+COUNTIF($U$2:U1516,U1516))-1,""))</f>
        <v/>
      </c>
      <c r="W1516" s="134" t="str">
        <f t="shared" si="508"/>
        <v/>
      </c>
      <c r="X1516" s="134" t="str">
        <f>IF(W1516="","",IFERROR((RANK(W1516,$W$2:$W$2028,1)+COUNTIF($W$2:W1516,W1516))-1,""))</f>
        <v/>
      </c>
      <c r="Y1516" s="134" t="str">
        <f t="shared" si="505"/>
        <v/>
      </c>
      <c r="Z1516" s="134" t="str">
        <f>IF(Y1516="","",IFERROR((RANK(Y1516,$Y$2:$Y$2028,1)+COUNTIF($Y$2:Y1516,Y1516))-1,""))</f>
        <v/>
      </c>
      <c r="AA1516" s="134" t="str">
        <f t="shared" si="506"/>
        <v/>
      </c>
      <c r="AB1516" s="134" t="str">
        <f>IF(AA1516="","",IFERROR((RANK(AA1516,$AA$2:$AA$2028,1)+COUNTIF($AA$2:AA1516,AA1516))-1,""))</f>
        <v/>
      </c>
      <c r="AC1516" s="134" t="str">
        <f t="shared" si="507"/>
        <v/>
      </c>
      <c r="AD1516" s="134" t="str">
        <f>IF(AC1516="","",IFERROR((RANK(AC1516,$AC$2:$AC$2028,1)+COUNTIF($AC$2:AC1516,AC1516))-1,""))</f>
        <v/>
      </c>
      <c r="AE1516" s="144" t="str">
        <f t="shared" si="499"/>
        <v/>
      </c>
      <c r="AF1516" s="144" t="str">
        <f>IF(AE1516="","",SUM($AE$2:AE1516))</f>
        <v/>
      </c>
    </row>
    <row r="1517" spans="14:32" x14ac:dyDescent="0.35">
      <c r="N1517" s="134" t="str">
        <f t="shared" si="497"/>
        <v/>
      </c>
      <c r="O1517" s="82" t="str">
        <f t="shared" si="500"/>
        <v/>
      </c>
      <c r="P1517" s="81" t="str">
        <f t="shared" si="498"/>
        <v/>
      </c>
      <c r="Q1517" s="81" t="str">
        <f t="shared" si="501"/>
        <v/>
      </c>
      <c r="R1517" s="135" t="str">
        <f t="shared" ca="1" si="502"/>
        <v/>
      </c>
      <c r="S1517" s="134" t="str">
        <f t="shared" ca="1" si="503"/>
        <v/>
      </c>
      <c r="T1517" s="134" t="str">
        <f ca="1">IF(S1517=Dashboard!$D$12,S1517,"")</f>
        <v/>
      </c>
      <c r="U1517" s="134" t="str">
        <f t="shared" ca="1" si="504"/>
        <v/>
      </c>
      <c r="V1517" s="83" t="str">
        <f ca="1">IF(U1517="","",IFERROR((RANK(U1517,$U$2:$U$2028,1)+COUNTIF($U$2:U1517,U1517))-1,""))</f>
        <v/>
      </c>
      <c r="W1517" s="134" t="str">
        <f t="shared" si="508"/>
        <v/>
      </c>
      <c r="X1517" s="134" t="str">
        <f>IF(W1517="","",IFERROR((RANK(W1517,$W$2:$W$2028,1)+COUNTIF($W$2:W1517,W1517))-1,""))</f>
        <v/>
      </c>
      <c r="Y1517" s="134" t="str">
        <f t="shared" si="505"/>
        <v/>
      </c>
      <c r="Z1517" s="134" t="str">
        <f>IF(Y1517="","",IFERROR((RANK(Y1517,$Y$2:$Y$2028,1)+COUNTIF($Y$2:Y1517,Y1517))-1,""))</f>
        <v/>
      </c>
      <c r="AA1517" s="134" t="str">
        <f t="shared" si="506"/>
        <v/>
      </c>
      <c r="AB1517" s="134" t="str">
        <f>IF(AA1517="","",IFERROR((RANK(AA1517,$AA$2:$AA$2028,1)+COUNTIF($AA$2:AA1517,AA1517))-1,""))</f>
        <v/>
      </c>
      <c r="AC1517" s="134" t="str">
        <f t="shared" si="507"/>
        <v/>
      </c>
      <c r="AD1517" s="134" t="str">
        <f>IF(AC1517="","",IFERROR((RANK(AC1517,$AC$2:$AC$2028,1)+COUNTIF($AC$2:AC1517,AC1517))-1,""))</f>
        <v/>
      </c>
      <c r="AE1517" s="144" t="str">
        <f t="shared" si="499"/>
        <v/>
      </c>
      <c r="AF1517" s="144" t="str">
        <f>IF(AE1517="","",SUM($AE$2:AE1517))</f>
        <v/>
      </c>
    </row>
    <row r="1518" spans="14:32" x14ac:dyDescent="0.35">
      <c r="N1518" s="134" t="str">
        <f t="shared" si="497"/>
        <v/>
      </c>
      <c r="O1518" s="82" t="str">
        <f t="shared" si="500"/>
        <v/>
      </c>
      <c r="P1518" s="81" t="str">
        <f t="shared" si="498"/>
        <v/>
      </c>
      <c r="Q1518" s="81" t="str">
        <f t="shared" si="501"/>
        <v/>
      </c>
      <c r="R1518" s="135" t="str">
        <f t="shared" ca="1" si="502"/>
        <v/>
      </c>
      <c r="S1518" s="134" t="str">
        <f t="shared" ca="1" si="503"/>
        <v/>
      </c>
      <c r="T1518" s="134" t="str">
        <f ca="1">IF(S1518=Dashboard!$D$12,S1518,"")</f>
        <v/>
      </c>
      <c r="U1518" s="134" t="str">
        <f t="shared" ca="1" si="504"/>
        <v/>
      </c>
      <c r="V1518" s="83" t="str">
        <f ca="1">IF(U1518="","",IFERROR((RANK(U1518,$U$2:$U$2028,1)+COUNTIF($U$2:U1518,U1518))-1,""))</f>
        <v/>
      </c>
      <c r="W1518" s="134" t="str">
        <f t="shared" si="508"/>
        <v/>
      </c>
      <c r="X1518" s="134" t="str">
        <f>IF(W1518="","",IFERROR((RANK(W1518,$W$2:$W$2028,1)+COUNTIF($W$2:W1518,W1518))-1,""))</f>
        <v/>
      </c>
      <c r="Y1518" s="134" t="str">
        <f t="shared" si="505"/>
        <v/>
      </c>
      <c r="Z1518" s="134" t="str">
        <f>IF(Y1518="","",IFERROR((RANK(Y1518,$Y$2:$Y$2028,1)+COUNTIF($Y$2:Y1518,Y1518))-1,""))</f>
        <v/>
      </c>
      <c r="AA1518" s="134" t="str">
        <f t="shared" si="506"/>
        <v/>
      </c>
      <c r="AB1518" s="134" t="str">
        <f>IF(AA1518="","",IFERROR((RANK(AA1518,$AA$2:$AA$2028,1)+COUNTIF($AA$2:AA1518,AA1518))-1,""))</f>
        <v/>
      </c>
      <c r="AC1518" s="134" t="str">
        <f t="shared" si="507"/>
        <v/>
      </c>
      <c r="AD1518" s="134" t="str">
        <f>IF(AC1518="","",IFERROR((RANK(AC1518,$AC$2:$AC$2028,1)+COUNTIF($AC$2:AC1518,AC1518))-1,""))</f>
        <v/>
      </c>
      <c r="AE1518" s="144" t="str">
        <f t="shared" si="499"/>
        <v/>
      </c>
      <c r="AF1518" s="144" t="str">
        <f>IF(AE1518="","",SUM($AE$2:AE1518))</f>
        <v/>
      </c>
    </row>
    <row r="1519" spans="14:32" x14ac:dyDescent="0.35">
      <c r="N1519" s="134" t="str">
        <f t="shared" si="497"/>
        <v/>
      </c>
      <c r="O1519" s="82" t="str">
        <f t="shared" si="500"/>
        <v/>
      </c>
      <c r="P1519" s="81" t="str">
        <f t="shared" si="498"/>
        <v/>
      </c>
      <c r="Q1519" s="81" t="str">
        <f t="shared" si="501"/>
        <v/>
      </c>
      <c r="R1519" s="135" t="str">
        <f t="shared" ca="1" si="502"/>
        <v/>
      </c>
      <c r="S1519" s="134" t="str">
        <f t="shared" ca="1" si="503"/>
        <v/>
      </c>
      <c r="T1519" s="134" t="str">
        <f ca="1">IF(S1519=Dashboard!$D$12,S1519,"")</f>
        <v/>
      </c>
      <c r="U1519" s="134" t="str">
        <f t="shared" ca="1" si="504"/>
        <v/>
      </c>
      <c r="V1519" s="83" t="str">
        <f ca="1">IF(U1519="","",IFERROR((RANK(U1519,$U$2:$U$2028,1)+COUNTIF($U$2:U1519,U1519))-1,""))</f>
        <v/>
      </c>
      <c r="W1519" s="134" t="str">
        <f t="shared" si="508"/>
        <v/>
      </c>
      <c r="X1519" s="134" t="str">
        <f>IF(W1519="","",IFERROR((RANK(W1519,$W$2:$W$2028,1)+COUNTIF($W$2:W1519,W1519))-1,""))</f>
        <v/>
      </c>
      <c r="Y1519" s="134" t="str">
        <f t="shared" si="505"/>
        <v/>
      </c>
      <c r="Z1519" s="134" t="str">
        <f>IF(Y1519="","",IFERROR((RANK(Y1519,$Y$2:$Y$2028,1)+COUNTIF($Y$2:Y1519,Y1519))-1,""))</f>
        <v/>
      </c>
      <c r="AA1519" s="134" t="str">
        <f t="shared" si="506"/>
        <v/>
      </c>
      <c r="AB1519" s="134" t="str">
        <f>IF(AA1519="","",IFERROR((RANK(AA1519,$AA$2:$AA$2028,1)+COUNTIF($AA$2:AA1519,AA1519))-1,""))</f>
        <v/>
      </c>
      <c r="AC1519" s="134" t="str">
        <f t="shared" si="507"/>
        <v/>
      </c>
      <c r="AD1519" s="134" t="str">
        <f>IF(AC1519="","",IFERROR((RANK(AC1519,$AC$2:$AC$2028,1)+COUNTIF($AC$2:AC1519,AC1519))-1,""))</f>
        <v/>
      </c>
      <c r="AE1519" s="144" t="str">
        <f t="shared" si="499"/>
        <v/>
      </c>
      <c r="AF1519" s="144" t="str">
        <f>IF(AE1519="","",SUM($AE$2:AE1519))</f>
        <v/>
      </c>
    </row>
    <row r="1520" spans="14:32" x14ac:dyDescent="0.35">
      <c r="N1520" s="134" t="str">
        <f t="shared" si="497"/>
        <v/>
      </c>
      <c r="O1520" s="82" t="str">
        <f t="shared" si="500"/>
        <v/>
      </c>
      <c r="P1520" s="81" t="str">
        <f t="shared" si="498"/>
        <v/>
      </c>
      <c r="Q1520" s="81" t="str">
        <f t="shared" si="501"/>
        <v/>
      </c>
      <c r="R1520" s="135" t="str">
        <f t="shared" ca="1" si="502"/>
        <v/>
      </c>
      <c r="S1520" s="134" t="str">
        <f t="shared" ca="1" si="503"/>
        <v/>
      </c>
      <c r="T1520" s="134" t="str">
        <f ca="1">IF(S1520=Dashboard!$D$12,S1520,"")</f>
        <v/>
      </c>
      <c r="U1520" s="134" t="str">
        <f t="shared" ca="1" si="504"/>
        <v/>
      </c>
      <c r="V1520" s="83" t="str">
        <f ca="1">IF(U1520="","",IFERROR((RANK(U1520,$U$2:$U$2028,1)+COUNTIF($U$2:U1520,U1520))-1,""))</f>
        <v/>
      </c>
      <c r="W1520" s="134" t="str">
        <f t="shared" si="508"/>
        <v/>
      </c>
      <c r="X1520" s="134" t="str">
        <f>IF(W1520="","",IFERROR((RANK(W1520,$W$2:$W$2028,1)+COUNTIF($W$2:W1520,W1520))-1,""))</f>
        <v/>
      </c>
      <c r="Y1520" s="134" t="str">
        <f t="shared" si="505"/>
        <v/>
      </c>
      <c r="Z1520" s="134" t="str">
        <f>IF(Y1520="","",IFERROR((RANK(Y1520,$Y$2:$Y$2028,1)+COUNTIF($Y$2:Y1520,Y1520))-1,""))</f>
        <v/>
      </c>
      <c r="AA1520" s="134" t="str">
        <f t="shared" si="506"/>
        <v/>
      </c>
      <c r="AB1520" s="134" t="str">
        <f>IF(AA1520="","",IFERROR((RANK(AA1520,$AA$2:$AA$2028,1)+COUNTIF($AA$2:AA1520,AA1520))-1,""))</f>
        <v/>
      </c>
      <c r="AC1520" s="134" t="str">
        <f t="shared" si="507"/>
        <v/>
      </c>
      <c r="AD1520" s="134" t="str">
        <f>IF(AC1520="","",IFERROR((RANK(AC1520,$AC$2:$AC$2028,1)+COUNTIF($AC$2:AC1520,AC1520))-1,""))</f>
        <v/>
      </c>
      <c r="AE1520" s="144" t="str">
        <f t="shared" si="499"/>
        <v/>
      </c>
      <c r="AF1520" s="144" t="str">
        <f>IF(AE1520="","",SUM($AE$2:AE1520))</f>
        <v/>
      </c>
    </row>
    <row r="1521" spans="14:32" x14ac:dyDescent="0.35">
      <c r="N1521" s="134" t="str">
        <f t="shared" si="497"/>
        <v/>
      </c>
      <c r="O1521" s="82" t="str">
        <f t="shared" si="500"/>
        <v/>
      </c>
      <c r="P1521" s="81" t="str">
        <f t="shared" si="498"/>
        <v/>
      </c>
      <c r="Q1521" s="81" t="str">
        <f t="shared" si="501"/>
        <v/>
      </c>
      <c r="R1521" s="135" t="str">
        <f t="shared" ca="1" si="502"/>
        <v/>
      </c>
      <c r="S1521" s="134" t="str">
        <f t="shared" ca="1" si="503"/>
        <v/>
      </c>
      <c r="T1521" s="134" t="str">
        <f ca="1">IF(S1521=Dashboard!$D$12,S1521,"")</f>
        <v/>
      </c>
      <c r="U1521" s="134" t="str">
        <f t="shared" ca="1" si="504"/>
        <v/>
      </c>
      <c r="V1521" s="83" t="str">
        <f ca="1">IF(U1521="","",IFERROR((RANK(U1521,$U$2:$U$2028,1)+COUNTIF($U$2:U1521,U1521))-1,""))</f>
        <v/>
      </c>
      <c r="W1521" s="134" t="str">
        <f t="shared" si="508"/>
        <v/>
      </c>
      <c r="X1521" s="134" t="str">
        <f>IF(W1521="","",IFERROR((RANK(W1521,$W$2:$W$2028,1)+COUNTIF($W$2:W1521,W1521))-1,""))</f>
        <v/>
      </c>
      <c r="Y1521" s="134" t="str">
        <f t="shared" si="505"/>
        <v/>
      </c>
      <c r="Z1521" s="134" t="str">
        <f>IF(Y1521="","",IFERROR((RANK(Y1521,$Y$2:$Y$2028,1)+COUNTIF($Y$2:Y1521,Y1521))-1,""))</f>
        <v/>
      </c>
      <c r="AA1521" s="134" t="str">
        <f t="shared" si="506"/>
        <v/>
      </c>
      <c r="AB1521" s="134" t="str">
        <f>IF(AA1521="","",IFERROR((RANK(AA1521,$AA$2:$AA$2028,1)+COUNTIF($AA$2:AA1521,AA1521))-1,""))</f>
        <v/>
      </c>
      <c r="AC1521" s="134" t="str">
        <f t="shared" si="507"/>
        <v/>
      </c>
      <c r="AD1521" s="134" t="str">
        <f>IF(AC1521="","",IFERROR((RANK(AC1521,$AC$2:$AC$2028,1)+COUNTIF($AC$2:AC1521,AC1521))-1,""))</f>
        <v/>
      </c>
      <c r="AE1521" s="144" t="str">
        <f t="shared" si="499"/>
        <v/>
      </c>
      <c r="AF1521" s="144" t="str">
        <f>IF(AE1521="","",SUM($AE$2:AE1521))</f>
        <v/>
      </c>
    </row>
    <row r="1522" spans="14:32" x14ac:dyDescent="0.35">
      <c r="N1522" s="134" t="str">
        <f t="shared" si="497"/>
        <v/>
      </c>
      <c r="O1522" s="82" t="str">
        <f t="shared" si="500"/>
        <v/>
      </c>
      <c r="P1522" s="81" t="str">
        <f t="shared" si="498"/>
        <v/>
      </c>
      <c r="Q1522" s="81" t="str">
        <f t="shared" si="501"/>
        <v/>
      </c>
      <c r="R1522" s="135" t="str">
        <f t="shared" ca="1" si="502"/>
        <v/>
      </c>
      <c r="S1522" s="134" t="str">
        <f t="shared" ca="1" si="503"/>
        <v/>
      </c>
      <c r="T1522" s="134" t="str">
        <f ca="1">IF(S1522=Dashboard!$D$12,S1522,"")</f>
        <v/>
      </c>
      <c r="U1522" s="134" t="str">
        <f t="shared" ca="1" si="504"/>
        <v/>
      </c>
      <c r="V1522" s="83" t="str">
        <f ca="1">IF(U1522="","",IFERROR((RANK(U1522,$U$2:$U$2028,1)+COUNTIF($U$2:U1522,U1522))-1,""))</f>
        <v/>
      </c>
      <c r="W1522" s="134" t="str">
        <f t="shared" si="508"/>
        <v/>
      </c>
      <c r="X1522" s="134" t="str">
        <f>IF(W1522="","",IFERROR((RANK(W1522,$W$2:$W$2028,1)+COUNTIF($W$2:W1522,W1522))-1,""))</f>
        <v/>
      </c>
      <c r="Y1522" s="134" t="str">
        <f t="shared" si="505"/>
        <v/>
      </c>
      <c r="Z1522" s="134" t="str">
        <f>IF(Y1522="","",IFERROR((RANK(Y1522,$Y$2:$Y$2028,1)+COUNTIF($Y$2:Y1522,Y1522))-1,""))</f>
        <v/>
      </c>
      <c r="AA1522" s="134" t="str">
        <f t="shared" si="506"/>
        <v/>
      </c>
      <c r="AB1522" s="134" t="str">
        <f>IF(AA1522="","",IFERROR((RANK(AA1522,$AA$2:$AA$2028,1)+COUNTIF($AA$2:AA1522,AA1522))-1,""))</f>
        <v/>
      </c>
      <c r="AC1522" s="134" t="str">
        <f t="shared" si="507"/>
        <v/>
      </c>
      <c r="AD1522" s="134" t="str">
        <f>IF(AC1522="","",IFERROR((RANK(AC1522,$AC$2:$AC$2028,1)+COUNTIF($AC$2:AC1522,AC1522))-1,""))</f>
        <v/>
      </c>
      <c r="AE1522" s="144" t="str">
        <f t="shared" si="499"/>
        <v/>
      </c>
      <c r="AF1522" s="144" t="str">
        <f>IF(AE1522="","",SUM($AE$2:AE1522))</f>
        <v/>
      </c>
    </row>
    <row r="1523" spans="14:32" x14ac:dyDescent="0.35">
      <c r="N1523" s="134" t="str">
        <f t="shared" si="497"/>
        <v/>
      </c>
      <c r="O1523" s="82" t="str">
        <f t="shared" si="500"/>
        <v/>
      </c>
      <c r="P1523" s="81" t="str">
        <f t="shared" si="498"/>
        <v/>
      </c>
      <c r="Q1523" s="81" t="str">
        <f t="shared" si="501"/>
        <v/>
      </c>
      <c r="R1523" s="135" t="str">
        <f t="shared" ca="1" si="502"/>
        <v/>
      </c>
      <c r="S1523" s="134" t="str">
        <f t="shared" ca="1" si="503"/>
        <v/>
      </c>
      <c r="T1523" s="134" t="str">
        <f ca="1">IF(S1523=Dashboard!$D$12,S1523,"")</f>
        <v/>
      </c>
      <c r="U1523" s="134" t="str">
        <f t="shared" ca="1" si="504"/>
        <v/>
      </c>
      <c r="V1523" s="83" t="str">
        <f ca="1">IF(U1523="","",IFERROR((RANK(U1523,$U$2:$U$2028,1)+COUNTIF($U$2:U1523,U1523))-1,""))</f>
        <v/>
      </c>
      <c r="W1523" s="134" t="str">
        <f t="shared" si="508"/>
        <v/>
      </c>
      <c r="X1523" s="134" t="str">
        <f>IF(W1523="","",IFERROR((RANK(W1523,$W$2:$W$2028,1)+COUNTIF($W$2:W1523,W1523))-1,""))</f>
        <v/>
      </c>
      <c r="Y1523" s="134" t="str">
        <f t="shared" si="505"/>
        <v/>
      </c>
      <c r="Z1523" s="134" t="str">
        <f>IF(Y1523="","",IFERROR((RANK(Y1523,$Y$2:$Y$2028,1)+COUNTIF($Y$2:Y1523,Y1523))-1,""))</f>
        <v/>
      </c>
      <c r="AA1523" s="134" t="str">
        <f t="shared" si="506"/>
        <v/>
      </c>
      <c r="AB1523" s="134" t="str">
        <f>IF(AA1523="","",IFERROR((RANK(AA1523,$AA$2:$AA$2028,1)+COUNTIF($AA$2:AA1523,AA1523))-1,""))</f>
        <v/>
      </c>
      <c r="AC1523" s="134" t="str">
        <f t="shared" si="507"/>
        <v/>
      </c>
      <c r="AD1523" s="134" t="str">
        <f>IF(AC1523="","",IFERROR((RANK(AC1523,$AC$2:$AC$2028,1)+COUNTIF($AC$2:AC1523,AC1523))-1,""))</f>
        <v/>
      </c>
      <c r="AE1523" s="144" t="str">
        <f t="shared" si="499"/>
        <v/>
      </c>
      <c r="AF1523" s="144" t="str">
        <f>IF(AE1523="","",SUM($AE$2:AE1523))</f>
        <v/>
      </c>
    </row>
    <row r="1524" spans="14:32" x14ac:dyDescent="0.35">
      <c r="N1524" s="134" t="str">
        <f t="shared" si="497"/>
        <v/>
      </c>
      <c r="O1524" s="82" t="str">
        <f t="shared" si="500"/>
        <v/>
      </c>
      <c r="P1524" s="81" t="str">
        <f t="shared" si="498"/>
        <v/>
      </c>
      <c r="Q1524" s="81" t="str">
        <f t="shared" si="501"/>
        <v/>
      </c>
      <c r="R1524" s="135" t="str">
        <f t="shared" ca="1" si="502"/>
        <v/>
      </c>
      <c r="S1524" s="134" t="str">
        <f t="shared" ca="1" si="503"/>
        <v/>
      </c>
      <c r="T1524" s="134" t="str">
        <f ca="1">IF(S1524=Dashboard!$D$12,S1524,"")</f>
        <v/>
      </c>
      <c r="U1524" s="134" t="str">
        <f t="shared" ca="1" si="504"/>
        <v/>
      </c>
      <c r="V1524" s="83" t="str">
        <f ca="1">IF(U1524="","",IFERROR((RANK(U1524,$U$2:$U$2028,1)+COUNTIF($U$2:U1524,U1524))-1,""))</f>
        <v/>
      </c>
      <c r="W1524" s="134" t="str">
        <f t="shared" si="508"/>
        <v/>
      </c>
      <c r="X1524" s="134" t="str">
        <f>IF(W1524="","",IFERROR((RANK(W1524,$W$2:$W$2028,1)+COUNTIF($W$2:W1524,W1524))-1,""))</f>
        <v/>
      </c>
      <c r="Y1524" s="134" t="str">
        <f t="shared" si="505"/>
        <v/>
      </c>
      <c r="Z1524" s="134" t="str">
        <f>IF(Y1524="","",IFERROR((RANK(Y1524,$Y$2:$Y$2028,1)+COUNTIF($Y$2:Y1524,Y1524))-1,""))</f>
        <v/>
      </c>
      <c r="AA1524" s="134" t="str">
        <f t="shared" si="506"/>
        <v/>
      </c>
      <c r="AB1524" s="134" t="str">
        <f>IF(AA1524="","",IFERROR((RANK(AA1524,$AA$2:$AA$2028,1)+COUNTIF($AA$2:AA1524,AA1524))-1,""))</f>
        <v/>
      </c>
      <c r="AC1524" s="134" t="str">
        <f t="shared" si="507"/>
        <v/>
      </c>
      <c r="AD1524" s="134" t="str">
        <f>IF(AC1524="","",IFERROR((RANK(AC1524,$AC$2:$AC$2028,1)+COUNTIF($AC$2:AC1524,AC1524))-1,""))</f>
        <v/>
      </c>
      <c r="AE1524" s="144" t="str">
        <f t="shared" si="499"/>
        <v/>
      </c>
      <c r="AF1524" s="144" t="str">
        <f>IF(AE1524="","",SUM($AE$2:AE1524))</f>
        <v/>
      </c>
    </row>
    <row r="1525" spans="14:32" x14ac:dyDescent="0.35">
      <c r="N1525" s="134" t="str">
        <f t="shared" si="497"/>
        <v/>
      </c>
      <c r="O1525" s="82" t="str">
        <f t="shared" si="500"/>
        <v/>
      </c>
      <c r="P1525" s="81" t="str">
        <f t="shared" si="498"/>
        <v/>
      </c>
      <c r="Q1525" s="81" t="str">
        <f t="shared" si="501"/>
        <v/>
      </c>
      <c r="R1525" s="135" t="str">
        <f t="shared" ca="1" si="502"/>
        <v/>
      </c>
      <c r="S1525" s="134" t="str">
        <f t="shared" ca="1" si="503"/>
        <v/>
      </c>
      <c r="T1525" s="134" t="str">
        <f ca="1">IF(S1525=Dashboard!$D$12,S1525,"")</f>
        <v/>
      </c>
      <c r="U1525" s="134" t="str">
        <f t="shared" ca="1" si="504"/>
        <v/>
      </c>
      <c r="V1525" s="83" t="str">
        <f ca="1">IF(U1525="","",IFERROR((RANK(U1525,$U$2:$U$2028,1)+COUNTIF($U$2:U1525,U1525))-1,""))</f>
        <v/>
      </c>
      <c r="W1525" s="134" t="str">
        <f t="shared" si="508"/>
        <v/>
      </c>
      <c r="X1525" s="134" t="str">
        <f>IF(W1525="","",IFERROR((RANK(W1525,$W$2:$W$2028,1)+COUNTIF($W$2:W1525,W1525))-1,""))</f>
        <v/>
      </c>
      <c r="Y1525" s="134" t="str">
        <f t="shared" si="505"/>
        <v/>
      </c>
      <c r="Z1525" s="134" t="str">
        <f>IF(Y1525="","",IFERROR((RANK(Y1525,$Y$2:$Y$2028,1)+COUNTIF($Y$2:Y1525,Y1525))-1,""))</f>
        <v/>
      </c>
      <c r="AA1525" s="134" t="str">
        <f t="shared" si="506"/>
        <v/>
      </c>
      <c r="AB1525" s="134" t="str">
        <f>IF(AA1525="","",IFERROR((RANK(AA1525,$AA$2:$AA$2028,1)+COUNTIF($AA$2:AA1525,AA1525))-1,""))</f>
        <v/>
      </c>
      <c r="AC1525" s="134" t="str">
        <f t="shared" si="507"/>
        <v/>
      </c>
      <c r="AD1525" s="134" t="str">
        <f>IF(AC1525="","",IFERROR((RANK(AC1525,$AC$2:$AC$2028,1)+COUNTIF($AC$2:AC1525,AC1525))-1,""))</f>
        <v/>
      </c>
      <c r="AE1525" s="144" t="str">
        <f t="shared" si="499"/>
        <v/>
      </c>
      <c r="AF1525" s="144" t="str">
        <f>IF(AE1525="","",SUM($AE$2:AE1525))</f>
        <v/>
      </c>
    </row>
    <row r="1526" spans="14:32" x14ac:dyDescent="0.35">
      <c r="N1526" s="134" t="str">
        <f t="shared" si="497"/>
        <v/>
      </c>
      <c r="O1526" s="82" t="str">
        <f t="shared" si="500"/>
        <v/>
      </c>
      <c r="P1526" s="81" t="str">
        <f t="shared" si="498"/>
        <v/>
      </c>
      <c r="Q1526" s="81" t="str">
        <f t="shared" si="501"/>
        <v/>
      </c>
      <c r="R1526" s="135" t="str">
        <f t="shared" ca="1" si="502"/>
        <v/>
      </c>
      <c r="S1526" s="134" t="str">
        <f t="shared" ca="1" si="503"/>
        <v/>
      </c>
      <c r="T1526" s="134" t="str">
        <f ca="1">IF(S1526=Dashboard!$D$12,S1526,"")</f>
        <v/>
      </c>
      <c r="U1526" s="134" t="str">
        <f t="shared" ca="1" si="504"/>
        <v/>
      </c>
      <c r="V1526" s="83" t="str">
        <f ca="1">IF(U1526="","",IFERROR((RANK(U1526,$U$2:$U$2028,1)+COUNTIF($U$2:U1526,U1526))-1,""))</f>
        <v/>
      </c>
      <c r="W1526" s="134" t="str">
        <f t="shared" si="508"/>
        <v/>
      </c>
      <c r="X1526" s="134" t="str">
        <f>IF(W1526="","",IFERROR((RANK(W1526,$W$2:$W$2028,1)+COUNTIF($W$2:W1526,W1526))-1,""))</f>
        <v/>
      </c>
      <c r="Y1526" s="134" t="str">
        <f t="shared" si="505"/>
        <v/>
      </c>
      <c r="Z1526" s="134" t="str">
        <f>IF(Y1526="","",IFERROR((RANK(Y1526,$Y$2:$Y$2028,1)+COUNTIF($Y$2:Y1526,Y1526))-1,""))</f>
        <v/>
      </c>
      <c r="AA1526" s="134" t="str">
        <f t="shared" si="506"/>
        <v/>
      </c>
      <c r="AB1526" s="134" t="str">
        <f>IF(AA1526="","",IFERROR((RANK(AA1526,$AA$2:$AA$2028,1)+COUNTIF($AA$2:AA1526,AA1526))-1,""))</f>
        <v/>
      </c>
      <c r="AC1526" s="134" t="str">
        <f t="shared" si="507"/>
        <v/>
      </c>
      <c r="AD1526" s="134" t="str">
        <f>IF(AC1526="","",IFERROR((RANK(AC1526,$AC$2:$AC$2028,1)+COUNTIF($AC$2:AC1526,AC1526))-1,""))</f>
        <v/>
      </c>
      <c r="AE1526" s="144" t="str">
        <f t="shared" si="499"/>
        <v/>
      </c>
      <c r="AF1526" s="144" t="str">
        <f>IF(AE1526="","",SUM($AE$2:AE1526))</f>
        <v/>
      </c>
    </row>
    <row r="1527" spans="14:32" x14ac:dyDescent="0.35">
      <c r="N1527" s="134" t="str">
        <f t="shared" si="497"/>
        <v/>
      </c>
      <c r="O1527" s="82" t="str">
        <f t="shared" si="500"/>
        <v/>
      </c>
      <c r="P1527" s="81" t="str">
        <f t="shared" si="498"/>
        <v/>
      </c>
      <c r="Q1527" s="81" t="str">
        <f t="shared" si="501"/>
        <v/>
      </c>
      <c r="R1527" s="135" t="str">
        <f t="shared" ca="1" si="502"/>
        <v/>
      </c>
      <c r="S1527" s="134" t="str">
        <f t="shared" ca="1" si="503"/>
        <v/>
      </c>
      <c r="T1527" s="134" t="str">
        <f ca="1">IF(S1527=Dashboard!$D$12,S1527,"")</f>
        <v/>
      </c>
      <c r="U1527" s="134" t="str">
        <f t="shared" ca="1" si="504"/>
        <v/>
      </c>
      <c r="V1527" s="83" t="str">
        <f ca="1">IF(U1527="","",IFERROR((RANK(U1527,$U$2:$U$2028,1)+COUNTIF($U$2:U1527,U1527))-1,""))</f>
        <v/>
      </c>
      <c r="W1527" s="134" t="str">
        <f t="shared" si="508"/>
        <v/>
      </c>
      <c r="X1527" s="134" t="str">
        <f>IF(W1527="","",IFERROR((RANK(W1527,$W$2:$W$2028,1)+COUNTIF($W$2:W1527,W1527))-1,""))</f>
        <v/>
      </c>
      <c r="Y1527" s="134" t="str">
        <f t="shared" si="505"/>
        <v/>
      </c>
      <c r="Z1527" s="134" t="str">
        <f>IF(Y1527="","",IFERROR((RANK(Y1527,$Y$2:$Y$2028,1)+COUNTIF($Y$2:Y1527,Y1527))-1,""))</f>
        <v/>
      </c>
      <c r="AA1527" s="134" t="str">
        <f t="shared" si="506"/>
        <v/>
      </c>
      <c r="AB1527" s="134" t="str">
        <f>IF(AA1527="","",IFERROR((RANK(AA1527,$AA$2:$AA$2028,1)+COUNTIF($AA$2:AA1527,AA1527))-1,""))</f>
        <v/>
      </c>
      <c r="AC1527" s="134" t="str">
        <f t="shared" si="507"/>
        <v/>
      </c>
      <c r="AD1527" s="134" t="str">
        <f>IF(AC1527="","",IFERROR((RANK(AC1527,$AC$2:$AC$2028,1)+COUNTIF($AC$2:AC1527,AC1527))-1,""))</f>
        <v/>
      </c>
      <c r="AE1527" s="144" t="str">
        <f t="shared" si="499"/>
        <v/>
      </c>
      <c r="AF1527" s="144" t="str">
        <f>IF(AE1527="","",SUM($AE$2:AE1527))</f>
        <v/>
      </c>
    </row>
    <row r="1528" spans="14:32" x14ac:dyDescent="0.35">
      <c r="N1528" s="134" t="str">
        <f t="shared" si="497"/>
        <v/>
      </c>
      <c r="O1528" s="82" t="str">
        <f t="shared" si="500"/>
        <v/>
      </c>
      <c r="P1528" s="81" t="str">
        <f t="shared" si="498"/>
        <v/>
      </c>
      <c r="Q1528" s="81" t="str">
        <f t="shared" si="501"/>
        <v/>
      </c>
      <c r="R1528" s="135" t="str">
        <f t="shared" ca="1" si="502"/>
        <v/>
      </c>
      <c r="S1528" s="134" t="str">
        <f t="shared" ca="1" si="503"/>
        <v/>
      </c>
      <c r="T1528" s="134" t="str">
        <f ca="1">IF(S1528=Dashboard!$D$12,S1528,"")</f>
        <v/>
      </c>
      <c r="U1528" s="134" t="str">
        <f t="shared" ca="1" si="504"/>
        <v/>
      </c>
      <c r="V1528" s="83" t="str">
        <f ca="1">IF(U1528="","",IFERROR((RANK(U1528,$U$2:$U$2028,1)+COUNTIF($U$2:U1528,U1528))-1,""))</f>
        <v/>
      </c>
      <c r="W1528" s="134" t="str">
        <f t="shared" si="508"/>
        <v/>
      </c>
      <c r="X1528" s="134" t="str">
        <f>IF(W1528="","",IFERROR((RANK(W1528,$W$2:$W$2028,1)+COUNTIF($W$2:W1528,W1528))-1,""))</f>
        <v/>
      </c>
      <c r="Y1528" s="134" t="str">
        <f t="shared" si="505"/>
        <v/>
      </c>
      <c r="Z1528" s="134" t="str">
        <f>IF(Y1528="","",IFERROR((RANK(Y1528,$Y$2:$Y$2028,1)+COUNTIF($Y$2:Y1528,Y1528))-1,""))</f>
        <v/>
      </c>
      <c r="AA1528" s="134" t="str">
        <f t="shared" si="506"/>
        <v/>
      </c>
      <c r="AB1528" s="134" t="str">
        <f>IF(AA1528="","",IFERROR((RANK(AA1528,$AA$2:$AA$2028,1)+COUNTIF($AA$2:AA1528,AA1528))-1,""))</f>
        <v/>
      </c>
      <c r="AC1528" s="134" t="str">
        <f t="shared" si="507"/>
        <v/>
      </c>
      <c r="AD1528" s="134" t="str">
        <f>IF(AC1528="","",IFERROR((RANK(AC1528,$AC$2:$AC$2028,1)+COUNTIF($AC$2:AC1528,AC1528))-1,""))</f>
        <v/>
      </c>
      <c r="AE1528" s="144" t="str">
        <f t="shared" si="499"/>
        <v/>
      </c>
      <c r="AF1528" s="144" t="str">
        <f>IF(AE1528="","",SUM($AE$2:AE1528))</f>
        <v/>
      </c>
    </row>
    <row r="1529" spans="14:32" x14ac:dyDescent="0.35">
      <c r="N1529" s="134" t="str">
        <f t="shared" si="497"/>
        <v/>
      </c>
      <c r="O1529" s="82" t="str">
        <f t="shared" si="500"/>
        <v/>
      </c>
      <c r="P1529" s="81" t="str">
        <f t="shared" si="498"/>
        <v/>
      </c>
      <c r="Q1529" s="81" t="str">
        <f t="shared" si="501"/>
        <v/>
      </c>
      <c r="R1529" s="135" t="str">
        <f t="shared" ca="1" si="502"/>
        <v/>
      </c>
      <c r="S1529" s="134" t="str">
        <f t="shared" ca="1" si="503"/>
        <v/>
      </c>
      <c r="T1529" s="134" t="str">
        <f ca="1">IF(S1529=Dashboard!$D$12,S1529,"")</f>
        <v/>
      </c>
      <c r="U1529" s="134" t="str">
        <f t="shared" ca="1" si="504"/>
        <v/>
      </c>
      <c r="V1529" s="83" t="str">
        <f ca="1">IF(U1529="","",IFERROR((RANK(U1529,$U$2:$U$2028,1)+COUNTIF($U$2:U1529,U1529))-1,""))</f>
        <v/>
      </c>
      <c r="W1529" s="134" t="str">
        <f t="shared" si="508"/>
        <v/>
      </c>
      <c r="X1529" s="134" t="str">
        <f>IF(W1529="","",IFERROR((RANK(W1529,$W$2:$W$2028,1)+COUNTIF($W$2:W1529,W1529))-1,""))</f>
        <v/>
      </c>
      <c r="Y1529" s="134" t="str">
        <f t="shared" si="505"/>
        <v/>
      </c>
      <c r="Z1529" s="134" t="str">
        <f>IF(Y1529="","",IFERROR((RANK(Y1529,$Y$2:$Y$2028,1)+COUNTIF($Y$2:Y1529,Y1529))-1,""))</f>
        <v/>
      </c>
      <c r="AA1529" s="134" t="str">
        <f t="shared" si="506"/>
        <v/>
      </c>
      <c r="AB1529" s="134" t="str">
        <f>IF(AA1529="","",IFERROR((RANK(AA1529,$AA$2:$AA$2028,1)+COUNTIF($AA$2:AA1529,AA1529))-1,""))</f>
        <v/>
      </c>
      <c r="AC1529" s="134" t="str">
        <f t="shared" si="507"/>
        <v/>
      </c>
      <c r="AD1529" s="134" t="str">
        <f>IF(AC1529="","",IFERROR((RANK(AC1529,$AC$2:$AC$2028,1)+COUNTIF($AC$2:AC1529,AC1529))-1,""))</f>
        <v/>
      </c>
      <c r="AE1529" s="144" t="str">
        <f t="shared" si="499"/>
        <v/>
      </c>
      <c r="AF1529" s="144" t="str">
        <f>IF(AE1529="","",SUM($AE$2:AE1529))</f>
        <v/>
      </c>
    </row>
    <row r="1530" spans="14:32" x14ac:dyDescent="0.35">
      <c r="N1530" s="134" t="str">
        <f t="shared" si="497"/>
        <v/>
      </c>
      <c r="O1530" s="82" t="str">
        <f t="shared" si="500"/>
        <v/>
      </c>
      <c r="P1530" s="81" t="str">
        <f t="shared" si="498"/>
        <v/>
      </c>
      <c r="Q1530" s="81" t="str">
        <f t="shared" si="501"/>
        <v/>
      </c>
      <c r="R1530" s="135" t="str">
        <f t="shared" ca="1" si="502"/>
        <v/>
      </c>
      <c r="S1530" s="134" t="str">
        <f t="shared" ca="1" si="503"/>
        <v/>
      </c>
      <c r="T1530" s="134" t="str">
        <f ca="1">IF(S1530=Dashboard!$D$12,S1530,"")</f>
        <v/>
      </c>
      <c r="U1530" s="134" t="str">
        <f t="shared" ca="1" si="504"/>
        <v/>
      </c>
      <c r="V1530" s="83" t="str">
        <f ca="1">IF(U1530="","",IFERROR((RANK(U1530,$U$2:$U$2028,1)+COUNTIF($U$2:U1530,U1530))-1,""))</f>
        <v/>
      </c>
      <c r="W1530" s="134" t="str">
        <f t="shared" si="508"/>
        <v/>
      </c>
      <c r="X1530" s="134" t="str">
        <f>IF(W1530="","",IFERROR((RANK(W1530,$W$2:$W$2028,1)+COUNTIF($W$2:W1530,W1530))-1,""))</f>
        <v/>
      </c>
      <c r="Y1530" s="134" t="str">
        <f t="shared" si="505"/>
        <v/>
      </c>
      <c r="Z1530" s="134" t="str">
        <f>IF(Y1530="","",IFERROR((RANK(Y1530,$Y$2:$Y$2028,1)+COUNTIF($Y$2:Y1530,Y1530))-1,""))</f>
        <v/>
      </c>
      <c r="AA1530" s="134" t="str">
        <f t="shared" si="506"/>
        <v/>
      </c>
      <c r="AB1530" s="134" t="str">
        <f>IF(AA1530="","",IFERROR((RANK(AA1530,$AA$2:$AA$2028,1)+COUNTIF($AA$2:AA1530,AA1530))-1,""))</f>
        <v/>
      </c>
      <c r="AC1530" s="134" t="str">
        <f t="shared" si="507"/>
        <v/>
      </c>
      <c r="AD1530" s="134" t="str">
        <f>IF(AC1530="","",IFERROR((RANK(AC1530,$AC$2:$AC$2028,1)+COUNTIF($AC$2:AC1530,AC1530))-1,""))</f>
        <v/>
      </c>
      <c r="AE1530" s="144" t="str">
        <f t="shared" si="499"/>
        <v/>
      </c>
      <c r="AF1530" s="144" t="str">
        <f>IF(AE1530="","",SUM($AE$2:AE1530))</f>
        <v/>
      </c>
    </row>
    <row r="1531" spans="14:32" x14ac:dyDescent="0.35">
      <c r="N1531" s="134" t="str">
        <f t="shared" si="497"/>
        <v/>
      </c>
      <c r="O1531" s="82" t="str">
        <f t="shared" si="500"/>
        <v/>
      </c>
      <c r="P1531" s="81" t="str">
        <f t="shared" si="498"/>
        <v/>
      </c>
      <c r="Q1531" s="81" t="str">
        <f t="shared" si="501"/>
        <v/>
      </c>
      <c r="R1531" s="135" t="str">
        <f t="shared" ca="1" si="502"/>
        <v/>
      </c>
      <c r="S1531" s="134" t="str">
        <f t="shared" ca="1" si="503"/>
        <v/>
      </c>
      <c r="T1531" s="134" t="str">
        <f ca="1">IF(S1531=Dashboard!$D$12,S1531,"")</f>
        <v/>
      </c>
      <c r="U1531" s="134" t="str">
        <f t="shared" ca="1" si="504"/>
        <v/>
      </c>
      <c r="V1531" s="83" t="str">
        <f ca="1">IF(U1531="","",IFERROR((RANK(U1531,$U$2:$U$2028,1)+COUNTIF($U$2:U1531,U1531))-1,""))</f>
        <v/>
      </c>
      <c r="W1531" s="134" t="str">
        <f t="shared" si="508"/>
        <v/>
      </c>
      <c r="X1531" s="134" t="str">
        <f>IF(W1531="","",IFERROR((RANK(W1531,$W$2:$W$2028,1)+COUNTIF($W$2:W1531,W1531))-1,""))</f>
        <v/>
      </c>
      <c r="Y1531" s="134" t="str">
        <f t="shared" si="505"/>
        <v/>
      </c>
      <c r="Z1531" s="134" t="str">
        <f>IF(Y1531="","",IFERROR((RANK(Y1531,$Y$2:$Y$2028,1)+COUNTIF($Y$2:Y1531,Y1531))-1,""))</f>
        <v/>
      </c>
      <c r="AA1531" s="134" t="str">
        <f t="shared" si="506"/>
        <v/>
      </c>
      <c r="AB1531" s="134" t="str">
        <f>IF(AA1531="","",IFERROR((RANK(AA1531,$AA$2:$AA$2028,1)+COUNTIF($AA$2:AA1531,AA1531))-1,""))</f>
        <v/>
      </c>
      <c r="AC1531" s="134" t="str">
        <f t="shared" si="507"/>
        <v/>
      </c>
      <c r="AD1531" s="134" t="str">
        <f>IF(AC1531="","",IFERROR((RANK(AC1531,$AC$2:$AC$2028,1)+COUNTIF($AC$2:AC1531,AC1531))-1,""))</f>
        <v/>
      </c>
      <c r="AE1531" s="144" t="str">
        <f t="shared" si="499"/>
        <v/>
      </c>
      <c r="AF1531" s="144" t="str">
        <f>IF(AE1531="","",SUM($AE$2:AE1531))</f>
        <v/>
      </c>
    </row>
    <row r="1532" spans="14:32" x14ac:dyDescent="0.35">
      <c r="N1532" s="134" t="str">
        <f t="shared" si="497"/>
        <v/>
      </c>
      <c r="O1532" s="82" t="str">
        <f t="shared" si="500"/>
        <v/>
      </c>
      <c r="P1532" s="81" t="str">
        <f t="shared" si="498"/>
        <v/>
      </c>
      <c r="Q1532" s="81" t="str">
        <f t="shared" si="501"/>
        <v/>
      </c>
      <c r="R1532" s="135" t="str">
        <f t="shared" ca="1" si="502"/>
        <v/>
      </c>
      <c r="S1532" s="134" t="str">
        <f t="shared" ca="1" si="503"/>
        <v/>
      </c>
      <c r="T1532" s="134" t="str">
        <f ca="1">IF(S1532=Dashboard!$D$12,S1532,"")</f>
        <v/>
      </c>
      <c r="U1532" s="134" t="str">
        <f t="shared" ca="1" si="504"/>
        <v/>
      </c>
      <c r="V1532" s="83" t="str">
        <f ca="1">IF(U1532="","",IFERROR((RANK(U1532,$U$2:$U$2028,1)+COUNTIF($U$2:U1532,U1532))-1,""))</f>
        <v/>
      </c>
      <c r="W1532" s="134" t="str">
        <f t="shared" si="508"/>
        <v/>
      </c>
      <c r="X1532" s="134" t="str">
        <f>IF(W1532="","",IFERROR((RANK(W1532,$W$2:$W$2028,1)+COUNTIF($W$2:W1532,W1532))-1,""))</f>
        <v/>
      </c>
      <c r="Y1532" s="134" t="str">
        <f t="shared" si="505"/>
        <v/>
      </c>
      <c r="Z1532" s="134" t="str">
        <f>IF(Y1532="","",IFERROR((RANK(Y1532,$Y$2:$Y$2028,1)+COUNTIF($Y$2:Y1532,Y1532))-1,""))</f>
        <v/>
      </c>
      <c r="AA1532" s="134" t="str">
        <f t="shared" si="506"/>
        <v/>
      </c>
      <c r="AB1532" s="134" t="str">
        <f>IF(AA1532="","",IFERROR((RANK(AA1532,$AA$2:$AA$2028,1)+COUNTIF($AA$2:AA1532,AA1532))-1,""))</f>
        <v/>
      </c>
      <c r="AC1532" s="134" t="str">
        <f t="shared" si="507"/>
        <v/>
      </c>
      <c r="AD1532" s="134" t="str">
        <f>IF(AC1532="","",IFERROR((RANK(AC1532,$AC$2:$AC$2028,1)+COUNTIF($AC$2:AC1532,AC1532))-1,""))</f>
        <v/>
      </c>
      <c r="AE1532" s="144" t="str">
        <f t="shared" si="499"/>
        <v/>
      </c>
      <c r="AF1532" s="144" t="str">
        <f>IF(AE1532="","",SUM($AE$2:AE1532))</f>
        <v/>
      </c>
    </row>
    <row r="1533" spans="14:32" x14ac:dyDescent="0.35">
      <c r="N1533" s="134" t="str">
        <f t="shared" si="497"/>
        <v/>
      </c>
      <c r="O1533" s="82" t="str">
        <f t="shared" si="500"/>
        <v/>
      </c>
      <c r="P1533" s="81" t="str">
        <f t="shared" si="498"/>
        <v/>
      </c>
      <c r="Q1533" s="81" t="str">
        <f t="shared" si="501"/>
        <v/>
      </c>
      <c r="R1533" s="135" t="str">
        <f t="shared" ca="1" si="502"/>
        <v/>
      </c>
      <c r="S1533" s="134" t="str">
        <f t="shared" ca="1" si="503"/>
        <v/>
      </c>
      <c r="T1533" s="134" t="str">
        <f ca="1">IF(S1533=Dashboard!$D$12,S1533,"")</f>
        <v/>
      </c>
      <c r="U1533" s="134" t="str">
        <f t="shared" ca="1" si="504"/>
        <v/>
      </c>
      <c r="V1533" s="83" t="str">
        <f ca="1">IF(U1533="","",IFERROR((RANK(U1533,$U$2:$U$2028,1)+COUNTIF($U$2:U1533,U1533))-1,""))</f>
        <v/>
      </c>
      <c r="W1533" s="134" t="str">
        <f t="shared" si="508"/>
        <v/>
      </c>
      <c r="X1533" s="134" t="str">
        <f>IF(W1533="","",IFERROR((RANK(W1533,$W$2:$W$2028,1)+COUNTIF($W$2:W1533,W1533))-1,""))</f>
        <v/>
      </c>
      <c r="Y1533" s="134" t="str">
        <f t="shared" si="505"/>
        <v/>
      </c>
      <c r="Z1533" s="134" t="str">
        <f>IF(Y1533="","",IFERROR((RANK(Y1533,$Y$2:$Y$2028,1)+COUNTIF($Y$2:Y1533,Y1533))-1,""))</f>
        <v/>
      </c>
      <c r="AA1533" s="134" t="str">
        <f t="shared" si="506"/>
        <v/>
      </c>
      <c r="AB1533" s="134" t="str">
        <f>IF(AA1533="","",IFERROR((RANK(AA1533,$AA$2:$AA$2028,1)+COUNTIF($AA$2:AA1533,AA1533))-1,""))</f>
        <v/>
      </c>
      <c r="AC1533" s="134" t="str">
        <f t="shared" si="507"/>
        <v/>
      </c>
      <c r="AD1533" s="134" t="str">
        <f>IF(AC1533="","",IFERROR((RANK(AC1533,$AC$2:$AC$2028,1)+COUNTIF($AC$2:AC1533,AC1533))-1,""))</f>
        <v/>
      </c>
      <c r="AE1533" s="144" t="str">
        <f t="shared" si="499"/>
        <v/>
      </c>
      <c r="AF1533" s="144" t="str">
        <f>IF(AE1533="","",SUM($AE$2:AE1533))</f>
        <v/>
      </c>
    </row>
    <row r="1534" spans="14:32" x14ac:dyDescent="0.35">
      <c r="N1534" s="134" t="str">
        <f t="shared" si="497"/>
        <v/>
      </c>
      <c r="O1534" s="82" t="str">
        <f t="shared" si="500"/>
        <v/>
      </c>
      <c r="P1534" s="81" t="str">
        <f t="shared" si="498"/>
        <v/>
      </c>
      <c r="Q1534" s="81" t="str">
        <f t="shared" si="501"/>
        <v/>
      </c>
      <c r="R1534" s="135" t="str">
        <f t="shared" ca="1" si="502"/>
        <v/>
      </c>
      <c r="S1534" s="134" t="str">
        <f t="shared" ca="1" si="503"/>
        <v/>
      </c>
      <c r="T1534" s="134" t="str">
        <f ca="1">IF(S1534=Dashboard!$D$12,S1534,"")</f>
        <v/>
      </c>
      <c r="U1534" s="134" t="str">
        <f t="shared" ca="1" si="504"/>
        <v/>
      </c>
      <c r="V1534" s="83" t="str">
        <f ca="1">IF(U1534="","",IFERROR((RANK(U1534,$U$2:$U$2028,1)+COUNTIF($U$2:U1534,U1534))-1,""))</f>
        <v/>
      </c>
      <c r="W1534" s="134" t="str">
        <f t="shared" si="508"/>
        <v/>
      </c>
      <c r="X1534" s="134" t="str">
        <f>IF(W1534="","",IFERROR((RANK(W1534,$W$2:$W$2028,1)+COUNTIF($W$2:W1534,W1534))-1,""))</f>
        <v/>
      </c>
      <c r="Y1534" s="134" t="str">
        <f t="shared" si="505"/>
        <v/>
      </c>
      <c r="Z1534" s="134" t="str">
        <f>IF(Y1534="","",IFERROR((RANK(Y1534,$Y$2:$Y$2028,1)+COUNTIF($Y$2:Y1534,Y1534))-1,""))</f>
        <v/>
      </c>
      <c r="AA1534" s="134" t="str">
        <f t="shared" si="506"/>
        <v/>
      </c>
      <c r="AB1534" s="134" t="str">
        <f>IF(AA1534="","",IFERROR((RANK(AA1534,$AA$2:$AA$2028,1)+COUNTIF($AA$2:AA1534,AA1534))-1,""))</f>
        <v/>
      </c>
      <c r="AC1534" s="134" t="str">
        <f t="shared" si="507"/>
        <v/>
      </c>
      <c r="AD1534" s="134" t="str">
        <f>IF(AC1534="","",IFERROR((RANK(AC1534,$AC$2:$AC$2028,1)+COUNTIF($AC$2:AC1534,AC1534))-1,""))</f>
        <v/>
      </c>
      <c r="AE1534" s="144" t="str">
        <f t="shared" si="499"/>
        <v/>
      </c>
      <c r="AF1534" s="144" t="str">
        <f>IF(AE1534="","",SUM($AE$2:AE1534))</f>
        <v/>
      </c>
    </row>
    <row r="1535" spans="14:32" x14ac:dyDescent="0.35">
      <c r="N1535" s="134" t="str">
        <f t="shared" si="497"/>
        <v/>
      </c>
      <c r="O1535" s="82" t="str">
        <f t="shared" si="500"/>
        <v/>
      </c>
      <c r="P1535" s="81" t="str">
        <f t="shared" si="498"/>
        <v/>
      </c>
      <c r="Q1535" s="81" t="str">
        <f t="shared" si="501"/>
        <v/>
      </c>
      <c r="R1535" s="135" t="str">
        <f t="shared" ca="1" si="502"/>
        <v/>
      </c>
      <c r="S1535" s="134" t="str">
        <f t="shared" ca="1" si="503"/>
        <v/>
      </c>
      <c r="T1535" s="134" t="str">
        <f ca="1">IF(S1535=Dashboard!$D$12,S1535,"")</f>
        <v/>
      </c>
      <c r="U1535" s="134" t="str">
        <f t="shared" ca="1" si="504"/>
        <v/>
      </c>
      <c r="V1535" s="83" t="str">
        <f ca="1">IF(U1535="","",IFERROR((RANK(U1535,$U$2:$U$2028,1)+COUNTIF($U$2:U1535,U1535))-1,""))</f>
        <v/>
      </c>
      <c r="W1535" s="134" t="str">
        <f t="shared" si="508"/>
        <v/>
      </c>
      <c r="X1535" s="134" t="str">
        <f>IF(W1535="","",IFERROR((RANK(W1535,$W$2:$W$2028,1)+COUNTIF($W$2:W1535,W1535))-1,""))</f>
        <v/>
      </c>
      <c r="Y1535" s="134" t="str">
        <f t="shared" si="505"/>
        <v/>
      </c>
      <c r="Z1535" s="134" t="str">
        <f>IF(Y1535="","",IFERROR((RANK(Y1535,$Y$2:$Y$2028,1)+COUNTIF($Y$2:Y1535,Y1535))-1,""))</f>
        <v/>
      </c>
      <c r="AA1535" s="134" t="str">
        <f t="shared" si="506"/>
        <v/>
      </c>
      <c r="AB1535" s="134" t="str">
        <f>IF(AA1535="","",IFERROR((RANK(AA1535,$AA$2:$AA$2028,1)+COUNTIF($AA$2:AA1535,AA1535))-1,""))</f>
        <v/>
      </c>
      <c r="AC1535" s="134" t="str">
        <f t="shared" si="507"/>
        <v/>
      </c>
      <c r="AD1535" s="134" t="str">
        <f>IF(AC1535="","",IFERROR((RANK(AC1535,$AC$2:$AC$2028,1)+COUNTIF($AC$2:AC1535,AC1535))-1,""))</f>
        <v/>
      </c>
      <c r="AE1535" s="144" t="str">
        <f t="shared" si="499"/>
        <v/>
      </c>
      <c r="AF1535" s="144" t="str">
        <f>IF(AE1535="","",SUM($AE$2:AE1535))</f>
        <v/>
      </c>
    </row>
    <row r="1536" spans="14:32" x14ac:dyDescent="0.35">
      <c r="N1536" s="134" t="str">
        <f t="shared" si="497"/>
        <v/>
      </c>
      <c r="O1536" s="82" t="str">
        <f t="shared" si="500"/>
        <v/>
      </c>
      <c r="P1536" s="81" t="str">
        <f t="shared" si="498"/>
        <v/>
      </c>
      <c r="Q1536" s="81" t="str">
        <f t="shared" si="501"/>
        <v/>
      </c>
      <c r="R1536" s="135" t="str">
        <f t="shared" ca="1" si="502"/>
        <v/>
      </c>
      <c r="S1536" s="134" t="str">
        <f t="shared" ca="1" si="503"/>
        <v/>
      </c>
      <c r="T1536" s="134" t="str">
        <f ca="1">IF(S1536=Dashboard!$D$12,S1536,"")</f>
        <v/>
      </c>
      <c r="U1536" s="134" t="str">
        <f t="shared" ca="1" si="504"/>
        <v/>
      </c>
      <c r="V1536" s="83" t="str">
        <f ca="1">IF(U1536="","",IFERROR((RANK(U1536,$U$2:$U$2028,1)+COUNTIF($U$2:U1536,U1536))-1,""))</f>
        <v/>
      </c>
      <c r="W1536" s="134" t="str">
        <f t="shared" si="508"/>
        <v/>
      </c>
      <c r="X1536" s="134" t="str">
        <f>IF(W1536="","",IFERROR((RANK(W1536,$W$2:$W$2028,1)+COUNTIF($W$2:W1536,W1536))-1,""))</f>
        <v/>
      </c>
      <c r="Y1536" s="134" t="str">
        <f t="shared" si="505"/>
        <v/>
      </c>
      <c r="Z1536" s="134" t="str">
        <f>IF(Y1536="","",IFERROR((RANK(Y1536,$Y$2:$Y$2028,1)+COUNTIF($Y$2:Y1536,Y1536))-1,""))</f>
        <v/>
      </c>
      <c r="AA1536" s="134" t="str">
        <f t="shared" si="506"/>
        <v/>
      </c>
      <c r="AB1536" s="134" t="str">
        <f>IF(AA1536="","",IFERROR((RANK(AA1536,$AA$2:$AA$2028,1)+COUNTIF($AA$2:AA1536,AA1536))-1,""))</f>
        <v/>
      </c>
      <c r="AC1536" s="134" t="str">
        <f t="shared" si="507"/>
        <v/>
      </c>
      <c r="AD1536" s="134" t="str">
        <f>IF(AC1536="","",IFERROR((RANK(AC1536,$AC$2:$AC$2028,1)+COUNTIF($AC$2:AC1536,AC1536))-1,""))</f>
        <v/>
      </c>
      <c r="AE1536" s="144" t="str">
        <f t="shared" si="499"/>
        <v/>
      </c>
      <c r="AF1536" s="144" t="str">
        <f>IF(AE1536="","",SUM($AE$2:AE1536))</f>
        <v/>
      </c>
    </row>
    <row r="1537" spans="14:32" x14ac:dyDescent="0.35">
      <c r="N1537" s="134" t="str">
        <f t="shared" si="497"/>
        <v/>
      </c>
      <c r="O1537" s="82" t="str">
        <f t="shared" si="500"/>
        <v/>
      </c>
      <c r="P1537" s="81" t="str">
        <f t="shared" si="498"/>
        <v/>
      </c>
      <c r="Q1537" s="81" t="str">
        <f t="shared" si="501"/>
        <v/>
      </c>
      <c r="R1537" s="135" t="str">
        <f t="shared" ca="1" si="502"/>
        <v/>
      </c>
      <c r="S1537" s="134" t="str">
        <f t="shared" ca="1" si="503"/>
        <v/>
      </c>
      <c r="T1537" s="134" t="str">
        <f ca="1">IF(S1537=Dashboard!$D$12,S1537,"")</f>
        <v/>
      </c>
      <c r="U1537" s="134" t="str">
        <f t="shared" ca="1" si="504"/>
        <v/>
      </c>
      <c r="V1537" s="83" t="str">
        <f ca="1">IF(U1537="","",IFERROR((RANK(U1537,$U$2:$U$2028,1)+COUNTIF($U$2:U1537,U1537))-1,""))</f>
        <v/>
      </c>
      <c r="W1537" s="134" t="str">
        <f t="shared" si="508"/>
        <v/>
      </c>
      <c r="X1537" s="134" t="str">
        <f>IF(W1537="","",IFERROR((RANK(W1537,$W$2:$W$2028,1)+COUNTIF($W$2:W1537,W1537))-1,""))</f>
        <v/>
      </c>
      <c r="Y1537" s="134" t="str">
        <f t="shared" si="505"/>
        <v/>
      </c>
      <c r="Z1537" s="134" t="str">
        <f>IF(Y1537="","",IFERROR((RANK(Y1537,$Y$2:$Y$2028,1)+COUNTIF($Y$2:Y1537,Y1537))-1,""))</f>
        <v/>
      </c>
      <c r="AA1537" s="134" t="str">
        <f t="shared" si="506"/>
        <v/>
      </c>
      <c r="AB1537" s="134" t="str">
        <f>IF(AA1537="","",IFERROR((RANK(AA1537,$AA$2:$AA$2028,1)+COUNTIF($AA$2:AA1537,AA1537))-1,""))</f>
        <v/>
      </c>
      <c r="AC1537" s="134" t="str">
        <f t="shared" si="507"/>
        <v/>
      </c>
      <c r="AD1537" s="134" t="str">
        <f>IF(AC1537="","",IFERROR((RANK(AC1537,$AC$2:$AC$2028,1)+COUNTIF($AC$2:AC1537,AC1537))-1,""))</f>
        <v/>
      </c>
      <c r="AE1537" s="144" t="str">
        <f t="shared" si="499"/>
        <v/>
      </c>
      <c r="AF1537" s="144" t="str">
        <f>IF(AE1537="","",SUM($AE$2:AE1537))</f>
        <v/>
      </c>
    </row>
    <row r="1538" spans="14:32" x14ac:dyDescent="0.35">
      <c r="N1538" s="134" t="str">
        <f t="shared" ref="N1538:N1601" si="509">IF(A1538="","",COUNTIFS(M:M,M1538,H:H,"&lt;"&amp;H1538)+1)</f>
        <v/>
      </c>
      <c r="O1538" s="82" t="str">
        <f t="shared" si="500"/>
        <v/>
      </c>
      <c r="P1538" s="81" t="str">
        <f t="shared" ref="P1538:P1601" si="510">IF(A1538="","",COUNTIFS(M:M,M1538,H:H,"&gt;"&amp;H1538)+1)</f>
        <v/>
      </c>
      <c r="Q1538" s="81" t="str">
        <f t="shared" si="501"/>
        <v/>
      </c>
      <c r="R1538" s="135" t="str">
        <f t="shared" ca="1" si="502"/>
        <v/>
      </c>
      <c r="S1538" s="134" t="str">
        <f t="shared" ca="1" si="503"/>
        <v/>
      </c>
      <c r="T1538" s="134" t="str">
        <f ca="1">IF(S1538=Dashboard!$D$12,S1538,"")</f>
        <v/>
      </c>
      <c r="U1538" s="134" t="str">
        <f t="shared" ca="1" si="504"/>
        <v/>
      </c>
      <c r="V1538" s="83" t="str">
        <f ca="1">IF(U1538="","",IFERROR((RANK(U1538,$U$2:$U$2028,1)+COUNTIF($U$2:U1538,U1538))-1,""))</f>
        <v/>
      </c>
      <c r="W1538" s="134" t="str">
        <f t="shared" si="508"/>
        <v/>
      </c>
      <c r="X1538" s="134" t="str">
        <f>IF(W1538="","",IFERROR((RANK(W1538,$W$2:$W$2028,1)+COUNTIF($W$2:W1538,W1538))-1,""))</f>
        <v/>
      </c>
      <c r="Y1538" s="134" t="str">
        <f t="shared" si="505"/>
        <v/>
      </c>
      <c r="Z1538" s="134" t="str">
        <f>IF(Y1538="","",IFERROR((RANK(Y1538,$Y$2:$Y$2028,1)+COUNTIF($Y$2:Y1538,Y1538))-1,""))</f>
        <v/>
      </c>
      <c r="AA1538" s="134" t="str">
        <f t="shared" si="506"/>
        <v/>
      </c>
      <c r="AB1538" s="134" t="str">
        <f>IF(AA1538="","",IFERROR((RANK(AA1538,$AA$2:$AA$2028,1)+COUNTIF($AA$2:AA1538,AA1538))-1,""))</f>
        <v/>
      </c>
      <c r="AC1538" s="134" t="str">
        <f t="shared" si="507"/>
        <v/>
      </c>
      <c r="AD1538" s="134" t="str">
        <f>IF(AC1538="","",IFERROR((RANK(AC1538,$AC$2:$AC$2028,1)+COUNTIF($AC$2:AC1538,AC1538))-1,""))</f>
        <v/>
      </c>
      <c r="AE1538" s="144" t="str">
        <f t="shared" si="499"/>
        <v/>
      </c>
      <c r="AF1538" s="144" t="str">
        <f>IF(AE1538="","",SUM($AE$2:AE1538))</f>
        <v/>
      </c>
    </row>
    <row r="1539" spans="14:32" x14ac:dyDescent="0.35">
      <c r="N1539" s="134" t="str">
        <f t="shared" si="509"/>
        <v/>
      </c>
      <c r="O1539" s="82" t="str">
        <f t="shared" si="500"/>
        <v/>
      </c>
      <c r="P1539" s="81" t="str">
        <f t="shared" si="510"/>
        <v/>
      </c>
      <c r="Q1539" s="81" t="str">
        <f t="shared" si="501"/>
        <v/>
      </c>
      <c r="R1539" s="135" t="str">
        <f t="shared" ca="1" si="502"/>
        <v/>
      </c>
      <c r="S1539" s="134" t="str">
        <f t="shared" ca="1" si="503"/>
        <v/>
      </c>
      <c r="T1539" s="134" t="str">
        <f ca="1">IF(S1539=Dashboard!$D$12,S1539,"")</f>
        <v/>
      </c>
      <c r="U1539" s="134" t="str">
        <f t="shared" ca="1" si="504"/>
        <v/>
      </c>
      <c r="V1539" s="83" t="str">
        <f ca="1">IF(U1539="","",IFERROR((RANK(U1539,$U$2:$U$2028,1)+COUNTIF($U$2:U1539,U1539))-1,""))</f>
        <v/>
      </c>
      <c r="W1539" s="134" t="str">
        <f t="shared" si="508"/>
        <v/>
      </c>
      <c r="X1539" s="134" t="str">
        <f>IF(W1539="","",IFERROR((RANK(W1539,$W$2:$W$2028,1)+COUNTIF($W$2:W1539,W1539))-1,""))</f>
        <v/>
      </c>
      <c r="Y1539" s="134" t="str">
        <f t="shared" si="505"/>
        <v/>
      </c>
      <c r="Z1539" s="134" t="str">
        <f>IF(Y1539="","",IFERROR((RANK(Y1539,$Y$2:$Y$2028,1)+COUNTIF($Y$2:Y1539,Y1539))-1,""))</f>
        <v/>
      </c>
      <c r="AA1539" s="134" t="str">
        <f t="shared" si="506"/>
        <v/>
      </c>
      <c r="AB1539" s="134" t="str">
        <f>IF(AA1539="","",IFERROR((RANK(AA1539,$AA$2:$AA$2028,1)+COUNTIF($AA$2:AA1539,AA1539))-1,""))</f>
        <v/>
      </c>
      <c r="AC1539" s="134" t="str">
        <f t="shared" si="507"/>
        <v/>
      </c>
      <c r="AD1539" s="134" t="str">
        <f>IF(AC1539="","",IFERROR((RANK(AC1539,$AC$2:$AC$2028,1)+COUNTIF($AC$2:AC1539,AC1539))-1,""))</f>
        <v/>
      </c>
      <c r="AE1539" s="144" t="str">
        <f t="shared" si="499"/>
        <v/>
      </c>
      <c r="AF1539" s="144" t="str">
        <f>IF(AE1539="","",SUM($AE$2:AE1539))</f>
        <v/>
      </c>
    </row>
    <row r="1540" spans="14:32" x14ac:dyDescent="0.35">
      <c r="N1540" s="134" t="str">
        <f t="shared" si="509"/>
        <v/>
      </c>
      <c r="O1540" s="82" t="str">
        <f t="shared" si="500"/>
        <v/>
      </c>
      <c r="P1540" s="81" t="str">
        <f t="shared" si="510"/>
        <v/>
      </c>
      <c r="Q1540" s="81" t="str">
        <f t="shared" si="501"/>
        <v/>
      </c>
      <c r="R1540" s="135" t="str">
        <f t="shared" ca="1" si="502"/>
        <v/>
      </c>
      <c r="S1540" s="134" t="str">
        <f t="shared" ca="1" si="503"/>
        <v/>
      </c>
      <c r="T1540" s="134" t="str">
        <f ca="1">IF(S1540=Dashboard!$D$12,S1540,"")</f>
        <v/>
      </c>
      <c r="U1540" s="134" t="str">
        <f t="shared" ca="1" si="504"/>
        <v/>
      </c>
      <c r="V1540" s="83" t="str">
        <f ca="1">IF(U1540="","",IFERROR((RANK(U1540,$U$2:$U$2028,1)+COUNTIF($U$2:U1540,U1540))-1,""))</f>
        <v/>
      </c>
      <c r="W1540" s="134" t="str">
        <f t="shared" si="508"/>
        <v/>
      </c>
      <c r="X1540" s="134" t="str">
        <f>IF(W1540="","",IFERROR((RANK(W1540,$W$2:$W$2028,1)+COUNTIF($W$2:W1540,W1540))-1,""))</f>
        <v/>
      </c>
      <c r="Y1540" s="134" t="str">
        <f t="shared" si="505"/>
        <v/>
      </c>
      <c r="Z1540" s="134" t="str">
        <f>IF(Y1540="","",IFERROR((RANK(Y1540,$Y$2:$Y$2028,1)+COUNTIF($Y$2:Y1540,Y1540))-1,""))</f>
        <v/>
      </c>
      <c r="AA1540" s="134" t="str">
        <f t="shared" si="506"/>
        <v/>
      </c>
      <c r="AB1540" s="134" t="str">
        <f>IF(AA1540="","",IFERROR((RANK(AA1540,$AA$2:$AA$2028,1)+COUNTIF($AA$2:AA1540,AA1540))-1,""))</f>
        <v/>
      </c>
      <c r="AC1540" s="134" t="str">
        <f t="shared" si="507"/>
        <v/>
      </c>
      <c r="AD1540" s="134" t="str">
        <f>IF(AC1540="","",IFERROR((RANK(AC1540,$AC$2:$AC$2028,1)+COUNTIF($AC$2:AC1540,AC1540))-1,""))</f>
        <v/>
      </c>
      <c r="AE1540" s="144" t="str">
        <f t="shared" si="499"/>
        <v/>
      </c>
      <c r="AF1540" s="144" t="str">
        <f>IF(AE1540="","",SUM($AE$2:AE1540))</f>
        <v/>
      </c>
    </row>
    <row r="1541" spans="14:32" x14ac:dyDescent="0.35">
      <c r="N1541" s="134" t="str">
        <f t="shared" si="509"/>
        <v/>
      </c>
      <c r="O1541" s="82" t="str">
        <f t="shared" si="500"/>
        <v/>
      </c>
      <c r="P1541" s="81" t="str">
        <f t="shared" si="510"/>
        <v/>
      </c>
      <c r="Q1541" s="81" t="str">
        <f t="shared" si="501"/>
        <v/>
      </c>
      <c r="R1541" s="135" t="str">
        <f t="shared" ca="1" si="502"/>
        <v/>
      </c>
      <c r="S1541" s="134" t="str">
        <f t="shared" ca="1" si="503"/>
        <v/>
      </c>
      <c r="T1541" s="134" t="str">
        <f ca="1">IF(S1541=Dashboard!$D$12,S1541,"")</f>
        <v/>
      </c>
      <c r="U1541" s="134" t="str">
        <f t="shared" ca="1" si="504"/>
        <v/>
      </c>
      <c r="V1541" s="83" t="str">
        <f ca="1">IF(U1541="","",IFERROR((RANK(U1541,$U$2:$U$2028,1)+COUNTIF($U$2:U1541,U1541))-1,""))</f>
        <v/>
      </c>
      <c r="W1541" s="134" t="str">
        <f t="shared" si="508"/>
        <v/>
      </c>
      <c r="X1541" s="134" t="str">
        <f>IF(W1541="","",IFERROR((RANK(W1541,$W$2:$W$2028,1)+COUNTIF($W$2:W1541,W1541))-1,""))</f>
        <v/>
      </c>
      <c r="Y1541" s="134" t="str">
        <f t="shared" si="505"/>
        <v/>
      </c>
      <c r="Z1541" s="134" t="str">
        <f>IF(Y1541="","",IFERROR((RANK(Y1541,$Y$2:$Y$2028,1)+COUNTIF($Y$2:Y1541,Y1541))-1,""))</f>
        <v/>
      </c>
      <c r="AA1541" s="134" t="str">
        <f t="shared" si="506"/>
        <v/>
      </c>
      <c r="AB1541" s="134" t="str">
        <f>IF(AA1541="","",IFERROR((RANK(AA1541,$AA$2:$AA$2028,1)+COUNTIF($AA$2:AA1541,AA1541))-1,""))</f>
        <v/>
      </c>
      <c r="AC1541" s="134" t="str">
        <f t="shared" si="507"/>
        <v/>
      </c>
      <c r="AD1541" s="134" t="str">
        <f>IF(AC1541="","",IFERROR((RANK(AC1541,$AC$2:$AC$2028,1)+COUNTIF($AC$2:AC1541,AC1541))-1,""))</f>
        <v/>
      </c>
      <c r="AE1541" s="144" t="str">
        <f t="shared" si="499"/>
        <v/>
      </c>
      <c r="AF1541" s="144" t="str">
        <f>IF(AE1541="","",SUM($AE$2:AE1541))</f>
        <v/>
      </c>
    </row>
    <row r="1542" spans="14:32" x14ac:dyDescent="0.35">
      <c r="N1542" s="134" t="str">
        <f t="shared" si="509"/>
        <v/>
      </c>
      <c r="O1542" s="82" t="str">
        <f t="shared" si="500"/>
        <v/>
      </c>
      <c r="P1542" s="81" t="str">
        <f t="shared" si="510"/>
        <v/>
      </c>
      <c r="Q1542" s="81" t="str">
        <f t="shared" si="501"/>
        <v/>
      </c>
      <c r="R1542" s="135" t="str">
        <f t="shared" ca="1" si="502"/>
        <v/>
      </c>
      <c r="S1542" s="134" t="str">
        <f t="shared" ca="1" si="503"/>
        <v/>
      </c>
      <c r="T1542" s="134" t="str">
        <f ca="1">IF(S1542=Dashboard!$D$12,S1542,"")</f>
        <v/>
      </c>
      <c r="U1542" s="134" t="str">
        <f t="shared" ca="1" si="504"/>
        <v/>
      </c>
      <c r="V1542" s="83" t="str">
        <f ca="1">IF(U1542="","",IFERROR((RANK(U1542,$U$2:$U$2028,1)+COUNTIF($U$2:U1542,U1542))-1,""))</f>
        <v/>
      </c>
      <c r="W1542" s="134" t="str">
        <f t="shared" si="508"/>
        <v/>
      </c>
      <c r="X1542" s="134" t="str">
        <f>IF(W1542="","",IFERROR((RANK(W1542,$W$2:$W$2028,1)+COUNTIF($W$2:W1542,W1542))-1,""))</f>
        <v/>
      </c>
      <c r="Y1542" s="134" t="str">
        <f t="shared" si="505"/>
        <v/>
      </c>
      <c r="Z1542" s="134" t="str">
        <f>IF(Y1542="","",IFERROR((RANK(Y1542,$Y$2:$Y$2028,1)+COUNTIF($Y$2:Y1542,Y1542))-1,""))</f>
        <v/>
      </c>
      <c r="AA1542" s="134" t="str">
        <f t="shared" si="506"/>
        <v/>
      </c>
      <c r="AB1542" s="134" t="str">
        <f>IF(AA1542="","",IFERROR((RANK(AA1542,$AA$2:$AA$2028,1)+COUNTIF($AA$2:AA1542,AA1542))-1,""))</f>
        <v/>
      </c>
      <c r="AC1542" s="134" t="str">
        <f t="shared" si="507"/>
        <v/>
      </c>
      <c r="AD1542" s="134" t="str">
        <f>IF(AC1542="","",IFERROR((RANK(AC1542,$AC$2:$AC$2028,1)+COUNTIF($AC$2:AC1542,AC1542))-1,""))</f>
        <v/>
      </c>
      <c r="AE1542" s="144" t="str">
        <f t="shared" si="499"/>
        <v/>
      </c>
      <c r="AF1542" s="144" t="str">
        <f>IF(AE1542="","",SUM($AE$2:AE1542))</f>
        <v/>
      </c>
    </row>
    <row r="1543" spans="14:32" x14ac:dyDescent="0.35">
      <c r="N1543" s="134" t="str">
        <f t="shared" si="509"/>
        <v/>
      </c>
      <c r="O1543" s="82" t="str">
        <f t="shared" si="500"/>
        <v/>
      </c>
      <c r="P1543" s="81" t="str">
        <f t="shared" si="510"/>
        <v/>
      </c>
      <c r="Q1543" s="81" t="str">
        <f t="shared" si="501"/>
        <v/>
      </c>
      <c r="R1543" s="135" t="str">
        <f t="shared" ca="1" si="502"/>
        <v/>
      </c>
      <c r="S1543" s="134" t="str">
        <f t="shared" ca="1" si="503"/>
        <v/>
      </c>
      <c r="T1543" s="134" t="str">
        <f ca="1">IF(S1543=Dashboard!$D$12,S1543,"")</f>
        <v/>
      </c>
      <c r="U1543" s="134" t="str">
        <f t="shared" ca="1" si="504"/>
        <v/>
      </c>
      <c r="V1543" s="83" t="str">
        <f ca="1">IF(U1543="","",IFERROR((RANK(U1543,$U$2:$U$2028,1)+COUNTIF($U$2:U1543,U1543))-1,""))</f>
        <v/>
      </c>
      <c r="W1543" s="134" t="str">
        <f t="shared" si="508"/>
        <v/>
      </c>
      <c r="X1543" s="134" t="str">
        <f>IF(W1543="","",IFERROR((RANK(W1543,$W$2:$W$2028,1)+COUNTIF($W$2:W1543,W1543))-1,""))</f>
        <v/>
      </c>
      <c r="Y1543" s="134" t="str">
        <f t="shared" si="505"/>
        <v/>
      </c>
      <c r="Z1543" s="134" t="str">
        <f>IF(Y1543="","",IFERROR((RANK(Y1543,$Y$2:$Y$2028,1)+COUNTIF($Y$2:Y1543,Y1543))-1,""))</f>
        <v/>
      </c>
      <c r="AA1543" s="134" t="str">
        <f t="shared" si="506"/>
        <v/>
      </c>
      <c r="AB1543" s="134" t="str">
        <f>IF(AA1543="","",IFERROR((RANK(AA1543,$AA$2:$AA$2028,1)+COUNTIF($AA$2:AA1543,AA1543))-1,""))</f>
        <v/>
      </c>
      <c r="AC1543" s="134" t="str">
        <f t="shared" si="507"/>
        <v/>
      </c>
      <c r="AD1543" s="134" t="str">
        <f>IF(AC1543="","",IFERROR((RANK(AC1543,$AC$2:$AC$2028,1)+COUNTIF($AC$2:AC1543,AC1543))-1,""))</f>
        <v/>
      </c>
      <c r="AE1543" s="144" t="str">
        <f t="shared" ref="AE1543:AE1606" si="511">IF(P1543=1,P1543,"")</f>
        <v/>
      </c>
      <c r="AF1543" s="144" t="str">
        <f>IF(AE1543="","",SUM($AE$2:AE1543))</f>
        <v/>
      </c>
    </row>
    <row r="1544" spans="14:32" x14ac:dyDescent="0.35">
      <c r="N1544" s="134" t="str">
        <f t="shared" si="509"/>
        <v/>
      </c>
      <c r="O1544" s="82" t="str">
        <f t="shared" si="500"/>
        <v/>
      </c>
      <c r="P1544" s="81" t="str">
        <f t="shared" si="510"/>
        <v/>
      </c>
      <c r="Q1544" s="81" t="str">
        <f t="shared" si="501"/>
        <v/>
      </c>
      <c r="R1544" s="135" t="str">
        <f t="shared" ca="1" si="502"/>
        <v/>
      </c>
      <c r="S1544" s="134" t="str">
        <f t="shared" ca="1" si="503"/>
        <v/>
      </c>
      <c r="T1544" s="134" t="str">
        <f ca="1">IF(S1544=Dashboard!$D$12,S1544,"")</f>
        <v/>
      </c>
      <c r="U1544" s="134" t="str">
        <f t="shared" ca="1" si="504"/>
        <v/>
      </c>
      <c r="V1544" s="83" t="str">
        <f ca="1">IF(U1544="","",IFERROR((RANK(U1544,$U$2:$U$2028,1)+COUNTIF($U$2:U1544,U1544))-1,""))</f>
        <v/>
      </c>
      <c r="W1544" s="134" t="str">
        <f t="shared" si="508"/>
        <v/>
      </c>
      <c r="X1544" s="134" t="str">
        <f>IF(W1544="","",IFERROR((RANK(W1544,$W$2:$W$2028,1)+COUNTIF($W$2:W1544,W1544))-1,""))</f>
        <v/>
      </c>
      <c r="Y1544" s="134" t="str">
        <f t="shared" si="505"/>
        <v/>
      </c>
      <c r="Z1544" s="134" t="str">
        <f>IF(Y1544="","",IFERROR((RANK(Y1544,$Y$2:$Y$2028,1)+COUNTIF($Y$2:Y1544,Y1544))-1,""))</f>
        <v/>
      </c>
      <c r="AA1544" s="134" t="str">
        <f t="shared" si="506"/>
        <v/>
      </c>
      <c r="AB1544" s="134" t="str">
        <f>IF(AA1544="","",IFERROR((RANK(AA1544,$AA$2:$AA$2028,1)+COUNTIF($AA$2:AA1544,AA1544))-1,""))</f>
        <v/>
      </c>
      <c r="AC1544" s="134" t="str">
        <f t="shared" si="507"/>
        <v/>
      </c>
      <c r="AD1544" s="134" t="str">
        <f>IF(AC1544="","",IFERROR((RANK(AC1544,$AC$2:$AC$2028,1)+COUNTIF($AC$2:AC1544,AC1544))-1,""))</f>
        <v/>
      </c>
      <c r="AE1544" s="144" t="str">
        <f t="shared" si="511"/>
        <v/>
      </c>
      <c r="AF1544" s="144" t="str">
        <f>IF(AE1544="","",SUM($AE$2:AE1544))</f>
        <v/>
      </c>
    </row>
    <row r="1545" spans="14:32" x14ac:dyDescent="0.35">
      <c r="N1545" s="134" t="str">
        <f t="shared" si="509"/>
        <v/>
      </c>
      <c r="O1545" s="82" t="str">
        <f t="shared" si="500"/>
        <v/>
      </c>
      <c r="P1545" s="81" t="str">
        <f t="shared" si="510"/>
        <v/>
      </c>
      <c r="Q1545" s="81" t="str">
        <f t="shared" si="501"/>
        <v/>
      </c>
      <c r="R1545" s="135" t="str">
        <f t="shared" ca="1" si="502"/>
        <v/>
      </c>
      <c r="S1545" s="134" t="str">
        <f t="shared" ca="1" si="503"/>
        <v/>
      </c>
      <c r="T1545" s="134" t="str">
        <f ca="1">IF(S1545=Dashboard!$D$12,S1545,"")</f>
        <v/>
      </c>
      <c r="U1545" s="134" t="str">
        <f t="shared" ca="1" si="504"/>
        <v/>
      </c>
      <c r="V1545" s="83" t="str">
        <f ca="1">IF(U1545="","",IFERROR((RANK(U1545,$U$2:$U$2028,1)+COUNTIF($U$2:U1545,U1545))-1,""))</f>
        <v/>
      </c>
      <c r="W1545" s="134" t="str">
        <f t="shared" si="508"/>
        <v/>
      </c>
      <c r="X1545" s="134" t="str">
        <f>IF(W1545="","",IFERROR((RANK(W1545,$W$2:$W$2028,1)+COUNTIF($W$2:W1545,W1545))-1,""))</f>
        <v/>
      </c>
      <c r="Y1545" s="134" t="str">
        <f t="shared" si="505"/>
        <v/>
      </c>
      <c r="Z1545" s="134" t="str">
        <f>IF(Y1545="","",IFERROR((RANK(Y1545,$Y$2:$Y$2028,1)+COUNTIF($Y$2:Y1545,Y1545))-1,""))</f>
        <v/>
      </c>
      <c r="AA1545" s="134" t="str">
        <f t="shared" si="506"/>
        <v/>
      </c>
      <c r="AB1545" s="134" t="str">
        <f>IF(AA1545="","",IFERROR((RANK(AA1545,$AA$2:$AA$2028,1)+COUNTIF($AA$2:AA1545,AA1545))-1,""))</f>
        <v/>
      </c>
      <c r="AC1545" s="134" t="str">
        <f t="shared" si="507"/>
        <v/>
      </c>
      <c r="AD1545" s="134" t="str">
        <f>IF(AC1545="","",IFERROR((RANK(AC1545,$AC$2:$AC$2028,1)+COUNTIF($AC$2:AC1545,AC1545))-1,""))</f>
        <v/>
      </c>
      <c r="AE1545" s="144" t="str">
        <f t="shared" si="511"/>
        <v/>
      </c>
      <c r="AF1545" s="144" t="str">
        <f>IF(AE1545="","",SUM($AE$2:AE1545))</f>
        <v/>
      </c>
    </row>
    <row r="1546" spans="14:32" x14ac:dyDescent="0.35">
      <c r="N1546" s="134" t="str">
        <f t="shared" si="509"/>
        <v/>
      </c>
      <c r="O1546" s="82" t="str">
        <f t="shared" si="500"/>
        <v/>
      </c>
      <c r="P1546" s="81" t="str">
        <f t="shared" si="510"/>
        <v/>
      </c>
      <c r="Q1546" s="81" t="str">
        <f t="shared" si="501"/>
        <v/>
      </c>
      <c r="R1546" s="135" t="str">
        <f t="shared" ca="1" si="502"/>
        <v/>
      </c>
      <c r="S1546" s="134" t="str">
        <f t="shared" ca="1" si="503"/>
        <v/>
      </c>
      <c r="T1546" s="134" t="str">
        <f ca="1">IF(S1546=Dashboard!$D$12,S1546,"")</f>
        <v/>
      </c>
      <c r="U1546" s="134" t="str">
        <f t="shared" ca="1" si="504"/>
        <v/>
      </c>
      <c r="V1546" s="83" t="str">
        <f ca="1">IF(U1546="","",IFERROR((RANK(U1546,$U$2:$U$2028,1)+COUNTIF($U$2:U1546,U1546))-1,""))</f>
        <v/>
      </c>
      <c r="W1546" s="134" t="str">
        <f t="shared" si="508"/>
        <v/>
      </c>
      <c r="X1546" s="134" t="str">
        <f>IF(W1546="","",IFERROR((RANK(W1546,$W$2:$W$2028,1)+COUNTIF($W$2:W1546,W1546))-1,""))</f>
        <v/>
      </c>
      <c r="Y1546" s="134" t="str">
        <f t="shared" si="505"/>
        <v/>
      </c>
      <c r="Z1546" s="134" t="str">
        <f>IF(Y1546="","",IFERROR((RANK(Y1546,$Y$2:$Y$2028,1)+COUNTIF($Y$2:Y1546,Y1546))-1,""))</f>
        <v/>
      </c>
      <c r="AA1546" s="134" t="str">
        <f t="shared" si="506"/>
        <v/>
      </c>
      <c r="AB1546" s="134" t="str">
        <f>IF(AA1546="","",IFERROR((RANK(AA1546,$AA$2:$AA$2028,1)+COUNTIF($AA$2:AA1546,AA1546))-1,""))</f>
        <v/>
      </c>
      <c r="AC1546" s="134" t="str">
        <f t="shared" si="507"/>
        <v/>
      </c>
      <c r="AD1546" s="134" t="str">
        <f>IF(AC1546="","",IFERROR((RANK(AC1546,$AC$2:$AC$2028,1)+COUNTIF($AC$2:AC1546,AC1546))-1,""))</f>
        <v/>
      </c>
      <c r="AE1546" s="144" t="str">
        <f t="shared" si="511"/>
        <v/>
      </c>
      <c r="AF1546" s="144" t="str">
        <f>IF(AE1546="","",SUM($AE$2:AE1546))</f>
        <v/>
      </c>
    </row>
    <row r="1547" spans="14:32" x14ac:dyDescent="0.35">
      <c r="N1547" s="134" t="str">
        <f t="shared" si="509"/>
        <v/>
      </c>
      <c r="O1547" s="82" t="str">
        <f t="shared" si="500"/>
        <v/>
      </c>
      <c r="P1547" s="81" t="str">
        <f t="shared" si="510"/>
        <v/>
      </c>
      <c r="Q1547" s="81" t="str">
        <f t="shared" si="501"/>
        <v/>
      </c>
      <c r="R1547" s="135" t="str">
        <f t="shared" ca="1" si="502"/>
        <v/>
      </c>
      <c r="S1547" s="134" t="str">
        <f t="shared" ca="1" si="503"/>
        <v/>
      </c>
      <c r="T1547" s="134" t="str">
        <f ca="1">IF(S1547=Dashboard!$D$12,S1547,"")</f>
        <v/>
      </c>
      <c r="U1547" s="134" t="str">
        <f t="shared" ca="1" si="504"/>
        <v/>
      </c>
      <c r="V1547" s="83" t="str">
        <f ca="1">IF(U1547="","",IFERROR((RANK(U1547,$U$2:$U$2028,1)+COUNTIF($U$2:U1547,U1547))-1,""))</f>
        <v/>
      </c>
      <c r="W1547" s="134" t="str">
        <f t="shared" si="508"/>
        <v/>
      </c>
      <c r="X1547" s="134" t="str">
        <f>IF(W1547="","",IFERROR((RANK(W1547,$W$2:$W$2028,1)+COUNTIF($W$2:W1547,W1547))-1,""))</f>
        <v/>
      </c>
      <c r="Y1547" s="134" t="str">
        <f t="shared" si="505"/>
        <v/>
      </c>
      <c r="Z1547" s="134" t="str">
        <f>IF(Y1547="","",IFERROR((RANK(Y1547,$Y$2:$Y$2028,1)+COUNTIF($Y$2:Y1547,Y1547))-1,""))</f>
        <v/>
      </c>
      <c r="AA1547" s="134" t="str">
        <f t="shared" si="506"/>
        <v/>
      </c>
      <c r="AB1547" s="134" t="str">
        <f>IF(AA1547="","",IFERROR((RANK(AA1547,$AA$2:$AA$2028,1)+COUNTIF($AA$2:AA1547,AA1547))-1,""))</f>
        <v/>
      </c>
      <c r="AC1547" s="134" t="str">
        <f t="shared" si="507"/>
        <v/>
      </c>
      <c r="AD1547" s="134" t="str">
        <f>IF(AC1547="","",IFERROR((RANK(AC1547,$AC$2:$AC$2028,1)+COUNTIF($AC$2:AC1547,AC1547))-1,""))</f>
        <v/>
      </c>
      <c r="AE1547" s="144" t="str">
        <f t="shared" si="511"/>
        <v/>
      </c>
      <c r="AF1547" s="144" t="str">
        <f>IF(AE1547="","",SUM($AE$2:AE1547))</f>
        <v/>
      </c>
    </row>
    <row r="1548" spans="14:32" x14ac:dyDescent="0.35">
      <c r="N1548" s="134" t="str">
        <f t="shared" si="509"/>
        <v/>
      </c>
      <c r="O1548" s="82" t="str">
        <f t="shared" si="500"/>
        <v/>
      </c>
      <c r="P1548" s="81" t="str">
        <f t="shared" si="510"/>
        <v/>
      </c>
      <c r="Q1548" s="81" t="str">
        <f t="shared" si="501"/>
        <v/>
      </c>
      <c r="R1548" s="135" t="str">
        <f t="shared" ca="1" si="502"/>
        <v/>
      </c>
      <c r="S1548" s="134" t="str">
        <f t="shared" ca="1" si="503"/>
        <v/>
      </c>
      <c r="T1548" s="134" t="str">
        <f ca="1">IF(S1548=Dashboard!$D$12,S1548,"")</f>
        <v/>
      </c>
      <c r="U1548" s="134" t="str">
        <f t="shared" ca="1" si="504"/>
        <v/>
      </c>
      <c r="V1548" s="83" t="str">
        <f ca="1">IF(U1548="","",IFERROR((RANK(U1548,$U$2:$U$2028,1)+COUNTIF($U$2:U1548,U1548))-1,""))</f>
        <v/>
      </c>
      <c r="W1548" s="134" t="str">
        <f t="shared" si="508"/>
        <v/>
      </c>
      <c r="X1548" s="134" t="str">
        <f>IF(W1548="","",IFERROR((RANK(W1548,$W$2:$W$2028,1)+COUNTIF($W$2:W1548,W1548))-1,""))</f>
        <v/>
      </c>
      <c r="Y1548" s="134" t="str">
        <f t="shared" si="505"/>
        <v/>
      </c>
      <c r="Z1548" s="134" t="str">
        <f>IF(Y1548="","",IFERROR((RANK(Y1548,$Y$2:$Y$2028,1)+COUNTIF($Y$2:Y1548,Y1548))-1,""))</f>
        <v/>
      </c>
      <c r="AA1548" s="134" t="str">
        <f t="shared" si="506"/>
        <v/>
      </c>
      <c r="AB1548" s="134" t="str">
        <f>IF(AA1548="","",IFERROR((RANK(AA1548,$AA$2:$AA$2028,1)+COUNTIF($AA$2:AA1548,AA1548))-1,""))</f>
        <v/>
      </c>
      <c r="AC1548" s="134" t="str">
        <f t="shared" si="507"/>
        <v/>
      </c>
      <c r="AD1548" s="134" t="str">
        <f>IF(AC1548="","",IFERROR((RANK(AC1548,$AC$2:$AC$2028,1)+COUNTIF($AC$2:AC1548,AC1548))-1,""))</f>
        <v/>
      </c>
      <c r="AE1548" s="144" t="str">
        <f t="shared" si="511"/>
        <v/>
      </c>
      <c r="AF1548" s="144" t="str">
        <f>IF(AE1548="","",SUM($AE$2:AE1548))</f>
        <v/>
      </c>
    </row>
    <row r="1549" spans="14:32" x14ac:dyDescent="0.35">
      <c r="N1549" s="134" t="str">
        <f t="shared" si="509"/>
        <v/>
      </c>
      <c r="O1549" s="82" t="str">
        <f t="shared" si="500"/>
        <v/>
      </c>
      <c r="P1549" s="81" t="str">
        <f t="shared" si="510"/>
        <v/>
      </c>
      <c r="Q1549" s="81" t="str">
        <f t="shared" si="501"/>
        <v/>
      </c>
      <c r="R1549" s="135" t="str">
        <f t="shared" ca="1" si="502"/>
        <v/>
      </c>
      <c r="S1549" s="134" t="str">
        <f t="shared" ca="1" si="503"/>
        <v/>
      </c>
      <c r="T1549" s="134" t="str">
        <f ca="1">IF(S1549=Dashboard!$D$12,S1549,"")</f>
        <v/>
      </c>
      <c r="U1549" s="134" t="str">
        <f t="shared" ca="1" si="504"/>
        <v/>
      </c>
      <c r="V1549" s="83" t="str">
        <f ca="1">IF(U1549="","",IFERROR((RANK(U1549,$U$2:$U$2028,1)+COUNTIF($U$2:U1549,U1549))-1,""))</f>
        <v/>
      </c>
      <c r="W1549" s="134" t="str">
        <f t="shared" si="508"/>
        <v/>
      </c>
      <c r="X1549" s="134" t="str">
        <f>IF(W1549="","",IFERROR((RANK(W1549,$W$2:$W$2028,1)+COUNTIF($W$2:W1549,W1549))-1,""))</f>
        <v/>
      </c>
      <c r="Y1549" s="134" t="str">
        <f t="shared" si="505"/>
        <v/>
      </c>
      <c r="Z1549" s="134" t="str">
        <f>IF(Y1549="","",IFERROR((RANK(Y1549,$Y$2:$Y$2028,1)+COUNTIF($Y$2:Y1549,Y1549))-1,""))</f>
        <v/>
      </c>
      <c r="AA1549" s="134" t="str">
        <f t="shared" si="506"/>
        <v/>
      </c>
      <c r="AB1549" s="134" t="str">
        <f>IF(AA1549="","",IFERROR((RANK(AA1549,$AA$2:$AA$2028,1)+COUNTIF($AA$2:AA1549,AA1549))-1,""))</f>
        <v/>
      </c>
      <c r="AC1549" s="134" t="str">
        <f t="shared" si="507"/>
        <v/>
      </c>
      <c r="AD1549" s="134" t="str">
        <f>IF(AC1549="","",IFERROR((RANK(AC1549,$AC$2:$AC$2028,1)+COUNTIF($AC$2:AC1549,AC1549))-1,""))</f>
        <v/>
      </c>
      <c r="AE1549" s="144" t="str">
        <f t="shared" si="511"/>
        <v/>
      </c>
      <c r="AF1549" s="144" t="str">
        <f>IF(AE1549="","",SUM($AE$2:AE1549))</f>
        <v/>
      </c>
    </row>
    <row r="1550" spans="14:32" x14ac:dyDescent="0.35">
      <c r="N1550" s="134" t="str">
        <f t="shared" si="509"/>
        <v/>
      </c>
      <c r="O1550" s="82" t="str">
        <f t="shared" si="500"/>
        <v/>
      </c>
      <c r="P1550" s="81" t="str">
        <f t="shared" si="510"/>
        <v/>
      </c>
      <c r="Q1550" s="81" t="str">
        <f t="shared" si="501"/>
        <v/>
      </c>
      <c r="R1550" s="135" t="str">
        <f t="shared" ca="1" si="502"/>
        <v/>
      </c>
      <c r="S1550" s="134" t="str">
        <f t="shared" ca="1" si="503"/>
        <v/>
      </c>
      <c r="T1550" s="134" t="str">
        <f ca="1">IF(S1550=Dashboard!$D$12,S1550,"")</f>
        <v/>
      </c>
      <c r="U1550" s="134" t="str">
        <f t="shared" ca="1" si="504"/>
        <v/>
      </c>
      <c r="V1550" s="83" t="str">
        <f ca="1">IF(U1550="","",IFERROR((RANK(U1550,$U$2:$U$2028,1)+COUNTIF($U$2:U1550,U1550))-1,""))</f>
        <v/>
      </c>
      <c r="W1550" s="134" t="str">
        <f t="shared" si="508"/>
        <v/>
      </c>
      <c r="X1550" s="134" t="str">
        <f>IF(W1550="","",IFERROR((RANK(W1550,$W$2:$W$2028,1)+COUNTIF($W$2:W1550,W1550))-1,""))</f>
        <v/>
      </c>
      <c r="Y1550" s="134" t="str">
        <f t="shared" si="505"/>
        <v/>
      </c>
      <c r="Z1550" s="134" t="str">
        <f>IF(Y1550="","",IFERROR((RANK(Y1550,$Y$2:$Y$2028,1)+COUNTIF($Y$2:Y1550,Y1550))-1,""))</f>
        <v/>
      </c>
      <c r="AA1550" s="134" t="str">
        <f t="shared" si="506"/>
        <v/>
      </c>
      <c r="AB1550" s="134" t="str">
        <f>IF(AA1550="","",IFERROR((RANK(AA1550,$AA$2:$AA$2028,1)+COUNTIF($AA$2:AA1550,AA1550))-1,""))</f>
        <v/>
      </c>
      <c r="AC1550" s="134" t="str">
        <f t="shared" si="507"/>
        <v/>
      </c>
      <c r="AD1550" s="134" t="str">
        <f>IF(AC1550="","",IFERROR((RANK(AC1550,$AC$2:$AC$2028,1)+COUNTIF($AC$2:AC1550,AC1550))-1,""))</f>
        <v/>
      </c>
      <c r="AE1550" s="144" t="str">
        <f t="shared" si="511"/>
        <v/>
      </c>
      <c r="AF1550" s="144" t="str">
        <f>IF(AE1550="","",SUM($AE$2:AE1550))</f>
        <v/>
      </c>
    </row>
    <row r="1551" spans="14:32" x14ac:dyDescent="0.35">
      <c r="N1551" s="134" t="str">
        <f t="shared" si="509"/>
        <v/>
      </c>
      <c r="O1551" s="82" t="str">
        <f t="shared" si="500"/>
        <v/>
      </c>
      <c r="P1551" s="81" t="str">
        <f t="shared" si="510"/>
        <v/>
      </c>
      <c r="Q1551" s="81" t="str">
        <f t="shared" si="501"/>
        <v/>
      </c>
      <c r="R1551" s="135" t="str">
        <f t="shared" ca="1" si="502"/>
        <v/>
      </c>
      <c r="S1551" s="134" t="str">
        <f t="shared" ca="1" si="503"/>
        <v/>
      </c>
      <c r="T1551" s="134" t="str">
        <f ca="1">IF(S1551=Dashboard!$D$12,S1551,"")</f>
        <v/>
      </c>
      <c r="U1551" s="134" t="str">
        <f t="shared" ca="1" si="504"/>
        <v/>
      </c>
      <c r="V1551" s="83" t="str">
        <f ca="1">IF(U1551="","",IFERROR((RANK(U1551,$U$2:$U$2028,1)+COUNTIF($U$2:U1551,U1551))-1,""))</f>
        <v/>
      </c>
      <c r="W1551" s="134" t="str">
        <f t="shared" si="508"/>
        <v/>
      </c>
      <c r="X1551" s="134" t="str">
        <f>IF(W1551="","",IFERROR((RANK(W1551,$W$2:$W$2028,1)+COUNTIF($W$2:W1551,W1551))-1,""))</f>
        <v/>
      </c>
      <c r="Y1551" s="134" t="str">
        <f t="shared" si="505"/>
        <v/>
      </c>
      <c r="Z1551" s="134" t="str">
        <f>IF(Y1551="","",IFERROR((RANK(Y1551,$Y$2:$Y$2028,1)+COUNTIF($Y$2:Y1551,Y1551))-1,""))</f>
        <v/>
      </c>
      <c r="AA1551" s="134" t="str">
        <f t="shared" si="506"/>
        <v/>
      </c>
      <c r="AB1551" s="134" t="str">
        <f>IF(AA1551="","",IFERROR((RANK(AA1551,$AA$2:$AA$2028,1)+COUNTIF($AA$2:AA1551,AA1551))-1,""))</f>
        <v/>
      </c>
      <c r="AC1551" s="134" t="str">
        <f t="shared" si="507"/>
        <v/>
      </c>
      <c r="AD1551" s="134" t="str">
        <f>IF(AC1551="","",IFERROR((RANK(AC1551,$AC$2:$AC$2028,1)+COUNTIF($AC$2:AC1551,AC1551))-1,""))</f>
        <v/>
      </c>
      <c r="AE1551" s="144" t="str">
        <f t="shared" si="511"/>
        <v/>
      </c>
      <c r="AF1551" s="144" t="str">
        <f>IF(AE1551="","",SUM($AE$2:AE1551))</f>
        <v/>
      </c>
    </row>
    <row r="1552" spans="14:32" x14ac:dyDescent="0.35">
      <c r="N1552" s="134" t="str">
        <f t="shared" si="509"/>
        <v/>
      </c>
      <c r="O1552" s="82" t="str">
        <f t="shared" si="500"/>
        <v/>
      </c>
      <c r="P1552" s="81" t="str">
        <f t="shared" si="510"/>
        <v/>
      </c>
      <c r="Q1552" s="81" t="str">
        <f t="shared" si="501"/>
        <v/>
      </c>
      <c r="R1552" s="135" t="str">
        <f t="shared" ca="1" si="502"/>
        <v/>
      </c>
      <c r="S1552" s="134" t="str">
        <f t="shared" ca="1" si="503"/>
        <v/>
      </c>
      <c r="T1552" s="134" t="str">
        <f ca="1">IF(S1552=Dashboard!$D$12,S1552,"")</f>
        <v/>
      </c>
      <c r="U1552" s="134" t="str">
        <f t="shared" ca="1" si="504"/>
        <v/>
      </c>
      <c r="V1552" s="83" t="str">
        <f ca="1">IF(U1552="","",IFERROR((RANK(U1552,$U$2:$U$2028,1)+COUNTIF($U$2:U1552,U1552))-1,""))</f>
        <v/>
      </c>
      <c r="W1552" s="134" t="str">
        <f t="shared" si="508"/>
        <v/>
      </c>
      <c r="X1552" s="134" t="str">
        <f>IF(W1552="","",IFERROR((RANK(W1552,$W$2:$W$2028,1)+COUNTIF($W$2:W1552,W1552))-1,""))</f>
        <v/>
      </c>
      <c r="Y1552" s="134" t="str">
        <f t="shared" si="505"/>
        <v/>
      </c>
      <c r="Z1552" s="134" t="str">
        <f>IF(Y1552="","",IFERROR((RANK(Y1552,$Y$2:$Y$2028,1)+COUNTIF($Y$2:Y1552,Y1552))-1,""))</f>
        <v/>
      </c>
      <c r="AA1552" s="134" t="str">
        <f t="shared" si="506"/>
        <v/>
      </c>
      <c r="AB1552" s="134" t="str">
        <f>IF(AA1552="","",IFERROR((RANK(AA1552,$AA$2:$AA$2028,1)+COUNTIF($AA$2:AA1552,AA1552))-1,""))</f>
        <v/>
      </c>
      <c r="AC1552" s="134" t="str">
        <f t="shared" si="507"/>
        <v/>
      </c>
      <c r="AD1552" s="134" t="str">
        <f>IF(AC1552="","",IFERROR((RANK(AC1552,$AC$2:$AC$2028,1)+COUNTIF($AC$2:AC1552,AC1552))-1,""))</f>
        <v/>
      </c>
      <c r="AE1552" s="144" t="str">
        <f t="shared" si="511"/>
        <v/>
      </c>
      <c r="AF1552" s="144" t="str">
        <f>IF(AE1552="","",SUM($AE$2:AE1552))</f>
        <v/>
      </c>
    </row>
    <row r="1553" spans="14:32" x14ac:dyDescent="0.35">
      <c r="N1553" s="134" t="str">
        <f t="shared" si="509"/>
        <v/>
      </c>
      <c r="O1553" s="82" t="str">
        <f t="shared" si="500"/>
        <v/>
      </c>
      <c r="P1553" s="81" t="str">
        <f t="shared" si="510"/>
        <v/>
      </c>
      <c r="Q1553" s="81" t="str">
        <f t="shared" si="501"/>
        <v/>
      </c>
      <c r="R1553" s="135" t="str">
        <f t="shared" ca="1" si="502"/>
        <v/>
      </c>
      <c r="S1553" s="134" t="str">
        <f t="shared" ca="1" si="503"/>
        <v/>
      </c>
      <c r="T1553" s="134" t="str">
        <f ca="1">IF(S1553=Dashboard!$D$12,S1553,"")</f>
        <v/>
      </c>
      <c r="U1553" s="134" t="str">
        <f t="shared" ca="1" si="504"/>
        <v/>
      </c>
      <c r="V1553" s="83" t="str">
        <f ca="1">IF(U1553="","",IFERROR((RANK(U1553,$U$2:$U$2028,1)+COUNTIF($U$2:U1553,U1553))-1,""))</f>
        <v/>
      </c>
      <c r="W1553" s="134" t="str">
        <f t="shared" si="508"/>
        <v/>
      </c>
      <c r="X1553" s="134" t="str">
        <f>IF(W1553="","",IFERROR((RANK(W1553,$W$2:$W$2028,1)+COUNTIF($W$2:W1553,W1553))-1,""))</f>
        <v/>
      </c>
      <c r="Y1553" s="134" t="str">
        <f t="shared" si="505"/>
        <v/>
      </c>
      <c r="Z1553" s="134" t="str">
        <f>IF(Y1553="","",IFERROR((RANK(Y1553,$Y$2:$Y$2028,1)+COUNTIF($Y$2:Y1553,Y1553))-1,""))</f>
        <v/>
      </c>
      <c r="AA1553" s="134" t="str">
        <f t="shared" si="506"/>
        <v/>
      </c>
      <c r="AB1553" s="134" t="str">
        <f>IF(AA1553="","",IFERROR((RANK(AA1553,$AA$2:$AA$2028,1)+COUNTIF($AA$2:AA1553,AA1553))-1,""))</f>
        <v/>
      </c>
      <c r="AC1553" s="134" t="str">
        <f t="shared" si="507"/>
        <v/>
      </c>
      <c r="AD1553" s="134" t="str">
        <f>IF(AC1553="","",IFERROR((RANK(AC1553,$AC$2:$AC$2028,1)+COUNTIF($AC$2:AC1553,AC1553))-1,""))</f>
        <v/>
      </c>
      <c r="AE1553" s="144" t="str">
        <f t="shared" si="511"/>
        <v/>
      </c>
      <c r="AF1553" s="144" t="str">
        <f>IF(AE1553="","",SUM($AE$2:AE1553))</f>
        <v/>
      </c>
    </row>
    <row r="1554" spans="14:32" x14ac:dyDescent="0.35">
      <c r="N1554" s="134" t="str">
        <f t="shared" si="509"/>
        <v/>
      </c>
      <c r="O1554" s="82" t="str">
        <f t="shared" si="500"/>
        <v/>
      </c>
      <c r="P1554" s="81" t="str">
        <f t="shared" si="510"/>
        <v/>
      </c>
      <c r="Q1554" s="81" t="str">
        <f t="shared" si="501"/>
        <v/>
      </c>
      <c r="R1554" s="135" t="str">
        <f t="shared" ca="1" si="502"/>
        <v/>
      </c>
      <c r="S1554" s="134" t="str">
        <f t="shared" ca="1" si="503"/>
        <v/>
      </c>
      <c r="T1554" s="134" t="str">
        <f ca="1">IF(S1554=Dashboard!$D$12,S1554,"")</f>
        <v/>
      </c>
      <c r="U1554" s="134" t="str">
        <f t="shared" ca="1" si="504"/>
        <v/>
      </c>
      <c r="V1554" s="83" t="str">
        <f ca="1">IF(U1554="","",IFERROR((RANK(U1554,$U$2:$U$2028,1)+COUNTIF($U$2:U1554,U1554))-1,""))</f>
        <v/>
      </c>
      <c r="W1554" s="134" t="str">
        <f t="shared" si="508"/>
        <v/>
      </c>
      <c r="X1554" s="134" t="str">
        <f>IF(W1554="","",IFERROR((RANK(W1554,$W$2:$W$2028,1)+COUNTIF($W$2:W1554,W1554))-1,""))</f>
        <v/>
      </c>
      <c r="Y1554" s="134" t="str">
        <f t="shared" si="505"/>
        <v/>
      </c>
      <c r="Z1554" s="134" t="str">
        <f>IF(Y1554="","",IFERROR((RANK(Y1554,$Y$2:$Y$2028,1)+COUNTIF($Y$2:Y1554,Y1554))-1,""))</f>
        <v/>
      </c>
      <c r="AA1554" s="134" t="str">
        <f t="shared" si="506"/>
        <v/>
      </c>
      <c r="AB1554" s="134" t="str">
        <f>IF(AA1554="","",IFERROR((RANK(AA1554,$AA$2:$AA$2028,1)+COUNTIF($AA$2:AA1554,AA1554))-1,""))</f>
        <v/>
      </c>
      <c r="AC1554" s="134" t="str">
        <f t="shared" si="507"/>
        <v/>
      </c>
      <c r="AD1554" s="134" t="str">
        <f>IF(AC1554="","",IFERROR((RANK(AC1554,$AC$2:$AC$2028,1)+COUNTIF($AC$2:AC1554,AC1554))-1,""))</f>
        <v/>
      </c>
      <c r="AE1554" s="144" t="str">
        <f t="shared" si="511"/>
        <v/>
      </c>
      <c r="AF1554" s="144" t="str">
        <f>IF(AE1554="","",SUM($AE$2:AE1554))</f>
        <v/>
      </c>
    </row>
    <row r="1555" spans="14:32" x14ac:dyDescent="0.35">
      <c r="N1555" s="134" t="str">
        <f t="shared" si="509"/>
        <v/>
      </c>
      <c r="O1555" s="82" t="str">
        <f t="shared" si="500"/>
        <v/>
      </c>
      <c r="P1555" s="81" t="str">
        <f t="shared" si="510"/>
        <v/>
      </c>
      <c r="Q1555" s="81" t="str">
        <f t="shared" si="501"/>
        <v/>
      </c>
      <c r="R1555" s="135" t="str">
        <f t="shared" ca="1" si="502"/>
        <v/>
      </c>
      <c r="S1555" s="134" t="str">
        <f t="shared" ca="1" si="503"/>
        <v/>
      </c>
      <c r="T1555" s="134" t="str">
        <f ca="1">IF(S1555=Dashboard!$D$12,S1555,"")</f>
        <v/>
      </c>
      <c r="U1555" s="134" t="str">
        <f t="shared" ca="1" si="504"/>
        <v/>
      </c>
      <c r="V1555" s="83" t="str">
        <f ca="1">IF(U1555="","",IFERROR((RANK(U1555,$U$2:$U$2028,1)+COUNTIF($U$2:U1555,U1555))-1,""))</f>
        <v/>
      </c>
      <c r="W1555" s="134" t="str">
        <f t="shared" si="508"/>
        <v/>
      </c>
      <c r="X1555" s="134" t="str">
        <f>IF(W1555="","",IFERROR((RANK(W1555,$W$2:$W$2028,1)+COUNTIF($W$2:W1555,W1555))-1,""))</f>
        <v/>
      </c>
      <c r="Y1555" s="134" t="str">
        <f t="shared" si="505"/>
        <v/>
      </c>
      <c r="Z1555" s="134" t="str">
        <f>IF(Y1555="","",IFERROR((RANK(Y1555,$Y$2:$Y$2028,1)+COUNTIF($Y$2:Y1555,Y1555))-1,""))</f>
        <v/>
      </c>
      <c r="AA1555" s="134" t="str">
        <f t="shared" si="506"/>
        <v/>
      </c>
      <c r="AB1555" s="134" t="str">
        <f>IF(AA1555="","",IFERROR((RANK(AA1555,$AA$2:$AA$2028,1)+COUNTIF($AA$2:AA1555,AA1555))-1,""))</f>
        <v/>
      </c>
      <c r="AC1555" s="134" t="str">
        <f t="shared" si="507"/>
        <v/>
      </c>
      <c r="AD1555" s="134" t="str">
        <f>IF(AC1555="","",IFERROR((RANK(AC1555,$AC$2:$AC$2028,1)+COUNTIF($AC$2:AC1555,AC1555))-1,""))</f>
        <v/>
      </c>
      <c r="AE1555" s="144" t="str">
        <f t="shared" si="511"/>
        <v/>
      </c>
      <c r="AF1555" s="144" t="str">
        <f>IF(AE1555="","",SUM($AE$2:AE1555))</f>
        <v/>
      </c>
    </row>
    <row r="1556" spans="14:32" x14ac:dyDescent="0.35">
      <c r="N1556" s="134" t="str">
        <f t="shared" si="509"/>
        <v/>
      </c>
      <c r="O1556" s="82" t="str">
        <f t="shared" si="500"/>
        <v/>
      </c>
      <c r="P1556" s="81" t="str">
        <f t="shared" si="510"/>
        <v/>
      </c>
      <c r="Q1556" s="81" t="str">
        <f t="shared" si="501"/>
        <v/>
      </c>
      <c r="R1556" s="135" t="str">
        <f t="shared" ca="1" si="502"/>
        <v/>
      </c>
      <c r="S1556" s="134" t="str">
        <f t="shared" ca="1" si="503"/>
        <v/>
      </c>
      <c r="T1556" s="134" t="str">
        <f ca="1">IF(S1556=Dashboard!$D$12,S1556,"")</f>
        <v/>
      </c>
      <c r="U1556" s="134" t="str">
        <f t="shared" ca="1" si="504"/>
        <v/>
      </c>
      <c r="V1556" s="83" t="str">
        <f ca="1">IF(U1556="","",IFERROR((RANK(U1556,$U$2:$U$2028,1)+COUNTIF($U$2:U1556,U1556))-1,""))</f>
        <v/>
      </c>
      <c r="W1556" s="134" t="str">
        <f t="shared" si="508"/>
        <v/>
      </c>
      <c r="X1556" s="134" t="str">
        <f>IF(W1556="","",IFERROR((RANK(W1556,$W$2:$W$2028,1)+COUNTIF($W$2:W1556,W1556))-1,""))</f>
        <v/>
      </c>
      <c r="Y1556" s="134" t="str">
        <f t="shared" si="505"/>
        <v/>
      </c>
      <c r="Z1556" s="134" t="str">
        <f>IF(Y1556="","",IFERROR((RANK(Y1556,$Y$2:$Y$2028,1)+COUNTIF($Y$2:Y1556,Y1556))-1,""))</f>
        <v/>
      </c>
      <c r="AA1556" s="134" t="str">
        <f t="shared" si="506"/>
        <v/>
      </c>
      <c r="AB1556" s="134" t="str">
        <f>IF(AA1556="","",IFERROR((RANK(AA1556,$AA$2:$AA$2028,1)+COUNTIF($AA$2:AA1556,AA1556))-1,""))</f>
        <v/>
      </c>
      <c r="AC1556" s="134" t="str">
        <f t="shared" si="507"/>
        <v/>
      </c>
      <c r="AD1556" s="134" t="str">
        <f>IF(AC1556="","",IFERROR((RANK(AC1556,$AC$2:$AC$2028,1)+COUNTIF($AC$2:AC1556,AC1556))-1,""))</f>
        <v/>
      </c>
      <c r="AE1556" s="144" t="str">
        <f t="shared" si="511"/>
        <v/>
      </c>
      <c r="AF1556" s="144" t="str">
        <f>IF(AE1556="","",SUM($AE$2:AE1556))</f>
        <v/>
      </c>
    </row>
    <row r="1557" spans="14:32" x14ac:dyDescent="0.35">
      <c r="N1557" s="134" t="str">
        <f t="shared" si="509"/>
        <v/>
      </c>
      <c r="O1557" s="82" t="str">
        <f t="shared" si="500"/>
        <v/>
      </c>
      <c r="P1557" s="81" t="str">
        <f t="shared" si="510"/>
        <v/>
      </c>
      <c r="Q1557" s="81" t="str">
        <f t="shared" si="501"/>
        <v/>
      </c>
      <c r="R1557" s="135" t="str">
        <f t="shared" ca="1" si="502"/>
        <v/>
      </c>
      <c r="S1557" s="134" t="str">
        <f t="shared" ca="1" si="503"/>
        <v/>
      </c>
      <c r="T1557" s="134" t="str">
        <f ca="1">IF(S1557=Dashboard!$D$12,S1557,"")</f>
        <v/>
      </c>
      <c r="U1557" s="134" t="str">
        <f t="shared" ca="1" si="504"/>
        <v/>
      </c>
      <c r="V1557" s="83" t="str">
        <f ca="1">IF(U1557="","",IFERROR((RANK(U1557,$U$2:$U$2028,1)+COUNTIF($U$2:U1557,U1557))-1,""))</f>
        <v/>
      </c>
      <c r="W1557" s="134" t="str">
        <f t="shared" si="508"/>
        <v/>
      </c>
      <c r="X1557" s="134" t="str">
        <f>IF(W1557="","",IFERROR((RANK(W1557,$W$2:$W$2028,1)+COUNTIF($W$2:W1557,W1557))-1,""))</f>
        <v/>
      </c>
      <c r="Y1557" s="134" t="str">
        <f t="shared" si="505"/>
        <v/>
      </c>
      <c r="Z1557" s="134" t="str">
        <f>IF(Y1557="","",IFERROR((RANK(Y1557,$Y$2:$Y$2028,1)+COUNTIF($Y$2:Y1557,Y1557))-1,""))</f>
        <v/>
      </c>
      <c r="AA1557" s="134" t="str">
        <f t="shared" si="506"/>
        <v/>
      </c>
      <c r="AB1557" s="134" t="str">
        <f>IF(AA1557="","",IFERROR((RANK(AA1557,$AA$2:$AA$2028,1)+COUNTIF($AA$2:AA1557,AA1557))-1,""))</f>
        <v/>
      </c>
      <c r="AC1557" s="134" t="str">
        <f t="shared" si="507"/>
        <v/>
      </c>
      <c r="AD1557" s="134" t="str">
        <f>IF(AC1557="","",IFERROR((RANK(AC1557,$AC$2:$AC$2028,1)+COUNTIF($AC$2:AC1557,AC1557))-1,""))</f>
        <v/>
      </c>
      <c r="AE1557" s="144" t="str">
        <f t="shared" si="511"/>
        <v/>
      </c>
      <c r="AF1557" s="144" t="str">
        <f>IF(AE1557="","",SUM($AE$2:AE1557))</f>
        <v/>
      </c>
    </row>
    <row r="1558" spans="14:32" x14ac:dyDescent="0.35">
      <c r="N1558" s="134" t="str">
        <f t="shared" si="509"/>
        <v/>
      </c>
      <c r="O1558" s="82" t="str">
        <f t="shared" si="500"/>
        <v/>
      </c>
      <c r="P1558" s="81" t="str">
        <f t="shared" si="510"/>
        <v/>
      </c>
      <c r="Q1558" s="81" t="str">
        <f t="shared" si="501"/>
        <v/>
      </c>
      <c r="R1558" s="135" t="str">
        <f t="shared" ca="1" si="502"/>
        <v/>
      </c>
      <c r="S1558" s="134" t="str">
        <f t="shared" ca="1" si="503"/>
        <v/>
      </c>
      <c r="T1558" s="134" t="str">
        <f ca="1">IF(S1558=Dashboard!$D$12,S1558,"")</f>
        <v/>
      </c>
      <c r="U1558" s="134" t="str">
        <f t="shared" ca="1" si="504"/>
        <v/>
      </c>
      <c r="V1558" s="83" t="str">
        <f ca="1">IF(U1558="","",IFERROR((RANK(U1558,$U$2:$U$2028,1)+COUNTIF($U$2:U1558,U1558))-1,""))</f>
        <v/>
      </c>
      <c r="W1558" s="134" t="str">
        <f t="shared" si="508"/>
        <v/>
      </c>
      <c r="X1558" s="134" t="str">
        <f>IF(W1558="","",IFERROR((RANK(W1558,$W$2:$W$2028,1)+COUNTIF($W$2:W1558,W1558))-1,""))</f>
        <v/>
      </c>
      <c r="Y1558" s="134" t="str">
        <f t="shared" si="505"/>
        <v/>
      </c>
      <c r="Z1558" s="134" t="str">
        <f>IF(Y1558="","",IFERROR((RANK(Y1558,$Y$2:$Y$2028,1)+COUNTIF($Y$2:Y1558,Y1558))-1,""))</f>
        <v/>
      </c>
      <c r="AA1558" s="134" t="str">
        <f t="shared" si="506"/>
        <v/>
      </c>
      <c r="AB1558" s="134" t="str">
        <f>IF(AA1558="","",IFERROR((RANK(AA1558,$AA$2:$AA$2028,1)+COUNTIF($AA$2:AA1558,AA1558))-1,""))</f>
        <v/>
      </c>
      <c r="AC1558" s="134" t="str">
        <f t="shared" si="507"/>
        <v/>
      </c>
      <c r="AD1558" s="134" t="str">
        <f>IF(AC1558="","",IFERROR((RANK(AC1558,$AC$2:$AC$2028,1)+COUNTIF($AC$2:AC1558,AC1558))-1,""))</f>
        <v/>
      </c>
      <c r="AE1558" s="144" t="str">
        <f t="shared" si="511"/>
        <v/>
      </c>
      <c r="AF1558" s="144" t="str">
        <f>IF(AE1558="","",SUM($AE$2:AE1558))</f>
        <v/>
      </c>
    </row>
    <row r="1559" spans="14:32" x14ac:dyDescent="0.35">
      <c r="N1559" s="134" t="str">
        <f t="shared" si="509"/>
        <v/>
      </c>
      <c r="O1559" s="82" t="str">
        <f t="shared" si="500"/>
        <v/>
      </c>
      <c r="P1559" s="81" t="str">
        <f t="shared" si="510"/>
        <v/>
      </c>
      <c r="Q1559" s="81" t="str">
        <f t="shared" si="501"/>
        <v/>
      </c>
      <c r="R1559" s="135" t="str">
        <f t="shared" ca="1" si="502"/>
        <v/>
      </c>
      <c r="S1559" s="134" t="str">
        <f t="shared" ca="1" si="503"/>
        <v/>
      </c>
      <c r="T1559" s="134" t="str">
        <f ca="1">IF(S1559=Dashboard!$D$12,S1559,"")</f>
        <v/>
      </c>
      <c r="U1559" s="134" t="str">
        <f t="shared" ca="1" si="504"/>
        <v/>
      </c>
      <c r="V1559" s="83" t="str">
        <f ca="1">IF(U1559="","",IFERROR((RANK(U1559,$U$2:$U$2028,1)+COUNTIF($U$2:U1559,U1559))-1,""))</f>
        <v/>
      </c>
      <c r="W1559" s="134" t="str">
        <f t="shared" si="508"/>
        <v/>
      </c>
      <c r="X1559" s="134" t="str">
        <f>IF(W1559="","",IFERROR((RANK(W1559,$W$2:$W$2028,1)+COUNTIF($W$2:W1559,W1559))-1,""))</f>
        <v/>
      </c>
      <c r="Y1559" s="134" t="str">
        <f t="shared" si="505"/>
        <v/>
      </c>
      <c r="Z1559" s="134" t="str">
        <f>IF(Y1559="","",IFERROR((RANK(Y1559,$Y$2:$Y$2028,1)+COUNTIF($Y$2:Y1559,Y1559))-1,""))</f>
        <v/>
      </c>
      <c r="AA1559" s="134" t="str">
        <f t="shared" si="506"/>
        <v/>
      </c>
      <c r="AB1559" s="134" t="str">
        <f>IF(AA1559="","",IFERROR((RANK(AA1559,$AA$2:$AA$2028,1)+COUNTIF($AA$2:AA1559,AA1559))-1,""))</f>
        <v/>
      </c>
      <c r="AC1559" s="134" t="str">
        <f t="shared" si="507"/>
        <v/>
      </c>
      <c r="AD1559" s="134" t="str">
        <f>IF(AC1559="","",IFERROR((RANK(AC1559,$AC$2:$AC$2028,1)+COUNTIF($AC$2:AC1559,AC1559))-1,""))</f>
        <v/>
      </c>
      <c r="AE1559" s="144" t="str">
        <f t="shared" si="511"/>
        <v/>
      </c>
      <c r="AF1559" s="144" t="str">
        <f>IF(AE1559="","",SUM($AE$2:AE1559))</f>
        <v/>
      </c>
    </row>
    <row r="1560" spans="14:32" x14ac:dyDescent="0.35">
      <c r="N1560" s="134" t="str">
        <f t="shared" si="509"/>
        <v/>
      </c>
      <c r="O1560" s="82" t="str">
        <f t="shared" si="500"/>
        <v/>
      </c>
      <c r="P1560" s="81" t="str">
        <f t="shared" si="510"/>
        <v/>
      </c>
      <c r="Q1560" s="81" t="str">
        <f t="shared" si="501"/>
        <v/>
      </c>
      <c r="R1560" s="135" t="str">
        <f t="shared" ca="1" si="502"/>
        <v/>
      </c>
      <c r="S1560" s="134" t="str">
        <f t="shared" ca="1" si="503"/>
        <v/>
      </c>
      <c r="T1560" s="134" t="str">
        <f ca="1">IF(S1560=Dashboard!$D$12,S1560,"")</f>
        <v/>
      </c>
      <c r="U1560" s="134" t="str">
        <f t="shared" ca="1" si="504"/>
        <v/>
      </c>
      <c r="V1560" s="83" t="str">
        <f ca="1">IF(U1560="","",IFERROR((RANK(U1560,$U$2:$U$2028,1)+COUNTIF($U$2:U1560,U1560))-1,""))</f>
        <v/>
      </c>
      <c r="W1560" s="134" t="str">
        <f t="shared" si="508"/>
        <v/>
      </c>
      <c r="X1560" s="134" t="str">
        <f>IF(W1560="","",IFERROR((RANK(W1560,$W$2:$W$2028,1)+COUNTIF($W$2:W1560,W1560))-1,""))</f>
        <v/>
      </c>
      <c r="Y1560" s="134" t="str">
        <f t="shared" si="505"/>
        <v/>
      </c>
      <c r="Z1560" s="134" t="str">
        <f>IF(Y1560="","",IFERROR((RANK(Y1560,$Y$2:$Y$2028,1)+COUNTIF($Y$2:Y1560,Y1560))-1,""))</f>
        <v/>
      </c>
      <c r="AA1560" s="134" t="str">
        <f t="shared" si="506"/>
        <v/>
      </c>
      <c r="AB1560" s="134" t="str">
        <f>IF(AA1560="","",IFERROR((RANK(AA1560,$AA$2:$AA$2028,1)+COUNTIF($AA$2:AA1560,AA1560))-1,""))</f>
        <v/>
      </c>
      <c r="AC1560" s="134" t="str">
        <f t="shared" si="507"/>
        <v/>
      </c>
      <c r="AD1560" s="134" t="str">
        <f>IF(AC1560="","",IFERROR((RANK(AC1560,$AC$2:$AC$2028,1)+COUNTIF($AC$2:AC1560,AC1560))-1,""))</f>
        <v/>
      </c>
      <c r="AE1560" s="144" t="str">
        <f t="shared" si="511"/>
        <v/>
      </c>
      <c r="AF1560" s="144" t="str">
        <f>IF(AE1560="","",SUM($AE$2:AE1560))</f>
        <v/>
      </c>
    </row>
    <row r="1561" spans="14:32" x14ac:dyDescent="0.35">
      <c r="N1561" s="134" t="str">
        <f t="shared" si="509"/>
        <v/>
      </c>
      <c r="O1561" s="82" t="str">
        <f t="shared" si="500"/>
        <v/>
      </c>
      <c r="P1561" s="81" t="str">
        <f t="shared" si="510"/>
        <v/>
      </c>
      <c r="Q1561" s="81" t="str">
        <f t="shared" si="501"/>
        <v/>
      </c>
      <c r="R1561" s="135" t="str">
        <f t="shared" ca="1" si="502"/>
        <v/>
      </c>
      <c r="S1561" s="134" t="str">
        <f t="shared" ca="1" si="503"/>
        <v/>
      </c>
      <c r="T1561" s="134" t="str">
        <f ca="1">IF(S1561=Dashboard!$D$12,S1561,"")</f>
        <v/>
      </c>
      <c r="U1561" s="134" t="str">
        <f t="shared" ca="1" si="504"/>
        <v/>
      </c>
      <c r="V1561" s="83" t="str">
        <f ca="1">IF(U1561="","",IFERROR((RANK(U1561,$U$2:$U$2028,1)+COUNTIF($U$2:U1561,U1561))-1,""))</f>
        <v/>
      </c>
      <c r="W1561" s="134" t="str">
        <f t="shared" si="508"/>
        <v/>
      </c>
      <c r="X1561" s="134" t="str">
        <f>IF(W1561="","",IFERROR((RANK(W1561,$W$2:$W$2028,1)+COUNTIF($W$2:W1561,W1561))-1,""))</f>
        <v/>
      </c>
      <c r="Y1561" s="134" t="str">
        <f t="shared" si="505"/>
        <v/>
      </c>
      <c r="Z1561" s="134" t="str">
        <f>IF(Y1561="","",IFERROR((RANK(Y1561,$Y$2:$Y$2028,1)+COUNTIF($Y$2:Y1561,Y1561))-1,""))</f>
        <v/>
      </c>
      <c r="AA1561" s="134" t="str">
        <f t="shared" si="506"/>
        <v/>
      </c>
      <c r="AB1561" s="134" t="str">
        <f>IF(AA1561="","",IFERROR((RANK(AA1561,$AA$2:$AA$2028,1)+COUNTIF($AA$2:AA1561,AA1561))-1,""))</f>
        <v/>
      </c>
      <c r="AC1561" s="134" t="str">
        <f t="shared" si="507"/>
        <v/>
      </c>
      <c r="AD1561" s="134" t="str">
        <f>IF(AC1561="","",IFERROR((RANK(AC1561,$AC$2:$AC$2028,1)+COUNTIF($AC$2:AC1561,AC1561))-1,""))</f>
        <v/>
      </c>
      <c r="AE1561" s="144" t="str">
        <f t="shared" si="511"/>
        <v/>
      </c>
      <c r="AF1561" s="144" t="str">
        <f>IF(AE1561="","",SUM($AE$2:AE1561))</f>
        <v/>
      </c>
    </row>
    <row r="1562" spans="14:32" x14ac:dyDescent="0.35">
      <c r="N1562" s="134" t="str">
        <f t="shared" si="509"/>
        <v/>
      </c>
      <c r="O1562" s="82" t="str">
        <f t="shared" si="500"/>
        <v/>
      </c>
      <c r="P1562" s="81" t="str">
        <f t="shared" si="510"/>
        <v/>
      </c>
      <c r="Q1562" s="81" t="str">
        <f t="shared" si="501"/>
        <v/>
      </c>
      <c r="R1562" s="135" t="str">
        <f t="shared" ca="1" si="502"/>
        <v/>
      </c>
      <c r="S1562" s="134" t="str">
        <f t="shared" ca="1" si="503"/>
        <v/>
      </c>
      <c r="T1562" s="134" t="str">
        <f ca="1">IF(S1562=Dashboard!$D$12,S1562,"")</f>
        <v/>
      </c>
      <c r="U1562" s="134" t="str">
        <f t="shared" ca="1" si="504"/>
        <v/>
      </c>
      <c r="V1562" s="83" t="str">
        <f ca="1">IF(U1562="","",IFERROR((RANK(U1562,$U$2:$U$2028,1)+COUNTIF($U$2:U1562,U1562))-1,""))</f>
        <v/>
      </c>
      <c r="W1562" s="134" t="str">
        <f t="shared" si="508"/>
        <v/>
      </c>
      <c r="X1562" s="134" t="str">
        <f>IF(W1562="","",IFERROR((RANK(W1562,$W$2:$W$2028,1)+COUNTIF($W$2:W1562,W1562))-1,""))</f>
        <v/>
      </c>
      <c r="Y1562" s="134" t="str">
        <f t="shared" si="505"/>
        <v/>
      </c>
      <c r="Z1562" s="134" t="str">
        <f>IF(Y1562="","",IFERROR((RANK(Y1562,$Y$2:$Y$2028,1)+COUNTIF($Y$2:Y1562,Y1562))-1,""))</f>
        <v/>
      </c>
      <c r="AA1562" s="134" t="str">
        <f t="shared" si="506"/>
        <v/>
      </c>
      <c r="AB1562" s="134" t="str">
        <f>IF(AA1562="","",IFERROR((RANK(AA1562,$AA$2:$AA$2028,1)+COUNTIF($AA$2:AA1562,AA1562))-1,""))</f>
        <v/>
      </c>
      <c r="AC1562" s="134" t="str">
        <f t="shared" si="507"/>
        <v/>
      </c>
      <c r="AD1562" s="134" t="str">
        <f>IF(AC1562="","",IFERROR((RANK(AC1562,$AC$2:$AC$2028,1)+COUNTIF($AC$2:AC1562,AC1562))-1,""))</f>
        <v/>
      </c>
      <c r="AE1562" s="144" t="str">
        <f t="shared" si="511"/>
        <v/>
      </c>
      <c r="AF1562" s="144" t="str">
        <f>IF(AE1562="","",SUM($AE$2:AE1562))</f>
        <v/>
      </c>
    </row>
    <row r="1563" spans="14:32" x14ac:dyDescent="0.35">
      <c r="N1563" s="134" t="str">
        <f t="shared" si="509"/>
        <v/>
      </c>
      <c r="O1563" s="82" t="str">
        <f t="shared" si="500"/>
        <v/>
      </c>
      <c r="P1563" s="81" t="str">
        <f t="shared" si="510"/>
        <v/>
      </c>
      <c r="Q1563" s="81" t="str">
        <f t="shared" si="501"/>
        <v/>
      </c>
      <c r="R1563" s="135" t="str">
        <f t="shared" ca="1" si="502"/>
        <v/>
      </c>
      <c r="S1563" s="134" t="str">
        <f t="shared" ca="1" si="503"/>
        <v/>
      </c>
      <c r="T1563" s="134" t="str">
        <f ca="1">IF(S1563=Dashboard!$D$12,S1563,"")</f>
        <v/>
      </c>
      <c r="U1563" s="134" t="str">
        <f t="shared" ca="1" si="504"/>
        <v/>
      </c>
      <c r="V1563" s="83" t="str">
        <f ca="1">IF(U1563="","",IFERROR((RANK(U1563,$U$2:$U$2028,1)+COUNTIF($U$2:U1563,U1563))-1,""))</f>
        <v/>
      </c>
      <c r="W1563" s="134" t="str">
        <f t="shared" si="508"/>
        <v/>
      </c>
      <c r="X1563" s="134" t="str">
        <f>IF(W1563="","",IFERROR((RANK(W1563,$W$2:$W$2028,1)+COUNTIF($W$2:W1563,W1563))-1,""))</f>
        <v/>
      </c>
      <c r="Y1563" s="134" t="str">
        <f t="shared" si="505"/>
        <v/>
      </c>
      <c r="Z1563" s="134" t="str">
        <f>IF(Y1563="","",IFERROR((RANK(Y1563,$Y$2:$Y$2028,1)+COUNTIF($Y$2:Y1563,Y1563))-1,""))</f>
        <v/>
      </c>
      <c r="AA1563" s="134" t="str">
        <f t="shared" si="506"/>
        <v/>
      </c>
      <c r="AB1563" s="134" t="str">
        <f>IF(AA1563="","",IFERROR((RANK(AA1563,$AA$2:$AA$2028,1)+COUNTIF($AA$2:AA1563,AA1563))-1,""))</f>
        <v/>
      </c>
      <c r="AC1563" s="134" t="str">
        <f t="shared" si="507"/>
        <v/>
      </c>
      <c r="AD1563" s="134" t="str">
        <f>IF(AC1563="","",IFERROR((RANK(AC1563,$AC$2:$AC$2028,1)+COUNTIF($AC$2:AC1563,AC1563))-1,""))</f>
        <v/>
      </c>
      <c r="AE1563" s="144" t="str">
        <f t="shared" si="511"/>
        <v/>
      </c>
      <c r="AF1563" s="144" t="str">
        <f>IF(AE1563="","",SUM($AE$2:AE1563))</f>
        <v/>
      </c>
    </row>
    <row r="1564" spans="14:32" x14ac:dyDescent="0.35">
      <c r="N1564" s="134" t="str">
        <f t="shared" si="509"/>
        <v/>
      </c>
      <c r="O1564" s="82" t="str">
        <f t="shared" si="500"/>
        <v/>
      </c>
      <c r="P1564" s="81" t="str">
        <f t="shared" si="510"/>
        <v/>
      </c>
      <c r="Q1564" s="81" t="str">
        <f t="shared" si="501"/>
        <v/>
      </c>
      <c r="R1564" s="135" t="str">
        <f t="shared" ca="1" si="502"/>
        <v/>
      </c>
      <c r="S1564" s="134" t="str">
        <f t="shared" ca="1" si="503"/>
        <v/>
      </c>
      <c r="T1564" s="134" t="str">
        <f ca="1">IF(S1564=Dashboard!$D$12,S1564,"")</f>
        <v/>
      </c>
      <c r="U1564" s="134" t="str">
        <f t="shared" ca="1" si="504"/>
        <v/>
      </c>
      <c r="V1564" s="83" t="str">
        <f ca="1">IF(U1564="","",IFERROR((RANK(U1564,$U$2:$U$2028,1)+COUNTIF($U$2:U1564,U1564))-1,""))</f>
        <v/>
      </c>
      <c r="W1564" s="134" t="str">
        <f t="shared" si="508"/>
        <v/>
      </c>
      <c r="X1564" s="134" t="str">
        <f>IF(W1564="","",IFERROR((RANK(W1564,$W$2:$W$2028,1)+COUNTIF($W$2:W1564,W1564))-1,""))</f>
        <v/>
      </c>
      <c r="Y1564" s="134" t="str">
        <f t="shared" si="505"/>
        <v/>
      </c>
      <c r="Z1564" s="134" t="str">
        <f>IF(Y1564="","",IFERROR((RANK(Y1564,$Y$2:$Y$2028,1)+COUNTIF($Y$2:Y1564,Y1564))-1,""))</f>
        <v/>
      </c>
      <c r="AA1564" s="134" t="str">
        <f t="shared" si="506"/>
        <v/>
      </c>
      <c r="AB1564" s="134" t="str">
        <f>IF(AA1564="","",IFERROR((RANK(AA1564,$AA$2:$AA$2028,1)+COUNTIF($AA$2:AA1564,AA1564))-1,""))</f>
        <v/>
      </c>
      <c r="AC1564" s="134" t="str">
        <f t="shared" si="507"/>
        <v/>
      </c>
      <c r="AD1564" s="134" t="str">
        <f>IF(AC1564="","",IFERROR((RANK(AC1564,$AC$2:$AC$2028,1)+COUNTIF($AC$2:AC1564,AC1564))-1,""))</f>
        <v/>
      </c>
      <c r="AE1564" s="144" t="str">
        <f t="shared" si="511"/>
        <v/>
      </c>
      <c r="AF1564" s="144" t="str">
        <f>IF(AE1564="","",SUM($AE$2:AE1564))</f>
        <v/>
      </c>
    </row>
    <row r="1565" spans="14:32" x14ac:dyDescent="0.35">
      <c r="N1565" s="134" t="str">
        <f t="shared" si="509"/>
        <v/>
      </c>
      <c r="O1565" s="82" t="str">
        <f t="shared" si="500"/>
        <v/>
      </c>
      <c r="P1565" s="81" t="str">
        <f t="shared" si="510"/>
        <v/>
      </c>
      <c r="Q1565" s="81" t="str">
        <f t="shared" si="501"/>
        <v/>
      </c>
      <c r="R1565" s="135" t="str">
        <f t="shared" ca="1" si="502"/>
        <v/>
      </c>
      <c r="S1565" s="134" t="str">
        <f t="shared" ca="1" si="503"/>
        <v/>
      </c>
      <c r="T1565" s="134" t="str">
        <f ca="1">IF(S1565=Dashboard!$D$12,S1565,"")</f>
        <v/>
      </c>
      <c r="U1565" s="134" t="str">
        <f t="shared" ca="1" si="504"/>
        <v/>
      </c>
      <c r="V1565" s="83" t="str">
        <f ca="1">IF(U1565="","",IFERROR((RANK(U1565,$U$2:$U$2028,1)+COUNTIF($U$2:U1565,U1565))-1,""))</f>
        <v/>
      </c>
      <c r="W1565" s="134" t="str">
        <f t="shared" si="508"/>
        <v/>
      </c>
      <c r="X1565" s="134" t="str">
        <f>IF(W1565="","",IFERROR((RANK(W1565,$W$2:$W$2028,1)+COUNTIF($W$2:W1565,W1565))-1,""))</f>
        <v/>
      </c>
      <c r="Y1565" s="134" t="str">
        <f t="shared" si="505"/>
        <v/>
      </c>
      <c r="Z1565" s="134" t="str">
        <f>IF(Y1565="","",IFERROR((RANK(Y1565,$Y$2:$Y$2028,1)+COUNTIF($Y$2:Y1565,Y1565))-1,""))</f>
        <v/>
      </c>
      <c r="AA1565" s="134" t="str">
        <f t="shared" si="506"/>
        <v/>
      </c>
      <c r="AB1565" s="134" t="str">
        <f>IF(AA1565="","",IFERROR((RANK(AA1565,$AA$2:$AA$2028,1)+COUNTIF($AA$2:AA1565,AA1565))-1,""))</f>
        <v/>
      </c>
      <c r="AC1565" s="134" t="str">
        <f t="shared" si="507"/>
        <v/>
      </c>
      <c r="AD1565" s="134" t="str">
        <f>IF(AC1565="","",IFERROR((RANK(AC1565,$AC$2:$AC$2028,1)+COUNTIF($AC$2:AC1565,AC1565))-1,""))</f>
        <v/>
      </c>
      <c r="AE1565" s="144" t="str">
        <f t="shared" si="511"/>
        <v/>
      </c>
      <c r="AF1565" s="144" t="str">
        <f>IF(AE1565="","",SUM($AE$2:AE1565))</f>
        <v/>
      </c>
    </row>
    <row r="1566" spans="14:32" x14ac:dyDescent="0.35">
      <c r="N1566" s="134" t="str">
        <f t="shared" si="509"/>
        <v/>
      </c>
      <c r="O1566" s="82" t="str">
        <f t="shared" ref="O1566:O1629" si="512">IF(A1566="","",N1566&amp;"-"&amp;M1566)</f>
        <v/>
      </c>
      <c r="P1566" s="81" t="str">
        <f t="shared" si="510"/>
        <v/>
      </c>
      <c r="Q1566" s="81" t="str">
        <f t="shared" ref="Q1566:Q1629" si="513">IF(A1566="","",IF(P1566=1,M1566,""))</f>
        <v/>
      </c>
      <c r="R1566" s="135" t="str">
        <f t="shared" ref="R1566:R1629" ca="1" si="514">IF(Q1566="","",I1566-TODAY())</f>
        <v/>
      </c>
      <c r="S1566" s="134" t="str">
        <f t="shared" ref="S1566:S1629" ca="1" si="515">IF(R1566="","",
IF(R1566&lt;-90,"Pass&gt;90",IF(R1566&lt;-60,"Pass 61-90",IF(R1566&lt;-30,"Pass 31-60",IF(R1566&lt;0,"Pass 0-30",IF(R1566&lt;31,"Run 0-30",IF(R1566&lt;61,"Run 31-60",IF(R1566&lt;91,"Run 60-90","Run &gt;90"))))))))</f>
        <v/>
      </c>
      <c r="T1566" s="134" t="str">
        <f ca="1">IF(S1566=Dashboard!$D$12,S1566,"")</f>
        <v/>
      </c>
      <c r="U1566" s="134" t="str">
        <f t="shared" ref="U1566:U1629" ca="1" si="516">IF(T1566="","",R1566)</f>
        <v/>
      </c>
      <c r="V1566" s="83" t="str">
        <f ca="1">IF(U1566="","",IFERROR((RANK(U1566,$U$2:$U$2028,1)+COUNTIF($U$2:U1566,U1566))-1,""))</f>
        <v/>
      </c>
      <c r="W1566" s="134" t="str">
        <f t="shared" si="508"/>
        <v/>
      </c>
      <c r="X1566" s="134" t="str">
        <f>IF(W1566="","",IFERROR((RANK(W1566,$W$2:$W$2028,1)+COUNTIF($W$2:W1566,W1566))-1,""))</f>
        <v/>
      </c>
      <c r="Y1566" s="134" t="str">
        <f t="shared" ref="Y1566:Y1629" si="517">IF($J1566=Y$1,$U1566,"")</f>
        <v/>
      </c>
      <c r="Z1566" s="134" t="str">
        <f>IF(Y1566="","",IFERROR((RANK(Y1566,$Y$2:$Y$2028,1)+COUNTIF($Y$2:Y1566,Y1566))-1,""))</f>
        <v/>
      </c>
      <c r="AA1566" s="134" t="str">
        <f t="shared" ref="AA1566:AA1629" si="518">IF($J1566=AA$1,$U1566,"")</f>
        <v/>
      </c>
      <c r="AB1566" s="134" t="str">
        <f>IF(AA1566="","",IFERROR((RANK(AA1566,$AA$2:$AA$2028,1)+COUNTIF($AA$2:AA1566,AA1566))-1,""))</f>
        <v/>
      </c>
      <c r="AC1566" s="134" t="str">
        <f t="shared" ref="AC1566:AC1629" si="519">IF($J1566=AC$1,$U1566,"")</f>
        <v/>
      </c>
      <c r="AD1566" s="134" t="str">
        <f>IF(AC1566="","",IFERROR((RANK(AC1566,$AC$2:$AC$2028,1)+COUNTIF($AC$2:AC1566,AC1566))-1,""))</f>
        <v/>
      </c>
      <c r="AE1566" s="144" t="str">
        <f t="shared" si="511"/>
        <v/>
      </c>
      <c r="AF1566" s="144" t="str">
        <f>IF(AE1566="","",SUM($AE$2:AE1566))</f>
        <v/>
      </c>
    </row>
    <row r="1567" spans="14:32" x14ac:dyDescent="0.35">
      <c r="N1567" s="134" t="str">
        <f t="shared" si="509"/>
        <v/>
      </c>
      <c r="O1567" s="82" t="str">
        <f t="shared" si="512"/>
        <v/>
      </c>
      <c r="P1567" s="81" t="str">
        <f t="shared" si="510"/>
        <v/>
      </c>
      <c r="Q1567" s="81" t="str">
        <f t="shared" si="513"/>
        <v/>
      </c>
      <c r="R1567" s="135" t="str">
        <f t="shared" ca="1" si="514"/>
        <v/>
      </c>
      <c r="S1567" s="134" t="str">
        <f t="shared" ca="1" si="515"/>
        <v/>
      </c>
      <c r="T1567" s="134" t="str">
        <f ca="1">IF(S1567=Dashboard!$D$12,S1567,"")</f>
        <v/>
      </c>
      <c r="U1567" s="134" t="str">
        <f t="shared" ca="1" si="516"/>
        <v/>
      </c>
      <c r="V1567" s="83" t="str">
        <f ca="1">IF(U1567="","",IFERROR((RANK(U1567,$U$2:$U$2028,1)+COUNTIF($U$2:U1567,U1567))-1,""))</f>
        <v/>
      </c>
      <c r="W1567" s="134" t="str">
        <f t="shared" ref="W1567:W1630" si="520">IF($J1567=$W$1,U1567,"")</f>
        <v/>
      </c>
      <c r="X1567" s="134" t="str">
        <f>IF(W1567="","",IFERROR((RANK(W1567,$W$2:$W$2028,1)+COUNTIF($W$2:W1567,W1567))-1,""))</f>
        <v/>
      </c>
      <c r="Y1567" s="134" t="str">
        <f t="shared" si="517"/>
        <v/>
      </c>
      <c r="Z1567" s="134" t="str">
        <f>IF(Y1567="","",IFERROR((RANK(Y1567,$Y$2:$Y$2028,1)+COUNTIF($Y$2:Y1567,Y1567))-1,""))</f>
        <v/>
      </c>
      <c r="AA1567" s="134" t="str">
        <f t="shared" si="518"/>
        <v/>
      </c>
      <c r="AB1567" s="134" t="str">
        <f>IF(AA1567="","",IFERROR((RANK(AA1567,$AA$2:$AA$2028,1)+COUNTIF($AA$2:AA1567,AA1567))-1,""))</f>
        <v/>
      </c>
      <c r="AC1567" s="134" t="str">
        <f t="shared" si="519"/>
        <v/>
      </c>
      <c r="AD1567" s="134" t="str">
        <f>IF(AC1567="","",IFERROR((RANK(AC1567,$AC$2:$AC$2028,1)+COUNTIF($AC$2:AC1567,AC1567))-1,""))</f>
        <v/>
      </c>
      <c r="AE1567" s="144" t="str">
        <f t="shared" si="511"/>
        <v/>
      </c>
      <c r="AF1567" s="144" t="str">
        <f>IF(AE1567="","",SUM($AE$2:AE1567))</f>
        <v/>
      </c>
    </row>
    <row r="1568" spans="14:32" x14ac:dyDescent="0.35">
      <c r="N1568" s="134" t="str">
        <f t="shared" si="509"/>
        <v/>
      </c>
      <c r="O1568" s="82" t="str">
        <f t="shared" si="512"/>
        <v/>
      </c>
      <c r="P1568" s="81" t="str">
        <f t="shared" si="510"/>
        <v/>
      </c>
      <c r="Q1568" s="81" t="str">
        <f t="shared" si="513"/>
        <v/>
      </c>
      <c r="R1568" s="135" t="str">
        <f t="shared" ca="1" si="514"/>
        <v/>
      </c>
      <c r="S1568" s="134" t="str">
        <f t="shared" ca="1" si="515"/>
        <v/>
      </c>
      <c r="T1568" s="134" t="str">
        <f ca="1">IF(S1568=Dashboard!$D$12,S1568,"")</f>
        <v/>
      </c>
      <c r="U1568" s="134" t="str">
        <f t="shared" ca="1" si="516"/>
        <v/>
      </c>
      <c r="V1568" s="83" t="str">
        <f ca="1">IF(U1568="","",IFERROR((RANK(U1568,$U$2:$U$2028,1)+COUNTIF($U$2:U1568,U1568))-1,""))</f>
        <v/>
      </c>
      <c r="W1568" s="134" t="str">
        <f t="shared" si="520"/>
        <v/>
      </c>
      <c r="X1568" s="134" t="str">
        <f>IF(W1568="","",IFERROR((RANK(W1568,$W$2:$W$2028,1)+COUNTIF($W$2:W1568,W1568))-1,""))</f>
        <v/>
      </c>
      <c r="Y1568" s="134" t="str">
        <f t="shared" si="517"/>
        <v/>
      </c>
      <c r="Z1568" s="134" t="str">
        <f>IF(Y1568="","",IFERROR((RANK(Y1568,$Y$2:$Y$2028,1)+COUNTIF($Y$2:Y1568,Y1568))-1,""))</f>
        <v/>
      </c>
      <c r="AA1568" s="134" t="str">
        <f t="shared" si="518"/>
        <v/>
      </c>
      <c r="AB1568" s="134" t="str">
        <f>IF(AA1568="","",IFERROR((RANK(AA1568,$AA$2:$AA$2028,1)+COUNTIF($AA$2:AA1568,AA1568))-1,""))</f>
        <v/>
      </c>
      <c r="AC1568" s="134" t="str">
        <f t="shared" si="519"/>
        <v/>
      </c>
      <c r="AD1568" s="134" t="str">
        <f>IF(AC1568="","",IFERROR((RANK(AC1568,$AC$2:$AC$2028,1)+COUNTIF($AC$2:AC1568,AC1568))-1,""))</f>
        <v/>
      </c>
      <c r="AE1568" s="144" t="str">
        <f t="shared" si="511"/>
        <v/>
      </c>
      <c r="AF1568" s="144" t="str">
        <f>IF(AE1568="","",SUM($AE$2:AE1568))</f>
        <v/>
      </c>
    </row>
    <row r="1569" spans="14:32" x14ac:dyDescent="0.35">
      <c r="N1569" s="134" t="str">
        <f t="shared" si="509"/>
        <v/>
      </c>
      <c r="O1569" s="82" t="str">
        <f t="shared" si="512"/>
        <v/>
      </c>
      <c r="P1569" s="81" t="str">
        <f t="shared" si="510"/>
        <v/>
      </c>
      <c r="Q1569" s="81" t="str">
        <f t="shared" si="513"/>
        <v/>
      </c>
      <c r="R1569" s="135" t="str">
        <f t="shared" ca="1" si="514"/>
        <v/>
      </c>
      <c r="S1569" s="134" t="str">
        <f t="shared" ca="1" si="515"/>
        <v/>
      </c>
      <c r="T1569" s="134" t="str">
        <f ca="1">IF(S1569=Dashboard!$D$12,S1569,"")</f>
        <v/>
      </c>
      <c r="U1569" s="134" t="str">
        <f t="shared" ca="1" si="516"/>
        <v/>
      </c>
      <c r="V1569" s="83" t="str">
        <f ca="1">IF(U1569="","",IFERROR((RANK(U1569,$U$2:$U$2028,1)+COUNTIF($U$2:U1569,U1569))-1,""))</f>
        <v/>
      </c>
      <c r="W1569" s="134" t="str">
        <f t="shared" si="520"/>
        <v/>
      </c>
      <c r="X1569" s="134" t="str">
        <f>IF(W1569="","",IFERROR((RANK(W1569,$W$2:$W$2028,1)+COUNTIF($W$2:W1569,W1569))-1,""))</f>
        <v/>
      </c>
      <c r="Y1569" s="134" t="str">
        <f t="shared" si="517"/>
        <v/>
      </c>
      <c r="Z1569" s="134" t="str">
        <f>IF(Y1569="","",IFERROR((RANK(Y1569,$Y$2:$Y$2028,1)+COUNTIF($Y$2:Y1569,Y1569))-1,""))</f>
        <v/>
      </c>
      <c r="AA1569" s="134" t="str">
        <f t="shared" si="518"/>
        <v/>
      </c>
      <c r="AB1569" s="134" t="str">
        <f>IF(AA1569="","",IFERROR((RANK(AA1569,$AA$2:$AA$2028,1)+COUNTIF($AA$2:AA1569,AA1569))-1,""))</f>
        <v/>
      </c>
      <c r="AC1569" s="134" t="str">
        <f t="shared" si="519"/>
        <v/>
      </c>
      <c r="AD1569" s="134" t="str">
        <f>IF(AC1569="","",IFERROR((RANK(AC1569,$AC$2:$AC$2028,1)+COUNTIF($AC$2:AC1569,AC1569))-1,""))</f>
        <v/>
      </c>
      <c r="AE1569" s="144" t="str">
        <f t="shared" si="511"/>
        <v/>
      </c>
      <c r="AF1569" s="144" t="str">
        <f>IF(AE1569="","",SUM($AE$2:AE1569))</f>
        <v/>
      </c>
    </row>
    <row r="1570" spans="14:32" x14ac:dyDescent="0.35">
      <c r="N1570" s="134" t="str">
        <f t="shared" si="509"/>
        <v/>
      </c>
      <c r="O1570" s="82" t="str">
        <f t="shared" si="512"/>
        <v/>
      </c>
      <c r="P1570" s="81" t="str">
        <f t="shared" si="510"/>
        <v/>
      </c>
      <c r="Q1570" s="81" t="str">
        <f t="shared" si="513"/>
        <v/>
      </c>
      <c r="R1570" s="135" t="str">
        <f t="shared" ca="1" si="514"/>
        <v/>
      </c>
      <c r="S1570" s="134" t="str">
        <f t="shared" ca="1" si="515"/>
        <v/>
      </c>
      <c r="T1570" s="134" t="str">
        <f ca="1">IF(S1570=Dashboard!$D$12,S1570,"")</f>
        <v/>
      </c>
      <c r="U1570" s="134" t="str">
        <f t="shared" ca="1" si="516"/>
        <v/>
      </c>
      <c r="V1570" s="83" t="str">
        <f ca="1">IF(U1570="","",IFERROR((RANK(U1570,$U$2:$U$2028,1)+COUNTIF($U$2:U1570,U1570))-1,""))</f>
        <v/>
      </c>
      <c r="W1570" s="134" t="str">
        <f t="shared" si="520"/>
        <v/>
      </c>
      <c r="X1570" s="134" t="str">
        <f>IF(W1570="","",IFERROR((RANK(W1570,$W$2:$W$2028,1)+COUNTIF($W$2:W1570,W1570))-1,""))</f>
        <v/>
      </c>
      <c r="Y1570" s="134" t="str">
        <f t="shared" si="517"/>
        <v/>
      </c>
      <c r="Z1570" s="134" t="str">
        <f>IF(Y1570="","",IFERROR((RANK(Y1570,$Y$2:$Y$2028,1)+COUNTIF($Y$2:Y1570,Y1570))-1,""))</f>
        <v/>
      </c>
      <c r="AA1570" s="134" t="str">
        <f t="shared" si="518"/>
        <v/>
      </c>
      <c r="AB1570" s="134" t="str">
        <f>IF(AA1570="","",IFERROR((RANK(AA1570,$AA$2:$AA$2028,1)+COUNTIF($AA$2:AA1570,AA1570))-1,""))</f>
        <v/>
      </c>
      <c r="AC1570" s="134" t="str">
        <f t="shared" si="519"/>
        <v/>
      </c>
      <c r="AD1570" s="134" t="str">
        <f>IF(AC1570="","",IFERROR((RANK(AC1570,$AC$2:$AC$2028,1)+COUNTIF($AC$2:AC1570,AC1570))-1,""))</f>
        <v/>
      </c>
      <c r="AE1570" s="144" t="str">
        <f t="shared" si="511"/>
        <v/>
      </c>
      <c r="AF1570" s="144" t="str">
        <f>IF(AE1570="","",SUM($AE$2:AE1570))</f>
        <v/>
      </c>
    </row>
    <row r="1571" spans="14:32" x14ac:dyDescent="0.35">
      <c r="N1571" s="134" t="str">
        <f t="shared" si="509"/>
        <v/>
      </c>
      <c r="O1571" s="82" t="str">
        <f t="shared" si="512"/>
        <v/>
      </c>
      <c r="P1571" s="81" t="str">
        <f t="shared" si="510"/>
        <v/>
      </c>
      <c r="Q1571" s="81" t="str">
        <f t="shared" si="513"/>
        <v/>
      </c>
      <c r="R1571" s="135" t="str">
        <f t="shared" ca="1" si="514"/>
        <v/>
      </c>
      <c r="S1571" s="134" t="str">
        <f t="shared" ca="1" si="515"/>
        <v/>
      </c>
      <c r="T1571" s="134" t="str">
        <f ca="1">IF(S1571=Dashboard!$D$12,S1571,"")</f>
        <v/>
      </c>
      <c r="U1571" s="134" t="str">
        <f t="shared" ca="1" si="516"/>
        <v/>
      </c>
      <c r="V1571" s="83" t="str">
        <f ca="1">IF(U1571="","",IFERROR((RANK(U1571,$U$2:$U$2028,1)+COUNTIF($U$2:U1571,U1571))-1,""))</f>
        <v/>
      </c>
      <c r="W1571" s="134" t="str">
        <f t="shared" si="520"/>
        <v/>
      </c>
      <c r="X1571" s="134" t="str">
        <f>IF(W1571="","",IFERROR((RANK(W1571,$W$2:$W$2028,1)+COUNTIF($W$2:W1571,W1571))-1,""))</f>
        <v/>
      </c>
      <c r="Y1571" s="134" t="str">
        <f t="shared" si="517"/>
        <v/>
      </c>
      <c r="Z1571" s="134" t="str">
        <f>IF(Y1571="","",IFERROR((RANK(Y1571,$Y$2:$Y$2028,1)+COUNTIF($Y$2:Y1571,Y1571))-1,""))</f>
        <v/>
      </c>
      <c r="AA1571" s="134" t="str">
        <f t="shared" si="518"/>
        <v/>
      </c>
      <c r="AB1571" s="134" t="str">
        <f>IF(AA1571="","",IFERROR((RANK(AA1571,$AA$2:$AA$2028,1)+COUNTIF($AA$2:AA1571,AA1571))-1,""))</f>
        <v/>
      </c>
      <c r="AC1571" s="134" t="str">
        <f t="shared" si="519"/>
        <v/>
      </c>
      <c r="AD1571" s="134" t="str">
        <f>IF(AC1571="","",IFERROR((RANK(AC1571,$AC$2:$AC$2028,1)+COUNTIF($AC$2:AC1571,AC1571))-1,""))</f>
        <v/>
      </c>
      <c r="AE1571" s="144" t="str">
        <f t="shared" si="511"/>
        <v/>
      </c>
      <c r="AF1571" s="144" t="str">
        <f>IF(AE1571="","",SUM($AE$2:AE1571))</f>
        <v/>
      </c>
    </row>
    <row r="1572" spans="14:32" x14ac:dyDescent="0.35">
      <c r="N1572" s="134" t="str">
        <f t="shared" si="509"/>
        <v/>
      </c>
      <c r="O1572" s="82" t="str">
        <f t="shared" si="512"/>
        <v/>
      </c>
      <c r="P1572" s="81" t="str">
        <f t="shared" si="510"/>
        <v/>
      </c>
      <c r="Q1572" s="81" t="str">
        <f t="shared" si="513"/>
        <v/>
      </c>
      <c r="R1572" s="135" t="str">
        <f t="shared" ca="1" si="514"/>
        <v/>
      </c>
      <c r="S1572" s="134" t="str">
        <f t="shared" ca="1" si="515"/>
        <v/>
      </c>
      <c r="T1572" s="134" t="str">
        <f ca="1">IF(S1572=Dashboard!$D$12,S1572,"")</f>
        <v/>
      </c>
      <c r="U1572" s="134" t="str">
        <f t="shared" ca="1" si="516"/>
        <v/>
      </c>
      <c r="V1572" s="83" t="str">
        <f ca="1">IF(U1572="","",IFERROR((RANK(U1572,$U$2:$U$2028,1)+COUNTIF($U$2:U1572,U1572))-1,""))</f>
        <v/>
      </c>
      <c r="W1572" s="134" t="str">
        <f t="shared" si="520"/>
        <v/>
      </c>
      <c r="X1572" s="134" t="str">
        <f>IF(W1572="","",IFERROR((RANK(W1572,$W$2:$W$2028,1)+COUNTIF($W$2:W1572,W1572))-1,""))</f>
        <v/>
      </c>
      <c r="Y1572" s="134" t="str">
        <f t="shared" si="517"/>
        <v/>
      </c>
      <c r="Z1572" s="134" t="str">
        <f>IF(Y1572="","",IFERROR((RANK(Y1572,$Y$2:$Y$2028,1)+COUNTIF($Y$2:Y1572,Y1572))-1,""))</f>
        <v/>
      </c>
      <c r="AA1572" s="134" t="str">
        <f t="shared" si="518"/>
        <v/>
      </c>
      <c r="AB1572" s="134" t="str">
        <f>IF(AA1572="","",IFERROR((RANK(AA1572,$AA$2:$AA$2028,1)+COUNTIF($AA$2:AA1572,AA1572))-1,""))</f>
        <v/>
      </c>
      <c r="AC1572" s="134" t="str">
        <f t="shared" si="519"/>
        <v/>
      </c>
      <c r="AD1572" s="134" t="str">
        <f>IF(AC1572="","",IFERROR((RANK(AC1572,$AC$2:$AC$2028,1)+COUNTIF($AC$2:AC1572,AC1572))-1,""))</f>
        <v/>
      </c>
      <c r="AE1572" s="144" t="str">
        <f t="shared" si="511"/>
        <v/>
      </c>
      <c r="AF1572" s="144" t="str">
        <f>IF(AE1572="","",SUM($AE$2:AE1572))</f>
        <v/>
      </c>
    </row>
    <row r="1573" spans="14:32" x14ac:dyDescent="0.35">
      <c r="N1573" s="134" t="str">
        <f t="shared" si="509"/>
        <v/>
      </c>
      <c r="O1573" s="82" t="str">
        <f t="shared" si="512"/>
        <v/>
      </c>
      <c r="P1573" s="81" t="str">
        <f t="shared" si="510"/>
        <v/>
      </c>
      <c r="Q1573" s="81" t="str">
        <f t="shared" si="513"/>
        <v/>
      </c>
      <c r="R1573" s="135" t="str">
        <f t="shared" ca="1" si="514"/>
        <v/>
      </c>
      <c r="S1573" s="134" t="str">
        <f t="shared" ca="1" si="515"/>
        <v/>
      </c>
      <c r="T1573" s="134" t="str">
        <f ca="1">IF(S1573=Dashboard!$D$12,S1573,"")</f>
        <v/>
      </c>
      <c r="U1573" s="134" t="str">
        <f t="shared" ca="1" si="516"/>
        <v/>
      </c>
      <c r="V1573" s="83" t="str">
        <f ca="1">IF(U1573="","",IFERROR((RANK(U1573,$U$2:$U$2028,1)+COUNTIF($U$2:U1573,U1573))-1,""))</f>
        <v/>
      </c>
      <c r="W1573" s="134" t="str">
        <f t="shared" si="520"/>
        <v/>
      </c>
      <c r="X1573" s="134" t="str">
        <f>IF(W1573="","",IFERROR((RANK(W1573,$W$2:$W$2028,1)+COUNTIF($W$2:W1573,W1573))-1,""))</f>
        <v/>
      </c>
      <c r="Y1573" s="134" t="str">
        <f t="shared" si="517"/>
        <v/>
      </c>
      <c r="Z1573" s="134" t="str">
        <f>IF(Y1573="","",IFERROR((RANK(Y1573,$Y$2:$Y$2028,1)+COUNTIF($Y$2:Y1573,Y1573))-1,""))</f>
        <v/>
      </c>
      <c r="AA1573" s="134" t="str">
        <f t="shared" si="518"/>
        <v/>
      </c>
      <c r="AB1573" s="134" t="str">
        <f>IF(AA1573="","",IFERROR((RANK(AA1573,$AA$2:$AA$2028,1)+COUNTIF($AA$2:AA1573,AA1573))-1,""))</f>
        <v/>
      </c>
      <c r="AC1573" s="134" t="str">
        <f t="shared" si="519"/>
        <v/>
      </c>
      <c r="AD1573" s="134" t="str">
        <f>IF(AC1573="","",IFERROR((RANK(AC1573,$AC$2:$AC$2028,1)+COUNTIF($AC$2:AC1573,AC1573))-1,""))</f>
        <v/>
      </c>
      <c r="AE1573" s="144" t="str">
        <f t="shared" si="511"/>
        <v/>
      </c>
      <c r="AF1573" s="144" t="str">
        <f>IF(AE1573="","",SUM($AE$2:AE1573))</f>
        <v/>
      </c>
    </row>
    <row r="1574" spans="14:32" x14ac:dyDescent="0.35">
      <c r="N1574" s="134" t="str">
        <f t="shared" si="509"/>
        <v/>
      </c>
      <c r="O1574" s="82" t="str">
        <f t="shared" si="512"/>
        <v/>
      </c>
      <c r="P1574" s="81" t="str">
        <f t="shared" si="510"/>
        <v/>
      </c>
      <c r="Q1574" s="81" t="str">
        <f t="shared" si="513"/>
        <v/>
      </c>
      <c r="R1574" s="135" t="str">
        <f t="shared" ca="1" si="514"/>
        <v/>
      </c>
      <c r="S1574" s="134" t="str">
        <f t="shared" ca="1" si="515"/>
        <v/>
      </c>
      <c r="T1574" s="134" t="str">
        <f ca="1">IF(S1574=Dashboard!$D$12,S1574,"")</f>
        <v/>
      </c>
      <c r="U1574" s="134" t="str">
        <f t="shared" ca="1" si="516"/>
        <v/>
      </c>
      <c r="V1574" s="83" t="str">
        <f ca="1">IF(U1574="","",IFERROR((RANK(U1574,$U$2:$U$2028,1)+COUNTIF($U$2:U1574,U1574))-1,""))</f>
        <v/>
      </c>
      <c r="W1574" s="134" t="str">
        <f t="shared" si="520"/>
        <v/>
      </c>
      <c r="X1574" s="134" t="str">
        <f>IF(W1574="","",IFERROR((RANK(W1574,$W$2:$W$2028,1)+COUNTIF($W$2:W1574,W1574))-1,""))</f>
        <v/>
      </c>
      <c r="Y1574" s="134" t="str">
        <f t="shared" si="517"/>
        <v/>
      </c>
      <c r="Z1574" s="134" t="str">
        <f>IF(Y1574="","",IFERROR((RANK(Y1574,$Y$2:$Y$2028,1)+COUNTIF($Y$2:Y1574,Y1574))-1,""))</f>
        <v/>
      </c>
      <c r="AA1574" s="134" t="str">
        <f t="shared" si="518"/>
        <v/>
      </c>
      <c r="AB1574" s="134" t="str">
        <f>IF(AA1574="","",IFERROR((RANK(AA1574,$AA$2:$AA$2028,1)+COUNTIF($AA$2:AA1574,AA1574))-1,""))</f>
        <v/>
      </c>
      <c r="AC1574" s="134" t="str">
        <f t="shared" si="519"/>
        <v/>
      </c>
      <c r="AD1574" s="134" t="str">
        <f>IF(AC1574="","",IFERROR((RANK(AC1574,$AC$2:$AC$2028,1)+COUNTIF($AC$2:AC1574,AC1574))-1,""))</f>
        <v/>
      </c>
      <c r="AE1574" s="144" t="str">
        <f t="shared" si="511"/>
        <v/>
      </c>
      <c r="AF1574" s="144" t="str">
        <f>IF(AE1574="","",SUM($AE$2:AE1574))</f>
        <v/>
      </c>
    </row>
    <row r="1575" spans="14:32" x14ac:dyDescent="0.35">
      <c r="N1575" s="134" t="str">
        <f t="shared" si="509"/>
        <v/>
      </c>
      <c r="O1575" s="82" t="str">
        <f t="shared" si="512"/>
        <v/>
      </c>
      <c r="P1575" s="81" t="str">
        <f t="shared" si="510"/>
        <v/>
      </c>
      <c r="Q1575" s="81" t="str">
        <f t="shared" si="513"/>
        <v/>
      </c>
      <c r="R1575" s="135" t="str">
        <f t="shared" ca="1" si="514"/>
        <v/>
      </c>
      <c r="S1575" s="134" t="str">
        <f t="shared" ca="1" si="515"/>
        <v/>
      </c>
      <c r="T1575" s="134" t="str">
        <f ca="1">IF(S1575=Dashboard!$D$12,S1575,"")</f>
        <v/>
      </c>
      <c r="U1575" s="134" t="str">
        <f t="shared" ca="1" si="516"/>
        <v/>
      </c>
      <c r="V1575" s="83" t="str">
        <f ca="1">IF(U1575="","",IFERROR((RANK(U1575,$U$2:$U$2028,1)+COUNTIF($U$2:U1575,U1575))-1,""))</f>
        <v/>
      </c>
      <c r="W1575" s="134" t="str">
        <f t="shared" si="520"/>
        <v/>
      </c>
      <c r="X1575" s="134" t="str">
        <f>IF(W1575="","",IFERROR((RANK(W1575,$W$2:$W$2028,1)+COUNTIF($W$2:W1575,W1575))-1,""))</f>
        <v/>
      </c>
      <c r="Y1575" s="134" t="str">
        <f t="shared" si="517"/>
        <v/>
      </c>
      <c r="Z1575" s="134" t="str">
        <f>IF(Y1575="","",IFERROR((RANK(Y1575,$Y$2:$Y$2028,1)+COUNTIF($Y$2:Y1575,Y1575))-1,""))</f>
        <v/>
      </c>
      <c r="AA1575" s="134" t="str">
        <f t="shared" si="518"/>
        <v/>
      </c>
      <c r="AB1575" s="134" t="str">
        <f>IF(AA1575="","",IFERROR((RANK(AA1575,$AA$2:$AA$2028,1)+COUNTIF($AA$2:AA1575,AA1575))-1,""))</f>
        <v/>
      </c>
      <c r="AC1575" s="134" t="str">
        <f t="shared" si="519"/>
        <v/>
      </c>
      <c r="AD1575" s="134" t="str">
        <f>IF(AC1575="","",IFERROR((RANK(AC1575,$AC$2:$AC$2028,1)+COUNTIF($AC$2:AC1575,AC1575))-1,""))</f>
        <v/>
      </c>
      <c r="AE1575" s="144" t="str">
        <f t="shared" si="511"/>
        <v/>
      </c>
      <c r="AF1575" s="144" t="str">
        <f>IF(AE1575="","",SUM($AE$2:AE1575))</f>
        <v/>
      </c>
    </row>
    <row r="1576" spans="14:32" x14ac:dyDescent="0.35">
      <c r="N1576" s="134" t="str">
        <f t="shared" si="509"/>
        <v/>
      </c>
      <c r="O1576" s="82" t="str">
        <f t="shared" si="512"/>
        <v/>
      </c>
      <c r="P1576" s="81" t="str">
        <f t="shared" si="510"/>
        <v/>
      </c>
      <c r="Q1576" s="81" t="str">
        <f t="shared" si="513"/>
        <v/>
      </c>
      <c r="R1576" s="135" t="str">
        <f t="shared" ca="1" si="514"/>
        <v/>
      </c>
      <c r="S1576" s="134" t="str">
        <f t="shared" ca="1" si="515"/>
        <v/>
      </c>
      <c r="T1576" s="134" t="str">
        <f ca="1">IF(S1576=Dashboard!$D$12,S1576,"")</f>
        <v/>
      </c>
      <c r="U1576" s="134" t="str">
        <f t="shared" ca="1" si="516"/>
        <v/>
      </c>
      <c r="V1576" s="83" t="str">
        <f ca="1">IF(U1576="","",IFERROR((RANK(U1576,$U$2:$U$2028,1)+COUNTIF($U$2:U1576,U1576))-1,""))</f>
        <v/>
      </c>
      <c r="W1576" s="134" t="str">
        <f t="shared" si="520"/>
        <v/>
      </c>
      <c r="X1576" s="134" t="str">
        <f>IF(W1576="","",IFERROR((RANK(W1576,$W$2:$W$2028,1)+COUNTIF($W$2:W1576,W1576))-1,""))</f>
        <v/>
      </c>
      <c r="Y1576" s="134" t="str">
        <f t="shared" si="517"/>
        <v/>
      </c>
      <c r="Z1576" s="134" t="str">
        <f>IF(Y1576="","",IFERROR((RANK(Y1576,$Y$2:$Y$2028,1)+COUNTIF($Y$2:Y1576,Y1576))-1,""))</f>
        <v/>
      </c>
      <c r="AA1576" s="134" t="str">
        <f t="shared" si="518"/>
        <v/>
      </c>
      <c r="AB1576" s="134" t="str">
        <f>IF(AA1576="","",IFERROR((RANK(AA1576,$AA$2:$AA$2028,1)+COUNTIF($AA$2:AA1576,AA1576))-1,""))</f>
        <v/>
      </c>
      <c r="AC1576" s="134" t="str">
        <f t="shared" si="519"/>
        <v/>
      </c>
      <c r="AD1576" s="134" t="str">
        <f>IF(AC1576="","",IFERROR((RANK(AC1576,$AC$2:$AC$2028,1)+COUNTIF($AC$2:AC1576,AC1576))-1,""))</f>
        <v/>
      </c>
      <c r="AE1576" s="144" t="str">
        <f t="shared" si="511"/>
        <v/>
      </c>
      <c r="AF1576" s="144" t="str">
        <f>IF(AE1576="","",SUM($AE$2:AE1576))</f>
        <v/>
      </c>
    </row>
    <row r="1577" spans="14:32" x14ac:dyDescent="0.35">
      <c r="N1577" s="134" t="str">
        <f t="shared" si="509"/>
        <v/>
      </c>
      <c r="O1577" s="82" t="str">
        <f t="shared" si="512"/>
        <v/>
      </c>
      <c r="P1577" s="81" t="str">
        <f t="shared" si="510"/>
        <v/>
      </c>
      <c r="Q1577" s="81" t="str">
        <f t="shared" si="513"/>
        <v/>
      </c>
      <c r="R1577" s="135" t="str">
        <f t="shared" ca="1" si="514"/>
        <v/>
      </c>
      <c r="S1577" s="134" t="str">
        <f t="shared" ca="1" si="515"/>
        <v/>
      </c>
      <c r="T1577" s="134" t="str">
        <f ca="1">IF(S1577=Dashboard!$D$12,S1577,"")</f>
        <v/>
      </c>
      <c r="U1577" s="134" t="str">
        <f t="shared" ca="1" si="516"/>
        <v/>
      </c>
      <c r="V1577" s="83" t="str">
        <f ca="1">IF(U1577="","",IFERROR((RANK(U1577,$U$2:$U$2028,1)+COUNTIF($U$2:U1577,U1577))-1,""))</f>
        <v/>
      </c>
      <c r="W1577" s="134" t="str">
        <f t="shared" si="520"/>
        <v/>
      </c>
      <c r="X1577" s="134" t="str">
        <f>IF(W1577="","",IFERROR((RANK(W1577,$W$2:$W$2028,1)+COUNTIF($W$2:W1577,W1577))-1,""))</f>
        <v/>
      </c>
      <c r="Y1577" s="134" t="str">
        <f t="shared" si="517"/>
        <v/>
      </c>
      <c r="Z1577" s="134" t="str">
        <f>IF(Y1577="","",IFERROR((RANK(Y1577,$Y$2:$Y$2028,1)+COUNTIF($Y$2:Y1577,Y1577))-1,""))</f>
        <v/>
      </c>
      <c r="AA1577" s="134" t="str">
        <f t="shared" si="518"/>
        <v/>
      </c>
      <c r="AB1577" s="134" t="str">
        <f>IF(AA1577="","",IFERROR((RANK(AA1577,$AA$2:$AA$2028,1)+COUNTIF($AA$2:AA1577,AA1577))-1,""))</f>
        <v/>
      </c>
      <c r="AC1577" s="134" t="str">
        <f t="shared" si="519"/>
        <v/>
      </c>
      <c r="AD1577" s="134" t="str">
        <f>IF(AC1577="","",IFERROR((RANK(AC1577,$AC$2:$AC$2028,1)+COUNTIF($AC$2:AC1577,AC1577))-1,""))</f>
        <v/>
      </c>
      <c r="AE1577" s="144" t="str">
        <f t="shared" si="511"/>
        <v/>
      </c>
      <c r="AF1577" s="144" t="str">
        <f>IF(AE1577="","",SUM($AE$2:AE1577))</f>
        <v/>
      </c>
    </row>
    <row r="1578" spans="14:32" x14ac:dyDescent="0.35">
      <c r="N1578" s="134" t="str">
        <f t="shared" si="509"/>
        <v/>
      </c>
      <c r="O1578" s="82" t="str">
        <f t="shared" si="512"/>
        <v/>
      </c>
      <c r="P1578" s="81" t="str">
        <f t="shared" si="510"/>
        <v/>
      </c>
      <c r="Q1578" s="81" t="str">
        <f t="shared" si="513"/>
        <v/>
      </c>
      <c r="R1578" s="135" t="str">
        <f t="shared" ca="1" si="514"/>
        <v/>
      </c>
      <c r="S1578" s="134" t="str">
        <f t="shared" ca="1" si="515"/>
        <v/>
      </c>
      <c r="T1578" s="134" t="str">
        <f ca="1">IF(S1578=Dashboard!$D$12,S1578,"")</f>
        <v/>
      </c>
      <c r="U1578" s="134" t="str">
        <f t="shared" ca="1" si="516"/>
        <v/>
      </c>
      <c r="V1578" s="83" t="str">
        <f ca="1">IF(U1578="","",IFERROR((RANK(U1578,$U$2:$U$2028,1)+COUNTIF($U$2:U1578,U1578))-1,""))</f>
        <v/>
      </c>
      <c r="W1578" s="134" t="str">
        <f t="shared" si="520"/>
        <v/>
      </c>
      <c r="X1578" s="134" t="str">
        <f>IF(W1578="","",IFERROR((RANK(W1578,$W$2:$W$2028,1)+COUNTIF($W$2:W1578,W1578))-1,""))</f>
        <v/>
      </c>
      <c r="Y1578" s="134" t="str">
        <f t="shared" si="517"/>
        <v/>
      </c>
      <c r="Z1578" s="134" t="str">
        <f>IF(Y1578="","",IFERROR((RANK(Y1578,$Y$2:$Y$2028,1)+COUNTIF($Y$2:Y1578,Y1578))-1,""))</f>
        <v/>
      </c>
      <c r="AA1578" s="134" t="str">
        <f t="shared" si="518"/>
        <v/>
      </c>
      <c r="AB1578" s="134" t="str">
        <f>IF(AA1578="","",IFERROR((RANK(AA1578,$AA$2:$AA$2028,1)+COUNTIF($AA$2:AA1578,AA1578))-1,""))</f>
        <v/>
      </c>
      <c r="AC1578" s="134" t="str">
        <f t="shared" si="519"/>
        <v/>
      </c>
      <c r="AD1578" s="134" t="str">
        <f>IF(AC1578="","",IFERROR((RANK(AC1578,$AC$2:$AC$2028,1)+COUNTIF($AC$2:AC1578,AC1578))-1,""))</f>
        <v/>
      </c>
      <c r="AE1578" s="144" t="str">
        <f t="shared" si="511"/>
        <v/>
      </c>
      <c r="AF1578" s="144" t="str">
        <f>IF(AE1578="","",SUM($AE$2:AE1578))</f>
        <v/>
      </c>
    </row>
    <row r="1579" spans="14:32" x14ac:dyDescent="0.35">
      <c r="N1579" s="134" t="str">
        <f t="shared" si="509"/>
        <v/>
      </c>
      <c r="O1579" s="82" t="str">
        <f t="shared" si="512"/>
        <v/>
      </c>
      <c r="P1579" s="81" t="str">
        <f t="shared" si="510"/>
        <v/>
      </c>
      <c r="Q1579" s="81" t="str">
        <f t="shared" si="513"/>
        <v/>
      </c>
      <c r="R1579" s="135" t="str">
        <f t="shared" ca="1" si="514"/>
        <v/>
      </c>
      <c r="S1579" s="134" t="str">
        <f t="shared" ca="1" si="515"/>
        <v/>
      </c>
      <c r="T1579" s="134" t="str">
        <f ca="1">IF(S1579=Dashboard!$D$12,S1579,"")</f>
        <v/>
      </c>
      <c r="U1579" s="134" t="str">
        <f t="shared" ca="1" si="516"/>
        <v/>
      </c>
      <c r="V1579" s="83" t="str">
        <f ca="1">IF(U1579="","",IFERROR((RANK(U1579,$U$2:$U$2028,1)+COUNTIF($U$2:U1579,U1579))-1,""))</f>
        <v/>
      </c>
      <c r="W1579" s="134" t="str">
        <f t="shared" si="520"/>
        <v/>
      </c>
      <c r="X1579" s="134" t="str">
        <f>IF(W1579="","",IFERROR((RANK(W1579,$W$2:$W$2028,1)+COUNTIF($W$2:W1579,W1579))-1,""))</f>
        <v/>
      </c>
      <c r="Y1579" s="134" t="str">
        <f t="shared" si="517"/>
        <v/>
      </c>
      <c r="Z1579" s="134" t="str">
        <f>IF(Y1579="","",IFERROR((RANK(Y1579,$Y$2:$Y$2028,1)+COUNTIF($Y$2:Y1579,Y1579))-1,""))</f>
        <v/>
      </c>
      <c r="AA1579" s="134" t="str">
        <f t="shared" si="518"/>
        <v/>
      </c>
      <c r="AB1579" s="134" t="str">
        <f>IF(AA1579="","",IFERROR((RANK(AA1579,$AA$2:$AA$2028,1)+COUNTIF($AA$2:AA1579,AA1579))-1,""))</f>
        <v/>
      </c>
      <c r="AC1579" s="134" t="str">
        <f t="shared" si="519"/>
        <v/>
      </c>
      <c r="AD1579" s="134" t="str">
        <f>IF(AC1579="","",IFERROR((RANK(AC1579,$AC$2:$AC$2028,1)+COUNTIF($AC$2:AC1579,AC1579))-1,""))</f>
        <v/>
      </c>
      <c r="AE1579" s="144" t="str">
        <f t="shared" si="511"/>
        <v/>
      </c>
      <c r="AF1579" s="144" t="str">
        <f>IF(AE1579="","",SUM($AE$2:AE1579))</f>
        <v/>
      </c>
    </row>
    <row r="1580" spans="14:32" x14ac:dyDescent="0.35">
      <c r="N1580" s="134" t="str">
        <f t="shared" si="509"/>
        <v/>
      </c>
      <c r="O1580" s="82" t="str">
        <f t="shared" si="512"/>
        <v/>
      </c>
      <c r="P1580" s="81" t="str">
        <f t="shared" si="510"/>
        <v/>
      </c>
      <c r="Q1580" s="81" t="str">
        <f t="shared" si="513"/>
        <v/>
      </c>
      <c r="R1580" s="135" t="str">
        <f t="shared" ca="1" si="514"/>
        <v/>
      </c>
      <c r="S1580" s="134" t="str">
        <f t="shared" ca="1" si="515"/>
        <v/>
      </c>
      <c r="T1580" s="134" t="str">
        <f ca="1">IF(S1580=Dashboard!$D$12,S1580,"")</f>
        <v/>
      </c>
      <c r="U1580" s="134" t="str">
        <f t="shared" ca="1" si="516"/>
        <v/>
      </c>
      <c r="V1580" s="83" t="str">
        <f ca="1">IF(U1580="","",IFERROR((RANK(U1580,$U$2:$U$2028,1)+COUNTIF($U$2:U1580,U1580))-1,""))</f>
        <v/>
      </c>
      <c r="W1580" s="134" t="str">
        <f t="shared" si="520"/>
        <v/>
      </c>
      <c r="X1580" s="134" t="str">
        <f>IF(W1580="","",IFERROR((RANK(W1580,$W$2:$W$2028,1)+COUNTIF($W$2:W1580,W1580))-1,""))</f>
        <v/>
      </c>
      <c r="Y1580" s="134" t="str">
        <f t="shared" si="517"/>
        <v/>
      </c>
      <c r="Z1580" s="134" t="str">
        <f>IF(Y1580="","",IFERROR((RANK(Y1580,$Y$2:$Y$2028,1)+COUNTIF($Y$2:Y1580,Y1580))-1,""))</f>
        <v/>
      </c>
      <c r="AA1580" s="134" t="str">
        <f t="shared" si="518"/>
        <v/>
      </c>
      <c r="AB1580" s="134" t="str">
        <f>IF(AA1580="","",IFERROR((RANK(AA1580,$AA$2:$AA$2028,1)+COUNTIF($AA$2:AA1580,AA1580))-1,""))</f>
        <v/>
      </c>
      <c r="AC1580" s="134" t="str">
        <f t="shared" si="519"/>
        <v/>
      </c>
      <c r="AD1580" s="134" t="str">
        <f>IF(AC1580="","",IFERROR((RANK(AC1580,$AC$2:$AC$2028,1)+COUNTIF($AC$2:AC1580,AC1580))-1,""))</f>
        <v/>
      </c>
      <c r="AE1580" s="144" t="str">
        <f t="shared" si="511"/>
        <v/>
      </c>
      <c r="AF1580" s="144" t="str">
        <f>IF(AE1580="","",SUM($AE$2:AE1580))</f>
        <v/>
      </c>
    </row>
    <row r="1581" spans="14:32" x14ac:dyDescent="0.35">
      <c r="N1581" s="134" t="str">
        <f t="shared" si="509"/>
        <v/>
      </c>
      <c r="O1581" s="82" t="str">
        <f t="shared" si="512"/>
        <v/>
      </c>
      <c r="P1581" s="81" t="str">
        <f t="shared" si="510"/>
        <v/>
      </c>
      <c r="Q1581" s="81" t="str">
        <f t="shared" si="513"/>
        <v/>
      </c>
      <c r="R1581" s="135" t="str">
        <f t="shared" ca="1" si="514"/>
        <v/>
      </c>
      <c r="S1581" s="134" t="str">
        <f t="shared" ca="1" si="515"/>
        <v/>
      </c>
      <c r="T1581" s="134" t="str">
        <f ca="1">IF(S1581=Dashboard!$D$12,S1581,"")</f>
        <v/>
      </c>
      <c r="U1581" s="134" t="str">
        <f t="shared" ca="1" si="516"/>
        <v/>
      </c>
      <c r="V1581" s="83" t="str">
        <f ca="1">IF(U1581="","",IFERROR((RANK(U1581,$U$2:$U$2028,1)+COUNTIF($U$2:U1581,U1581))-1,""))</f>
        <v/>
      </c>
      <c r="W1581" s="134" t="str">
        <f t="shared" si="520"/>
        <v/>
      </c>
      <c r="X1581" s="134" t="str">
        <f>IF(W1581="","",IFERROR((RANK(W1581,$W$2:$W$2028,1)+COUNTIF($W$2:W1581,W1581))-1,""))</f>
        <v/>
      </c>
      <c r="Y1581" s="134" t="str">
        <f t="shared" si="517"/>
        <v/>
      </c>
      <c r="Z1581" s="134" t="str">
        <f>IF(Y1581="","",IFERROR((RANK(Y1581,$Y$2:$Y$2028,1)+COUNTIF($Y$2:Y1581,Y1581))-1,""))</f>
        <v/>
      </c>
      <c r="AA1581" s="134" t="str">
        <f t="shared" si="518"/>
        <v/>
      </c>
      <c r="AB1581" s="134" t="str">
        <f>IF(AA1581="","",IFERROR((RANK(AA1581,$AA$2:$AA$2028,1)+COUNTIF($AA$2:AA1581,AA1581))-1,""))</f>
        <v/>
      </c>
      <c r="AC1581" s="134" t="str">
        <f t="shared" si="519"/>
        <v/>
      </c>
      <c r="AD1581" s="134" t="str">
        <f>IF(AC1581="","",IFERROR((RANK(AC1581,$AC$2:$AC$2028,1)+COUNTIF($AC$2:AC1581,AC1581))-1,""))</f>
        <v/>
      </c>
      <c r="AE1581" s="144" t="str">
        <f t="shared" si="511"/>
        <v/>
      </c>
      <c r="AF1581" s="144" t="str">
        <f>IF(AE1581="","",SUM($AE$2:AE1581))</f>
        <v/>
      </c>
    </row>
    <row r="1582" spans="14:32" x14ac:dyDescent="0.35">
      <c r="N1582" s="134" t="str">
        <f t="shared" si="509"/>
        <v/>
      </c>
      <c r="O1582" s="82" t="str">
        <f t="shared" si="512"/>
        <v/>
      </c>
      <c r="P1582" s="81" t="str">
        <f t="shared" si="510"/>
        <v/>
      </c>
      <c r="Q1582" s="81" t="str">
        <f t="shared" si="513"/>
        <v/>
      </c>
      <c r="R1582" s="135" t="str">
        <f t="shared" ca="1" si="514"/>
        <v/>
      </c>
      <c r="S1582" s="134" t="str">
        <f t="shared" ca="1" si="515"/>
        <v/>
      </c>
      <c r="T1582" s="134" t="str">
        <f ca="1">IF(S1582=Dashboard!$D$12,S1582,"")</f>
        <v/>
      </c>
      <c r="U1582" s="134" t="str">
        <f t="shared" ca="1" si="516"/>
        <v/>
      </c>
      <c r="V1582" s="83" t="str">
        <f ca="1">IF(U1582="","",IFERROR((RANK(U1582,$U$2:$U$2028,1)+COUNTIF($U$2:U1582,U1582))-1,""))</f>
        <v/>
      </c>
      <c r="W1582" s="134" t="str">
        <f t="shared" si="520"/>
        <v/>
      </c>
      <c r="X1582" s="134" t="str">
        <f>IF(W1582="","",IFERROR((RANK(W1582,$W$2:$W$2028,1)+COUNTIF($W$2:W1582,W1582))-1,""))</f>
        <v/>
      </c>
      <c r="Y1582" s="134" t="str">
        <f t="shared" si="517"/>
        <v/>
      </c>
      <c r="Z1582" s="134" t="str">
        <f>IF(Y1582="","",IFERROR((RANK(Y1582,$Y$2:$Y$2028,1)+COUNTIF($Y$2:Y1582,Y1582))-1,""))</f>
        <v/>
      </c>
      <c r="AA1582" s="134" t="str">
        <f t="shared" si="518"/>
        <v/>
      </c>
      <c r="AB1582" s="134" t="str">
        <f>IF(AA1582="","",IFERROR((RANK(AA1582,$AA$2:$AA$2028,1)+COUNTIF($AA$2:AA1582,AA1582))-1,""))</f>
        <v/>
      </c>
      <c r="AC1582" s="134" t="str">
        <f t="shared" si="519"/>
        <v/>
      </c>
      <c r="AD1582" s="134" t="str">
        <f>IF(AC1582="","",IFERROR((RANK(AC1582,$AC$2:$AC$2028,1)+COUNTIF($AC$2:AC1582,AC1582))-1,""))</f>
        <v/>
      </c>
      <c r="AE1582" s="144" t="str">
        <f t="shared" si="511"/>
        <v/>
      </c>
      <c r="AF1582" s="144" t="str">
        <f>IF(AE1582="","",SUM($AE$2:AE1582))</f>
        <v/>
      </c>
    </row>
    <row r="1583" spans="14:32" x14ac:dyDescent="0.35">
      <c r="N1583" s="134" t="str">
        <f t="shared" si="509"/>
        <v/>
      </c>
      <c r="O1583" s="82" t="str">
        <f t="shared" si="512"/>
        <v/>
      </c>
      <c r="P1583" s="81" t="str">
        <f t="shared" si="510"/>
        <v/>
      </c>
      <c r="Q1583" s="81" t="str">
        <f t="shared" si="513"/>
        <v/>
      </c>
      <c r="R1583" s="135" t="str">
        <f t="shared" ca="1" si="514"/>
        <v/>
      </c>
      <c r="S1583" s="134" t="str">
        <f t="shared" ca="1" si="515"/>
        <v/>
      </c>
      <c r="T1583" s="134" t="str">
        <f ca="1">IF(S1583=Dashboard!$D$12,S1583,"")</f>
        <v/>
      </c>
      <c r="U1583" s="134" t="str">
        <f t="shared" ca="1" si="516"/>
        <v/>
      </c>
      <c r="V1583" s="83" t="str">
        <f ca="1">IF(U1583="","",IFERROR((RANK(U1583,$U$2:$U$2028,1)+COUNTIF($U$2:U1583,U1583))-1,""))</f>
        <v/>
      </c>
      <c r="W1583" s="134" t="str">
        <f t="shared" si="520"/>
        <v/>
      </c>
      <c r="X1583" s="134" t="str">
        <f>IF(W1583="","",IFERROR((RANK(W1583,$W$2:$W$2028,1)+COUNTIF($W$2:W1583,W1583))-1,""))</f>
        <v/>
      </c>
      <c r="Y1583" s="134" t="str">
        <f t="shared" si="517"/>
        <v/>
      </c>
      <c r="Z1583" s="134" t="str">
        <f>IF(Y1583="","",IFERROR((RANK(Y1583,$Y$2:$Y$2028,1)+COUNTIF($Y$2:Y1583,Y1583))-1,""))</f>
        <v/>
      </c>
      <c r="AA1583" s="134" t="str">
        <f t="shared" si="518"/>
        <v/>
      </c>
      <c r="AB1583" s="134" t="str">
        <f>IF(AA1583="","",IFERROR((RANK(AA1583,$AA$2:$AA$2028,1)+COUNTIF($AA$2:AA1583,AA1583))-1,""))</f>
        <v/>
      </c>
      <c r="AC1583" s="134" t="str">
        <f t="shared" si="519"/>
        <v/>
      </c>
      <c r="AD1583" s="134" t="str">
        <f>IF(AC1583="","",IFERROR((RANK(AC1583,$AC$2:$AC$2028,1)+COUNTIF($AC$2:AC1583,AC1583))-1,""))</f>
        <v/>
      </c>
      <c r="AE1583" s="144" t="str">
        <f t="shared" si="511"/>
        <v/>
      </c>
      <c r="AF1583" s="144" t="str">
        <f>IF(AE1583="","",SUM($AE$2:AE1583))</f>
        <v/>
      </c>
    </row>
    <row r="1584" spans="14:32" x14ac:dyDescent="0.35">
      <c r="N1584" s="134" t="str">
        <f t="shared" si="509"/>
        <v/>
      </c>
      <c r="O1584" s="82" t="str">
        <f t="shared" si="512"/>
        <v/>
      </c>
      <c r="P1584" s="81" t="str">
        <f t="shared" si="510"/>
        <v/>
      </c>
      <c r="Q1584" s="81" t="str">
        <f t="shared" si="513"/>
        <v/>
      </c>
      <c r="R1584" s="135" t="str">
        <f t="shared" ca="1" si="514"/>
        <v/>
      </c>
      <c r="S1584" s="134" t="str">
        <f t="shared" ca="1" si="515"/>
        <v/>
      </c>
      <c r="T1584" s="134" t="str">
        <f ca="1">IF(S1584=Dashboard!$D$12,S1584,"")</f>
        <v/>
      </c>
      <c r="U1584" s="134" t="str">
        <f t="shared" ca="1" si="516"/>
        <v/>
      </c>
      <c r="V1584" s="83" t="str">
        <f ca="1">IF(U1584="","",IFERROR((RANK(U1584,$U$2:$U$2028,1)+COUNTIF($U$2:U1584,U1584))-1,""))</f>
        <v/>
      </c>
      <c r="W1584" s="134" t="str">
        <f t="shared" si="520"/>
        <v/>
      </c>
      <c r="X1584" s="134" t="str">
        <f>IF(W1584="","",IFERROR((RANK(W1584,$W$2:$W$2028,1)+COUNTIF($W$2:W1584,W1584))-1,""))</f>
        <v/>
      </c>
      <c r="Y1584" s="134" t="str">
        <f t="shared" si="517"/>
        <v/>
      </c>
      <c r="Z1584" s="134" t="str">
        <f>IF(Y1584="","",IFERROR((RANK(Y1584,$Y$2:$Y$2028,1)+COUNTIF($Y$2:Y1584,Y1584))-1,""))</f>
        <v/>
      </c>
      <c r="AA1584" s="134" t="str">
        <f t="shared" si="518"/>
        <v/>
      </c>
      <c r="AB1584" s="134" t="str">
        <f>IF(AA1584="","",IFERROR((RANK(AA1584,$AA$2:$AA$2028,1)+COUNTIF($AA$2:AA1584,AA1584))-1,""))</f>
        <v/>
      </c>
      <c r="AC1584" s="134" t="str">
        <f t="shared" si="519"/>
        <v/>
      </c>
      <c r="AD1584" s="134" t="str">
        <f>IF(AC1584="","",IFERROR((RANK(AC1584,$AC$2:$AC$2028,1)+COUNTIF($AC$2:AC1584,AC1584))-1,""))</f>
        <v/>
      </c>
      <c r="AE1584" s="144" t="str">
        <f t="shared" si="511"/>
        <v/>
      </c>
      <c r="AF1584" s="144" t="str">
        <f>IF(AE1584="","",SUM($AE$2:AE1584))</f>
        <v/>
      </c>
    </row>
    <row r="1585" spans="14:32" x14ac:dyDescent="0.35">
      <c r="N1585" s="134" t="str">
        <f t="shared" si="509"/>
        <v/>
      </c>
      <c r="O1585" s="82" t="str">
        <f t="shared" si="512"/>
        <v/>
      </c>
      <c r="P1585" s="81" t="str">
        <f t="shared" si="510"/>
        <v/>
      </c>
      <c r="Q1585" s="81" t="str">
        <f t="shared" si="513"/>
        <v/>
      </c>
      <c r="R1585" s="135" t="str">
        <f t="shared" ca="1" si="514"/>
        <v/>
      </c>
      <c r="S1585" s="134" t="str">
        <f t="shared" ca="1" si="515"/>
        <v/>
      </c>
      <c r="T1585" s="134" t="str">
        <f ca="1">IF(S1585=Dashboard!$D$12,S1585,"")</f>
        <v/>
      </c>
      <c r="U1585" s="134" t="str">
        <f t="shared" ca="1" si="516"/>
        <v/>
      </c>
      <c r="V1585" s="83" t="str">
        <f ca="1">IF(U1585="","",IFERROR((RANK(U1585,$U$2:$U$2028,1)+COUNTIF($U$2:U1585,U1585))-1,""))</f>
        <v/>
      </c>
      <c r="W1585" s="134" t="str">
        <f t="shared" si="520"/>
        <v/>
      </c>
      <c r="X1585" s="134" t="str">
        <f>IF(W1585="","",IFERROR((RANK(W1585,$W$2:$W$2028,1)+COUNTIF($W$2:W1585,W1585))-1,""))</f>
        <v/>
      </c>
      <c r="Y1585" s="134" t="str">
        <f t="shared" si="517"/>
        <v/>
      </c>
      <c r="Z1585" s="134" t="str">
        <f>IF(Y1585="","",IFERROR((RANK(Y1585,$Y$2:$Y$2028,1)+COUNTIF($Y$2:Y1585,Y1585))-1,""))</f>
        <v/>
      </c>
      <c r="AA1585" s="134" t="str">
        <f t="shared" si="518"/>
        <v/>
      </c>
      <c r="AB1585" s="134" t="str">
        <f>IF(AA1585="","",IFERROR((RANK(AA1585,$AA$2:$AA$2028,1)+COUNTIF($AA$2:AA1585,AA1585))-1,""))</f>
        <v/>
      </c>
      <c r="AC1585" s="134" t="str">
        <f t="shared" si="519"/>
        <v/>
      </c>
      <c r="AD1585" s="134" t="str">
        <f>IF(AC1585="","",IFERROR((RANK(AC1585,$AC$2:$AC$2028,1)+COUNTIF($AC$2:AC1585,AC1585))-1,""))</f>
        <v/>
      </c>
      <c r="AE1585" s="144" t="str">
        <f t="shared" si="511"/>
        <v/>
      </c>
      <c r="AF1585" s="144" t="str">
        <f>IF(AE1585="","",SUM($AE$2:AE1585))</f>
        <v/>
      </c>
    </row>
    <row r="1586" spans="14:32" x14ac:dyDescent="0.35">
      <c r="N1586" s="134" t="str">
        <f t="shared" si="509"/>
        <v/>
      </c>
      <c r="O1586" s="82" t="str">
        <f t="shared" si="512"/>
        <v/>
      </c>
      <c r="P1586" s="81" t="str">
        <f t="shared" si="510"/>
        <v/>
      </c>
      <c r="Q1586" s="81" t="str">
        <f t="shared" si="513"/>
        <v/>
      </c>
      <c r="R1586" s="135" t="str">
        <f t="shared" ca="1" si="514"/>
        <v/>
      </c>
      <c r="S1586" s="134" t="str">
        <f t="shared" ca="1" si="515"/>
        <v/>
      </c>
      <c r="T1586" s="134" t="str">
        <f ca="1">IF(S1586=Dashboard!$D$12,S1586,"")</f>
        <v/>
      </c>
      <c r="U1586" s="134" t="str">
        <f t="shared" ca="1" si="516"/>
        <v/>
      </c>
      <c r="V1586" s="83" t="str">
        <f ca="1">IF(U1586="","",IFERROR((RANK(U1586,$U$2:$U$2028,1)+COUNTIF($U$2:U1586,U1586))-1,""))</f>
        <v/>
      </c>
      <c r="W1586" s="134" t="str">
        <f t="shared" si="520"/>
        <v/>
      </c>
      <c r="X1586" s="134" t="str">
        <f>IF(W1586="","",IFERROR((RANK(W1586,$W$2:$W$2028,1)+COUNTIF($W$2:W1586,W1586))-1,""))</f>
        <v/>
      </c>
      <c r="Y1586" s="134" t="str">
        <f t="shared" si="517"/>
        <v/>
      </c>
      <c r="Z1586" s="134" t="str">
        <f>IF(Y1586="","",IFERROR((RANK(Y1586,$Y$2:$Y$2028,1)+COUNTIF($Y$2:Y1586,Y1586))-1,""))</f>
        <v/>
      </c>
      <c r="AA1586" s="134" t="str">
        <f t="shared" si="518"/>
        <v/>
      </c>
      <c r="AB1586" s="134" t="str">
        <f>IF(AA1586="","",IFERROR((RANK(AA1586,$AA$2:$AA$2028,1)+COUNTIF($AA$2:AA1586,AA1586))-1,""))</f>
        <v/>
      </c>
      <c r="AC1586" s="134" t="str">
        <f t="shared" si="519"/>
        <v/>
      </c>
      <c r="AD1586" s="134" t="str">
        <f>IF(AC1586="","",IFERROR((RANK(AC1586,$AC$2:$AC$2028,1)+COUNTIF($AC$2:AC1586,AC1586))-1,""))</f>
        <v/>
      </c>
      <c r="AE1586" s="144" t="str">
        <f t="shared" si="511"/>
        <v/>
      </c>
      <c r="AF1586" s="144" t="str">
        <f>IF(AE1586="","",SUM($AE$2:AE1586))</f>
        <v/>
      </c>
    </row>
    <row r="1587" spans="14:32" x14ac:dyDescent="0.35">
      <c r="N1587" s="134" t="str">
        <f t="shared" si="509"/>
        <v/>
      </c>
      <c r="O1587" s="82" t="str">
        <f t="shared" si="512"/>
        <v/>
      </c>
      <c r="P1587" s="81" t="str">
        <f t="shared" si="510"/>
        <v/>
      </c>
      <c r="Q1587" s="81" t="str">
        <f t="shared" si="513"/>
        <v/>
      </c>
      <c r="R1587" s="135" t="str">
        <f t="shared" ca="1" si="514"/>
        <v/>
      </c>
      <c r="S1587" s="134" t="str">
        <f t="shared" ca="1" si="515"/>
        <v/>
      </c>
      <c r="T1587" s="134" t="str">
        <f ca="1">IF(S1587=Dashboard!$D$12,S1587,"")</f>
        <v/>
      </c>
      <c r="U1587" s="134" t="str">
        <f t="shared" ca="1" si="516"/>
        <v/>
      </c>
      <c r="V1587" s="83" t="str">
        <f ca="1">IF(U1587="","",IFERROR((RANK(U1587,$U$2:$U$2028,1)+COUNTIF($U$2:U1587,U1587))-1,""))</f>
        <v/>
      </c>
      <c r="W1587" s="134" t="str">
        <f t="shared" si="520"/>
        <v/>
      </c>
      <c r="X1587" s="134" t="str">
        <f>IF(W1587="","",IFERROR((RANK(W1587,$W$2:$W$2028,1)+COUNTIF($W$2:W1587,W1587))-1,""))</f>
        <v/>
      </c>
      <c r="Y1587" s="134" t="str">
        <f t="shared" si="517"/>
        <v/>
      </c>
      <c r="Z1587" s="134" t="str">
        <f>IF(Y1587="","",IFERROR((RANK(Y1587,$Y$2:$Y$2028,1)+COUNTIF($Y$2:Y1587,Y1587))-1,""))</f>
        <v/>
      </c>
      <c r="AA1587" s="134" t="str">
        <f t="shared" si="518"/>
        <v/>
      </c>
      <c r="AB1587" s="134" t="str">
        <f>IF(AA1587="","",IFERROR((RANK(AA1587,$AA$2:$AA$2028,1)+COUNTIF($AA$2:AA1587,AA1587))-1,""))</f>
        <v/>
      </c>
      <c r="AC1587" s="134" t="str">
        <f t="shared" si="519"/>
        <v/>
      </c>
      <c r="AD1587" s="134" t="str">
        <f>IF(AC1587="","",IFERROR((RANK(AC1587,$AC$2:$AC$2028,1)+COUNTIF($AC$2:AC1587,AC1587))-1,""))</f>
        <v/>
      </c>
      <c r="AE1587" s="144" t="str">
        <f t="shared" si="511"/>
        <v/>
      </c>
      <c r="AF1587" s="144" t="str">
        <f>IF(AE1587="","",SUM($AE$2:AE1587))</f>
        <v/>
      </c>
    </row>
    <row r="1588" spans="14:32" x14ac:dyDescent="0.35">
      <c r="N1588" s="134" t="str">
        <f t="shared" si="509"/>
        <v/>
      </c>
      <c r="O1588" s="82" t="str">
        <f t="shared" si="512"/>
        <v/>
      </c>
      <c r="P1588" s="81" t="str">
        <f t="shared" si="510"/>
        <v/>
      </c>
      <c r="Q1588" s="81" t="str">
        <f t="shared" si="513"/>
        <v/>
      </c>
      <c r="R1588" s="135" t="str">
        <f t="shared" ca="1" si="514"/>
        <v/>
      </c>
      <c r="S1588" s="134" t="str">
        <f t="shared" ca="1" si="515"/>
        <v/>
      </c>
      <c r="T1588" s="134" t="str">
        <f ca="1">IF(S1588=Dashboard!$D$12,S1588,"")</f>
        <v/>
      </c>
      <c r="U1588" s="134" t="str">
        <f t="shared" ca="1" si="516"/>
        <v/>
      </c>
      <c r="V1588" s="83" t="str">
        <f ca="1">IF(U1588="","",IFERROR((RANK(U1588,$U$2:$U$2028,1)+COUNTIF($U$2:U1588,U1588))-1,""))</f>
        <v/>
      </c>
      <c r="W1588" s="134" t="str">
        <f t="shared" si="520"/>
        <v/>
      </c>
      <c r="X1588" s="134" t="str">
        <f>IF(W1588="","",IFERROR((RANK(W1588,$W$2:$W$2028,1)+COUNTIF($W$2:W1588,W1588))-1,""))</f>
        <v/>
      </c>
      <c r="Y1588" s="134" t="str">
        <f t="shared" si="517"/>
        <v/>
      </c>
      <c r="Z1588" s="134" t="str">
        <f>IF(Y1588="","",IFERROR((RANK(Y1588,$Y$2:$Y$2028,1)+COUNTIF($Y$2:Y1588,Y1588))-1,""))</f>
        <v/>
      </c>
      <c r="AA1588" s="134" t="str">
        <f t="shared" si="518"/>
        <v/>
      </c>
      <c r="AB1588" s="134" t="str">
        <f>IF(AA1588="","",IFERROR((RANK(AA1588,$AA$2:$AA$2028,1)+COUNTIF($AA$2:AA1588,AA1588))-1,""))</f>
        <v/>
      </c>
      <c r="AC1588" s="134" t="str">
        <f t="shared" si="519"/>
        <v/>
      </c>
      <c r="AD1588" s="134" t="str">
        <f>IF(AC1588="","",IFERROR((RANK(AC1588,$AC$2:$AC$2028,1)+COUNTIF($AC$2:AC1588,AC1588))-1,""))</f>
        <v/>
      </c>
      <c r="AE1588" s="144" t="str">
        <f t="shared" si="511"/>
        <v/>
      </c>
      <c r="AF1588" s="144" t="str">
        <f>IF(AE1588="","",SUM($AE$2:AE1588))</f>
        <v/>
      </c>
    </row>
    <row r="1589" spans="14:32" x14ac:dyDescent="0.35">
      <c r="N1589" s="134" t="str">
        <f t="shared" si="509"/>
        <v/>
      </c>
      <c r="O1589" s="82" t="str">
        <f t="shared" si="512"/>
        <v/>
      </c>
      <c r="P1589" s="81" t="str">
        <f t="shared" si="510"/>
        <v/>
      </c>
      <c r="Q1589" s="81" t="str">
        <f t="shared" si="513"/>
        <v/>
      </c>
      <c r="R1589" s="135" t="str">
        <f t="shared" ca="1" si="514"/>
        <v/>
      </c>
      <c r="S1589" s="134" t="str">
        <f t="shared" ca="1" si="515"/>
        <v/>
      </c>
      <c r="T1589" s="134" t="str">
        <f ca="1">IF(S1589=Dashboard!$D$12,S1589,"")</f>
        <v/>
      </c>
      <c r="U1589" s="134" t="str">
        <f t="shared" ca="1" si="516"/>
        <v/>
      </c>
      <c r="V1589" s="83" t="str">
        <f ca="1">IF(U1589="","",IFERROR((RANK(U1589,$U$2:$U$2028,1)+COUNTIF($U$2:U1589,U1589))-1,""))</f>
        <v/>
      </c>
      <c r="W1589" s="134" t="str">
        <f t="shared" si="520"/>
        <v/>
      </c>
      <c r="X1589" s="134" t="str">
        <f>IF(W1589="","",IFERROR((RANK(W1589,$W$2:$W$2028,1)+COUNTIF($W$2:W1589,W1589))-1,""))</f>
        <v/>
      </c>
      <c r="Y1589" s="134" t="str">
        <f t="shared" si="517"/>
        <v/>
      </c>
      <c r="Z1589" s="134" t="str">
        <f>IF(Y1589="","",IFERROR((RANK(Y1589,$Y$2:$Y$2028,1)+COUNTIF($Y$2:Y1589,Y1589))-1,""))</f>
        <v/>
      </c>
      <c r="AA1589" s="134" t="str">
        <f t="shared" si="518"/>
        <v/>
      </c>
      <c r="AB1589" s="134" t="str">
        <f>IF(AA1589="","",IFERROR((RANK(AA1589,$AA$2:$AA$2028,1)+COUNTIF($AA$2:AA1589,AA1589))-1,""))</f>
        <v/>
      </c>
      <c r="AC1589" s="134" t="str">
        <f t="shared" si="519"/>
        <v/>
      </c>
      <c r="AD1589" s="134" t="str">
        <f>IF(AC1589="","",IFERROR((RANK(AC1589,$AC$2:$AC$2028,1)+COUNTIF($AC$2:AC1589,AC1589))-1,""))</f>
        <v/>
      </c>
      <c r="AE1589" s="144" t="str">
        <f t="shared" si="511"/>
        <v/>
      </c>
      <c r="AF1589" s="144" t="str">
        <f>IF(AE1589="","",SUM($AE$2:AE1589))</f>
        <v/>
      </c>
    </row>
    <row r="1590" spans="14:32" x14ac:dyDescent="0.35">
      <c r="N1590" s="134" t="str">
        <f t="shared" si="509"/>
        <v/>
      </c>
      <c r="O1590" s="82" t="str">
        <f t="shared" si="512"/>
        <v/>
      </c>
      <c r="P1590" s="81" t="str">
        <f t="shared" si="510"/>
        <v/>
      </c>
      <c r="Q1590" s="81" t="str">
        <f t="shared" si="513"/>
        <v/>
      </c>
      <c r="R1590" s="135" t="str">
        <f t="shared" ca="1" si="514"/>
        <v/>
      </c>
      <c r="S1590" s="134" t="str">
        <f t="shared" ca="1" si="515"/>
        <v/>
      </c>
      <c r="T1590" s="134" t="str">
        <f ca="1">IF(S1590=Dashboard!$D$12,S1590,"")</f>
        <v/>
      </c>
      <c r="U1590" s="134" t="str">
        <f t="shared" ca="1" si="516"/>
        <v/>
      </c>
      <c r="V1590" s="83" t="str">
        <f ca="1">IF(U1590="","",IFERROR((RANK(U1590,$U$2:$U$2028,1)+COUNTIF($U$2:U1590,U1590))-1,""))</f>
        <v/>
      </c>
      <c r="W1590" s="134" t="str">
        <f t="shared" si="520"/>
        <v/>
      </c>
      <c r="X1590" s="134" t="str">
        <f>IF(W1590="","",IFERROR((RANK(W1590,$W$2:$W$2028,1)+COUNTIF($W$2:W1590,W1590))-1,""))</f>
        <v/>
      </c>
      <c r="Y1590" s="134" t="str">
        <f t="shared" si="517"/>
        <v/>
      </c>
      <c r="Z1590" s="134" t="str">
        <f>IF(Y1590="","",IFERROR((RANK(Y1590,$Y$2:$Y$2028,1)+COUNTIF($Y$2:Y1590,Y1590))-1,""))</f>
        <v/>
      </c>
      <c r="AA1590" s="134" t="str">
        <f t="shared" si="518"/>
        <v/>
      </c>
      <c r="AB1590" s="134" t="str">
        <f>IF(AA1590="","",IFERROR((RANK(AA1590,$AA$2:$AA$2028,1)+COUNTIF($AA$2:AA1590,AA1590))-1,""))</f>
        <v/>
      </c>
      <c r="AC1590" s="134" t="str">
        <f t="shared" si="519"/>
        <v/>
      </c>
      <c r="AD1590" s="134" t="str">
        <f>IF(AC1590="","",IFERROR((RANK(AC1590,$AC$2:$AC$2028,1)+COUNTIF($AC$2:AC1590,AC1590))-1,""))</f>
        <v/>
      </c>
      <c r="AE1590" s="144" t="str">
        <f t="shared" si="511"/>
        <v/>
      </c>
      <c r="AF1590" s="144" t="str">
        <f>IF(AE1590="","",SUM($AE$2:AE1590))</f>
        <v/>
      </c>
    </row>
    <row r="1591" spans="14:32" x14ac:dyDescent="0.35">
      <c r="N1591" s="134" t="str">
        <f t="shared" si="509"/>
        <v/>
      </c>
      <c r="O1591" s="82" t="str">
        <f t="shared" si="512"/>
        <v/>
      </c>
      <c r="P1591" s="81" t="str">
        <f t="shared" si="510"/>
        <v/>
      </c>
      <c r="Q1591" s="81" t="str">
        <f t="shared" si="513"/>
        <v/>
      </c>
      <c r="R1591" s="135" t="str">
        <f t="shared" ca="1" si="514"/>
        <v/>
      </c>
      <c r="S1591" s="134" t="str">
        <f t="shared" ca="1" si="515"/>
        <v/>
      </c>
      <c r="T1591" s="134" t="str">
        <f ca="1">IF(S1591=Dashboard!$D$12,S1591,"")</f>
        <v/>
      </c>
      <c r="U1591" s="134" t="str">
        <f t="shared" ca="1" si="516"/>
        <v/>
      </c>
      <c r="V1591" s="83" t="str">
        <f ca="1">IF(U1591="","",IFERROR((RANK(U1591,$U$2:$U$2028,1)+COUNTIF($U$2:U1591,U1591))-1,""))</f>
        <v/>
      </c>
      <c r="W1591" s="134" t="str">
        <f t="shared" si="520"/>
        <v/>
      </c>
      <c r="X1591" s="134" t="str">
        <f>IF(W1591="","",IFERROR((RANK(W1591,$W$2:$W$2028,1)+COUNTIF($W$2:W1591,W1591))-1,""))</f>
        <v/>
      </c>
      <c r="Y1591" s="134" t="str">
        <f t="shared" si="517"/>
        <v/>
      </c>
      <c r="Z1591" s="134" t="str">
        <f>IF(Y1591="","",IFERROR((RANK(Y1591,$Y$2:$Y$2028,1)+COUNTIF($Y$2:Y1591,Y1591))-1,""))</f>
        <v/>
      </c>
      <c r="AA1591" s="134" t="str">
        <f t="shared" si="518"/>
        <v/>
      </c>
      <c r="AB1591" s="134" t="str">
        <f>IF(AA1591="","",IFERROR((RANK(AA1591,$AA$2:$AA$2028,1)+COUNTIF($AA$2:AA1591,AA1591))-1,""))</f>
        <v/>
      </c>
      <c r="AC1591" s="134" t="str">
        <f t="shared" si="519"/>
        <v/>
      </c>
      <c r="AD1591" s="134" t="str">
        <f>IF(AC1591="","",IFERROR((RANK(AC1591,$AC$2:$AC$2028,1)+COUNTIF($AC$2:AC1591,AC1591))-1,""))</f>
        <v/>
      </c>
      <c r="AE1591" s="144" t="str">
        <f t="shared" si="511"/>
        <v/>
      </c>
      <c r="AF1591" s="144" t="str">
        <f>IF(AE1591="","",SUM($AE$2:AE1591))</f>
        <v/>
      </c>
    </row>
    <row r="1592" spans="14:32" x14ac:dyDescent="0.35">
      <c r="N1592" s="134" t="str">
        <f t="shared" si="509"/>
        <v/>
      </c>
      <c r="O1592" s="82" t="str">
        <f t="shared" si="512"/>
        <v/>
      </c>
      <c r="P1592" s="81" t="str">
        <f t="shared" si="510"/>
        <v/>
      </c>
      <c r="Q1592" s="81" t="str">
        <f t="shared" si="513"/>
        <v/>
      </c>
      <c r="R1592" s="135" t="str">
        <f t="shared" ca="1" si="514"/>
        <v/>
      </c>
      <c r="S1592" s="134" t="str">
        <f t="shared" ca="1" si="515"/>
        <v/>
      </c>
      <c r="T1592" s="134" t="str">
        <f ca="1">IF(S1592=Dashboard!$D$12,S1592,"")</f>
        <v/>
      </c>
      <c r="U1592" s="134" t="str">
        <f t="shared" ca="1" si="516"/>
        <v/>
      </c>
      <c r="V1592" s="83" t="str">
        <f ca="1">IF(U1592="","",IFERROR((RANK(U1592,$U$2:$U$2028,1)+COUNTIF($U$2:U1592,U1592))-1,""))</f>
        <v/>
      </c>
      <c r="W1592" s="134" t="str">
        <f t="shared" si="520"/>
        <v/>
      </c>
      <c r="X1592" s="134" t="str">
        <f>IF(W1592="","",IFERROR((RANK(W1592,$W$2:$W$2028,1)+COUNTIF($W$2:W1592,W1592))-1,""))</f>
        <v/>
      </c>
      <c r="Y1592" s="134" t="str">
        <f t="shared" si="517"/>
        <v/>
      </c>
      <c r="Z1592" s="134" t="str">
        <f>IF(Y1592="","",IFERROR((RANK(Y1592,$Y$2:$Y$2028,1)+COUNTIF($Y$2:Y1592,Y1592))-1,""))</f>
        <v/>
      </c>
      <c r="AA1592" s="134" t="str">
        <f t="shared" si="518"/>
        <v/>
      </c>
      <c r="AB1592" s="134" t="str">
        <f>IF(AA1592="","",IFERROR((RANK(AA1592,$AA$2:$AA$2028,1)+COUNTIF($AA$2:AA1592,AA1592))-1,""))</f>
        <v/>
      </c>
      <c r="AC1592" s="134" t="str">
        <f t="shared" si="519"/>
        <v/>
      </c>
      <c r="AD1592" s="134" t="str">
        <f>IF(AC1592="","",IFERROR((RANK(AC1592,$AC$2:$AC$2028,1)+COUNTIF($AC$2:AC1592,AC1592))-1,""))</f>
        <v/>
      </c>
      <c r="AE1592" s="144" t="str">
        <f t="shared" si="511"/>
        <v/>
      </c>
      <c r="AF1592" s="144" t="str">
        <f>IF(AE1592="","",SUM($AE$2:AE1592))</f>
        <v/>
      </c>
    </row>
    <row r="1593" spans="14:32" x14ac:dyDescent="0.35">
      <c r="N1593" s="134" t="str">
        <f t="shared" si="509"/>
        <v/>
      </c>
      <c r="O1593" s="82" t="str">
        <f t="shared" si="512"/>
        <v/>
      </c>
      <c r="P1593" s="81" t="str">
        <f t="shared" si="510"/>
        <v/>
      </c>
      <c r="Q1593" s="81" t="str">
        <f t="shared" si="513"/>
        <v/>
      </c>
      <c r="R1593" s="135" t="str">
        <f t="shared" ca="1" si="514"/>
        <v/>
      </c>
      <c r="S1593" s="134" t="str">
        <f t="shared" ca="1" si="515"/>
        <v/>
      </c>
      <c r="T1593" s="134" t="str">
        <f ca="1">IF(S1593=Dashboard!$D$12,S1593,"")</f>
        <v/>
      </c>
      <c r="U1593" s="134" t="str">
        <f t="shared" ca="1" si="516"/>
        <v/>
      </c>
      <c r="V1593" s="83" t="str">
        <f ca="1">IF(U1593="","",IFERROR((RANK(U1593,$U$2:$U$2028,1)+COUNTIF($U$2:U1593,U1593))-1,""))</f>
        <v/>
      </c>
      <c r="W1593" s="134" t="str">
        <f t="shared" si="520"/>
        <v/>
      </c>
      <c r="X1593" s="134" t="str">
        <f>IF(W1593="","",IFERROR((RANK(W1593,$W$2:$W$2028,1)+COUNTIF($W$2:W1593,W1593))-1,""))</f>
        <v/>
      </c>
      <c r="Y1593" s="134" t="str">
        <f t="shared" si="517"/>
        <v/>
      </c>
      <c r="Z1593" s="134" t="str">
        <f>IF(Y1593="","",IFERROR((RANK(Y1593,$Y$2:$Y$2028,1)+COUNTIF($Y$2:Y1593,Y1593))-1,""))</f>
        <v/>
      </c>
      <c r="AA1593" s="134" t="str">
        <f t="shared" si="518"/>
        <v/>
      </c>
      <c r="AB1593" s="134" t="str">
        <f>IF(AA1593="","",IFERROR((RANK(AA1593,$AA$2:$AA$2028,1)+COUNTIF($AA$2:AA1593,AA1593))-1,""))</f>
        <v/>
      </c>
      <c r="AC1593" s="134" t="str">
        <f t="shared" si="519"/>
        <v/>
      </c>
      <c r="AD1593" s="134" t="str">
        <f>IF(AC1593="","",IFERROR((RANK(AC1593,$AC$2:$AC$2028,1)+COUNTIF($AC$2:AC1593,AC1593))-1,""))</f>
        <v/>
      </c>
      <c r="AE1593" s="144" t="str">
        <f t="shared" si="511"/>
        <v/>
      </c>
      <c r="AF1593" s="144" t="str">
        <f>IF(AE1593="","",SUM($AE$2:AE1593))</f>
        <v/>
      </c>
    </row>
    <row r="1594" spans="14:32" x14ac:dyDescent="0.35">
      <c r="N1594" s="134" t="str">
        <f t="shared" si="509"/>
        <v/>
      </c>
      <c r="O1594" s="82" t="str">
        <f t="shared" si="512"/>
        <v/>
      </c>
      <c r="P1594" s="81" t="str">
        <f t="shared" si="510"/>
        <v/>
      </c>
      <c r="Q1594" s="81" t="str">
        <f t="shared" si="513"/>
        <v/>
      </c>
      <c r="R1594" s="135" t="str">
        <f t="shared" ca="1" si="514"/>
        <v/>
      </c>
      <c r="S1594" s="134" t="str">
        <f t="shared" ca="1" si="515"/>
        <v/>
      </c>
      <c r="T1594" s="134" t="str">
        <f ca="1">IF(S1594=Dashboard!$D$12,S1594,"")</f>
        <v/>
      </c>
      <c r="U1594" s="134" t="str">
        <f t="shared" ca="1" si="516"/>
        <v/>
      </c>
      <c r="V1594" s="83" t="str">
        <f ca="1">IF(U1594="","",IFERROR((RANK(U1594,$U$2:$U$2028,1)+COUNTIF($U$2:U1594,U1594))-1,""))</f>
        <v/>
      </c>
      <c r="W1594" s="134" t="str">
        <f t="shared" si="520"/>
        <v/>
      </c>
      <c r="X1594" s="134" t="str">
        <f>IF(W1594="","",IFERROR((RANK(W1594,$W$2:$W$2028,1)+COUNTIF($W$2:W1594,W1594))-1,""))</f>
        <v/>
      </c>
      <c r="Y1594" s="134" t="str">
        <f t="shared" si="517"/>
        <v/>
      </c>
      <c r="Z1594" s="134" t="str">
        <f>IF(Y1594="","",IFERROR((RANK(Y1594,$Y$2:$Y$2028,1)+COUNTIF($Y$2:Y1594,Y1594))-1,""))</f>
        <v/>
      </c>
      <c r="AA1594" s="134" t="str">
        <f t="shared" si="518"/>
        <v/>
      </c>
      <c r="AB1594" s="134" t="str">
        <f>IF(AA1594="","",IFERROR((RANK(AA1594,$AA$2:$AA$2028,1)+COUNTIF($AA$2:AA1594,AA1594))-1,""))</f>
        <v/>
      </c>
      <c r="AC1594" s="134" t="str">
        <f t="shared" si="519"/>
        <v/>
      </c>
      <c r="AD1594" s="134" t="str">
        <f>IF(AC1594="","",IFERROR((RANK(AC1594,$AC$2:$AC$2028,1)+COUNTIF($AC$2:AC1594,AC1594))-1,""))</f>
        <v/>
      </c>
      <c r="AE1594" s="144" t="str">
        <f t="shared" si="511"/>
        <v/>
      </c>
      <c r="AF1594" s="144" t="str">
        <f>IF(AE1594="","",SUM($AE$2:AE1594))</f>
        <v/>
      </c>
    </row>
    <row r="1595" spans="14:32" x14ac:dyDescent="0.35">
      <c r="N1595" s="134" t="str">
        <f t="shared" si="509"/>
        <v/>
      </c>
      <c r="O1595" s="82" t="str">
        <f t="shared" si="512"/>
        <v/>
      </c>
      <c r="P1595" s="81" t="str">
        <f t="shared" si="510"/>
        <v/>
      </c>
      <c r="Q1595" s="81" t="str">
        <f t="shared" si="513"/>
        <v/>
      </c>
      <c r="R1595" s="135" t="str">
        <f t="shared" ca="1" si="514"/>
        <v/>
      </c>
      <c r="S1595" s="134" t="str">
        <f t="shared" ca="1" si="515"/>
        <v/>
      </c>
      <c r="T1595" s="134" t="str">
        <f ca="1">IF(S1595=Dashboard!$D$12,S1595,"")</f>
        <v/>
      </c>
      <c r="U1595" s="134" t="str">
        <f t="shared" ca="1" si="516"/>
        <v/>
      </c>
      <c r="V1595" s="83" t="str">
        <f ca="1">IF(U1595="","",IFERROR((RANK(U1595,$U$2:$U$2028,1)+COUNTIF($U$2:U1595,U1595))-1,""))</f>
        <v/>
      </c>
      <c r="W1595" s="134" t="str">
        <f t="shared" si="520"/>
        <v/>
      </c>
      <c r="X1595" s="134" t="str">
        <f>IF(W1595="","",IFERROR((RANK(W1595,$W$2:$W$2028,1)+COUNTIF($W$2:W1595,W1595))-1,""))</f>
        <v/>
      </c>
      <c r="Y1595" s="134" t="str">
        <f t="shared" si="517"/>
        <v/>
      </c>
      <c r="Z1595" s="134" t="str">
        <f>IF(Y1595="","",IFERROR((RANK(Y1595,$Y$2:$Y$2028,1)+COUNTIF($Y$2:Y1595,Y1595))-1,""))</f>
        <v/>
      </c>
      <c r="AA1595" s="134" t="str">
        <f t="shared" si="518"/>
        <v/>
      </c>
      <c r="AB1595" s="134" t="str">
        <f>IF(AA1595="","",IFERROR((RANK(AA1595,$AA$2:$AA$2028,1)+COUNTIF($AA$2:AA1595,AA1595))-1,""))</f>
        <v/>
      </c>
      <c r="AC1595" s="134" t="str">
        <f t="shared" si="519"/>
        <v/>
      </c>
      <c r="AD1595" s="134" t="str">
        <f>IF(AC1595="","",IFERROR((RANK(AC1595,$AC$2:$AC$2028,1)+COUNTIF($AC$2:AC1595,AC1595))-1,""))</f>
        <v/>
      </c>
      <c r="AE1595" s="144" t="str">
        <f t="shared" si="511"/>
        <v/>
      </c>
      <c r="AF1595" s="144" t="str">
        <f>IF(AE1595="","",SUM($AE$2:AE1595))</f>
        <v/>
      </c>
    </row>
    <row r="1596" spans="14:32" x14ac:dyDescent="0.35">
      <c r="N1596" s="134" t="str">
        <f t="shared" si="509"/>
        <v/>
      </c>
      <c r="O1596" s="82" t="str">
        <f t="shared" si="512"/>
        <v/>
      </c>
      <c r="P1596" s="81" t="str">
        <f t="shared" si="510"/>
        <v/>
      </c>
      <c r="Q1596" s="81" t="str">
        <f t="shared" si="513"/>
        <v/>
      </c>
      <c r="R1596" s="135" t="str">
        <f t="shared" ca="1" si="514"/>
        <v/>
      </c>
      <c r="S1596" s="134" t="str">
        <f t="shared" ca="1" si="515"/>
        <v/>
      </c>
      <c r="T1596" s="134" t="str">
        <f ca="1">IF(S1596=Dashboard!$D$12,S1596,"")</f>
        <v/>
      </c>
      <c r="U1596" s="134" t="str">
        <f t="shared" ca="1" si="516"/>
        <v/>
      </c>
      <c r="V1596" s="83" t="str">
        <f ca="1">IF(U1596="","",IFERROR((RANK(U1596,$U$2:$U$2028,1)+COUNTIF($U$2:U1596,U1596))-1,""))</f>
        <v/>
      </c>
      <c r="W1596" s="134" t="str">
        <f t="shared" si="520"/>
        <v/>
      </c>
      <c r="X1596" s="134" t="str">
        <f>IF(W1596="","",IFERROR((RANK(W1596,$W$2:$W$2028,1)+COUNTIF($W$2:W1596,W1596))-1,""))</f>
        <v/>
      </c>
      <c r="Y1596" s="134" t="str">
        <f t="shared" si="517"/>
        <v/>
      </c>
      <c r="Z1596" s="134" t="str">
        <f>IF(Y1596="","",IFERROR((RANK(Y1596,$Y$2:$Y$2028,1)+COUNTIF($Y$2:Y1596,Y1596))-1,""))</f>
        <v/>
      </c>
      <c r="AA1596" s="134" t="str">
        <f t="shared" si="518"/>
        <v/>
      </c>
      <c r="AB1596" s="134" t="str">
        <f>IF(AA1596="","",IFERROR((RANK(AA1596,$AA$2:$AA$2028,1)+COUNTIF($AA$2:AA1596,AA1596))-1,""))</f>
        <v/>
      </c>
      <c r="AC1596" s="134" t="str">
        <f t="shared" si="519"/>
        <v/>
      </c>
      <c r="AD1596" s="134" t="str">
        <f>IF(AC1596="","",IFERROR((RANK(AC1596,$AC$2:$AC$2028,1)+COUNTIF($AC$2:AC1596,AC1596))-1,""))</f>
        <v/>
      </c>
      <c r="AE1596" s="144" t="str">
        <f t="shared" si="511"/>
        <v/>
      </c>
      <c r="AF1596" s="144" t="str">
        <f>IF(AE1596="","",SUM($AE$2:AE1596))</f>
        <v/>
      </c>
    </row>
    <row r="1597" spans="14:32" x14ac:dyDescent="0.35">
      <c r="N1597" s="134" t="str">
        <f t="shared" si="509"/>
        <v/>
      </c>
      <c r="O1597" s="82" t="str">
        <f t="shared" si="512"/>
        <v/>
      </c>
      <c r="P1597" s="81" t="str">
        <f t="shared" si="510"/>
        <v/>
      </c>
      <c r="Q1597" s="81" t="str">
        <f t="shared" si="513"/>
        <v/>
      </c>
      <c r="R1597" s="135" t="str">
        <f t="shared" ca="1" si="514"/>
        <v/>
      </c>
      <c r="S1597" s="134" t="str">
        <f t="shared" ca="1" si="515"/>
        <v/>
      </c>
      <c r="T1597" s="134" t="str">
        <f ca="1">IF(S1597=Dashboard!$D$12,S1597,"")</f>
        <v/>
      </c>
      <c r="U1597" s="134" t="str">
        <f t="shared" ca="1" si="516"/>
        <v/>
      </c>
      <c r="V1597" s="83" t="str">
        <f ca="1">IF(U1597="","",IFERROR((RANK(U1597,$U$2:$U$2028,1)+COUNTIF($U$2:U1597,U1597))-1,""))</f>
        <v/>
      </c>
      <c r="W1597" s="134" t="str">
        <f t="shared" si="520"/>
        <v/>
      </c>
      <c r="X1597" s="134" t="str">
        <f>IF(W1597="","",IFERROR((RANK(W1597,$W$2:$W$2028,1)+COUNTIF($W$2:W1597,W1597))-1,""))</f>
        <v/>
      </c>
      <c r="Y1597" s="134" t="str">
        <f t="shared" si="517"/>
        <v/>
      </c>
      <c r="Z1597" s="134" t="str">
        <f>IF(Y1597="","",IFERROR((RANK(Y1597,$Y$2:$Y$2028,1)+COUNTIF($Y$2:Y1597,Y1597))-1,""))</f>
        <v/>
      </c>
      <c r="AA1597" s="134" t="str">
        <f t="shared" si="518"/>
        <v/>
      </c>
      <c r="AB1597" s="134" t="str">
        <f>IF(AA1597="","",IFERROR((RANK(AA1597,$AA$2:$AA$2028,1)+COUNTIF($AA$2:AA1597,AA1597))-1,""))</f>
        <v/>
      </c>
      <c r="AC1597" s="134" t="str">
        <f t="shared" si="519"/>
        <v/>
      </c>
      <c r="AD1597" s="134" t="str">
        <f>IF(AC1597="","",IFERROR((RANK(AC1597,$AC$2:$AC$2028,1)+COUNTIF($AC$2:AC1597,AC1597))-1,""))</f>
        <v/>
      </c>
      <c r="AE1597" s="144" t="str">
        <f t="shared" si="511"/>
        <v/>
      </c>
      <c r="AF1597" s="144" t="str">
        <f>IF(AE1597="","",SUM($AE$2:AE1597))</f>
        <v/>
      </c>
    </row>
    <row r="1598" spans="14:32" x14ac:dyDescent="0.35">
      <c r="N1598" s="134" t="str">
        <f t="shared" si="509"/>
        <v/>
      </c>
      <c r="O1598" s="82" t="str">
        <f t="shared" si="512"/>
        <v/>
      </c>
      <c r="P1598" s="81" t="str">
        <f t="shared" si="510"/>
        <v/>
      </c>
      <c r="Q1598" s="81" t="str">
        <f t="shared" si="513"/>
        <v/>
      </c>
      <c r="R1598" s="135" t="str">
        <f t="shared" ca="1" si="514"/>
        <v/>
      </c>
      <c r="S1598" s="134" t="str">
        <f t="shared" ca="1" si="515"/>
        <v/>
      </c>
      <c r="T1598" s="134" t="str">
        <f ca="1">IF(S1598=Dashboard!$D$12,S1598,"")</f>
        <v/>
      </c>
      <c r="U1598" s="134" t="str">
        <f t="shared" ca="1" si="516"/>
        <v/>
      </c>
      <c r="V1598" s="83" t="str">
        <f ca="1">IF(U1598="","",IFERROR((RANK(U1598,$U$2:$U$2028,1)+COUNTIF($U$2:U1598,U1598))-1,""))</f>
        <v/>
      </c>
      <c r="W1598" s="134" t="str">
        <f t="shared" si="520"/>
        <v/>
      </c>
      <c r="X1598" s="134" t="str">
        <f>IF(W1598="","",IFERROR((RANK(W1598,$W$2:$W$2028,1)+COUNTIF($W$2:W1598,W1598))-1,""))</f>
        <v/>
      </c>
      <c r="Y1598" s="134" t="str">
        <f t="shared" si="517"/>
        <v/>
      </c>
      <c r="Z1598" s="134" t="str">
        <f>IF(Y1598="","",IFERROR((RANK(Y1598,$Y$2:$Y$2028,1)+COUNTIF($Y$2:Y1598,Y1598))-1,""))</f>
        <v/>
      </c>
      <c r="AA1598" s="134" t="str">
        <f t="shared" si="518"/>
        <v/>
      </c>
      <c r="AB1598" s="134" t="str">
        <f>IF(AA1598="","",IFERROR((RANK(AA1598,$AA$2:$AA$2028,1)+COUNTIF($AA$2:AA1598,AA1598))-1,""))</f>
        <v/>
      </c>
      <c r="AC1598" s="134" t="str">
        <f t="shared" si="519"/>
        <v/>
      </c>
      <c r="AD1598" s="134" t="str">
        <f>IF(AC1598="","",IFERROR((RANK(AC1598,$AC$2:$AC$2028,1)+COUNTIF($AC$2:AC1598,AC1598))-1,""))</f>
        <v/>
      </c>
      <c r="AE1598" s="144" t="str">
        <f t="shared" si="511"/>
        <v/>
      </c>
      <c r="AF1598" s="144" t="str">
        <f>IF(AE1598="","",SUM($AE$2:AE1598))</f>
        <v/>
      </c>
    </row>
    <row r="1599" spans="14:32" x14ac:dyDescent="0.35">
      <c r="N1599" s="134" t="str">
        <f t="shared" si="509"/>
        <v/>
      </c>
      <c r="O1599" s="82" t="str">
        <f t="shared" si="512"/>
        <v/>
      </c>
      <c r="P1599" s="81" t="str">
        <f t="shared" si="510"/>
        <v/>
      </c>
      <c r="Q1599" s="81" t="str">
        <f t="shared" si="513"/>
        <v/>
      </c>
      <c r="R1599" s="135" t="str">
        <f t="shared" ca="1" si="514"/>
        <v/>
      </c>
      <c r="S1599" s="134" t="str">
        <f t="shared" ca="1" si="515"/>
        <v/>
      </c>
      <c r="T1599" s="134" t="str">
        <f ca="1">IF(S1599=Dashboard!$D$12,S1599,"")</f>
        <v/>
      </c>
      <c r="U1599" s="134" t="str">
        <f t="shared" ca="1" si="516"/>
        <v/>
      </c>
      <c r="V1599" s="83" t="str">
        <f ca="1">IF(U1599="","",IFERROR((RANK(U1599,$U$2:$U$2028,1)+COUNTIF($U$2:U1599,U1599))-1,""))</f>
        <v/>
      </c>
      <c r="W1599" s="134" t="str">
        <f t="shared" si="520"/>
        <v/>
      </c>
      <c r="X1599" s="134" t="str">
        <f>IF(W1599="","",IFERROR((RANK(W1599,$W$2:$W$2028,1)+COUNTIF($W$2:W1599,W1599))-1,""))</f>
        <v/>
      </c>
      <c r="Y1599" s="134" t="str">
        <f t="shared" si="517"/>
        <v/>
      </c>
      <c r="Z1599" s="134" t="str">
        <f>IF(Y1599="","",IFERROR((RANK(Y1599,$Y$2:$Y$2028,1)+COUNTIF($Y$2:Y1599,Y1599))-1,""))</f>
        <v/>
      </c>
      <c r="AA1599" s="134" t="str">
        <f t="shared" si="518"/>
        <v/>
      </c>
      <c r="AB1599" s="134" t="str">
        <f>IF(AA1599="","",IFERROR((RANK(AA1599,$AA$2:$AA$2028,1)+COUNTIF($AA$2:AA1599,AA1599))-1,""))</f>
        <v/>
      </c>
      <c r="AC1599" s="134" t="str">
        <f t="shared" si="519"/>
        <v/>
      </c>
      <c r="AD1599" s="134" t="str">
        <f>IF(AC1599="","",IFERROR((RANK(AC1599,$AC$2:$AC$2028,1)+COUNTIF($AC$2:AC1599,AC1599))-1,""))</f>
        <v/>
      </c>
      <c r="AE1599" s="144" t="str">
        <f t="shared" si="511"/>
        <v/>
      </c>
      <c r="AF1599" s="144" t="str">
        <f>IF(AE1599="","",SUM($AE$2:AE1599))</f>
        <v/>
      </c>
    </row>
    <row r="1600" spans="14:32" x14ac:dyDescent="0.35">
      <c r="N1600" s="134" t="str">
        <f t="shared" si="509"/>
        <v/>
      </c>
      <c r="O1600" s="82" t="str">
        <f t="shared" si="512"/>
        <v/>
      </c>
      <c r="P1600" s="81" t="str">
        <f t="shared" si="510"/>
        <v/>
      </c>
      <c r="Q1600" s="81" t="str">
        <f t="shared" si="513"/>
        <v/>
      </c>
      <c r="R1600" s="135" t="str">
        <f t="shared" ca="1" si="514"/>
        <v/>
      </c>
      <c r="S1600" s="134" t="str">
        <f t="shared" ca="1" si="515"/>
        <v/>
      </c>
      <c r="T1600" s="134" t="str">
        <f ca="1">IF(S1600=Dashboard!$D$12,S1600,"")</f>
        <v/>
      </c>
      <c r="U1600" s="134" t="str">
        <f t="shared" ca="1" si="516"/>
        <v/>
      </c>
      <c r="V1600" s="83" t="str">
        <f ca="1">IF(U1600="","",IFERROR((RANK(U1600,$U$2:$U$2028,1)+COUNTIF($U$2:U1600,U1600))-1,""))</f>
        <v/>
      </c>
      <c r="W1600" s="134" t="str">
        <f t="shared" si="520"/>
        <v/>
      </c>
      <c r="X1600" s="134" t="str">
        <f>IF(W1600="","",IFERROR((RANK(W1600,$W$2:$W$2028,1)+COUNTIF($W$2:W1600,W1600))-1,""))</f>
        <v/>
      </c>
      <c r="Y1600" s="134" t="str">
        <f t="shared" si="517"/>
        <v/>
      </c>
      <c r="Z1600" s="134" t="str">
        <f>IF(Y1600="","",IFERROR((RANK(Y1600,$Y$2:$Y$2028,1)+COUNTIF($Y$2:Y1600,Y1600))-1,""))</f>
        <v/>
      </c>
      <c r="AA1600" s="134" t="str">
        <f t="shared" si="518"/>
        <v/>
      </c>
      <c r="AB1600" s="134" t="str">
        <f>IF(AA1600="","",IFERROR((RANK(AA1600,$AA$2:$AA$2028,1)+COUNTIF($AA$2:AA1600,AA1600))-1,""))</f>
        <v/>
      </c>
      <c r="AC1600" s="134" t="str">
        <f t="shared" si="519"/>
        <v/>
      </c>
      <c r="AD1600" s="134" t="str">
        <f>IF(AC1600="","",IFERROR((RANK(AC1600,$AC$2:$AC$2028,1)+COUNTIF($AC$2:AC1600,AC1600))-1,""))</f>
        <v/>
      </c>
      <c r="AE1600" s="144" t="str">
        <f t="shared" si="511"/>
        <v/>
      </c>
      <c r="AF1600" s="144" t="str">
        <f>IF(AE1600="","",SUM($AE$2:AE1600))</f>
        <v/>
      </c>
    </row>
    <row r="1601" spans="14:32" x14ac:dyDescent="0.35">
      <c r="N1601" s="134" t="str">
        <f t="shared" si="509"/>
        <v/>
      </c>
      <c r="O1601" s="82" t="str">
        <f t="shared" si="512"/>
        <v/>
      </c>
      <c r="P1601" s="81" t="str">
        <f t="shared" si="510"/>
        <v/>
      </c>
      <c r="Q1601" s="81" t="str">
        <f t="shared" si="513"/>
        <v/>
      </c>
      <c r="R1601" s="135" t="str">
        <f t="shared" ca="1" si="514"/>
        <v/>
      </c>
      <c r="S1601" s="134" t="str">
        <f t="shared" ca="1" si="515"/>
        <v/>
      </c>
      <c r="T1601" s="134" t="str">
        <f ca="1">IF(S1601=Dashboard!$D$12,S1601,"")</f>
        <v/>
      </c>
      <c r="U1601" s="134" t="str">
        <f t="shared" ca="1" si="516"/>
        <v/>
      </c>
      <c r="V1601" s="83" t="str">
        <f ca="1">IF(U1601="","",IFERROR((RANK(U1601,$U$2:$U$2028,1)+COUNTIF($U$2:U1601,U1601))-1,""))</f>
        <v/>
      </c>
      <c r="W1601" s="134" t="str">
        <f t="shared" si="520"/>
        <v/>
      </c>
      <c r="X1601" s="134" t="str">
        <f>IF(W1601="","",IFERROR((RANK(W1601,$W$2:$W$2028,1)+COUNTIF($W$2:W1601,W1601))-1,""))</f>
        <v/>
      </c>
      <c r="Y1601" s="134" t="str">
        <f t="shared" si="517"/>
        <v/>
      </c>
      <c r="Z1601" s="134" t="str">
        <f>IF(Y1601="","",IFERROR((RANK(Y1601,$Y$2:$Y$2028,1)+COUNTIF($Y$2:Y1601,Y1601))-1,""))</f>
        <v/>
      </c>
      <c r="AA1601" s="134" t="str">
        <f t="shared" si="518"/>
        <v/>
      </c>
      <c r="AB1601" s="134" t="str">
        <f>IF(AA1601="","",IFERROR((RANK(AA1601,$AA$2:$AA$2028,1)+COUNTIF($AA$2:AA1601,AA1601))-1,""))</f>
        <v/>
      </c>
      <c r="AC1601" s="134" t="str">
        <f t="shared" si="519"/>
        <v/>
      </c>
      <c r="AD1601" s="134" t="str">
        <f>IF(AC1601="","",IFERROR((RANK(AC1601,$AC$2:$AC$2028,1)+COUNTIF($AC$2:AC1601,AC1601))-1,""))</f>
        <v/>
      </c>
      <c r="AE1601" s="144" t="str">
        <f t="shared" si="511"/>
        <v/>
      </c>
      <c r="AF1601" s="144" t="str">
        <f>IF(AE1601="","",SUM($AE$2:AE1601))</f>
        <v/>
      </c>
    </row>
    <row r="1602" spans="14:32" x14ac:dyDescent="0.35">
      <c r="N1602" s="134" t="str">
        <f t="shared" ref="N1602:N1665" si="521">IF(A1602="","",COUNTIFS(M:M,M1602,H:H,"&lt;"&amp;H1602)+1)</f>
        <v/>
      </c>
      <c r="O1602" s="82" t="str">
        <f t="shared" si="512"/>
        <v/>
      </c>
      <c r="P1602" s="81" t="str">
        <f t="shared" ref="P1602:P1665" si="522">IF(A1602="","",COUNTIFS(M:M,M1602,H:H,"&gt;"&amp;H1602)+1)</f>
        <v/>
      </c>
      <c r="Q1602" s="81" t="str">
        <f t="shared" si="513"/>
        <v/>
      </c>
      <c r="R1602" s="135" t="str">
        <f t="shared" ca="1" si="514"/>
        <v/>
      </c>
      <c r="S1602" s="134" t="str">
        <f t="shared" ca="1" si="515"/>
        <v/>
      </c>
      <c r="T1602" s="134" t="str">
        <f ca="1">IF(S1602=Dashboard!$D$12,S1602,"")</f>
        <v/>
      </c>
      <c r="U1602" s="134" t="str">
        <f t="shared" ca="1" si="516"/>
        <v/>
      </c>
      <c r="V1602" s="83" t="str">
        <f ca="1">IF(U1602="","",IFERROR((RANK(U1602,$U$2:$U$2028,1)+COUNTIF($U$2:U1602,U1602))-1,""))</f>
        <v/>
      </c>
      <c r="W1602" s="134" t="str">
        <f t="shared" si="520"/>
        <v/>
      </c>
      <c r="X1602" s="134" t="str">
        <f>IF(W1602="","",IFERROR((RANK(W1602,$W$2:$W$2028,1)+COUNTIF($W$2:W1602,W1602))-1,""))</f>
        <v/>
      </c>
      <c r="Y1602" s="134" t="str">
        <f t="shared" si="517"/>
        <v/>
      </c>
      <c r="Z1602" s="134" t="str">
        <f>IF(Y1602="","",IFERROR((RANK(Y1602,$Y$2:$Y$2028,1)+COUNTIF($Y$2:Y1602,Y1602))-1,""))</f>
        <v/>
      </c>
      <c r="AA1602" s="134" t="str">
        <f t="shared" si="518"/>
        <v/>
      </c>
      <c r="AB1602" s="134" t="str">
        <f>IF(AA1602="","",IFERROR((RANK(AA1602,$AA$2:$AA$2028,1)+COUNTIF($AA$2:AA1602,AA1602))-1,""))</f>
        <v/>
      </c>
      <c r="AC1602" s="134" t="str">
        <f t="shared" si="519"/>
        <v/>
      </c>
      <c r="AD1602" s="134" t="str">
        <f>IF(AC1602="","",IFERROR((RANK(AC1602,$AC$2:$AC$2028,1)+COUNTIF($AC$2:AC1602,AC1602))-1,""))</f>
        <v/>
      </c>
      <c r="AE1602" s="144" t="str">
        <f t="shared" si="511"/>
        <v/>
      </c>
      <c r="AF1602" s="144" t="str">
        <f>IF(AE1602="","",SUM($AE$2:AE1602))</f>
        <v/>
      </c>
    </row>
    <row r="1603" spans="14:32" x14ac:dyDescent="0.35">
      <c r="N1603" s="134" t="str">
        <f t="shared" si="521"/>
        <v/>
      </c>
      <c r="O1603" s="82" t="str">
        <f t="shared" si="512"/>
        <v/>
      </c>
      <c r="P1603" s="81" t="str">
        <f t="shared" si="522"/>
        <v/>
      </c>
      <c r="Q1603" s="81" t="str">
        <f t="shared" si="513"/>
        <v/>
      </c>
      <c r="R1603" s="135" t="str">
        <f t="shared" ca="1" si="514"/>
        <v/>
      </c>
      <c r="S1603" s="134" t="str">
        <f t="shared" ca="1" si="515"/>
        <v/>
      </c>
      <c r="T1603" s="134" t="str">
        <f ca="1">IF(S1603=Dashboard!$D$12,S1603,"")</f>
        <v/>
      </c>
      <c r="U1603" s="134" t="str">
        <f t="shared" ca="1" si="516"/>
        <v/>
      </c>
      <c r="V1603" s="83" t="str">
        <f ca="1">IF(U1603="","",IFERROR((RANK(U1603,$U$2:$U$2028,1)+COUNTIF($U$2:U1603,U1603))-1,""))</f>
        <v/>
      </c>
      <c r="W1603" s="134" t="str">
        <f t="shared" si="520"/>
        <v/>
      </c>
      <c r="X1603" s="134" t="str">
        <f>IF(W1603="","",IFERROR((RANK(W1603,$W$2:$W$2028,1)+COUNTIF($W$2:W1603,W1603))-1,""))</f>
        <v/>
      </c>
      <c r="Y1603" s="134" t="str">
        <f t="shared" si="517"/>
        <v/>
      </c>
      <c r="Z1603" s="134" t="str">
        <f>IF(Y1603="","",IFERROR((RANK(Y1603,$Y$2:$Y$2028,1)+COUNTIF($Y$2:Y1603,Y1603))-1,""))</f>
        <v/>
      </c>
      <c r="AA1603" s="134" t="str">
        <f t="shared" si="518"/>
        <v/>
      </c>
      <c r="AB1603" s="134" t="str">
        <f>IF(AA1603="","",IFERROR((RANK(AA1603,$AA$2:$AA$2028,1)+COUNTIF($AA$2:AA1603,AA1603))-1,""))</f>
        <v/>
      </c>
      <c r="AC1603" s="134" t="str">
        <f t="shared" si="519"/>
        <v/>
      </c>
      <c r="AD1603" s="134" t="str">
        <f>IF(AC1603="","",IFERROR((RANK(AC1603,$AC$2:$AC$2028,1)+COUNTIF($AC$2:AC1603,AC1603))-1,""))</f>
        <v/>
      </c>
      <c r="AE1603" s="144" t="str">
        <f t="shared" si="511"/>
        <v/>
      </c>
      <c r="AF1603" s="144" t="str">
        <f>IF(AE1603="","",SUM($AE$2:AE1603))</f>
        <v/>
      </c>
    </row>
    <row r="1604" spans="14:32" x14ac:dyDescent="0.35">
      <c r="N1604" s="134" t="str">
        <f t="shared" si="521"/>
        <v/>
      </c>
      <c r="O1604" s="82" t="str">
        <f t="shared" si="512"/>
        <v/>
      </c>
      <c r="P1604" s="81" t="str">
        <f t="shared" si="522"/>
        <v/>
      </c>
      <c r="Q1604" s="81" t="str">
        <f t="shared" si="513"/>
        <v/>
      </c>
      <c r="R1604" s="135" t="str">
        <f t="shared" ca="1" si="514"/>
        <v/>
      </c>
      <c r="S1604" s="134" t="str">
        <f t="shared" ca="1" si="515"/>
        <v/>
      </c>
      <c r="T1604" s="134" t="str">
        <f ca="1">IF(S1604=Dashboard!$D$12,S1604,"")</f>
        <v/>
      </c>
      <c r="U1604" s="134" t="str">
        <f t="shared" ca="1" si="516"/>
        <v/>
      </c>
      <c r="V1604" s="83" t="str">
        <f ca="1">IF(U1604="","",IFERROR((RANK(U1604,$U$2:$U$2028,1)+COUNTIF($U$2:U1604,U1604))-1,""))</f>
        <v/>
      </c>
      <c r="W1604" s="134" t="str">
        <f t="shared" si="520"/>
        <v/>
      </c>
      <c r="X1604" s="134" t="str">
        <f>IF(W1604="","",IFERROR((RANK(W1604,$W$2:$W$2028,1)+COUNTIF($W$2:W1604,W1604))-1,""))</f>
        <v/>
      </c>
      <c r="Y1604" s="134" t="str">
        <f t="shared" si="517"/>
        <v/>
      </c>
      <c r="Z1604" s="134" t="str">
        <f>IF(Y1604="","",IFERROR((RANK(Y1604,$Y$2:$Y$2028,1)+COUNTIF($Y$2:Y1604,Y1604))-1,""))</f>
        <v/>
      </c>
      <c r="AA1604" s="134" t="str">
        <f t="shared" si="518"/>
        <v/>
      </c>
      <c r="AB1604" s="134" t="str">
        <f>IF(AA1604="","",IFERROR((RANK(AA1604,$AA$2:$AA$2028,1)+COUNTIF($AA$2:AA1604,AA1604))-1,""))</f>
        <v/>
      </c>
      <c r="AC1604" s="134" t="str">
        <f t="shared" si="519"/>
        <v/>
      </c>
      <c r="AD1604" s="134" t="str">
        <f>IF(AC1604="","",IFERROR((RANK(AC1604,$AC$2:$AC$2028,1)+COUNTIF($AC$2:AC1604,AC1604))-1,""))</f>
        <v/>
      </c>
      <c r="AE1604" s="144" t="str">
        <f t="shared" si="511"/>
        <v/>
      </c>
      <c r="AF1604" s="144" t="str">
        <f>IF(AE1604="","",SUM($AE$2:AE1604))</f>
        <v/>
      </c>
    </row>
    <row r="1605" spans="14:32" x14ac:dyDescent="0.35">
      <c r="N1605" s="134" t="str">
        <f t="shared" si="521"/>
        <v/>
      </c>
      <c r="O1605" s="82" t="str">
        <f t="shared" si="512"/>
        <v/>
      </c>
      <c r="P1605" s="81" t="str">
        <f t="shared" si="522"/>
        <v/>
      </c>
      <c r="Q1605" s="81" t="str">
        <f t="shared" si="513"/>
        <v/>
      </c>
      <c r="R1605" s="135" t="str">
        <f t="shared" ca="1" si="514"/>
        <v/>
      </c>
      <c r="S1605" s="134" t="str">
        <f t="shared" ca="1" si="515"/>
        <v/>
      </c>
      <c r="T1605" s="134" t="str">
        <f ca="1">IF(S1605=Dashboard!$D$12,S1605,"")</f>
        <v/>
      </c>
      <c r="U1605" s="134" t="str">
        <f t="shared" ca="1" si="516"/>
        <v/>
      </c>
      <c r="V1605" s="83" t="str">
        <f ca="1">IF(U1605="","",IFERROR((RANK(U1605,$U$2:$U$2028,1)+COUNTIF($U$2:U1605,U1605))-1,""))</f>
        <v/>
      </c>
      <c r="W1605" s="134" t="str">
        <f t="shared" si="520"/>
        <v/>
      </c>
      <c r="X1605" s="134" t="str">
        <f>IF(W1605="","",IFERROR((RANK(W1605,$W$2:$W$2028,1)+COUNTIF($W$2:W1605,W1605))-1,""))</f>
        <v/>
      </c>
      <c r="Y1605" s="134" t="str">
        <f t="shared" si="517"/>
        <v/>
      </c>
      <c r="Z1605" s="134" t="str">
        <f>IF(Y1605="","",IFERROR((RANK(Y1605,$Y$2:$Y$2028,1)+COUNTIF($Y$2:Y1605,Y1605))-1,""))</f>
        <v/>
      </c>
      <c r="AA1605" s="134" t="str">
        <f t="shared" si="518"/>
        <v/>
      </c>
      <c r="AB1605" s="134" t="str">
        <f>IF(AA1605="","",IFERROR((RANK(AA1605,$AA$2:$AA$2028,1)+COUNTIF($AA$2:AA1605,AA1605))-1,""))</f>
        <v/>
      </c>
      <c r="AC1605" s="134" t="str">
        <f t="shared" si="519"/>
        <v/>
      </c>
      <c r="AD1605" s="134" t="str">
        <f>IF(AC1605="","",IFERROR((RANK(AC1605,$AC$2:$AC$2028,1)+COUNTIF($AC$2:AC1605,AC1605))-1,""))</f>
        <v/>
      </c>
      <c r="AE1605" s="144" t="str">
        <f t="shared" si="511"/>
        <v/>
      </c>
      <c r="AF1605" s="144" t="str">
        <f>IF(AE1605="","",SUM($AE$2:AE1605))</f>
        <v/>
      </c>
    </row>
    <row r="1606" spans="14:32" x14ac:dyDescent="0.35">
      <c r="N1606" s="134" t="str">
        <f t="shared" si="521"/>
        <v/>
      </c>
      <c r="O1606" s="82" t="str">
        <f t="shared" si="512"/>
        <v/>
      </c>
      <c r="P1606" s="81" t="str">
        <f t="shared" si="522"/>
        <v/>
      </c>
      <c r="Q1606" s="81" t="str">
        <f t="shared" si="513"/>
        <v/>
      </c>
      <c r="R1606" s="135" t="str">
        <f t="shared" ca="1" si="514"/>
        <v/>
      </c>
      <c r="S1606" s="134" t="str">
        <f t="shared" ca="1" si="515"/>
        <v/>
      </c>
      <c r="T1606" s="134" t="str">
        <f ca="1">IF(S1606=Dashboard!$D$12,S1606,"")</f>
        <v/>
      </c>
      <c r="U1606" s="134" t="str">
        <f t="shared" ca="1" si="516"/>
        <v/>
      </c>
      <c r="V1606" s="83" t="str">
        <f ca="1">IF(U1606="","",IFERROR((RANK(U1606,$U$2:$U$2028,1)+COUNTIF($U$2:U1606,U1606))-1,""))</f>
        <v/>
      </c>
      <c r="W1606" s="134" t="str">
        <f t="shared" si="520"/>
        <v/>
      </c>
      <c r="X1606" s="134" t="str">
        <f>IF(W1606="","",IFERROR((RANK(W1606,$W$2:$W$2028,1)+COUNTIF($W$2:W1606,W1606))-1,""))</f>
        <v/>
      </c>
      <c r="Y1606" s="134" t="str">
        <f t="shared" si="517"/>
        <v/>
      </c>
      <c r="Z1606" s="134" t="str">
        <f>IF(Y1606="","",IFERROR((RANK(Y1606,$Y$2:$Y$2028,1)+COUNTIF($Y$2:Y1606,Y1606))-1,""))</f>
        <v/>
      </c>
      <c r="AA1606" s="134" t="str">
        <f t="shared" si="518"/>
        <v/>
      </c>
      <c r="AB1606" s="134" t="str">
        <f>IF(AA1606="","",IFERROR((RANK(AA1606,$AA$2:$AA$2028,1)+COUNTIF($AA$2:AA1606,AA1606))-1,""))</f>
        <v/>
      </c>
      <c r="AC1606" s="134" t="str">
        <f t="shared" si="519"/>
        <v/>
      </c>
      <c r="AD1606" s="134" t="str">
        <f>IF(AC1606="","",IFERROR((RANK(AC1606,$AC$2:$AC$2028,1)+COUNTIF($AC$2:AC1606,AC1606))-1,""))</f>
        <v/>
      </c>
      <c r="AE1606" s="144" t="str">
        <f t="shared" si="511"/>
        <v/>
      </c>
      <c r="AF1606" s="144" t="str">
        <f>IF(AE1606="","",SUM($AE$2:AE1606))</f>
        <v/>
      </c>
    </row>
    <row r="1607" spans="14:32" x14ac:dyDescent="0.35">
      <c r="N1607" s="134" t="str">
        <f t="shared" si="521"/>
        <v/>
      </c>
      <c r="O1607" s="82" t="str">
        <f t="shared" si="512"/>
        <v/>
      </c>
      <c r="P1607" s="81" t="str">
        <f t="shared" si="522"/>
        <v/>
      </c>
      <c r="Q1607" s="81" t="str">
        <f t="shared" si="513"/>
        <v/>
      </c>
      <c r="R1607" s="135" t="str">
        <f t="shared" ca="1" si="514"/>
        <v/>
      </c>
      <c r="S1607" s="134" t="str">
        <f t="shared" ca="1" si="515"/>
        <v/>
      </c>
      <c r="T1607" s="134" t="str">
        <f ca="1">IF(S1607=Dashboard!$D$12,S1607,"")</f>
        <v/>
      </c>
      <c r="U1607" s="134" t="str">
        <f t="shared" ca="1" si="516"/>
        <v/>
      </c>
      <c r="V1607" s="83" t="str">
        <f ca="1">IF(U1607="","",IFERROR((RANK(U1607,$U$2:$U$2028,1)+COUNTIF($U$2:U1607,U1607))-1,""))</f>
        <v/>
      </c>
      <c r="W1607" s="134" t="str">
        <f t="shared" si="520"/>
        <v/>
      </c>
      <c r="X1607" s="134" t="str">
        <f>IF(W1607="","",IFERROR((RANK(W1607,$W$2:$W$2028,1)+COUNTIF($W$2:W1607,W1607))-1,""))</f>
        <v/>
      </c>
      <c r="Y1607" s="134" t="str">
        <f t="shared" si="517"/>
        <v/>
      </c>
      <c r="Z1607" s="134" t="str">
        <f>IF(Y1607="","",IFERROR((RANK(Y1607,$Y$2:$Y$2028,1)+COUNTIF($Y$2:Y1607,Y1607))-1,""))</f>
        <v/>
      </c>
      <c r="AA1607" s="134" t="str">
        <f t="shared" si="518"/>
        <v/>
      </c>
      <c r="AB1607" s="134" t="str">
        <f>IF(AA1607="","",IFERROR((RANK(AA1607,$AA$2:$AA$2028,1)+COUNTIF($AA$2:AA1607,AA1607))-1,""))</f>
        <v/>
      </c>
      <c r="AC1607" s="134" t="str">
        <f t="shared" si="519"/>
        <v/>
      </c>
      <c r="AD1607" s="134" t="str">
        <f>IF(AC1607="","",IFERROR((RANK(AC1607,$AC$2:$AC$2028,1)+COUNTIF($AC$2:AC1607,AC1607))-1,""))</f>
        <v/>
      </c>
      <c r="AE1607" s="144" t="str">
        <f t="shared" ref="AE1607:AE1670" si="523">IF(P1607=1,P1607,"")</f>
        <v/>
      </c>
      <c r="AF1607" s="144" t="str">
        <f>IF(AE1607="","",SUM($AE$2:AE1607))</f>
        <v/>
      </c>
    </row>
    <row r="1608" spans="14:32" x14ac:dyDescent="0.35">
      <c r="N1608" s="134" t="str">
        <f t="shared" si="521"/>
        <v/>
      </c>
      <c r="O1608" s="82" t="str">
        <f t="shared" si="512"/>
        <v/>
      </c>
      <c r="P1608" s="81" t="str">
        <f t="shared" si="522"/>
        <v/>
      </c>
      <c r="Q1608" s="81" t="str">
        <f t="shared" si="513"/>
        <v/>
      </c>
      <c r="R1608" s="135" t="str">
        <f t="shared" ca="1" si="514"/>
        <v/>
      </c>
      <c r="S1608" s="134" t="str">
        <f t="shared" ca="1" si="515"/>
        <v/>
      </c>
      <c r="T1608" s="134" t="str">
        <f ca="1">IF(S1608=Dashboard!$D$12,S1608,"")</f>
        <v/>
      </c>
      <c r="U1608" s="134" t="str">
        <f t="shared" ca="1" si="516"/>
        <v/>
      </c>
      <c r="V1608" s="83" t="str">
        <f ca="1">IF(U1608="","",IFERROR((RANK(U1608,$U$2:$U$2028,1)+COUNTIF($U$2:U1608,U1608))-1,""))</f>
        <v/>
      </c>
      <c r="W1608" s="134" t="str">
        <f t="shared" si="520"/>
        <v/>
      </c>
      <c r="X1608" s="134" t="str">
        <f>IF(W1608="","",IFERROR((RANK(W1608,$W$2:$W$2028,1)+COUNTIF($W$2:W1608,W1608))-1,""))</f>
        <v/>
      </c>
      <c r="Y1608" s="134" t="str">
        <f t="shared" si="517"/>
        <v/>
      </c>
      <c r="Z1608" s="134" t="str">
        <f>IF(Y1608="","",IFERROR((RANK(Y1608,$Y$2:$Y$2028,1)+COUNTIF($Y$2:Y1608,Y1608))-1,""))</f>
        <v/>
      </c>
      <c r="AA1608" s="134" t="str">
        <f t="shared" si="518"/>
        <v/>
      </c>
      <c r="AB1608" s="134" t="str">
        <f>IF(AA1608="","",IFERROR((RANK(AA1608,$AA$2:$AA$2028,1)+COUNTIF($AA$2:AA1608,AA1608))-1,""))</f>
        <v/>
      </c>
      <c r="AC1608" s="134" t="str">
        <f t="shared" si="519"/>
        <v/>
      </c>
      <c r="AD1608" s="134" t="str">
        <f>IF(AC1608="","",IFERROR((RANK(AC1608,$AC$2:$AC$2028,1)+COUNTIF($AC$2:AC1608,AC1608))-1,""))</f>
        <v/>
      </c>
      <c r="AE1608" s="144" t="str">
        <f t="shared" si="523"/>
        <v/>
      </c>
      <c r="AF1608" s="144" t="str">
        <f>IF(AE1608="","",SUM($AE$2:AE1608))</f>
        <v/>
      </c>
    </row>
    <row r="1609" spans="14:32" x14ac:dyDescent="0.35">
      <c r="N1609" s="134" t="str">
        <f t="shared" si="521"/>
        <v/>
      </c>
      <c r="O1609" s="82" t="str">
        <f t="shared" si="512"/>
        <v/>
      </c>
      <c r="P1609" s="81" t="str">
        <f t="shared" si="522"/>
        <v/>
      </c>
      <c r="Q1609" s="81" t="str">
        <f t="shared" si="513"/>
        <v/>
      </c>
      <c r="R1609" s="135" t="str">
        <f t="shared" ca="1" si="514"/>
        <v/>
      </c>
      <c r="S1609" s="134" t="str">
        <f t="shared" ca="1" si="515"/>
        <v/>
      </c>
      <c r="T1609" s="134" t="str">
        <f ca="1">IF(S1609=Dashboard!$D$12,S1609,"")</f>
        <v/>
      </c>
      <c r="U1609" s="134" t="str">
        <f t="shared" ca="1" si="516"/>
        <v/>
      </c>
      <c r="V1609" s="83" t="str">
        <f ca="1">IF(U1609="","",IFERROR((RANK(U1609,$U$2:$U$2028,1)+COUNTIF($U$2:U1609,U1609))-1,""))</f>
        <v/>
      </c>
      <c r="W1609" s="134" t="str">
        <f t="shared" si="520"/>
        <v/>
      </c>
      <c r="X1609" s="134" t="str">
        <f>IF(W1609="","",IFERROR((RANK(W1609,$W$2:$W$2028,1)+COUNTIF($W$2:W1609,W1609))-1,""))</f>
        <v/>
      </c>
      <c r="Y1609" s="134" t="str">
        <f t="shared" si="517"/>
        <v/>
      </c>
      <c r="Z1609" s="134" t="str">
        <f>IF(Y1609="","",IFERROR((RANK(Y1609,$Y$2:$Y$2028,1)+COUNTIF($Y$2:Y1609,Y1609))-1,""))</f>
        <v/>
      </c>
      <c r="AA1609" s="134" t="str">
        <f t="shared" si="518"/>
        <v/>
      </c>
      <c r="AB1609" s="134" t="str">
        <f>IF(AA1609="","",IFERROR((RANK(AA1609,$AA$2:$AA$2028,1)+COUNTIF($AA$2:AA1609,AA1609))-1,""))</f>
        <v/>
      </c>
      <c r="AC1609" s="134" t="str">
        <f t="shared" si="519"/>
        <v/>
      </c>
      <c r="AD1609" s="134" t="str">
        <f>IF(AC1609="","",IFERROR((RANK(AC1609,$AC$2:$AC$2028,1)+COUNTIF($AC$2:AC1609,AC1609))-1,""))</f>
        <v/>
      </c>
      <c r="AE1609" s="144" t="str">
        <f t="shared" si="523"/>
        <v/>
      </c>
      <c r="AF1609" s="144" t="str">
        <f>IF(AE1609="","",SUM($AE$2:AE1609))</f>
        <v/>
      </c>
    </row>
    <row r="1610" spans="14:32" x14ac:dyDescent="0.35">
      <c r="N1610" s="134" t="str">
        <f t="shared" si="521"/>
        <v/>
      </c>
      <c r="O1610" s="82" t="str">
        <f t="shared" si="512"/>
        <v/>
      </c>
      <c r="P1610" s="81" t="str">
        <f t="shared" si="522"/>
        <v/>
      </c>
      <c r="Q1610" s="81" t="str">
        <f t="shared" si="513"/>
        <v/>
      </c>
      <c r="R1610" s="135" t="str">
        <f t="shared" ca="1" si="514"/>
        <v/>
      </c>
      <c r="S1610" s="134" t="str">
        <f t="shared" ca="1" si="515"/>
        <v/>
      </c>
      <c r="T1610" s="134" t="str">
        <f ca="1">IF(S1610=Dashboard!$D$12,S1610,"")</f>
        <v/>
      </c>
      <c r="U1610" s="134" t="str">
        <f t="shared" ca="1" si="516"/>
        <v/>
      </c>
      <c r="V1610" s="83" t="str">
        <f ca="1">IF(U1610="","",IFERROR((RANK(U1610,$U$2:$U$2028,1)+COUNTIF($U$2:U1610,U1610))-1,""))</f>
        <v/>
      </c>
      <c r="W1610" s="134" t="str">
        <f t="shared" si="520"/>
        <v/>
      </c>
      <c r="X1610" s="134" t="str">
        <f>IF(W1610="","",IFERROR((RANK(W1610,$W$2:$W$2028,1)+COUNTIF($W$2:W1610,W1610))-1,""))</f>
        <v/>
      </c>
      <c r="Y1610" s="134" t="str">
        <f t="shared" si="517"/>
        <v/>
      </c>
      <c r="Z1610" s="134" t="str">
        <f>IF(Y1610="","",IFERROR((RANK(Y1610,$Y$2:$Y$2028,1)+COUNTIF($Y$2:Y1610,Y1610))-1,""))</f>
        <v/>
      </c>
      <c r="AA1610" s="134" t="str">
        <f t="shared" si="518"/>
        <v/>
      </c>
      <c r="AB1610" s="134" t="str">
        <f>IF(AA1610="","",IFERROR((RANK(AA1610,$AA$2:$AA$2028,1)+COUNTIF($AA$2:AA1610,AA1610))-1,""))</f>
        <v/>
      </c>
      <c r="AC1610" s="134" t="str">
        <f t="shared" si="519"/>
        <v/>
      </c>
      <c r="AD1610" s="134" t="str">
        <f>IF(AC1610="","",IFERROR((RANK(AC1610,$AC$2:$AC$2028,1)+COUNTIF($AC$2:AC1610,AC1610))-1,""))</f>
        <v/>
      </c>
      <c r="AE1610" s="144" t="str">
        <f t="shared" si="523"/>
        <v/>
      </c>
      <c r="AF1610" s="144" t="str">
        <f>IF(AE1610="","",SUM($AE$2:AE1610))</f>
        <v/>
      </c>
    </row>
    <row r="1611" spans="14:32" x14ac:dyDescent="0.35">
      <c r="N1611" s="134" t="str">
        <f t="shared" si="521"/>
        <v/>
      </c>
      <c r="O1611" s="82" t="str">
        <f t="shared" si="512"/>
        <v/>
      </c>
      <c r="P1611" s="81" t="str">
        <f t="shared" si="522"/>
        <v/>
      </c>
      <c r="Q1611" s="81" t="str">
        <f t="shared" si="513"/>
        <v/>
      </c>
      <c r="R1611" s="135" t="str">
        <f t="shared" ca="1" si="514"/>
        <v/>
      </c>
      <c r="S1611" s="134" t="str">
        <f t="shared" ca="1" si="515"/>
        <v/>
      </c>
      <c r="T1611" s="134" t="str">
        <f ca="1">IF(S1611=Dashboard!$D$12,S1611,"")</f>
        <v/>
      </c>
      <c r="U1611" s="134" t="str">
        <f t="shared" ca="1" si="516"/>
        <v/>
      </c>
      <c r="V1611" s="83" t="str">
        <f ca="1">IF(U1611="","",IFERROR((RANK(U1611,$U$2:$U$2028,1)+COUNTIF($U$2:U1611,U1611))-1,""))</f>
        <v/>
      </c>
      <c r="W1611" s="134" t="str">
        <f t="shared" si="520"/>
        <v/>
      </c>
      <c r="X1611" s="134" t="str">
        <f>IF(W1611="","",IFERROR((RANK(W1611,$W$2:$W$2028,1)+COUNTIF($W$2:W1611,W1611))-1,""))</f>
        <v/>
      </c>
      <c r="Y1611" s="134" t="str">
        <f t="shared" si="517"/>
        <v/>
      </c>
      <c r="Z1611" s="134" t="str">
        <f>IF(Y1611="","",IFERROR((RANK(Y1611,$Y$2:$Y$2028,1)+COUNTIF($Y$2:Y1611,Y1611))-1,""))</f>
        <v/>
      </c>
      <c r="AA1611" s="134" t="str">
        <f t="shared" si="518"/>
        <v/>
      </c>
      <c r="AB1611" s="134" t="str">
        <f>IF(AA1611="","",IFERROR((RANK(AA1611,$AA$2:$AA$2028,1)+COUNTIF($AA$2:AA1611,AA1611))-1,""))</f>
        <v/>
      </c>
      <c r="AC1611" s="134" t="str">
        <f t="shared" si="519"/>
        <v/>
      </c>
      <c r="AD1611" s="134" t="str">
        <f>IF(AC1611="","",IFERROR((RANK(AC1611,$AC$2:$AC$2028,1)+COUNTIF($AC$2:AC1611,AC1611))-1,""))</f>
        <v/>
      </c>
      <c r="AE1611" s="144" t="str">
        <f t="shared" si="523"/>
        <v/>
      </c>
      <c r="AF1611" s="144" t="str">
        <f>IF(AE1611="","",SUM($AE$2:AE1611))</f>
        <v/>
      </c>
    </row>
    <row r="1612" spans="14:32" x14ac:dyDescent="0.35">
      <c r="N1612" s="134" t="str">
        <f t="shared" si="521"/>
        <v/>
      </c>
      <c r="O1612" s="82" t="str">
        <f t="shared" si="512"/>
        <v/>
      </c>
      <c r="P1612" s="81" t="str">
        <f t="shared" si="522"/>
        <v/>
      </c>
      <c r="Q1612" s="81" t="str">
        <f t="shared" si="513"/>
        <v/>
      </c>
      <c r="R1612" s="135" t="str">
        <f t="shared" ca="1" si="514"/>
        <v/>
      </c>
      <c r="S1612" s="134" t="str">
        <f t="shared" ca="1" si="515"/>
        <v/>
      </c>
      <c r="T1612" s="134" t="str">
        <f ca="1">IF(S1612=Dashboard!$D$12,S1612,"")</f>
        <v/>
      </c>
      <c r="U1612" s="134" t="str">
        <f t="shared" ca="1" si="516"/>
        <v/>
      </c>
      <c r="V1612" s="83" t="str">
        <f ca="1">IF(U1612="","",IFERROR((RANK(U1612,$U$2:$U$2028,1)+COUNTIF($U$2:U1612,U1612))-1,""))</f>
        <v/>
      </c>
      <c r="W1612" s="134" t="str">
        <f t="shared" si="520"/>
        <v/>
      </c>
      <c r="X1612" s="134" t="str">
        <f>IF(W1612="","",IFERROR((RANK(W1612,$W$2:$W$2028,1)+COUNTIF($W$2:W1612,W1612))-1,""))</f>
        <v/>
      </c>
      <c r="Y1612" s="134" t="str">
        <f t="shared" si="517"/>
        <v/>
      </c>
      <c r="Z1612" s="134" t="str">
        <f>IF(Y1612="","",IFERROR((RANK(Y1612,$Y$2:$Y$2028,1)+COUNTIF($Y$2:Y1612,Y1612))-1,""))</f>
        <v/>
      </c>
      <c r="AA1612" s="134" t="str">
        <f t="shared" si="518"/>
        <v/>
      </c>
      <c r="AB1612" s="134" t="str">
        <f>IF(AA1612="","",IFERROR((RANK(AA1612,$AA$2:$AA$2028,1)+COUNTIF($AA$2:AA1612,AA1612))-1,""))</f>
        <v/>
      </c>
      <c r="AC1612" s="134" t="str">
        <f t="shared" si="519"/>
        <v/>
      </c>
      <c r="AD1612" s="134" t="str">
        <f>IF(AC1612="","",IFERROR((RANK(AC1612,$AC$2:$AC$2028,1)+COUNTIF($AC$2:AC1612,AC1612))-1,""))</f>
        <v/>
      </c>
      <c r="AE1612" s="144" t="str">
        <f t="shared" si="523"/>
        <v/>
      </c>
      <c r="AF1612" s="144" t="str">
        <f>IF(AE1612="","",SUM($AE$2:AE1612))</f>
        <v/>
      </c>
    </row>
    <row r="1613" spans="14:32" x14ac:dyDescent="0.35">
      <c r="N1613" s="134" t="str">
        <f t="shared" si="521"/>
        <v/>
      </c>
      <c r="O1613" s="82" t="str">
        <f t="shared" si="512"/>
        <v/>
      </c>
      <c r="P1613" s="81" t="str">
        <f t="shared" si="522"/>
        <v/>
      </c>
      <c r="Q1613" s="81" t="str">
        <f t="shared" si="513"/>
        <v/>
      </c>
      <c r="R1613" s="135" t="str">
        <f t="shared" ca="1" si="514"/>
        <v/>
      </c>
      <c r="S1613" s="134" t="str">
        <f t="shared" ca="1" si="515"/>
        <v/>
      </c>
      <c r="T1613" s="134" t="str">
        <f ca="1">IF(S1613=Dashboard!$D$12,S1613,"")</f>
        <v/>
      </c>
      <c r="U1613" s="134" t="str">
        <f t="shared" ca="1" si="516"/>
        <v/>
      </c>
      <c r="V1613" s="83" t="str">
        <f ca="1">IF(U1613="","",IFERROR((RANK(U1613,$U$2:$U$2028,1)+COUNTIF($U$2:U1613,U1613))-1,""))</f>
        <v/>
      </c>
      <c r="W1613" s="134" t="str">
        <f t="shared" si="520"/>
        <v/>
      </c>
      <c r="X1613" s="134" t="str">
        <f>IF(W1613="","",IFERROR((RANK(W1613,$W$2:$W$2028,1)+COUNTIF($W$2:W1613,W1613))-1,""))</f>
        <v/>
      </c>
      <c r="Y1613" s="134" t="str">
        <f t="shared" si="517"/>
        <v/>
      </c>
      <c r="Z1613" s="134" t="str">
        <f>IF(Y1613="","",IFERROR((RANK(Y1613,$Y$2:$Y$2028,1)+COUNTIF($Y$2:Y1613,Y1613))-1,""))</f>
        <v/>
      </c>
      <c r="AA1613" s="134" t="str">
        <f t="shared" si="518"/>
        <v/>
      </c>
      <c r="AB1613" s="134" t="str">
        <f>IF(AA1613="","",IFERROR((RANK(AA1613,$AA$2:$AA$2028,1)+COUNTIF($AA$2:AA1613,AA1613))-1,""))</f>
        <v/>
      </c>
      <c r="AC1613" s="134" t="str">
        <f t="shared" si="519"/>
        <v/>
      </c>
      <c r="AD1613" s="134" t="str">
        <f>IF(AC1613="","",IFERROR((RANK(AC1613,$AC$2:$AC$2028,1)+COUNTIF($AC$2:AC1613,AC1613))-1,""))</f>
        <v/>
      </c>
      <c r="AE1613" s="144" t="str">
        <f t="shared" si="523"/>
        <v/>
      </c>
      <c r="AF1613" s="144" t="str">
        <f>IF(AE1613="","",SUM($AE$2:AE1613))</f>
        <v/>
      </c>
    </row>
    <row r="1614" spans="14:32" x14ac:dyDescent="0.35">
      <c r="N1614" s="134" t="str">
        <f t="shared" si="521"/>
        <v/>
      </c>
      <c r="O1614" s="82" t="str">
        <f t="shared" si="512"/>
        <v/>
      </c>
      <c r="P1614" s="81" t="str">
        <f t="shared" si="522"/>
        <v/>
      </c>
      <c r="Q1614" s="81" t="str">
        <f t="shared" si="513"/>
        <v/>
      </c>
      <c r="R1614" s="135" t="str">
        <f t="shared" ca="1" si="514"/>
        <v/>
      </c>
      <c r="S1614" s="134" t="str">
        <f t="shared" ca="1" si="515"/>
        <v/>
      </c>
      <c r="T1614" s="134" t="str">
        <f ca="1">IF(S1614=Dashboard!$D$12,S1614,"")</f>
        <v/>
      </c>
      <c r="U1614" s="134" t="str">
        <f t="shared" ca="1" si="516"/>
        <v/>
      </c>
      <c r="V1614" s="83" t="str">
        <f ca="1">IF(U1614="","",IFERROR((RANK(U1614,$U$2:$U$2028,1)+COUNTIF($U$2:U1614,U1614))-1,""))</f>
        <v/>
      </c>
      <c r="W1614" s="134" t="str">
        <f t="shared" si="520"/>
        <v/>
      </c>
      <c r="X1614" s="134" t="str">
        <f>IF(W1614="","",IFERROR((RANK(W1614,$W$2:$W$2028,1)+COUNTIF($W$2:W1614,W1614))-1,""))</f>
        <v/>
      </c>
      <c r="Y1614" s="134" t="str">
        <f t="shared" si="517"/>
        <v/>
      </c>
      <c r="Z1614" s="134" t="str">
        <f>IF(Y1614="","",IFERROR((RANK(Y1614,$Y$2:$Y$2028,1)+COUNTIF($Y$2:Y1614,Y1614))-1,""))</f>
        <v/>
      </c>
      <c r="AA1614" s="134" t="str">
        <f t="shared" si="518"/>
        <v/>
      </c>
      <c r="AB1614" s="134" t="str">
        <f>IF(AA1614="","",IFERROR((RANK(AA1614,$AA$2:$AA$2028,1)+COUNTIF($AA$2:AA1614,AA1614))-1,""))</f>
        <v/>
      </c>
      <c r="AC1614" s="134" t="str">
        <f t="shared" si="519"/>
        <v/>
      </c>
      <c r="AD1614" s="134" t="str">
        <f>IF(AC1614="","",IFERROR((RANK(AC1614,$AC$2:$AC$2028,1)+COUNTIF($AC$2:AC1614,AC1614))-1,""))</f>
        <v/>
      </c>
      <c r="AE1614" s="144" t="str">
        <f t="shared" si="523"/>
        <v/>
      </c>
      <c r="AF1614" s="144" t="str">
        <f>IF(AE1614="","",SUM($AE$2:AE1614))</f>
        <v/>
      </c>
    </row>
    <row r="1615" spans="14:32" x14ac:dyDescent="0.35">
      <c r="N1615" s="134" t="str">
        <f t="shared" si="521"/>
        <v/>
      </c>
      <c r="O1615" s="82" t="str">
        <f t="shared" si="512"/>
        <v/>
      </c>
      <c r="P1615" s="81" t="str">
        <f t="shared" si="522"/>
        <v/>
      </c>
      <c r="Q1615" s="81" t="str">
        <f t="shared" si="513"/>
        <v/>
      </c>
      <c r="R1615" s="135" t="str">
        <f t="shared" ca="1" si="514"/>
        <v/>
      </c>
      <c r="S1615" s="134" t="str">
        <f t="shared" ca="1" si="515"/>
        <v/>
      </c>
      <c r="T1615" s="134" t="str">
        <f ca="1">IF(S1615=Dashboard!$D$12,S1615,"")</f>
        <v/>
      </c>
      <c r="U1615" s="134" t="str">
        <f t="shared" ca="1" si="516"/>
        <v/>
      </c>
      <c r="V1615" s="83" t="str">
        <f ca="1">IF(U1615="","",IFERROR((RANK(U1615,$U$2:$U$2028,1)+COUNTIF($U$2:U1615,U1615))-1,""))</f>
        <v/>
      </c>
      <c r="W1615" s="134" t="str">
        <f t="shared" si="520"/>
        <v/>
      </c>
      <c r="X1615" s="134" t="str">
        <f>IF(W1615="","",IFERROR((RANK(W1615,$W$2:$W$2028,1)+COUNTIF($W$2:W1615,W1615))-1,""))</f>
        <v/>
      </c>
      <c r="Y1615" s="134" t="str">
        <f t="shared" si="517"/>
        <v/>
      </c>
      <c r="Z1615" s="134" t="str">
        <f>IF(Y1615="","",IFERROR((RANK(Y1615,$Y$2:$Y$2028,1)+COUNTIF($Y$2:Y1615,Y1615))-1,""))</f>
        <v/>
      </c>
      <c r="AA1615" s="134" t="str">
        <f t="shared" si="518"/>
        <v/>
      </c>
      <c r="AB1615" s="134" t="str">
        <f>IF(AA1615="","",IFERROR((RANK(AA1615,$AA$2:$AA$2028,1)+COUNTIF($AA$2:AA1615,AA1615))-1,""))</f>
        <v/>
      </c>
      <c r="AC1615" s="134" t="str">
        <f t="shared" si="519"/>
        <v/>
      </c>
      <c r="AD1615" s="134" t="str">
        <f>IF(AC1615="","",IFERROR((RANK(AC1615,$AC$2:$AC$2028,1)+COUNTIF($AC$2:AC1615,AC1615))-1,""))</f>
        <v/>
      </c>
      <c r="AE1615" s="144" t="str">
        <f t="shared" si="523"/>
        <v/>
      </c>
      <c r="AF1615" s="144" t="str">
        <f>IF(AE1615="","",SUM($AE$2:AE1615))</f>
        <v/>
      </c>
    </row>
    <row r="1616" spans="14:32" x14ac:dyDescent="0.35">
      <c r="N1616" s="134" t="str">
        <f t="shared" si="521"/>
        <v/>
      </c>
      <c r="O1616" s="82" t="str">
        <f t="shared" si="512"/>
        <v/>
      </c>
      <c r="P1616" s="81" t="str">
        <f t="shared" si="522"/>
        <v/>
      </c>
      <c r="Q1616" s="81" t="str">
        <f t="shared" si="513"/>
        <v/>
      </c>
      <c r="R1616" s="135" t="str">
        <f t="shared" ca="1" si="514"/>
        <v/>
      </c>
      <c r="S1616" s="134" t="str">
        <f t="shared" ca="1" si="515"/>
        <v/>
      </c>
      <c r="T1616" s="134" t="str">
        <f ca="1">IF(S1616=Dashboard!$D$12,S1616,"")</f>
        <v/>
      </c>
      <c r="U1616" s="134" t="str">
        <f t="shared" ca="1" si="516"/>
        <v/>
      </c>
      <c r="V1616" s="83" t="str">
        <f ca="1">IF(U1616="","",IFERROR((RANK(U1616,$U$2:$U$2028,1)+COUNTIF($U$2:U1616,U1616))-1,""))</f>
        <v/>
      </c>
      <c r="W1616" s="134" t="str">
        <f t="shared" si="520"/>
        <v/>
      </c>
      <c r="X1616" s="134" t="str">
        <f>IF(W1616="","",IFERROR((RANK(W1616,$W$2:$W$2028,1)+COUNTIF($W$2:W1616,W1616))-1,""))</f>
        <v/>
      </c>
      <c r="Y1616" s="134" t="str">
        <f t="shared" si="517"/>
        <v/>
      </c>
      <c r="Z1616" s="134" t="str">
        <f>IF(Y1616="","",IFERROR((RANK(Y1616,$Y$2:$Y$2028,1)+COUNTIF($Y$2:Y1616,Y1616))-1,""))</f>
        <v/>
      </c>
      <c r="AA1616" s="134" t="str">
        <f t="shared" si="518"/>
        <v/>
      </c>
      <c r="AB1616" s="134" t="str">
        <f>IF(AA1616="","",IFERROR((RANK(AA1616,$AA$2:$AA$2028,1)+COUNTIF($AA$2:AA1616,AA1616))-1,""))</f>
        <v/>
      </c>
      <c r="AC1616" s="134" t="str">
        <f t="shared" si="519"/>
        <v/>
      </c>
      <c r="AD1616" s="134" t="str">
        <f>IF(AC1616="","",IFERROR((RANK(AC1616,$AC$2:$AC$2028,1)+COUNTIF($AC$2:AC1616,AC1616))-1,""))</f>
        <v/>
      </c>
      <c r="AE1616" s="144" t="str">
        <f t="shared" si="523"/>
        <v/>
      </c>
      <c r="AF1616" s="144" t="str">
        <f>IF(AE1616="","",SUM($AE$2:AE1616))</f>
        <v/>
      </c>
    </row>
    <row r="1617" spans="14:32" x14ac:dyDescent="0.35">
      <c r="N1617" s="134" t="str">
        <f t="shared" si="521"/>
        <v/>
      </c>
      <c r="O1617" s="82" t="str">
        <f t="shared" si="512"/>
        <v/>
      </c>
      <c r="P1617" s="81" t="str">
        <f t="shared" si="522"/>
        <v/>
      </c>
      <c r="Q1617" s="81" t="str">
        <f t="shared" si="513"/>
        <v/>
      </c>
      <c r="R1617" s="135" t="str">
        <f t="shared" ca="1" si="514"/>
        <v/>
      </c>
      <c r="S1617" s="134" t="str">
        <f t="shared" ca="1" si="515"/>
        <v/>
      </c>
      <c r="T1617" s="134" t="str">
        <f ca="1">IF(S1617=Dashboard!$D$12,S1617,"")</f>
        <v/>
      </c>
      <c r="U1617" s="134" t="str">
        <f t="shared" ca="1" si="516"/>
        <v/>
      </c>
      <c r="V1617" s="83" t="str">
        <f ca="1">IF(U1617="","",IFERROR((RANK(U1617,$U$2:$U$2028,1)+COUNTIF($U$2:U1617,U1617))-1,""))</f>
        <v/>
      </c>
      <c r="W1617" s="134" t="str">
        <f t="shared" si="520"/>
        <v/>
      </c>
      <c r="X1617" s="134" t="str">
        <f>IF(W1617="","",IFERROR((RANK(W1617,$W$2:$W$2028,1)+COUNTIF($W$2:W1617,W1617))-1,""))</f>
        <v/>
      </c>
      <c r="Y1617" s="134" t="str">
        <f t="shared" si="517"/>
        <v/>
      </c>
      <c r="Z1617" s="134" t="str">
        <f>IF(Y1617="","",IFERROR((RANK(Y1617,$Y$2:$Y$2028,1)+COUNTIF($Y$2:Y1617,Y1617))-1,""))</f>
        <v/>
      </c>
      <c r="AA1617" s="134" t="str">
        <f t="shared" si="518"/>
        <v/>
      </c>
      <c r="AB1617" s="134" t="str">
        <f>IF(AA1617="","",IFERROR((RANK(AA1617,$AA$2:$AA$2028,1)+COUNTIF($AA$2:AA1617,AA1617))-1,""))</f>
        <v/>
      </c>
      <c r="AC1617" s="134" t="str">
        <f t="shared" si="519"/>
        <v/>
      </c>
      <c r="AD1617" s="134" t="str">
        <f>IF(AC1617="","",IFERROR((RANK(AC1617,$AC$2:$AC$2028,1)+COUNTIF($AC$2:AC1617,AC1617))-1,""))</f>
        <v/>
      </c>
      <c r="AE1617" s="144" t="str">
        <f t="shared" si="523"/>
        <v/>
      </c>
      <c r="AF1617" s="144" t="str">
        <f>IF(AE1617="","",SUM($AE$2:AE1617))</f>
        <v/>
      </c>
    </row>
    <row r="1618" spans="14:32" x14ac:dyDescent="0.35">
      <c r="N1618" s="134" t="str">
        <f t="shared" si="521"/>
        <v/>
      </c>
      <c r="O1618" s="82" t="str">
        <f t="shared" si="512"/>
        <v/>
      </c>
      <c r="P1618" s="81" t="str">
        <f t="shared" si="522"/>
        <v/>
      </c>
      <c r="Q1618" s="81" t="str">
        <f t="shared" si="513"/>
        <v/>
      </c>
      <c r="R1618" s="135" t="str">
        <f t="shared" ca="1" si="514"/>
        <v/>
      </c>
      <c r="S1618" s="134" t="str">
        <f t="shared" ca="1" si="515"/>
        <v/>
      </c>
      <c r="T1618" s="134" t="str">
        <f ca="1">IF(S1618=Dashboard!$D$12,S1618,"")</f>
        <v/>
      </c>
      <c r="U1618" s="134" t="str">
        <f t="shared" ca="1" si="516"/>
        <v/>
      </c>
      <c r="V1618" s="83" t="str">
        <f ca="1">IF(U1618="","",IFERROR((RANK(U1618,$U$2:$U$2028,1)+COUNTIF($U$2:U1618,U1618))-1,""))</f>
        <v/>
      </c>
      <c r="W1618" s="134" t="str">
        <f t="shared" si="520"/>
        <v/>
      </c>
      <c r="X1618" s="134" t="str">
        <f>IF(W1618="","",IFERROR((RANK(W1618,$W$2:$W$2028,1)+COUNTIF($W$2:W1618,W1618))-1,""))</f>
        <v/>
      </c>
      <c r="Y1618" s="134" t="str">
        <f t="shared" si="517"/>
        <v/>
      </c>
      <c r="Z1618" s="134" t="str">
        <f>IF(Y1618="","",IFERROR((RANK(Y1618,$Y$2:$Y$2028,1)+COUNTIF($Y$2:Y1618,Y1618))-1,""))</f>
        <v/>
      </c>
      <c r="AA1618" s="134" t="str">
        <f t="shared" si="518"/>
        <v/>
      </c>
      <c r="AB1618" s="134" t="str">
        <f>IF(AA1618="","",IFERROR((RANK(AA1618,$AA$2:$AA$2028,1)+COUNTIF($AA$2:AA1618,AA1618))-1,""))</f>
        <v/>
      </c>
      <c r="AC1618" s="134" t="str">
        <f t="shared" si="519"/>
        <v/>
      </c>
      <c r="AD1618" s="134" t="str">
        <f>IF(AC1618="","",IFERROR((RANK(AC1618,$AC$2:$AC$2028,1)+COUNTIF($AC$2:AC1618,AC1618))-1,""))</f>
        <v/>
      </c>
      <c r="AE1618" s="144" t="str">
        <f t="shared" si="523"/>
        <v/>
      </c>
      <c r="AF1618" s="144" t="str">
        <f>IF(AE1618="","",SUM($AE$2:AE1618))</f>
        <v/>
      </c>
    </row>
    <row r="1619" spans="14:32" x14ac:dyDescent="0.35">
      <c r="N1619" s="134" t="str">
        <f t="shared" si="521"/>
        <v/>
      </c>
      <c r="O1619" s="82" t="str">
        <f t="shared" si="512"/>
        <v/>
      </c>
      <c r="P1619" s="81" t="str">
        <f t="shared" si="522"/>
        <v/>
      </c>
      <c r="Q1619" s="81" t="str">
        <f t="shared" si="513"/>
        <v/>
      </c>
      <c r="R1619" s="135" t="str">
        <f t="shared" ca="1" si="514"/>
        <v/>
      </c>
      <c r="S1619" s="134" t="str">
        <f t="shared" ca="1" si="515"/>
        <v/>
      </c>
      <c r="T1619" s="134" t="str">
        <f ca="1">IF(S1619=Dashboard!$D$12,S1619,"")</f>
        <v/>
      </c>
      <c r="U1619" s="134" t="str">
        <f t="shared" ca="1" si="516"/>
        <v/>
      </c>
      <c r="V1619" s="83" t="str">
        <f ca="1">IF(U1619="","",IFERROR((RANK(U1619,$U$2:$U$2028,1)+COUNTIF($U$2:U1619,U1619))-1,""))</f>
        <v/>
      </c>
      <c r="W1619" s="134" t="str">
        <f t="shared" si="520"/>
        <v/>
      </c>
      <c r="X1619" s="134" t="str">
        <f>IF(W1619="","",IFERROR((RANK(W1619,$W$2:$W$2028,1)+COUNTIF($W$2:W1619,W1619))-1,""))</f>
        <v/>
      </c>
      <c r="Y1619" s="134" t="str">
        <f t="shared" si="517"/>
        <v/>
      </c>
      <c r="Z1619" s="134" t="str">
        <f>IF(Y1619="","",IFERROR((RANK(Y1619,$Y$2:$Y$2028,1)+COUNTIF($Y$2:Y1619,Y1619))-1,""))</f>
        <v/>
      </c>
      <c r="AA1619" s="134" t="str">
        <f t="shared" si="518"/>
        <v/>
      </c>
      <c r="AB1619" s="134" t="str">
        <f>IF(AA1619="","",IFERROR((RANK(AA1619,$AA$2:$AA$2028,1)+COUNTIF($AA$2:AA1619,AA1619))-1,""))</f>
        <v/>
      </c>
      <c r="AC1619" s="134" t="str">
        <f t="shared" si="519"/>
        <v/>
      </c>
      <c r="AD1619" s="134" t="str">
        <f>IF(AC1619="","",IFERROR((RANK(AC1619,$AC$2:$AC$2028,1)+COUNTIF($AC$2:AC1619,AC1619))-1,""))</f>
        <v/>
      </c>
      <c r="AE1619" s="144" t="str">
        <f t="shared" si="523"/>
        <v/>
      </c>
      <c r="AF1619" s="144" t="str">
        <f>IF(AE1619="","",SUM($AE$2:AE1619))</f>
        <v/>
      </c>
    </row>
    <row r="1620" spans="14:32" x14ac:dyDescent="0.35">
      <c r="N1620" s="134" t="str">
        <f t="shared" si="521"/>
        <v/>
      </c>
      <c r="O1620" s="82" t="str">
        <f t="shared" si="512"/>
        <v/>
      </c>
      <c r="P1620" s="81" t="str">
        <f t="shared" si="522"/>
        <v/>
      </c>
      <c r="Q1620" s="81" t="str">
        <f t="shared" si="513"/>
        <v/>
      </c>
      <c r="R1620" s="135" t="str">
        <f t="shared" ca="1" si="514"/>
        <v/>
      </c>
      <c r="S1620" s="134" t="str">
        <f t="shared" ca="1" si="515"/>
        <v/>
      </c>
      <c r="T1620" s="134" t="str">
        <f ca="1">IF(S1620=Dashboard!$D$12,S1620,"")</f>
        <v/>
      </c>
      <c r="U1620" s="134" t="str">
        <f t="shared" ca="1" si="516"/>
        <v/>
      </c>
      <c r="V1620" s="83" t="str">
        <f ca="1">IF(U1620="","",IFERROR((RANK(U1620,$U$2:$U$2028,1)+COUNTIF($U$2:U1620,U1620))-1,""))</f>
        <v/>
      </c>
      <c r="W1620" s="134" t="str">
        <f t="shared" si="520"/>
        <v/>
      </c>
      <c r="X1620" s="134" t="str">
        <f>IF(W1620="","",IFERROR((RANK(W1620,$W$2:$W$2028,1)+COUNTIF($W$2:W1620,W1620))-1,""))</f>
        <v/>
      </c>
      <c r="Y1620" s="134" t="str">
        <f t="shared" si="517"/>
        <v/>
      </c>
      <c r="Z1620" s="134" t="str">
        <f>IF(Y1620="","",IFERROR((RANK(Y1620,$Y$2:$Y$2028,1)+COUNTIF($Y$2:Y1620,Y1620))-1,""))</f>
        <v/>
      </c>
      <c r="AA1620" s="134" t="str">
        <f t="shared" si="518"/>
        <v/>
      </c>
      <c r="AB1620" s="134" t="str">
        <f>IF(AA1620="","",IFERROR((RANK(AA1620,$AA$2:$AA$2028,1)+COUNTIF($AA$2:AA1620,AA1620))-1,""))</f>
        <v/>
      </c>
      <c r="AC1620" s="134" t="str">
        <f t="shared" si="519"/>
        <v/>
      </c>
      <c r="AD1620" s="134" t="str">
        <f>IF(AC1620="","",IFERROR((RANK(AC1620,$AC$2:$AC$2028,1)+COUNTIF($AC$2:AC1620,AC1620))-1,""))</f>
        <v/>
      </c>
      <c r="AE1620" s="144" t="str">
        <f t="shared" si="523"/>
        <v/>
      </c>
      <c r="AF1620" s="144" t="str">
        <f>IF(AE1620="","",SUM($AE$2:AE1620))</f>
        <v/>
      </c>
    </row>
    <row r="1621" spans="14:32" x14ac:dyDescent="0.35">
      <c r="N1621" s="134" t="str">
        <f t="shared" si="521"/>
        <v/>
      </c>
      <c r="O1621" s="82" t="str">
        <f t="shared" si="512"/>
        <v/>
      </c>
      <c r="P1621" s="81" t="str">
        <f t="shared" si="522"/>
        <v/>
      </c>
      <c r="Q1621" s="81" t="str">
        <f t="shared" si="513"/>
        <v/>
      </c>
      <c r="R1621" s="135" t="str">
        <f t="shared" ca="1" si="514"/>
        <v/>
      </c>
      <c r="S1621" s="134" t="str">
        <f t="shared" ca="1" si="515"/>
        <v/>
      </c>
      <c r="T1621" s="134" t="str">
        <f ca="1">IF(S1621=Dashboard!$D$12,S1621,"")</f>
        <v/>
      </c>
      <c r="U1621" s="134" t="str">
        <f t="shared" ca="1" si="516"/>
        <v/>
      </c>
      <c r="V1621" s="83" t="str">
        <f ca="1">IF(U1621="","",IFERROR((RANK(U1621,$U$2:$U$2028,1)+COUNTIF($U$2:U1621,U1621))-1,""))</f>
        <v/>
      </c>
      <c r="W1621" s="134" t="str">
        <f t="shared" si="520"/>
        <v/>
      </c>
      <c r="X1621" s="134" t="str">
        <f>IF(W1621="","",IFERROR((RANK(W1621,$W$2:$W$2028,1)+COUNTIF($W$2:W1621,W1621))-1,""))</f>
        <v/>
      </c>
      <c r="Y1621" s="134" t="str">
        <f t="shared" si="517"/>
        <v/>
      </c>
      <c r="Z1621" s="134" t="str">
        <f>IF(Y1621="","",IFERROR((RANK(Y1621,$Y$2:$Y$2028,1)+COUNTIF($Y$2:Y1621,Y1621))-1,""))</f>
        <v/>
      </c>
      <c r="AA1621" s="134" t="str">
        <f t="shared" si="518"/>
        <v/>
      </c>
      <c r="AB1621" s="134" t="str">
        <f>IF(AA1621="","",IFERROR((RANK(AA1621,$AA$2:$AA$2028,1)+COUNTIF($AA$2:AA1621,AA1621))-1,""))</f>
        <v/>
      </c>
      <c r="AC1621" s="134" t="str">
        <f t="shared" si="519"/>
        <v/>
      </c>
      <c r="AD1621" s="134" t="str">
        <f>IF(AC1621="","",IFERROR((RANK(AC1621,$AC$2:$AC$2028,1)+COUNTIF($AC$2:AC1621,AC1621))-1,""))</f>
        <v/>
      </c>
      <c r="AE1621" s="144" t="str">
        <f t="shared" si="523"/>
        <v/>
      </c>
      <c r="AF1621" s="144" t="str">
        <f>IF(AE1621="","",SUM($AE$2:AE1621))</f>
        <v/>
      </c>
    </row>
    <row r="1622" spans="14:32" x14ac:dyDescent="0.35">
      <c r="N1622" s="134" t="str">
        <f t="shared" si="521"/>
        <v/>
      </c>
      <c r="O1622" s="82" t="str">
        <f t="shared" si="512"/>
        <v/>
      </c>
      <c r="P1622" s="81" t="str">
        <f t="shared" si="522"/>
        <v/>
      </c>
      <c r="Q1622" s="81" t="str">
        <f t="shared" si="513"/>
        <v/>
      </c>
      <c r="R1622" s="135" t="str">
        <f t="shared" ca="1" si="514"/>
        <v/>
      </c>
      <c r="S1622" s="134" t="str">
        <f t="shared" ca="1" si="515"/>
        <v/>
      </c>
      <c r="T1622" s="134" t="str">
        <f ca="1">IF(S1622=Dashboard!$D$12,S1622,"")</f>
        <v/>
      </c>
      <c r="U1622" s="134" t="str">
        <f t="shared" ca="1" si="516"/>
        <v/>
      </c>
      <c r="V1622" s="83" t="str">
        <f ca="1">IF(U1622="","",IFERROR((RANK(U1622,$U$2:$U$2028,1)+COUNTIF($U$2:U1622,U1622))-1,""))</f>
        <v/>
      </c>
      <c r="W1622" s="134" t="str">
        <f t="shared" si="520"/>
        <v/>
      </c>
      <c r="X1622" s="134" t="str">
        <f>IF(W1622="","",IFERROR((RANK(W1622,$W$2:$W$2028,1)+COUNTIF($W$2:W1622,W1622))-1,""))</f>
        <v/>
      </c>
      <c r="Y1622" s="134" t="str">
        <f t="shared" si="517"/>
        <v/>
      </c>
      <c r="Z1622" s="134" t="str">
        <f>IF(Y1622="","",IFERROR((RANK(Y1622,$Y$2:$Y$2028,1)+COUNTIF($Y$2:Y1622,Y1622))-1,""))</f>
        <v/>
      </c>
      <c r="AA1622" s="134" t="str">
        <f t="shared" si="518"/>
        <v/>
      </c>
      <c r="AB1622" s="134" t="str">
        <f>IF(AA1622="","",IFERROR((RANK(AA1622,$AA$2:$AA$2028,1)+COUNTIF($AA$2:AA1622,AA1622))-1,""))</f>
        <v/>
      </c>
      <c r="AC1622" s="134" t="str">
        <f t="shared" si="519"/>
        <v/>
      </c>
      <c r="AD1622" s="134" t="str">
        <f>IF(AC1622="","",IFERROR((RANK(AC1622,$AC$2:$AC$2028,1)+COUNTIF($AC$2:AC1622,AC1622))-1,""))</f>
        <v/>
      </c>
      <c r="AE1622" s="144" t="str">
        <f t="shared" si="523"/>
        <v/>
      </c>
      <c r="AF1622" s="144" t="str">
        <f>IF(AE1622="","",SUM($AE$2:AE1622))</f>
        <v/>
      </c>
    </row>
    <row r="1623" spans="14:32" x14ac:dyDescent="0.35">
      <c r="N1623" s="134" t="str">
        <f t="shared" si="521"/>
        <v/>
      </c>
      <c r="O1623" s="82" t="str">
        <f t="shared" si="512"/>
        <v/>
      </c>
      <c r="P1623" s="81" t="str">
        <f t="shared" si="522"/>
        <v/>
      </c>
      <c r="Q1623" s="81" t="str">
        <f t="shared" si="513"/>
        <v/>
      </c>
      <c r="R1623" s="135" t="str">
        <f t="shared" ca="1" si="514"/>
        <v/>
      </c>
      <c r="S1623" s="134" t="str">
        <f t="shared" ca="1" si="515"/>
        <v/>
      </c>
      <c r="T1623" s="134" t="str">
        <f ca="1">IF(S1623=Dashboard!$D$12,S1623,"")</f>
        <v/>
      </c>
      <c r="U1623" s="134" t="str">
        <f t="shared" ca="1" si="516"/>
        <v/>
      </c>
      <c r="V1623" s="83" t="str">
        <f ca="1">IF(U1623="","",IFERROR((RANK(U1623,$U$2:$U$2028,1)+COUNTIF($U$2:U1623,U1623))-1,""))</f>
        <v/>
      </c>
      <c r="W1623" s="134" t="str">
        <f t="shared" si="520"/>
        <v/>
      </c>
      <c r="X1623" s="134" t="str">
        <f>IF(W1623="","",IFERROR((RANK(W1623,$W$2:$W$2028,1)+COUNTIF($W$2:W1623,W1623))-1,""))</f>
        <v/>
      </c>
      <c r="Y1623" s="134" t="str">
        <f t="shared" si="517"/>
        <v/>
      </c>
      <c r="Z1623" s="134" t="str">
        <f>IF(Y1623="","",IFERROR((RANK(Y1623,$Y$2:$Y$2028,1)+COUNTIF($Y$2:Y1623,Y1623))-1,""))</f>
        <v/>
      </c>
      <c r="AA1623" s="134" t="str">
        <f t="shared" si="518"/>
        <v/>
      </c>
      <c r="AB1623" s="134" t="str">
        <f>IF(AA1623="","",IFERROR((RANK(AA1623,$AA$2:$AA$2028,1)+COUNTIF($AA$2:AA1623,AA1623))-1,""))</f>
        <v/>
      </c>
      <c r="AC1623" s="134" t="str">
        <f t="shared" si="519"/>
        <v/>
      </c>
      <c r="AD1623" s="134" t="str">
        <f>IF(AC1623="","",IFERROR((RANK(AC1623,$AC$2:$AC$2028,1)+COUNTIF($AC$2:AC1623,AC1623))-1,""))</f>
        <v/>
      </c>
      <c r="AE1623" s="144" t="str">
        <f t="shared" si="523"/>
        <v/>
      </c>
      <c r="AF1623" s="144" t="str">
        <f>IF(AE1623="","",SUM($AE$2:AE1623))</f>
        <v/>
      </c>
    </row>
    <row r="1624" spans="14:32" x14ac:dyDescent="0.35">
      <c r="N1624" s="134" t="str">
        <f t="shared" si="521"/>
        <v/>
      </c>
      <c r="O1624" s="82" t="str">
        <f t="shared" si="512"/>
        <v/>
      </c>
      <c r="P1624" s="81" t="str">
        <f t="shared" si="522"/>
        <v/>
      </c>
      <c r="Q1624" s="81" t="str">
        <f t="shared" si="513"/>
        <v/>
      </c>
      <c r="R1624" s="135" t="str">
        <f t="shared" ca="1" si="514"/>
        <v/>
      </c>
      <c r="S1624" s="134" t="str">
        <f t="shared" ca="1" si="515"/>
        <v/>
      </c>
      <c r="T1624" s="134" t="str">
        <f ca="1">IF(S1624=Dashboard!$D$12,S1624,"")</f>
        <v/>
      </c>
      <c r="U1624" s="134" t="str">
        <f t="shared" ca="1" si="516"/>
        <v/>
      </c>
      <c r="V1624" s="83" t="str">
        <f ca="1">IF(U1624="","",IFERROR((RANK(U1624,$U$2:$U$2028,1)+COUNTIF($U$2:U1624,U1624))-1,""))</f>
        <v/>
      </c>
      <c r="W1624" s="134" t="str">
        <f t="shared" si="520"/>
        <v/>
      </c>
      <c r="X1624" s="134" t="str">
        <f>IF(W1624="","",IFERROR((RANK(W1624,$W$2:$W$2028,1)+COUNTIF($W$2:W1624,W1624))-1,""))</f>
        <v/>
      </c>
      <c r="Y1624" s="134" t="str">
        <f t="shared" si="517"/>
        <v/>
      </c>
      <c r="Z1624" s="134" t="str">
        <f>IF(Y1624="","",IFERROR((RANK(Y1624,$Y$2:$Y$2028,1)+COUNTIF($Y$2:Y1624,Y1624))-1,""))</f>
        <v/>
      </c>
      <c r="AA1624" s="134" t="str">
        <f t="shared" si="518"/>
        <v/>
      </c>
      <c r="AB1624" s="134" t="str">
        <f>IF(AA1624="","",IFERROR((RANK(AA1624,$AA$2:$AA$2028,1)+COUNTIF($AA$2:AA1624,AA1624))-1,""))</f>
        <v/>
      </c>
      <c r="AC1624" s="134" t="str">
        <f t="shared" si="519"/>
        <v/>
      </c>
      <c r="AD1624" s="134" t="str">
        <f>IF(AC1624="","",IFERROR((RANK(AC1624,$AC$2:$AC$2028,1)+COUNTIF($AC$2:AC1624,AC1624))-1,""))</f>
        <v/>
      </c>
      <c r="AE1624" s="144" t="str">
        <f t="shared" si="523"/>
        <v/>
      </c>
      <c r="AF1624" s="144" t="str">
        <f>IF(AE1624="","",SUM($AE$2:AE1624))</f>
        <v/>
      </c>
    </row>
    <row r="1625" spans="14:32" x14ac:dyDescent="0.35">
      <c r="N1625" s="134" t="str">
        <f t="shared" si="521"/>
        <v/>
      </c>
      <c r="O1625" s="82" t="str">
        <f t="shared" si="512"/>
        <v/>
      </c>
      <c r="P1625" s="81" t="str">
        <f t="shared" si="522"/>
        <v/>
      </c>
      <c r="Q1625" s="81" t="str">
        <f t="shared" si="513"/>
        <v/>
      </c>
      <c r="R1625" s="135" t="str">
        <f t="shared" ca="1" si="514"/>
        <v/>
      </c>
      <c r="S1625" s="134" t="str">
        <f t="shared" ca="1" si="515"/>
        <v/>
      </c>
      <c r="T1625" s="134" t="str">
        <f ca="1">IF(S1625=Dashboard!$D$12,S1625,"")</f>
        <v/>
      </c>
      <c r="U1625" s="134" t="str">
        <f t="shared" ca="1" si="516"/>
        <v/>
      </c>
      <c r="V1625" s="83" t="str">
        <f ca="1">IF(U1625="","",IFERROR((RANK(U1625,$U$2:$U$2028,1)+COUNTIF($U$2:U1625,U1625))-1,""))</f>
        <v/>
      </c>
      <c r="W1625" s="134" t="str">
        <f t="shared" si="520"/>
        <v/>
      </c>
      <c r="X1625" s="134" t="str">
        <f>IF(W1625="","",IFERROR((RANK(W1625,$W$2:$W$2028,1)+COUNTIF($W$2:W1625,W1625))-1,""))</f>
        <v/>
      </c>
      <c r="Y1625" s="134" t="str">
        <f t="shared" si="517"/>
        <v/>
      </c>
      <c r="Z1625" s="134" t="str">
        <f>IF(Y1625="","",IFERROR((RANK(Y1625,$Y$2:$Y$2028,1)+COUNTIF($Y$2:Y1625,Y1625))-1,""))</f>
        <v/>
      </c>
      <c r="AA1625" s="134" t="str">
        <f t="shared" si="518"/>
        <v/>
      </c>
      <c r="AB1625" s="134" t="str">
        <f>IF(AA1625="","",IFERROR((RANK(AA1625,$AA$2:$AA$2028,1)+COUNTIF($AA$2:AA1625,AA1625))-1,""))</f>
        <v/>
      </c>
      <c r="AC1625" s="134" t="str">
        <f t="shared" si="519"/>
        <v/>
      </c>
      <c r="AD1625" s="134" t="str">
        <f>IF(AC1625="","",IFERROR((RANK(AC1625,$AC$2:$AC$2028,1)+COUNTIF($AC$2:AC1625,AC1625))-1,""))</f>
        <v/>
      </c>
      <c r="AE1625" s="144" t="str">
        <f t="shared" si="523"/>
        <v/>
      </c>
      <c r="AF1625" s="144" t="str">
        <f>IF(AE1625="","",SUM($AE$2:AE1625))</f>
        <v/>
      </c>
    </row>
    <row r="1626" spans="14:32" x14ac:dyDescent="0.35">
      <c r="N1626" s="134" t="str">
        <f t="shared" si="521"/>
        <v/>
      </c>
      <c r="O1626" s="82" t="str">
        <f t="shared" si="512"/>
        <v/>
      </c>
      <c r="P1626" s="81" t="str">
        <f t="shared" si="522"/>
        <v/>
      </c>
      <c r="Q1626" s="81" t="str">
        <f t="shared" si="513"/>
        <v/>
      </c>
      <c r="R1626" s="135" t="str">
        <f t="shared" ca="1" si="514"/>
        <v/>
      </c>
      <c r="S1626" s="134" t="str">
        <f t="shared" ca="1" si="515"/>
        <v/>
      </c>
      <c r="T1626" s="134" t="str">
        <f ca="1">IF(S1626=Dashboard!$D$12,S1626,"")</f>
        <v/>
      </c>
      <c r="U1626" s="134" t="str">
        <f t="shared" ca="1" si="516"/>
        <v/>
      </c>
      <c r="V1626" s="83" t="str">
        <f ca="1">IF(U1626="","",IFERROR((RANK(U1626,$U$2:$U$2028,1)+COUNTIF($U$2:U1626,U1626))-1,""))</f>
        <v/>
      </c>
      <c r="W1626" s="134" t="str">
        <f t="shared" si="520"/>
        <v/>
      </c>
      <c r="X1626" s="134" t="str">
        <f>IF(W1626="","",IFERROR((RANK(W1626,$W$2:$W$2028,1)+COUNTIF($W$2:W1626,W1626))-1,""))</f>
        <v/>
      </c>
      <c r="Y1626" s="134" t="str">
        <f t="shared" si="517"/>
        <v/>
      </c>
      <c r="Z1626" s="134" t="str">
        <f>IF(Y1626="","",IFERROR((RANK(Y1626,$Y$2:$Y$2028,1)+COUNTIF($Y$2:Y1626,Y1626))-1,""))</f>
        <v/>
      </c>
      <c r="AA1626" s="134" t="str">
        <f t="shared" si="518"/>
        <v/>
      </c>
      <c r="AB1626" s="134" t="str">
        <f>IF(AA1626="","",IFERROR((RANK(AA1626,$AA$2:$AA$2028,1)+COUNTIF($AA$2:AA1626,AA1626))-1,""))</f>
        <v/>
      </c>
      <c r="AC1626" s="134" t="str">
        <f t="shared" si="519"/>
        <v/>
      </c>
      <c r="AD1626" s="134" t="str">
        <f>IF(AC1626="","",IFERROR((RANK(AC1626,$AC$2:$AC$2028,1)+COUNTIF($AC$2:AC1626,AC1626))-1,""))</f>
        <v/>
      </c>
      <c r="AE1626" s="144" t="str">
        <f t="shared" si="523"/>
        <v/>
      </c>
      <c r="AF1626" s="144" t="str">
        <f>IF(AE1626="","",SUM($AE$2:AE1626))</f>
        <v/>
      </c>
    </row>
    <row r="1627" spans="14:32" x14ac:dyDescent="0.35">
      <c r="N1627" s="134" t="str">
        <f t="shared" si="521"/>
        <v/>
      </c>
      <c r="O1627" s="82" t="str">
        <f t="shared" si="512"/>
        <v/>
      </c>
      <c r="P1627" s="81" t="str">
        <f t="shared" si="522"/>
        <v/>
      </c>
      <c r="Q1627" s="81" t="str">
        <f t="shared" si="513"/>
        <v/>
      </c>
      <c r="R1627" s="135" t="str">
        <f t="shared" ca="1" si="514"/>
        <v/>
      </c>
      <c r="S1627" s="134" t="str">
        <f t="shared" ca="1" si="515"/>
        <v/>
      </c>
      <c r="T1627" s="134" t="str">
        <f ca="1">IF(S1627=Dashboard!$D$12,S1627,"")</f>
        <v/>
      </c>
      <c r="U1627" s="134" t="str">
        <f t="shared" ca="1" si="516"/>
        <v/>
      </c>
      <c r="V1627" s="83" t="str">
        <f ca="1">IF(U1627="","",IFERROR((RANK(U1627,$U$2:$U$2028,1)+COUNTIF($U$2:U1627,U1627))-1,""))</f>
        <v/>
      </c>
      <c r="W1627" s="134" t="str">
        <f t="shared" si="520"/>
        <v/>
      </c>
      <c r="X1627" s="134" t="str">
        <f>IF(W1627="","",IFERROR((RANK(W1627,$W$2:$W$2028,1)+COUNTIF($W$2:W1627,W1627))-1,""))</f>
        <v/>
      </c>
      <c r="Y1627" s="134" t="str">
        <f t="shared" si="517"/>
        <v/>
      </c>
      <c r="Z1627" s="134" t="str">
        <f>IF(Y1627="","",IFERROR((RANK(Y1627,$Y$2:$Y$2028,1)+COUNTIF($Y$2:Y1627,Y1627))-1,""))</f>
        <v/>
      </c>
      <c r="AA1627" s="134" t="str">
        <f t="shared" si="518"/>
        <v/>
      </c>
      <c r="AB1627" s="134" t="str">
        <f>IF(AA1627="","",IFERROR((RANK(AA1627,$AA$2:$AA$2028,1)+COUNTIF($AA$2:AA1627,AA1627))-1,""))</f>
        <v/>
      </c>
      <c r="AC1627" s="134" t="str">
        <f t="shared" si="519"/>
        <v/>
      </c>
      <c r="AD1627" s="134" t="str">
        <f>IF(AC1627="","",IFERROR((RANK(AC1627,$AC$2:$AC$2028,1)+COUNTIF($AC$2:AC1627,AC1627))-1,""))</f>
        <v/>
      </c>
      <c r="AE1627" s="144" t="str">
        <f t="shared" si="523"/>
        <v/>
      </c>
      <c r="AF1627" s="144" t="str">
        <f>IF(AE1627="","",SUM($AE$2:AE1627))</f>
        <v/>
      </c>
    </row>
    <row r="1628" spans="14:32" x14ac:dyDescent="0.35">
      <c r="N1628" s="134" t="str">
        <f t="shared" si="521"/>
        <v/>
      </c>
      <c r="O1628" s="82" t="str">
        <f t="shared" si="512"/>
        <v/>
      </c>
      <c r="P1628" s="81" t="str">
        <f t="shared" si="522"/>
        <v/>
      </c>
      <c r="Q1628" s="81" t="str">
        <f t="shared" si="513"/>
        <v/>
      </c>
      <c r="R1628" s="135" t="str">
        <f t="shared" ca="1" si="514"/>
        <v/>
      </c>
      <c r="S1628" s="134" t="str">
        <f t="shared" ca="1" si="515"/>
        <v/>
      </c>
      <c r="T1628" s="134" t="str">
        <f ca="1">IF(S1628=Dashboard!$D$12,S1628,"")</f>
        <v/>
      </c>
      <c r="U1628" s="134" t="str">
        <f t="shared" ca="1" si="516"/>
        <v/>
      </c>
      <c r="V1628" s="83" t="str">
        <f ca="1">IF(U1628="","",IFERROR((RANK(U1628,$U$2:$U$2028,1)+COUNTIF($U$2:U1628,U1628))-1,""))</f>
        <v/>
      </c>
      <c r="W1628" s="134" t="str">
        <f t="shared" si="520"/>
        <v/>
      </c>
      <c r="X1628" s="134" t="str">
        <f>IF(W1628="","",IFERROR((RANK(W1628,$W$2:$W$2028,1)+COUNTIF($W$2:W1628,W1628))-1,""))</f>
        <v/>
      </c>
      <c r="Y1628" s="134" t="str">
        <f t="shared" si="517"/>
        <v/>
      </c>
      <c r="Z1628" s="134" t="str">
        <f>IF(Y1628="","",IFERROR((RANK(Y1628,$Y$2:$Y$2028,1)+COUNTIF($Y$2:Y1628,Y1628))-1,""))</f>
        <v/>
      </c>
      <c r="AA1628" s="134" t="str">
        <f t="shared" si="518"/>
        <v/>
      </c>
      <c r="AB1628" s="134" t="str">
        <f>IF(AA1628="","",IFERROR((RANK(AA1628,$AA$2:$AA$2028,1)+COUNTIF($AA$2:AA1628,AA1628))-1,""))</f>
        <v/>
      </c>
      <c r="AC1628" s="134" t="str">
        <f t="shared" si="519"/>
        <v/>
      </c>
      <c r="AD1628" s="134" t="str">
        <f>IF(AC1628="","",IFERROR((RANK(AC1628,$AC$2:$AC$2028,1)+COUNTIF($AC$2:AC1628,AC1628))-1,""))</f>
        <v/>
      </c>
      <c r="AE1628" s="144" t="str">
        <f t="shared" si="523"/>
        <v/>
      </c>
      <c r="AF1628" s="144" t="str">
        <f>IF(AE1628="","",SUM($AE$2:AE1628))</f>
        <v/>
      </c>
    </row>
    <row r="1629" spans="14:32" x14ac:dyDescent="0.35">
      <c r="N1629" s="134" t="str">
        <f t="shared" si="521"/>
        <v/>
      </c>
      <c r="O1629" s="82" t="str">
        <f t="shared" si="512"/>
        <v/>
      </c>
      <c r="P1629" s="81" t="str">
        <f t="shared" si="522"/>
        <v/>
      </c>
      <c r="Q1629" s="81" t="str">
        <f t="shared" si="513"/>
        <v/>
      </c>
      <c r="R1629" s="135" t="str">
        <f t="shared" ca="1" si="514"/>
        <v/>
      </c>
      <c r="S1629" s="134" t="str">
        <f t="shared" ca="1" si="515"/>
        <v/>
      </c>
      <c r="T1629" s="134" t="str">
        <f ca="1">IF(S1629=Dashboard!$D$12,S1629,"")</f>
        <v/>
      </c>
      <c r="U1629" s="134" t="str">
        <f t="shared" ca="1" si="516"/>
        <v/>
      </c>
      <c r="V1629" s="83" t="str">
        <f ca="1">IF(U1629="","",IFERROR((RANK(U1629,$U$2:$U$2028,1)+COUNTIF($U$2:U1629,U1629))-1,""))</f>
        <v/>
      </c>
      <c r="W1629" s="134" t="str">
        <f t="shared" si="520"/>
        <v/>
      </c>
      <c r="X1629" s="134" t="str">
        <f>IF(W1629="","",IFERROR((RANK(W1629,$W$2:$W$2028,1)+COUNTIF($W$2:W1629,W1629))-1,""))</f>
        <v/>
      </c>
      <c r="Y1629" s="134" t="str">
        <f t="shared" si="517"/>
        <v/>
      </c>
      <c r="Z1629" s="134" t="str">
        <f>IF(Y1629="","",IFERROR((RANK(Y1629,$Y$2:$Y$2028,1)+COUNTIF($Y$2:Y1629,Y1629))-1,""))</f>
        <v/>
      </c>
      <c r="AA1629" s="134" t="str">
        <f t="shared" si="518"/>
        <v/>
      </c>
      <c r="AB1629" s="134" t="str">
        <f>IF(AA1629="","",IFERROR((RANK(AA1629,$AA$2:$AA$2028,1)+COUNTIF($AA$2:AA1629,AA1629))-1,""))</f>
        <v/>
      </c>
      <c r="AC1629" s="134" t="str">
        <f t="shared" si="519"/>
        <v/>
      </c>
      <c r="AD1629" s="134" t="str">
        <f>IF(AC1629="","",IFERROR((RANK(AC1629,$AC$2:$AC$2028,1)+COUNTIF($AC$2:AC1629,AC1629))-1,""))</f>
        <v/>
      </c>
      <c r="AE1629" s="144" t="str">
        <f t="shared" si="523"/>
        <v/>
      </c>
      <c r="AF1629" s="144" t="str">
        <f>IF(AE1629="","",SUM($AE$2:AE1629))</f>
        <v/>
      </c>
    </row>
    <row r="1630" spans="14:32" x14ac:dyDescent="0.35">
      <c r="N1630" s="134" t="str">
        <f t="shared" si="521"/>
        <v/>
      </c>
      <c r="O1630" s="82" t="str">
        <f t="shared" ref="O1630:O1693" si="524">IF(A1630="","",N1630&amp;"-"&amp;M1630)</f>
        <v/>
      </c>
      <c r="P1630" s="81" t="str">
        <f t="shared" si="522"/>
        <v/>
      </c>
      <c r="Q1630" s="81" t="str">
        <f t="shared" ref="Q1630:Q1693" si="525">IF(A1630="","",IF(P1630=1,M1630,""))</f>
        <v/>
      </c>
      <c r="R1630" s="135" t="str">
        <f t="shared" ref="R1630:R1693" ca="1" si="526">IF(Q1630="","",I1630-TODAY())</f>
        <v/>
      </c>
      <c r="S1630" s="134" t="str">
        <f t="shared" ref="S1630:S1693" ca="1" si="527">IF(R1630="","",
IF(R1630&lt;-90,"Pass&gt;90",IF(R1630&lt;-60,"Pass 61-90",IF(R1630&lt;-30,"Pass 31-60",IF(R1630&lt;0,"Pass 0-30",IF(R1630&lt;31,"Run 0-30",IF(R1630&lt;61,"Run 31-60",IF(R1630&lt;91,"Run 60-90","Run &gt;90"))))))))</f>
        <v/>
      </c>
      <c r="T1630" s="134" t="str">
        <f ca="1">IF(S1630=Dashboard!$D$12,S1630,"")</f>
        <v/>
      </c>
      <c r="U1630" s="134" t="str">
        <f t="shared" ref="U1630:U1693" ca="1" si="528">IF(T1630="","",R1630)</f>
        <v/>
      </c>
      <c r="V1630" s="83" t="str">
        <f ca="1">IF(U1630="","",IFERROR((RANK(U1630,$U$2:$U$2028,1)+COUNTIF($U$2:U1630,U1630))-1,""))</f>
        <v/>
      </c>
      <c r="W1630" s="134" t="str">
        <f t="shared" si="520"/>
        <v/>
      </c>
      <c r="X1630" s="134" t="str">
        <f>IF(W1630="","",IFERROR((RANK(W1630,$W$2:$W$2028,1)+COUNTIF($W$2:W1630,W1630))-1,""))</f>
        <v/>
      </c>
      <c r="Y1630" s="134" t="str">
        <f t="shared" ref="Y1630:Y1693" si="529">IF($J1630=Y$1,$U1630,"")</f>
        <v/>
      </c>
      <c r="Z1630" s="134" t="str">
        <f>IF(Y1630="","",IFERROR((RANK(Y1630,$Y$2:$Y$2028,1)+COUNTIF($Y$2:Y1630,Y1630))-1,""))</f>
        <v/>
      </c>
      <c r="AA1630" s="134" t="str">
        <f t="shared" ref="AA1630:AA1693" si="530">IF($J1630=AA$1,$U1630,"")</f>
        <v/>
      </c>
      <c r="AB1630" s="134" t="str">
        <f>IF(AA1630="","",IFERROR((RANK(AA1630,$AA$2:$AA$2028,1)+COUNTIF($AA$2:AA1630,AA1630))-1,""))</f>
        <v/>
      </c>
      <c r="AC1630" s="134" t="str">
        <f t="shared" ref="AC1630:AC1693" si="531">IF($J1630=AC$1,$U1630,"")</f>
        <v/>
      </c>
      <c r="AD1630" s="134" t="str">
        <f>IF(AC1630="","",IFERROR((RANK(AC1630,$AC$2:$AC$2028,1)+COUNTIF($AC$2:AC1630,AC1630))-1,""))</f>
        <v/>
      </c>
      <c r="AE1630" s="144" t="str">
        <f t="shared" si="523"/>
        <v/>
      </c>
      <c r="AF1630" s="144" t="str">
        <f>IF(AE1630="","",SUM($AE$2:AE1630))</f>
        <v/>
      </c>
    </row>
    <row r="1631" spans="14:32" x14ac:dyDescent="0.35">
      <c r="N1631" s="134" t="str">
        <f t="shared" si="521"/>
        <v/>
      </c>
      <c r="O1631" s="82" t="str">
        <f t="shared" si="524"/>
        <v/>
      </c>
      <c r="P1631" s="81" t="str">
        <f t="shared" si="522"/>
        <v/>
      </c>
      <c r="Q1631" s="81" t="str">
        <f t="shared" si="525"/>
        <v/>
      </c>
      <c r="R1631" s="135" t="str">
        <f t="shared" ca="1" si="526"/>
        <v/>
      </c>
      <c r="S1631" s="134" t="str">
        <f t="shared" ca="1" si="527"/>
        <v/>
      </c>
      <c r="T1631" s="134" t="str">
        <f ca="1">IF(S1631=Dashboard!$D$12,S1631,"")</f>
        <v/>
      </c>
      <c r="U1631" s="134" t="str">
        <f t="shared" ca="1" si="528"/>
        <v/>
      </c>
      <c r="V1631" s="83" t="str">
        <f ca="1">IF(U1631="","",IFERROR((RANK(U1631,$U$2:$U$2028,1)+COUNTIF($U$2:U1631,U1631))-1,""))</f>
        <v/>
      </c>
      <c r="W1631" s="134" t="str">
        <f t="shared" ref="W1631:W1694" si="532">IF($J1631=$W$1,U1631,"")</f>
        <v/>
      </c>
      <c r="X1631" s="134" t="str">
        <f>IF(W1631="","",IFERROR((RANK(W1631,$W$2:$W$2028,1)+COUNTIF($W$2:W1631,W1631))-1,""))</f>
        <v/>
      </c>
      <c r="Y1631" s="134" t="str">
        <f t="shared" si="529"/>
        <v/>
      </c>
      <c r="Z1631" s="134" t="str">
        <f>IF(Y1631="","",IFERROR((RANK(Y1631,$Y$2:$Y$2028,1)+COUNTIF($Y$2:Y1631,Y1631))-1,""))</f>
        <v/>
      </c>
      <c r="AA1631" s="134" t="str">
        <f t="shared" si="530"/>
        <v/>
      </c>
      <c r="AB1631" s="134" t="str">
        <f>IF(AA1631="","",IFERROR((RANK(AA1631,$AA$2:$AA$2028,1)+COUNTIF($AA$2:AA1631,AA1631))-1,""))</f>
        <v/>
      </c>
      <c r="AC1631" s="134" t="str">
        <f t="shared" si="531"/>
        <v/>
      </c>
      <c r="AD1631" s="134" t="str">
        <f>IF(AC1631="","",IFERROR((RANK(AC1631,$AC$2:$AC$2028,1)+COUNTIF($AC$2:AC1631,AC1631))-1,""))</f>
        <v/>
      </c>
      <c r="AE1631" s="144" t="str">
        <f t="shared" si="523"/>
        <v/>
      </c>
      <c r="AF1631" s="144" t="str">
        <f>IF(AE1631="","",SUM($AE$2:AE1631))</f>
        <v/>
      </c>
    </row>
    <row r="1632" spans="14:32" x14ac:dyDescent="0.35">
      <c r="N1632" s="134" t="str">
        <f t="shared" si="521"/>
        <v/>
      </c>
      <c r="O1632" s="82" t="str">
        <f t="shared" si="524"/>
        <v/>
      </c>
      <c r="P1632" s="81" t="str">
        <f t="shared" si="522"/>
        <v/>
      </c>
      <c r="Q1632" s="81" t="str">
        <f t="shared" si="525"/>
        <v/>
      </c>
      <c r="R1632" s="135" t="str">
        <f t="shared" ca="1" si="526"/>
        <v/>
      </c>
      <c r="S1632" s="134" t="str">
        <f t="shared" ca="1" si="527"/>
        <v/>
      </c>
      <c r="T1632" s="134" t="str">
        <f ca="1">IF(S1632=Dashboard!$D$12,S1632,"")</f>
        <v/>
      </c>
      <c r="U1632" s="134" t="str">
        <f t="shared" ca="1" si="528"/>
        <v/>
      </c>
      <c r="V1632" s="83" t="str">
        <f ca="1">IF(U1632="","",IFERROR((RANK(U1632,$U$2:$U$2028,1)+COUNTIF($U$2:U1632,U1632))-1,""))</f>
        <v/>
      </c>
      <c r="W1632" s="134" t="str">
        <f t="shared" si="532"/>
        <v/>
      </c>
      <c r="X1632" s="134" t="str">
        <f>IF(W1632="","",IFERROR((RANK(W1632,$W$2:$W$2028,1)+COUNTIF($W$2:W1632,W1632))-1,""))</f>
        <v/>
      </c>
      <c r="Y1632" s="134" t="str">
        <f t="shared" si="529"/>
        <v/>
      </c>
      <c r="Z1632" s="134" t="str">
        <f>IF(Y1632="","",IFERROR((RANK(Y1632,$Y$2:$Y$2028,1)+COUNTIF($Y$2:Y1632,Y1632))-1,""))</f>
        <v/>
      </c>
      <c r="AA1632" s="134" t="str">
        <f t="shared" si="530"/>
        <v/>
      </c>
      <c r="AB1632" s="134" t="str">
        <f>IF(AA1632="","",IFERROR((RANK(AA1632,$AA$2:$AA$2028,1)+COUNTIF($AA$2:AA1632,AA1632))-1,""))</f>
        <v/>
      </c>
      <c r="AC1632" s="134" t="str">
        <f t="shared" si="531"/>
        <v/>
      </c>
      <c r="AD1632" s="134" t="str">
        <f>IF(AC1632="","",IFERROR((RANK(AC1632,$AC$2:$AC$2028,1)+COUNTIF($AC$2:AC1632,AC1632))-1,""))</f>
        <v/>
      </c>
      <c r="AE1632" s="144" t="str">
        <f t="shared" si="523"/>
        <v/>
      </c>
      <c r="AF1632" s="144" t="str">
        <f>IF(AE1632="","",SUM($AE$2:AE1632))</f>
        <v/>
      </c>
    </row>
    <row r="1633" spans="14:32" x14ac:dyDescent="0.35">
      <c r="N1633" s="134" t="str">
        <f t="shared" si="521"/>
        <v/>
      </c>
      <c r="O1633" s="82" t="str">
        <f t="shared" si="524"/>
        <v/>
      </c>
      <c r="P1633" s="81" t="str">
        <f t="shared" si="522"/>
        <v/>
      </c>
      <c r="Q1633" s="81" t="str">
        <f t="shared" si="525"/>
        <v/>
      </c>
      <c r="R1633" s="135" t="str">
        <f t="shared" ca="1" si="526"/>
        <v/>
      </c>
      <c r="S1633" s="134" t="str">
        <f t="shared" ca="1" si="527"/>
        <v/>
      </c>
      <c r="T1633" s="134" t="str">
        <f ca="1">IF(S1633=Dashboard!$D$12,S1633,"")</f>
        <v/>
      </c>
      <c r="U1633" s="134" t="str">
        <f t="shared" ca="1" si="528"/>
        <v/>
      </c>
      <c r="V1633" s="83" t="str">
        <f ca="1">IF(U1633="","",IFERROR((RANK(U1633,$U$2:$U$2028,1)+COUNTIF($U$2:U1633,U1633))-1,""))</f>
        <v/>
      </c>
      <c r="W1633" s="134" t="str">
        <f t="shared" si="532"/>
        <v/>
      </c>
      <c r="X1633" s="134" t="str">
        <f>IF(W1633="","",IFERROR((RANK(W1633,$W$2:$W$2028,1)+COUNTIF($W$2:W1633,W1633))-1,""))</f>
        <v/>
      </c>
      <c r="Y1633" s="134" t="str">
        <f t="shared" si="529"/>
        <v/>
      </c>
      <c r="Z1633" s="134" t="str">
        <f>IF(Y1633="","",IFERROR((RANK(Y1633,$Y$2:$Y$2028,1)+COUNTIF($Y$2:Y1633,Y1633))-1,""))</f>
        <v/>
      </c>
      <c r="AA1633" s="134" t="str">
        <f t="shared" si="530"/>
        <v/>
      </c>
      <c r="AB1633" s="134" t="str">
        <f>IF(AA1633="","",IFERROR((RANK(AA1633,$AA$2:$AA$2028,1)+COUNTIF($AA$2:AA1633,AA1633))-1,""))</f>
        <v/>
      </c>
      <c r="AC1633" s="134" t="str">
        <f t="shared" si="531"/>
        <v/>
      </c>
      <c r="AD1633" s="134" t="str">
        <f>IF(AC1633="","",IFERROR((RANK(AC1633,$AC$2:$AC$2028,1)+COUNTIF($AC$2:AC1633,AC1633))-1,""))</f>
        <v/>
      </c>
      <c r="AE1633" s="144" t="str">
        <f t="shared" si="523"/>
        <v/>
      </c>
      <c r="AF1633" s="144" t="str">
        <f>IF(AE1633="","",SUM($AE$2:AE1633))</f>
        <v/>
      </c>
    </row>
    <row r="1634" spans="14:32" x14ac:dyDescent="0.35">
      <c r="N1634" s="134" t="str">
        <f t="shared" si="521"/>
        <v/>
      </c>
      <c r="O1634" s="82" t="str">
        <f t="shared" si="524"/>
        <v/>
      </c>
      <c r="P1634" s="81" t="str">
        <f t="shared" si="522"/>
        <v/>
      </c>
      <c r="Q1634" s="81" t="str">
        <f t="shared" si="525"/>
        <v/>
      </c>
      <c r="R1634" s="135" t="str">
        <f t="shared" ca="1" si="526"/>
        <v/>
      </c>
      <c r="S1634" s="134" t="str">
        <f t="shared" ca="1" si="527"/>
        <v/>
      </c>
      <c r="T1634" s="134" t="str">
        <f ca="1">IF(S1634=Dashboard!$D$12,S1634,"")</f>
        <v/>
      </c>
      <c r="U1634" s="134" t="str">
        <f t="shared" ca="1" si="528"/>
        <v/>
      </c>
      <c r="V1634" s="83" t="str">
        <f ca="1">IF(U1634="","",IFERROR((RANK(U1634,$U$2:$U$2028,1)+COUNTIF($U$2:U1634,U1634))-1,""))</f>
        <v/>
      </c>
      <c r="W1634" s="134" t="str">
        <f t="shared" si="532"/>
        <v/>
      </c>
      <c r="X1634" s="134" t="str">
        <f>IF(W1634="","",IFERROR((RANK(W1634,$W$2:$W$2028,1)+COUNTIF($W$2:W1634,W1634))-1,""))</f>
        <v/>
      </c>
      <c r="Y1634" s="134" t="str">
        <f t="shared" si="529"/>
        <v/>
      </c>
      <c r="Z1634" s="134" t="str">
        <f>IF(Y1634="","",IFERROR((RANK(Y1634,$Y$2:$Y$2028,1)+COUNTIF($Y$2:Y1634,Y1634))-1,""))</f>
        <v/>
      </c>
      <c r="AA1634" s="134" t="str">
        <f t="shared" si="530"/>
        <v/>
      </c>
      <c r="AB1634" s="134" t="str">
        <f>IF(AA1634="","",IFERROR((RANK(AA1634,$AA$2:$AA$2028,1)+COUNTIF($AA$2:AA1634,AA1634))-1,""))</f>
        <v/>
      </c>
      <c r="AC1634" s="134" t="str">
        <f t="shared" si="531"/>
        <v/>
      </c>
      <c r="AD1634" s="134" t="str">
        <f>IF(AC1634="","",IFERROR((RANK(AC1634,$AC$2:$AC$2028,1)+COUNTIF($AC$2:AC1634,AC1634))-1,""))</f>
        <v/>
      </c>
      <c r="AE1634" s="144" t="str">
        <f t="shared" si="523"/>
        <v/>
      </c>
      <c r="AF1634" s="144" t="str">
        <f>IF(AE1634="","",SUM($AE$2:AE1634))</f>
        <v/>
      </c>
    </row>
    <row r="1635" spans="14:32" x14ac:dyDescent="0.35">
      <c r="N1635" s="134" t="str">
        <f t="shared" si="521"/>
        <v/>
      </c>
      <c r="O1635" s="82" t="str">
        <f t="shared" si="524"/>
        <v/>
      </c>
      <c r="P1635" s="81" t="str">
        <f t="shared" si="522"/>
        <v/>
      </c>
      <c r="Q1635" s="81" t="str">
        <f t="shared" si="525"/>
        <v/>
      </c>
      <c r="R1635" s="135" t="str">
        <f t="shared" ca="1" si="526"/>
        <v/>
      </c>
      <c r="S1635" s="134" t="str">
        <f t="shared" ca="1" si="527"/>
        <v/>
      </c>
      <c r="T1635" s="134" t="str">
        <f ca="1">IF(S1635=Dashboard!$D$12,S1635,"")</f>
        <v/>
      </c>
      <c r="U1635" s="134" t="str">
        <f t="shared" ca="1" si="528"/>
        <v/>
      </c>
      <c r="V1635" s="83" t="str">
        <f ca="1">IF(U1635="","",IFERROR((RANK(U1635,$U$2:$U$2028,1)+COUNTIF($U$2:U1635,U1635))-1,""))</f>
        <v/>
      </c>
      <c r="W1635" s="134" t="str">
        <f t="shared" si="532"/>
        <v/>
      </c>
      <c r="X1635" s="134" t="str">
        <f>IF(W1635="","",IFERROR((RANK(W1635,$W$2:$W$2028,1)+COUNTIF($W$2:W1635,W1635))-1,""))</f>
        <v/>
      </c>
      <c r="Y1635" s="134" t="str">
        <f t="shared" si="529"/>
        <v/>
      </c>
      <c r="Z1635" s="134" t="str">
        <f>IF(Y1635="","",IFERROR((RANK(Y1635,$Y$2:$Y$2028,1)+COUNTIF($Y$2:Y1635,Y1635))-1,""))</f>
        <v/>
      </c>
      <c r="AA1635" s="134" t="str">
        <f t="shared" si="530"/>
        <v/>
      </c>
      <c r="AB1635" s="134" t="str">
        <f>IF(AA1635="","",IFERROR((RANK(AA1635,$AA$2:$AA$2028,1)+COUNTIF($AA$2:AA1635,AA1635))-1,""))</f>
        <v/>
      </c>
      <c r="AC1635" s="134" t="str">
        <f t="shared" si="531"/>
        <v/>
      </c>
      <c r="AD1635" s="134" t="str">
        <f>IF(AC1635="","",IFERROR((RANK(AC1635,$AC$2:$AC$2028,1)+COUNTIF($AC$2:AC1635,AC1635))-1,""))</f>
        <v/>
      </c>
      <c r="AE1635" s="144" t="str">
        <f t="shared" si="523"/>
        <v/>
      </c>
      <c r="AF1635" s="144" t="str">
        <f>IF(AE1635="","",SUM($AE$2:AE1635))</f>
        <v/>
      </c>
    </row>
    <row r="1636" spans="14:32" x14ac:dyDescent="0.35">
      <c r="N1636" s="134" t="str">
        <f t="shared" si="521"/>
        <v/>
      </c>
      <c r="O1636" s="82" t="str">
        <f t="shared" si="524"/>
        <v/>
      </c>
      <c r="P1636" s="81" t="str">
        <f t="shared" si="522"/>
        <v/>
      </c>
      <c r="Q1636" s="81" t="str">
        <f t="shared" si="525"/>
        <v/>
      </c>
      <c r="R1636" s="135" t="str">
        <f t="shared" ca="1" si="526"/>
        <v/>
      </c>
      <c r="S1636" s="134" t="str">
        <f t="shared" ca="1" si="527"/>
        <v/>
      </c>
      <c r="T1636" s="134" t="str">
        <f ca="1">IF(S1636=Dashboard!$D$12,S1636,"")</f>
        <v/>
      </c>
      <c r="U1636" s="134" t="str">
        <f t="shared" ca="1" si="528"/>
        <v/>
      </c>
      <c r="V1636" s="83" t="str">
        <f ca="1">IF(U1636="","",IFERROR((RANK(U1636,$U$2:$U$2028,1)+COUNTIF($U$2:U1636,U1636))-1,""))</f>
        <v/>
      </c>
      <c r="W1636" s="134" t="str">
        <f t="shared" si="532"/>
        <v/>
      </c>
      <c r="X1636" s="134" t="str">
        <f>IF(W1636="","",IFERROR((RANK(W1636,$W$2:$W$2028,1)+COUNTIF($W$2:W1636,W1636))-1,""))</f>
        <v/>
      </c>
      <c r="Y1636" s="134" t="str">
        <f t="shared" si="529"/>
        <v/>
      </c>
      <c r="Z1636" s="134" t="str">
        <f>IF(Y1636="","",IFERROR((RANK(Y1636,$Y$2:$Y$2028,1)+COUNTIF($Y$2:Y1636,Y1636))-1,""))</f>
        <v/>
      </c>
      <c r="AA1636" s="134" t="str">
        <f t="shared" si="530"/>
        <v/>
      </c>
      <c r="AB1636" s="134" t="str">
        <f>IF(AA1636="","",IFERROR((RANK(AA1636,$AA$2:$AA$2028,1)+COUNTIF($AA$2:AA1636,AA1636))-1,""))</f>
        <v/>
      </c>
      <c r="AC1636" s="134" t="str">
        <f t="shared" si="531"/>
        <v/>
      </c>
      <c r="AD1636" s="134" t="str">
        <f>IF(AC1636="","",IFERROR((RANK(AC1636,$AC$2:$AC$2028,1)+COUNTIF($AC$2:AC1636,AC1636))-1,""))</f>
        <v/>
      </c>
      <c r="AE1636" s="144" t="str">
        <f t="shared" si="523"/>
        <v/>
      </c>
      <c r="AF1636" s="144" t="str">
        <f>IF(AE1636="","",SUM($AE$2:AE1636))</f>
        <v/>
      </c>
    </row>
    <row r="1637" spans="14:32" x14ac:dyDescent="0.35">
      <c r="N1637" s="134" t="str">
        <f t="shared" si="521"/>
        <v/>
      </c>
      <c r="O1637" s="82" t="str">
        <f t="shared" si="524"/>
        <v/>
      </c>
      <c r="P1637" s="81" t="str">
        <f t="shared" si="522"/>
        <v/>
      </c>
      <c r="Q1637" s="81" t="str">
        <f t="shared" si="525"/>
        <v/>
      </c>
      <c r="R1637" s="135" t="str">
        <f t="shared" ca="1" si="526"/>
        <v/>
      </c>
      <c r="S1637" s="134" t="str">
        <f t="shared" ca="1" si="527"/>
        <v/>
      </c>
      <c r="T1637" s="134" t="str">
        <f ca="1">IF(S1637=Dashboard!$D$12,S1637,"")</f>
        <v/>
      </c>
      <c r="U1637" s="134" t="str">
        <f t="shared" ca="1" si="528"/>
        <v/>
      </c>
      <c r="V1637" s="83" t="str">
        <f ca="1">IF(U1637="","",IFERROR((RANK(U1637,$U$2:$U$2028,1)+COUNTIF($U$2:U1637,U1637))-1,""))</f>
        <v/>
      </c>
      <c r="W1637" s="134" t="str">
        <f t="shared" si="532"/>
        <v/>
      </c>
      <c r="X1637" s="134" t="str">
        <f>IF(W1637="","",IFERROR((RANK(W1637,$W$2:$W$2028,1)+COUNTIF($W$2:W1637,W1637))-1,""))</f>
        <v/>
      </c>
      <c r="Y1637" s="134" t="str">
        <f t="shared" si="529"/>
        <v/>
      </c>
      <c r="Z1637" s="134" t="str">
        <f>IF(Y1637="","",IFERROR((RANK(Y1637,$Y$2:$Y$2028,1)+COUNTIF($Y$2:Y1637,Y1637))-1,""))</f>
        <v/>
      </c>
      <c r="AA1637" s="134" t="str">
        <f t="shared" si="530"/>
        <v/>
      </c>
      <c r="AB1637" s="134" t="str">
        <f>IF(AA1637="","",IFERROR((RANK(AA1637,$AA$2:$AA$2028,1)+COUNTIF($AA$2:AA1637,AA1637))-1,""))</f>
        <v/>
      </c>
      <c r="AC1637" s="134" t="str">
        <f t="shared" si="531"/>
        <v/>
      </c>
      <c r="AD1637" s="134" t="str">
        <f>IF(AC1637="","",IFERROR((RANK(AC1637,$AC$2:$AC$2028,1)+COUNTIF($AC$2:AC1637,AC1637))-1,""))</f>
        <v/>
      </c>
      <c r="AE1637" s="144" t="str">
        <f t="shared" si="523"/>
        <v/>
      </c>
      <c r="AF1637" s="144" t="str">
        <f>IF(AE1637="","",SUM($AE$2:AE1637))</f>
        <v/>
      </c>
    </row>
    <row r="1638" spans="14:32" x14ac:dyDescent="0.35">
      <c r="N1638" s="134" t="str">
        <f t="shared" si="521"/>
        <v/>
      </c>
      <c r="O1638" s="82" t="str">
        <f t="shared" si="524"/>
        <v/>
      </c>
      <c r="P1638" s="81" t="str">
        <f t="shared" si="522"/>
        <v/>
      </c>
      <c r="Q1638" s="81" t="str">
        <f t="shared" si="525"/>
        <v/>
      </c>
      <c r="R1638" s="135" t="str">
        <f t="shared" ca="1" si="526"/>
        <v/>
      </c>
      <c r="S1638" s="134" t="str">
        <f t="shared" ca="1" si="527"/>
        <v/>
      </c>
      <c r="T1638" s="134" t="str">
        <f ca="1">IF(S1638=Dashboard!$D$12,S1638,"")</f>
        <v/>
      </c>
      <c r="U1638" s="134" t="str">
        <f t="shared" ca="1" si="528"/>
        <v/>
      </c>
      <c r="V1638" s="83" t="str">
        <f ca="1">IF(U1638="","",IFERROR((RANK(U1638,$U$2:$U$2028,1)+COUNTIF($U$2:U1638,U1638))-1,""))</f>
        <v/>
      </c>
      <c r="W1638" s="134" t="str">
        <f t="shared" si="532"/>
        <v/>
      </c>
      <c r="X1638" s="134" t="str">
        <f>IF(W1638="","",IFERROR((RANK(W1638,$W$2:$W$2028,1)+COUNTIF($W$2:W1638,W1638))-1,""))</f>
        <v/>
      </c>
      <c r="Y1638" s="134" t="str">
        <f t="shared" si="529"/>
        <v/>
      </c>
      <c r="Z1638" s="134" t="str">
        <f>IF(Y1638="","",IFERROR((RANK(Y1638,$Y$2:$Y$2028,1)+COUNTIF($Y$2:Y1638,Y1638))-1,""))</f>
        <v/>
      </c>
      <c r="AA1638" s="134" t="str">
        <f t="shared" si="530"/>
        <v/>
      </c>
      <c r="AB1638" s="134" t="str">
        <f>IF(AA1638="","",IFERROR((RANK(AA1638,$AA$2:$AA$2028,1)+COUNTIF($AA$2:AA1638,AA1638))-1,""))</f>
        <v/>
      </c>
      <c r="AC1638" s="134" t="str">
        <f t="shared" si="531"/>
        <v/>
      </c>
      <c r="AD1638" s="134" t="str">
        <f>IF(AC1638="","",IFERROR((RANK(AC1638,$AC$2:$AC$2028,1)+COUNTIF($AC$2:AC1638,AC1638))-1,""))</f>
        <v/>
      </c>
      <c r="AE1638" s="144" t="str">
        <f t="shared" si="523"/>
        <v/>
      </c>
      <c r="AF1638" s="144" t="str">
        <f>IF(AE1638="","",SUM($AE$2:AE1638))</f>
        <v/>
      </c>
    </row>
    <row r="1639" spans="14:32" x14ac:dyDescent="0.35">
      <c r="N1639" s="134" t="str">
        <f t="shared" si="521"/>
        <v/>
      </c>
      <c r="O1639" s="82" t="str">
        <f t="shared" si="524"/>
        <v/>
      </c>
      <c r="P1639" s="81" t="str">
        <f t="shared" si="522"/>
        <v/>
      </c>
      <c r="Q1639" s="81" t="str">
        <f t="shared" si="525"/>
        <v/>
      </c>
      <c r="R1639" s="135" t="str">
        <f t="shared" ca="1" si="526"/>
        <v/>
      </c>
      <c r="S1639" s="134" t="str">
        <f t="shared" ca="1" si="527"/>
        <v/>
      </c>
      <c r="T1639" s="134" t="str">
        <f ca="1">IF(S1639=Dashboard!$D$12,S1639,"")</f>
        <v/>
      </c>
      <c r="U1639" s="134" t="str">
        <f t="shared" ca="1" si="528"/>
        <v/>
      </c>
      <c r="V1639" s="83" t="str">
        <f ca="1">IF(U1639="","",IFERROR((RANK(U1639,$U$2:$U$2028,1)+COUNTIF($U$2:U1639,U1639))-1,""))</f>
        <v/>
      </c>
      <c r="W1639" s="134" t="str">
        <f t="shared" si="532"/>
        <v/>
      </c>
      <c r="X1639" s="134" t="str">
        <f>IF(W1639="","",IFERROR((RANK(W1639,$W$2:$W$2028,1)+COUNTIF($W$2:W1639,W1639))-1,""))</f>
        <v/>
      </c>
      <c r="Y1639" s="134" t="str">
        <f t="shared" si="529"/>
        <v/>
      </c>
      <c r="Z1639" s="134" t="str">
        <f>IF(Y1639="","",IFERROR((RANK(Y1639,$Y$2:$Y$2028,1)+COUNTIF($Y$2:Y1639,Y1639))-1,""))</f>
        <v/>
      </c>
      <c r="AA1639" s="134" t="str">
        <f t="shared" si="530"/>
        <v/>
      </c>
      <c r="AB1639" s="134" t="str">
        <f>IF(AA1639="","",IFERROR((RANK(AA1639,$AA$2:$AA$2028,1)+COUNTIF($AA$2:AA1639,AA1639))-1,""))</f>
        <v/>
      </c>
      <c r="AC1639" s="134" t="str">
        <f t="shared" si="531"/>
        <v/>
      </c>
      <c r="AD1639" s="134" t="str">
        <f>IF(AC1639="","",IFERROR((RANK(AC1639,$AC$2:$AC$2028,1)+COUNTIF($AC$2:AC1639,AC1639))-1,""))</f>
        <v/>
      </c>
      <c r="AE1639" s="144" t="str">
        <f t="shared" si="523"/>
        <v/>
      </c>
      <c r="AF1639" s="144" t="str">
        <f>IF(AE1639="","",SUM($AE$2:AE1639))</f>
        <v/>
      </c>
    </row>
    <row r="1640" spans="14:32" x14ac:dyDescent="0.35">
      <c r="N1640" s="134" t="str">
        <f t="shared" si="521"/>
        <v/>
      </c>
      <c r="O1640" s="82" t="str">
        <f t="shared" si="524"/>
        <v/>
      </c>
      <c r="P1640" s="81" t="str">
        <f t="shared" si="522"/>
        <v/>
      </c>
      <c r="Q1640" s="81" t="str">
        <f t="shared" si="525"/>
        <v/>
      </c>
      <c r="R1640" s="135" t="str">
        <f t="shared" ca="1" si="526"/>
        <v/>
      </c>
      <c r="S1640" s="134" t="str">
        <f t="shared" ca="1" si="527"/>
        <v/>
      </c>
      <c r="T1640" s="134" t="str">
        <f ca="1">IF(S1640=Dashboard!$D$12,S1640,"")</f>
        <v/>
      </c>
      <c r="U1640" s="134" t="str">
        <f t="shared" ca="1" si="528"/>
        <v/>
      </c>
      <c r="V1640" s="83" t="str">
        <f ca="1">IF(U1640="","",IFERROR((RANK(U1640,$U$2:$U$2028,1)+COUNTIF($U$2:U1640,U1640))-1,""))</f>
        <v/>
      </c>
      <c r="W1640" s="134" t="str">
        <f t="shared" si="532"/>
        <v/>
      </c>
      <c r="X1640" s="134" t="str">
        <f>IF(W1640="","",IFERROR((RANK(W1640,$W$2:$W$2028,1)+COUNTIF($W$2:W1640,W1640))-1,""))</f>
        <v/>
      </c>
      <c r="Y1640" s="134" t="str">
        <f t="shared" si="529"/>
        <v/>
      </c>
      <c r="Z1640" s="134" t="str">
        <f>IF(Y1640="","",IFERROR((RANK(Y1640,$Y$2:$Y$2028,1)+COUNTIF($Y$2:Y1640,Y1640))-1,""))</f>
        <v/>
      </c>
      <c r="AA1640" s="134" t="str">
        <f t="shared" si="530"/>
        <v/>
      </c>
      <c r="AB1640" s="134" t="str">
        <f>IF(AA1640="","",IFERROR((RANK(AA1640,$AA$2:$AA$2028,1)+COUNTIF($AA$2:AA1640,AA1640))-1,""))</f>
        <v/>
      </c>
      <c r="AC1640" s="134" t="str">
        <f t="shared" si="531"/>
        <v/>
      </c>
      <c r="AD1640" s="134" t="str">
        <f>IF(AC1640="","",IFERROR((RANK(AC1640,$AC$2:$AC$2028,1)+COUNTIF($AC$2:AC1640,AC1640))-1,""))</f>
        <v/>
      </c>
      <c r="AE1640" s="144" t="str">
        <f t="shared" si="523"/>
        <v/>
      </c>
      <c r="AF1640" s="144" t="str">
        <f>IF(AE1640="","",SUM($AE$2:AE1640))</f>
        <v/>
      </c>
    </row>
    <row r="1641" spans="14:32" x14ac:dyDescent="0.35">
      <c r="N1641" s="134" t="str">
        <f t="shared" si="521"/>
        <v/>
      </c>
      <c r="O1641" s="82" t="str">
        <f t="shared" si="524"/>
        <v/>
      </c>
      <c r="P1641" s="81" t="str">
        <f t="shared" si="522"/>
        <v/>
      </c>
      <c r="Q1641" s="81" t="str">
        <f t="shared" si="525"/>
        <v/>
      </c>
      <c r="R1641" s="135" t="str">
        <f t="shared" ca="1" si="526"/>
        <v/>
      </c>
      <c r="S1641" s="134" t="str">
        <f t="shared" ca="1" si="527"/>
        <v/>
      </c>
      <c r="T1641" s="134" t="str">
        <f ca="1">IF(S1641=Dashboard!$D$12,S1641,"")</f>
        <v/>
      </c>
      <c r="U1641" s="134" t="str">
        <f t="shared" ca="1" si="528"/>
        <v/>
      </c>
      <c r="V1641" s="83" t="str">
        <f ca="1">IF(U1641="","",IFERROR((RANK(U1641,$U$2:$U$2028,1)+COUNTIF($U$2:U1641,U1641))-1,""))</f>
        <v/>
      </c>
      <c r="W1641" s="134" t="str">
        <f t="shared" si="532"/>
        <v/>
      </c>
      <c r="X1641" s="134" t="str">
        <f>IF(W1641="","",IFERROR((RANK(W1641,$W$2:$W$2028,1)+COUNTIF($W$2:W1641,W1641))-1,""))</f>
        <v/>
      </c>
      <c r="Y1641" s="134" t="str">
        <f t="shared" si="529"/>
        <v/>
      </c>
      <c r="Z1641" s="134" t="str">
        <f>IF(Y1641="","",IFERROR((RANK(Y1641,$Y$2:$Y$2028,1)+COUNTIF($Y$2:Y1641,Y1641))-1,""))</f>
        <v/>
      </c>
      <c r="AA1641" s="134" t="str">
        <f t="shared" si="530"/>
        <v/>
      </c>
      <c r="AB1641" s="134" t="str">
        <f>IF(AA1641="","",IFERROR((RANK(AA1641,$AA$2:$AA$2028,1)+COUNTIF($AA$2:AA1641,AA1641))-1,""))</f>
        <v/>
      </c>
      <c r="AC1641" s="134" t="str">
        <f t="shared" si="531"/>
        <v/>
      </c>
      <c r="AD1641" s="134" t="str">
        <f>IF(AC1641="","",IFERROR((RANK(AC1641,$AC$2:$AC$2028,1)+COUNTIF($AC$2:AC1641,AC1641))-1,""))</f>
        <v/>
      </c>
      <c r="AE1641" s="144" t="str">
        <f t="shared" si="523"/>
        <v/>
      </c>
      <c r="AF1641" s="144" t="str">
        <f>IF(AE1641="","",SUM($AE$2:AE1641))</f>
        <v/>
      </c>
    </row>
    <row r="1642" spans="14:32" x14ac:dyDescent="0.35">
      <c r="N1642" s="134" t="str">
        <f t="shared" si="521"/>
        <v/>
      </c>
      <c r="O1642" s="82" t="str">
        <f t="shared" si="524"/>
        <v/>
      </c>
      <c r="P1642" s="81" t="str">
        <f t="shared" si="522"/>
        <v/>
      </c>
      <c r="Q1642" s="81" t="str">
        <f t="shared" si="525"/>
        <v/>
      </c>
      <c r="R1642" s="135" t="str">
        <f t="shared" ca="1" si="526"/>
        <v/>
      </c>
      <c r="S1642" s="134" t="str">
        <f t="shared" ca="1" si="527"/>
        <v/>
      </c>
      <c r="T1642" s="134" t="str">
        <f ca="1">IF(S1642=Dashboard!$D$12,S1642,"")</f>
        <v/>
      </c>
      <c r="U1642" s="134" t="str">
        <f t="shared" ca="1" si="528"/>
        <v/>
      </c>
      <c r="V1642" s="83" t="str">
        <f ca="1">IF(U1642="","",IFERROR((RANK(U1642,$U$2:$U$2028,1)+COUNTIF($U$2:U1642,U1642))-1,""))</f>
        <v/>
      </c>
      <c r="W1642" s="134" t="str">
        <f t="shared" si="532"/>
        <v/>
      </c>
      <c r="X1642" s="134" t="str">
        <f>IF(W1642="","",IFERROR((RANK(W1642,$W$2:$W$2028,1)+COUNTIF($W$2:W1642,W1642))-1,""))</f>
        <v/>
      </c>
      <c r="Y1642" s="134" t="str">
        <f t="shared" si="529"/>
        <v/>
      </c>
      <c r="Z1642" s="134" t="str">
        <f>IF(Y1642="","",IFERROR((RANK(Y1642,$Y$2:$Y$2028,1)+COUNTIF($Y$2:Y1642,Y1642))-1,""))</f>
        <v/>
      </c>
      <c r="AA1642" s="134" t="str">
        <f t="shared" si="530"/>
        <v/>
      </c>
      <c r="AB1642" s="134" t="str">
        <f>IF(AA1642="","",IFERROR((RANK(AA1642,$AA$2:$AA$2028,1)+COUNTIF($AA$2:AA1642,AA1642))-1,""))</f>
        <v/>
      </c>
      <c r="AC1642" s="134" t="str">
        <f t="shared" si="531"/>
        <v/>
      </c>
      <c r="AD1642" s="134" t="str">
        <f>IF(AC1642="","",IFERROR((RANK(AC1642,$AC$2:$AC$2028,1)+COUNTIF($AC$2:AC1642,AC1642))-1,""))</f>
        <v/>
      </c>
      <c r="AE1642" s="144" t="str">
        <f t="shared" si="523"/>
        <v/>
      </c>
      <c r="AF1642" s="144" t="str">
        <f>IF(AE1642="","",SUM($AE$2:AE1642))</f>
        <v/>
      </c>
    </row>
    <row r="1643" spans="14:32" x14ac:dyDescent="0.35">
      <c r="N1643" s="134" t="str">
        <f t="shared" si="521"/>
        <v/>
      </c>
      <c r="O1643" s="82" t="str">
        <f t="shared" si="524"/>
        <v/>
      </c>
      <c r="P1643" s="81" t="str">
        <f t="shared" si="522"/>
        <v/>
      </c>
      <c r="Q1643" s="81" t="str">
        <f t="shared" si="525"/>
        <v/>
      </c>
      <c r="R1643" s="135" t="str">
        <f t="shared" ca="1" si="526"/>
        <v/>
      </c>
      <c r="S1643" s="134" t="str">
        <f t="shared" ca="1" si="527"/>
        <v/>
      </c>
      <c r="T1643" s="134" t="str">
        <f ca="1">IF(S1643=Dashboard!$D$12,S1643,"")</f>
        <v/>
      </c>
      <c r="U1643" s="134" t="str">
        <f t="shared" ca="1" si="528"/>
        <v/>
      </c>
      <c r="V1643" s="83" t="str">
        <f ca="1">IF(U1643="","",IFERROR((RANK(U1643,$U$2:$U$2028,1)+COUNTIF($U$2:U1643,U1643))-1,""))</f>
        <v/>
      </c>
      <c r="W1643" s="134" t="str">
        <f t="shared" si="532"/>
        <v/>
      </c>
      <c r="X1643" s="134" t="str">
        <f>IF(W1643="","",IFERROR((RANK(W1643,$W$2:$W$2028,1)+COUNTIF($W$2:W1643,W1643))-1,""))</f>
        <v/>
      </c>
      <c r="Y1643" s="134" t="str">
        <f t="shared" si="529"/>
        <v/>
      </c>
      <c r="Z1643" s="134" t="str">
        <f>IF(Y1643="","",IFERROR((RANK(Y1643,$Y$2:$Y$2028,1)+COUNTIF($Y$2:Y1643,Y1643))-1,""))</f>
        <v/>
      </c>
      <c r="AA1643" s="134" t="str">
        <f t="shared" si="530"/>
        <v/>
      </c>
      <c r="AB1643" s="134" t="str">
        <f>IF(AA1643="","",IFERROR((RANK(AA1643,$AA$2:$AA$2028,1)+COUNTIF($AA$2:AA1643,AA1643))-1,""))</f>
        <v/>
      </c>
      <c r="AC1643" s="134" t="str">
        <f t="shared" si="531"/>
        <v/>
      </c>
      <c r="AD1643" s="134" t="str">
        <f>IF(AC1643="","",IFERROR((RANK(AC1643,$AC$2:$AC$2028,1)+COUNTIF($AC$2:AC1643,AC1643))-1,""))</f>
        <v/>
      </c>
      <c r="AE1643" s="144" t="str">
        <f t="shared" si="523"/>
        <v/>
      </c>
      <c r="AF1643" s="144" t="str">
        <f>IF(AE1643="","",SUM($AE$2:AE1643))</f>
        <v/>
      </c>
    </row>
    <row r="1644" spans="14:32" x14ac:dyDescent="0.35">
      <c r="N1644" s="134" t="str">
        <f t="shared" si="521"/>
        <v/>
      </c>
      <c r="O1644" s="82" t="str">
        <f t="shared" si="524"/>
        <v/>
      </c>
      <c r="P1644" s="81" t="str">
        <f t="shared" si="522"/>
        <v/>
      </c>
      <c r="Q1644" s="81" t="str">
        <f t="shared" si="525"/>
        <v/>
      </c>
      <c r="R1644" s="135" t="str">
        <f t="shared" ca="1" si="526"/>
        <v/>
      </c>
      <c r="S1644" s="134" t="str">
        <f t="shared" ca="1" si="527"/>
        <v/>
      </c>
      <c r="T1644" s="134" t="str">
        <f ca="1">IF(S1644=Dashboard!$D$12,S1644,"")</f>
        <v/>
      </c>
      <c r="U1644" s="134" t="str">
        <f t="shared" ca="1" si="528"/>
        <v/>
      </c>
      <c r="V1644" s="83" t="str">
        <f ca="1">IF(U1644="","",IFERROR((RANK(U1644,$U$2:$U$2028,1)+COUNTIF($U$2:U1644,U1644))-1,""))</f>
        <v/>
      </c>
      <c r="W1644" s="134" t="str">
        <f t="shared" si="532"/>
        <v/>
      </c>
      <c r="X1644" s="134" t="str">
        <f>IF(W1644="","",IFERROR((RANK(W1644,$W$2:$W$2028,1)+COUNTIF($W$2:W1644,W1644))-1,""))</f>
        <v/>
      </c>
      <c r="Y1644" s="134" t="str">
        <f t="shared" si="529"/>
        <v/>
      </c>
      <c r="Z1644" s="134" t="str">
        <f>IF(Y1644="","",IFERROR((RANK(Y1644,$Y$2:$Y$2028,1)+COUNTIF($Y$2:Y1644,Y1644))-1,""))</f>
        <v/>
      </c>
      <c r="AA1644" s="134" t="str">
        <f t="shared" si="530"/>
        <v/>
      </c>
      <c r="AB1644" s="134" t="str">
        <f>IF(AA1644="","",IFERROR((RANK(AA1644,$AA$2:$AA$2028,1)+COUNTIF($AA$2:AA1644,AA1644))-1,""))</f>
        <v/>
      </c>
      <c r="AC1644" s="134" t="str">
        <f t="shared" si="531"/>
        <v/>
      </c>
      <c r="AD1644" s="134" t="str">
        <f>IF(AC1644="","",IFERROR((RANK(AC1644,$AC$2:$AC$2028,1)+COUNTIF($AC$2:AC1644,AC1644))-1,""))</f>
        <v/>
      </c>
      <c r="AE1644" s="144" t="str">
        <f t="shared" si="523"/>
        <v/>
      </c>
      <c r="AF1644" s="144" t="str">
        <f>IF(AE1644="","",SUM($AE$2:AE1644))</f>
        <v/>
      </c>
    </row>
    <row r="1645" spans="14:32" x14ac:dyDescent="0.35">
      <c r="N1645" s="134" t="str">
        <f t="shared" si="521"/>
        <v/>
      </c>
      <c r="O1645" s="82" t="str">
        <f t="shared" si="524"/>
        <v/>
      </c>
      <c r="P1645" s="81" t="str">
        <f t="shared" si="522"/>
        <v/>
      </c>
      <c r="Q1645" s="81" t="str">
        <f t="shared" si="525"/>
        <v/>
      </c>
      <c r="R1645" s="135" t="str">
        <f t="shared" ca="1" si="526"/>
        <v/>
      </c>
      <c r="S1645" s="134" t="str">
        <f t="shared" ca="1" si="527"/>
        <v/>
      </c>
      <c r="T1645" s="134" t="str">
        <f ca="1">IF(S1645=Dashboard!$D$12,S1645,"")</f>
        <v/>
      </c>
      <c r="U1645" s="134" t="str">
        <f t="shared" ca="1" si="528"/>
        <v/>
      </c>
      <c r="V1645" s="83" t="str">
        <f ca="1">IF(U1645="","",IFERROR((RANK(U1645,$U$2:$U$2028,1)+COUNTIF($U$2:U1645,U1645))-1,""))</f>
        <v/>
      </c>
      <c r="W1645" s="134" t="str">
        <f t="shared" si="532"/>
        <v/>
      </c>
      <c r="X1645" s="134" t="str">
        <f>IF(W1645="","",IFERROR((RANK(W1645,$W$2:$W$2028,1)+COUNTIF($W$2:W1645,W1645))-1,""))</f>
        <v/>
      </c>
      <c r="Y1645" s="134" t="str">
        <f t="shared" si="529"/>
        <v/>
      </c>
      <c r="Z1645" s="134" t="str">
        <f>IF(Y1645="","",IFERROR((RANK(Y1645,$Y$2:$Y$2028,1)+COUNTIF($Y$2:Y1645,Y1645))-1,""))</f>
        <v/>
      </c>
      <c r="AA1645" s="134" t="str">
        <f t="shared" si="530"/>
        <v/>
      </c>
      <c r="AB1645" s="134" t="str">
        <f>IF(AA1645="","",IFERROR((RANK(AA1645,$AA$2:$AA$2028,1)+COUNTIF($AA$2:AA1645,AA1645))-1,""))</f>
        <v/>
      </c>
      <c r="AC1645" s="134" t="str">
        <f t="shared" si="531"/>
        <v/>
      </c>
      <c r="AD1645" s="134" t="str">
        <f>IF(AC1645="","",IFERROR((RANK(AC1645,$AC$2:$AC$2028,1)+COUNTIF($AC$2:AC1645,AC1645))-1,""))</f>
        <v/>
      </c>
      <c r="AE1645" s="144" t="str">
        <f t="shared" si="523"/>
        <v/>
      </c>
      <c r="AF1645" s="144" t="str">
        <f>IF(AE1645="","",SUM($AE$2:AE1645))</f>
        <v/>
      </c>
    </row>
    <row r="1646" spans="14:32" x14ac:dyDescent="0.35">
      <c r="N1646" s="134" t="str">
        <f t="shared" si="521"/>
        <v/>
      </c>
      <c r="O1646" s="82" t="str">
        <f t="shared" si="524"/>
        <v/>
      </c>
      <c r="P1646" s="81" t="str">
        <f t="shared" si="522"/>
        <v/>
      </c>
      <c r="Q1646" s="81" t="str">
        <f t="shared" si="525"/>
        <v/>
      </c>
      <c r="R1646" s="135" t="str">
        <f t="shared" ca="1" si="526"/>
        <v/>
      </c>
      <c r="S1646" s="134" t="str">
        <f t="shared" ca="1" si="527"/>
        <v/>
      </c>
      <c r="T1646" s="134" t="str">
        <f ca="1">IF(S1646=Dashboard!$D$12,S1646,"")</f>
        <v/>
      </c>
      <c r="U1646" s="134" t="str">
        <f t="shared" ca="1" si="528"/>
        <v/>
      </c>
      <c r="V1646" s="83" t="str">
        <f ca="1">IF(U1646="","",IFERROR((RANK(U1646,$U$2:$U$2028,1)+COUNTIF($U$2:U1646,U1646))-1,""))</f>
        <v/>
      </c>
      <c r="W1646" s="134" t="str">
        <f t="shared" si="532"/>
        <v/>
      </c>
      <c r="X1646" s="134" t="str">
        <f>IF(W1646="","",IFERROR((RANK(W1646,$W$2:$W$2028,1)+COUNTIF($W$2:W1646,W1646))-1,""))</f>
        <v/>
      </c>
      <c r="Y1646" s="134" t="str">
        <f t="shared" si="529"/>
        <v/>
      </c>
      <c r="Z1646" s="134" t="str">
        <f>IF(Y1646="","",IFERROR((RANK(Y1646,$Y$2:$Y$2028,1)+COUNTIF($Y$2:Y1646,Y1646))-1,""))</f>
        <v/>
      </c>
      <c r="AA1646" s="134" t="str">
        <f t="shared" si="530"/>
        <v/>
      </c>
      <c r="AB1646" s="134" t="str">
        <f>IF(AA1646="","",IFERROR((RANK(AA1646,$AA$2:$AA$2028,1)+COUNTIF($AA$2:AA1646,AA1646))-1,""))</f>
        <v/>
      </c>
      <c r="AC1646" s="134" t="str">
        <f t="shared" si="531"/>
        <v/>
      </c>
      <c r="AD1646" s="134" t="str">
        <f>IF(AC1646="","",IFERROR((RANK(AC1646,$AC$2:$AC$2028,1)+COUNTIF($AC$2:AC1646,AC1646))-1,""))</f>
        <v/>
      </c>
      <c r="AE1646" s="144" t="str">
        <f t="shared" si="523"/>
        <v/>
      </c>
      <c r="AF1646" s="144" t="str">
        <f>IF(AE1646="","",SUM($AE$2:AE1646))</f>
        <v/>
      </c>
    </row>
    <row r="1647" spans="14:32" x14ac:dyDescent="0.35">
      <c r="N1647" s="134" t="str">
        <f t="shared" si="521"/>
        <v/>
      </c>
      <c r="O1647" s="82" t="str">
        <f t="shared" si="524"/>
        <v/>
      </c>
      <c r="P1647" s="81" t="str">
        <f t="shared" si="522"/>
        <v/>
      </c>
      <c r="Q1647" s="81" t="str">
        <f t="shared" si="525"/>
        <v/>
      </c>
      <c r="R1647" s="135" t="str">
        <f t="shared" ca="1" si="526"/>
        <v/>
      </c>
      <c r="S1647" s="134" t="str">
        <f t="shared" ca="1" si="527"/>
        <v/>
      </c>
      <c r="T1647" s="134" t="str">
        <f ca="1">IF(S1647=Dashboard!$D$12,S1647,"")</f>
        <v/>
      </c>
      <c r="U1647" s="134" t="str">
        <f t="shared" ca="1" si="528"/>
        <v/>
      </c>
      <c r="V1647" s="83" t="str">
        <f ca="1">IF(U1647="","",IFERROR((RANK(U1647,$U$2:$U$2028,1)+COUNTIF($U$2:U1647,U1647))-1,""))</f>
        <v/>
      </c>
      <c r="W1647" s="134" t="str">
        <f t="shared" si="532"/>
        <v/>
      </c>
      <c r="X1647" s="134" t="str">
        <f>IF(W1647="","",IFERROR((RANK(W1647,$W$2:$W$2028,1)+COUNTIF($W$2:W1647,W1647))-1,""))</f>
        <v/>
      </c>
      <c r="Y1647" s="134" t="str">
        <f t="shared" si="529"/>
        <v/>
      </c>
      <c r="Z1647" s="134" t="str">
        <f>IF(Y1647="","",IFERROR((RANK(Y1647,$Y$2:$Y$2028,1)+COUNTIF($Y$2:Y1647,Y1647))-1,""))</f>
        <v/>
      </c>
      <c r="AA1647" s="134" t="str">
        <f t="shared" si="530"/>
        <v/>
      </c>
      <c r="AB1647" s="134" t="str">
        <f>IF(AA1647="","",IFERROR((RANK(AA1647,$AA$2:$AA$2028,1)+COUNTIF($AA$2:AA1647,AA1647))-1,""))</f>
        <v/>
      </c>
      <c r="AC1647" s="134" t="str">
        <f t="shared" si="531"/>
        <v/>
      </c>
      <c r="AD1647" s="134" t="str">
        <f>IF(AC1647="","",IFERROR((RANK(AC1647,$AC$2:$AC$2028,1)+COUNTIF($AC$2:AC1647,AC1647))-1,""))</f>
        <v/>
      </c>
      <c r="AE1647" s="144" t="str">
        <f t="shared" si="523"/>
        <v/>
      </c>
      <c r="AF1647" s="144" t="str">
        <f>IF(AE1647="","",SUM($AE$2:AE1647))</f>
        <v/>
      </c>
    </row>
    <row r="1648" spans="14:32" x14ac:dyDescent="0.35">
      <c r="N1648" s="134" t="str">
        <f t="shared" si="521"/>
        <v/>
      </c>
      <c r="O1648" s="82" t="str">
        <f t="shared" si="524"/>
        <v/>
      </c>
      <c r="P1648" s="81" t="str">
        <f t="shared" si="522"/>
        <v/>
      </c>
      <c r="Q1648" s="81" t="str">
        <f t="shared" si="525"/>
        <v/>
      </c>
      <c r="R1648" s="135" t="str">
        <f t="shared" ca="1" si="526"/>
        <v/>
      </c>
      <c r="S1648" s="134" t="str">
        <f t="shared" ca="1" si="527"/>
        <v/>
      </c>
      <c r="T1648" s="134" t="str">
        <f ca="1">IF(S1648=Dashboard!$D$12,S1648,"")</f>
        <v/>
      </c>
      <c r="U1648" s="134" t="str">
        <f t="shared" ca="1" si="528"/>
        <v/>
      </c>
      <c r="V1648" s="83" t="str">
        <f ca="1">IF(U1648="","",IFERROR((RANK(U1648,$U$2:$U$2028,1)+COUNTIF($U$2:U1648,U1648))-1,""))</f>
        <v/>
      </c>
      <c r="W1648" s="134" t="str">
        <f t="shared" si="532"/>
        <v/>
      </c>
      <c r="X1648" s="134" t="str">
        <f>IF(W1648="","",IFERROR((RANK(W1648,$W$2:$W$2028,1)+COUNTIF($W$2:W1648,W1648))-1,""))</f>
        <v/>
      </c>
      <c r="Y1648" s="134" t="str">
        <f t="shared" si="529"/>
        <v/>
      </c>
      <c r="Z1648" s="134" t="str">
        <f>IF(Y1648="","",IFERROR((RANK(Y1648,$Y$2:$Y$2028,1)+COUNTIF($Y$2:Y1648,Y1648))-1,""))</f>
        <v/>
      </c>
      <c r="AA1648" s="134" t="str">
        <f t="shared" si="530"/>
        <v/>
      </c>
      <c r="AB1648" s="134" t="str">
        <f>IF(AA1648="","",IFERROR((RANK(AA1648,$AA$2:$AA$2028,1)+COUNTIF($AA$2:AA1648,AA1648))-1,""))</f>
        <v/>
      </c>
      <c r="AC1648" s="134" t="str">
        <f t="shared" si="531"/>
        <v/>
      </c>
      <c r="AD1648" s="134" t="str">
        <f>IF(AC1648="","",IFERROR((RANK(AC1648,$AC$2:$AC$2028,1)+COUNTIF($AC$2:AC1648,AC1648))-1,""))</f>
        <v/>
      </c>
      <c r="AE1648" s="144" t="str">
        <f t="shared" si="523"/>
        <v/>
      </c>
      <c r="AF1648" s="144" t="str">
        <f>IF(AE1648="","",SUM($AE$2:AE1648))</f>
        <v/>
      </c>
    </row>
    <row r="1649" spans="14:32" x14ac:dyDescent="0.35">
      <c r="N1649" s="134" t="str">
        <f t="shared" si="521"/>
        <v/>
      </c>
      <c r="O1649" s="82" t="str">
        <f t="shared" si="524"/>
        <v/>
      </c>
      <c r="P1649" s="81" t="str">
        <f t="shared" si="522"/>
        <v/>
      </c>
      <c r="Q1649" s="81" t="str">
        <f t="shared" si="525"/>
        <v/>
      </c>
      <c r="R1649" s="135" t="str">
        <f t="shared" ca="1" si="526"/>
        <v/>
      </c>
      <c r="S1649" s="134" t="str">
        <f t="shared" ca="1" si="527"/>
        <v/>
      </c>
      <c r="T1649" s="134" t="str">
        <f ca="1">IF(S1649=Dashboard!$D$12,S1649,"")</f>
        <v/>
      </c>
      <c r="U1649" s="134" t="str">
        <f t="shared" ca="1" si="528"/>
        <v/>
      </c>
      <c r="V1649" s="83" t="str">
        <f ca="1">IF(U1649="","",IFERROR((RANK(U1649,$U$2:$U$2028,1)+COUNTIF($U$2:U1649,U1649))-1,""))</f>
        <v/>
      </c>
      <c r="W1649" s="134" t="str">
        <f t="shared" si="532"/>
        <v/>
      </c>
      <c r="X1649" s="134" t="str">
        <f>IF(W1649="","",IFERROR((RANK(W1649,$W$2:$W$2028,1)+COUNTIF($W$2:W1649,W1649))-1,""))</f>
        <v/>
      </c>
      <c r="Y1649" s="134" t="str">
        <f t="shared" si="529"/>
        <v/>
      </c>
      <c r="Z1649" s="134" t="str">
        <f>IF(Y1649="","",IFERROR((RANK(Y1649,$Y$2:$Y$2028,1)+COUNTIF($Y$2:Y1649,Y1649))-1,""))</f>
        <v/>
      </c>
      <c r="AA1649" s="134" t="str">
        <f t="shared" si="530"/>
        <v/>
      </c>
      <c r="AB1649" s="134" t="str">
        <f>IF(AA1649="","",IFERROR((RANK(AA1649,$AA$2:$AA$2028,1)+COUNTIF($AA$2:AA1649,AA1649))-1,""))</f>
        <v/>
      </c>
      <c r="AC1649" s="134" t="str">
        <f t="shared" si="531"/>
        <v/>
      </c>
      <c r="AD1649" s="134" t="str">
        <f>IF(AC1649="","",IFERROR((RANK(AC1649,$AC$2:$AC$2028,1)+COUNTIF($AC$2:AC1649,AC1649))-1,""))</f>
        <v/>
      </c>
      <c r="AE1649" s="144" t="str">
        <f t="shared" si="523"/>
        <v/>
      </c>
      <c r="AF1649" s="144" t="str">
        <f>IF(AE1649="","",SUM($AE$2:AE1649))</f>
        <v/>
      </c>
    </row>
    <row r="1650" spans="14:32" x14ac:dyDescent="0.35">
      <c r="N1650" s="134" t="str">
        <f t="shared" si="521"/>
        <v/>
      </c>
      <c r="O1650" s="82" t="str">
        <f t="shared" si="524"/>
        <v/>
      </c>
      <c r="P1650" s="81" t="str">
        <f t="shared" si="522"/>
        <v/>
      </c>
      <c r="Q1650" s="81" t="str">
        <f t="shared" si="525"/>
        <v/>
      </c>
      <c r="R1650" s="135" t="str">
        <f t="shared" ca="1" si="526"/>
        <v/>
      </c>
      <c r="S1650" s="134" t="str">
        <f t="shared" ca="1" si="527"/>
        <v/>
      </c>
      <c r="T1650" s="134" t="str">
        <f ca="1">IF(S1650=Dashboard!$D$12,S1650,"")</f>
        <v/>
      </c>
      <c r="U1650" s="134" t="str">
        <f t="shared" ca="1" si="528"/>
        <v/>
      </c>
      <c r="V1650" s="83" t="str">
        <f ca="1">IF(U1650="","",IFERROR((RANK(U1650,$U$2:$U$2028,1)+COUNTIF($U$2:U1650,U1650))-1,""))</f>
        <v/>
      </c>
      <c r="W1650" s="134" t="str">
        <f t="shared" si="532"/>
        <v/>
      </c>
      <c r="X1650" s="134" t="str">
        <f>IF(W1650="","",IFERROR((RANK(W1650,$W$2:$W$2028,1)+COUNTIF($W$2:W1650,W1650))-1,""))</f>
        <v/>
      </c>
      <c r="Y1650" s="134" t="str">
        <f t="shared" si="529"/>
        <v/>
      </c>
      <c r="Z1650" s="134" t="str">
        <f>IF(Y1650="","",IFERROR((RANK(Y1650,$Y$2:$Y$2028,1)+COUNTIF($Y$2:Y1650,Y1650))-1,""))</f>
        <v/>
      </c>
      <c r="AA1650" s="134" t="str">
        <f t="shared" si="530"/>
        <v/>
      </c>
      <c r="AB1650" s="134" t="str">
        <f>IF(AA1650="","",IFERROR((RANK(AA1650,$AA$2:$AA$2028,1)+COUNTIF($AA$2:AA1650,AA1650))-1,""))</f>
        <v/>
      </c>
      <c r="AC1650" s="134" t="str">
        <f t="shared" si="531"/>
        <v/>
      </c>
      <c r="AD1650" s="134" t="str">
        <f>IF(AC1650="","",IFERROR((RANK(AC1650,$AC$2:$AC$2028,1)+COUNTIF($AC$2:AC1650,AC1650))-1,""))</f>
        <v/>
      </c>
      <c r="AE1650" s="144" t="str">
        <f t="shared" si="523"/>
        <v/>
      </c>
      <c r="AF1650" s="144" t="str">
        <f>IF(AE1650="","",SUM($AE$2:AE1650))</f>
        <v/>
      </c>
    </row>
    <row r="1651" spans="14:32" x14ac:dyDescent="0.35">
      <c r="N1651" s="134" t="str">
        <f t="shared" si="521"/>
        <v/>
      </c>
      <c r="O1651" s="82" t="str">
        <f t="shared" si="524"/>
        <v/>
      </c>
      <c r="P1651" s="81" t="str">
        <f t="shared" si="522"/>
        <v/>
      </c>
      <c r="Q1651" s="81" t="str">
        <f t="shared" si="525"/>
        <v/>
      </c>
      <c r="R1651" s="135" t="str">
        <f t="shared" ca="1" si="526"/>
        <v/>
      </c>
      <c r="S1651" s="134" t="str">
        <f t="shared" ca="1" si="527"/>
        <v/>
      </c>
      <c r="T1651" s="134" t="str">
        <f ca="1">IF(S1651=Dashboard!$D$12,S1651,"")</f>
        <v/>
      </c>
      <c r="U1651" s="134" t="str">
        <f t="shared" ca="1" si="528"/>
        <v/>
      </c>
      <c r="V1651" s="83" t="str">
        <f ca="1">IF(U1651="","",IFERROR((RANK(U1651,$U$2:$U$2028,1)+COUNTIF($U$2:U1651,U1651))-1,""))</f>
        <v/>
      </c>
      <c r="W1651" s="134" t="str">
        <f t="shared" si="532"/>
        <v/>
      </c>
      <c r="X1651" s="134" t="str">
        <f>IF(W1651="","",IFERROR((RANK(W1651,$W$2:$W$2028,1)+COUNTIF($W$2:W1651,W1651))-1,""))</f>
        <v/>
      </c>
      <c r="Y1651" s="134" t="str">
        <f t="shared" si="529"/>
        <v/>
      </c>
      <c r="Z1651" s="134" t="str">
        <f>IF(Y1651="","",IFERROR((RANK(Y1651,$Y$2:$Y$2028,1)+COUNTIF($Y$2:Y1651,Y1651))-1,""))</f>
        <v/>
      </c>
      <c r="AA1651" s="134" t="str">
        <f t="shared" si="530"/>
        <v/>
      </c>
      <c r="AB1651" s="134" t="str">
        <f>IF(AA1651="","",IFERROR((RANK(AA1651,$AA$2:$AA$2028,1)+COUNTIF($AA$2:AA1651,AA1651))-1,""))</f>
        <v/>
      </c>
      <c r="AC1651" s="134" t="str">
        <f t="shared" si="531"/>
        <v/>
      </c>
      <c r="AD1651" s="134" t="str">
        <f>IF(AC1651="","",IFERROR((RANK(AC1651,$AC$2:$AC$2028,1)+COUNTIF($AC$2:AC1651,AC1651))-1,""))</f>
        <v/>
      </c>
      <c r="AE1651" s="144" t="str">
        <f t="shared" si="523"/>
        <v/>
      </c>
      <c r="AF1651" s="144" t="str">
        <f>IF(AE1651="","",SUM($AE$2:AE1651))</f>
        <v/>
      </c>
    </row>
    <row r="1652" spans="14:32" x14ac:dyDescent="0.35">
      <c r="N1652" s="134" t="str">
        <f t="shared" si="521"/>
        <v/>
      </c>
      <c r="O1652" s="82" t="str">
        <f t="shared" si="524"/>
        <v/>
      </c>
      <c r="P1652" s="81" t="str">
        <f t="shared" si="522"/>
        <v/>
      </c>
      <c r="Q1652" s="81" t="str">
        <f t="shared" si="525"/>
        <v/>
      </c>
      <c r="R1652" s="135" t="str">
        <f t="shared" ca="1" si="526"/>
        <v/>
      </c>
      <c r="S1652" s="134" t="str">
        <f t="shared" ca="1" si="527"/>
        <v/>
      </c>
      <c r="T1652" s="134" t="str">
        <f ca="1">IF(S1652=Dashboard!$D$12,S1652,"")</f>
        <v/>
      </c>
      <c r="U1652" s="134" t="str">
        <f t="shared" ca="1" si="528"/>
        <v/>
      </c>
      <c r="V1652" s="83" t="str">
        <f ca="1">IF(U1652="","",IFERROR((RANK(U1652,$U$2:$U$2028,1)+COUNTIF($U$2:U1652,U1652))-1,""))</f>
        <v/>
      </c>
      <c r="W1652" s="134" t="str">
        <f t="shared" si="532"/>
        <v/>
      </c>
      <c r="X1652" s="134" t="str">
        <f>IF(W1652="","",IFERROR((RANK(W1652,$W$2:$W$2028,1)+COUNTIF($W$2:W1652,W1652))-1,""))</f>
        <v/>
      </c>
      <c r="Y1652" s="134" t="str">
        <f t="shared" si="529"/>
        <v/>
      </c>
      <c r="Z1652" s="134" t="str">
        <f>IF(Y1652="","",IFERROR((RANK(Y1652,$Y$2:$Y$2028,1)+COUNTIF($Y$2:Y1652,Y1652))-1,""))</f>
        <v/>
      </c>
      <c r="AA1652" s="134" t="str">
        <f t="shared" si="530"/>
        <v/>
      </c>
      <c r="AB1652" s="134" t="str">
        <f>IF(AA1652="","",IFERROR((RANK(AA1652,$AA$2:$AA$2028,1)+COUNTIF($AA$2:AA1652,AA1652))-1,""))</f>
        <v/>
      </c>
      <c r="AC1652" s="134" t="str">
        <f t="shared" si="531"/>
        <v/>
      </c>
      <c r="AD1652" s="134" t="str">
        <f>IF(AC1652="","",IFERROR((RANK(AC1652,$AC$2:$AC$2028,1)+COUNTIF($AC$2:AC1652,AC1652))-1,""))</f>
        <v/>
      </c>
      <c r="AE1652" s="144" t="str">
        <f t="shared" si="523"/>
        <v/>
      </c>
      <c r="AF1652" s="144" t="str">
        <f>IF(AE1652="","",SUM($AE$2:AE1652))</f>
        <v/>
      </c>
    </row>
    <row r="1653" spans="14:32" x14ac:dyDescent="0.35">
      <c r="N1653" s="134" t="str">
        <f t="shared" si="521"/>
        <v/>
      </c>
      <c r="O1653" s="82" t="str">
        <f t="shared" si="524"/>
        <v/>
      </c>
      <c r="P1653" s="81" t="str">
        <f t="shared" si="522"/>
        <v/>
      </c>
      <c r="Q1653" s="81" t="str">
        <f t="shared" si="525"/>
        <v/>
      </c>
      <c r="R1653" s="135" t="str">
        <f t="shared" ca="1" si="526"/>
        <v/>
      </c>
      <c r="S1653" s="134" t="str">
        <f t="shared" ca="1" si="527"/>
        <v/>
      </c>
      <c r="T1653" s="134" t="str">
        <f ca="1">IF(S1653=Dashboard!$D$12,S1653,"")</f>
        <v/>
      </c>
      <c r="U1653" s="134" t="str">
        <f t="shared" ca="1" si="528"/>
        <v/>
      </c>
      <c r="V1653" s="83" t="str">
        <f ca="1">IF(U1653="","",IFERROR((RANK(U1653,$U$2:$U$2028,1)+COUNTIF($U$2:U1653,U1653))-1,""))</f>
        <v/>
      </c>
      <c r="W1653" s="134" t="str">
        <f t="shared" si="532"/>
        <v/>
      </c>
      <c r="X1653" s="134" t="str">
        <f>IF(W1653="","",IFERROR((RANK(W1653,$W$2:$W$2028,1)+COUNTIF($W$2:W1653,W1653))-1,""))</f>
        <v/>
      </c>
      <c r="Y1653" s="134" t="str">
        <f t="shared" si="529"/>
        <v/>
      </c>
      <c r="Z1653" s="134" t="str">
        <f>IF(Y1653="","",IFERROR((RANK(Y1653,$Y$2:$Y$2028,1)+COUNTIF($Y$2:Y1653,Y1653))-1,""))</f>
        <v/>
      </c>
      <c r="AA1653" s="134" t="str">
        <f t="shared" si="530"/>
        <v/>
      </c>
      <c r="AB1653" s="134" t="str">
        <f>IF(AA1653="","",IFERROR((RANK(AA1653,$AA$2:$AA$2028,1)+COUNTIF($AA$2:AA1653,AA1653))-1,""))</f>
        <v/>
      </c>
      <c r="AC1653" s="134" t="str">
        <f t="shared" si="531"/>
        <v/>
      </c>
      <c r="AD1653" s="134" t="str">
        <f>IF(AC1653="","",IFERROR((RANK(AC1653,$AC$2:$AC$2028,1)+COUNTIF($AC$2:AC1653,AC1653))-1,""))</f>
        <v/>
      </c>
      <c r="AE1653" s="144" t="str">
        <f t="shared" si="523"/>
        <v/>
      </c>
      <c r="AF1653" s="144" t="str">
        <f>IF(AE1653="","",SUM($AE$2:AE1653))</f>
        <v/>
      </c>
    </row>
    <row r="1654" spans="14:32" x14ac:dyDescent="0.35">
      <c r="N1654" s="134" t="str">
        <f t="shared" si="521"/>
        <v/>
      </c>
      <c r="O1654" s="82" t="str">
        <f t="shared" si="524"/>
        <v/>
      </c>
      <c r="P1654" s="81" t="str">
        <f t="shared" si="522"/>
        <v/>
      </c>
      <c r="Q1654" s="81" t="str">
        <f t="shared" si="525"/>
        <v/>
      </c>
      <c r="R1654" s="135" t="str">
        <f t="shared" ca="1" si="526"/>
        <v/>
      </c>
      <c r="S1654" s="134" t="str">
        <f t="shared" ca="1" si="527"/>
        <v/>
      </c>
      <c r="T1654" s="134" t="str">
        <f ca="1">IF(S1654=Dashboard!$D$12,S1654,"")</f>
        <v/>
      </c>
      <c r="U1654" s="134" t="str">
        <f t="shared" ca="1" si="528"/>
        <v/>
      </c>
      <c r="V1654" s="83" t="str">
        <f ca="1">IF(U1654="","",IFERROR((RANK(U1654,$U$2:$U$2028,1)+COUNTIF($U$2:U1654,U1654))-1,""))</f>
        <v/>
      </c>
      <c r="W1654" s="134" t="str">
        <f t="shared" si="532"/>
        <v/>
      </c>
      <c r="X1654" s="134" t="str">
        <f>IF(W1654="","",IFERROR((RANK(W1654,$W$2:$W$2028,1)+COUNTIF($W$2:W1654,W1654))-1,""))</f>
        <v/>
      </c>
      <c r="Y1654" s="134" t="str">
        <f t="shared" si="529"/>
        <v/>
      </c>
      <c r="Z1654" s="134" t="str">
        <f>IF(Y1654="","",IFERROR((RANK(Y1654,$Y$2:$Y$2028,1)+COUNTIF($Y$2:Y1654,Y1654))-1,""))</f>
        <v/>
      </c>
      <c r="AA1654" s="134" t="str">
        <f t="shared" si="530"/>
        <v/>
      </c>
      <c r="AB1654" s="134" t="str">
        <f>IF(AA1654="","",IFERROR((RANK(AA1654,$AA$2:$AA$2028,1)+COUNTIF($AA$2:AA1654,AA1654))-1,""))</f>
        <v/>
      </c>
      <c r="AC1654" s="134" t="str">
        <f t="shared" si="531"/>
        <v/>
      </c>
      <c r="AD1654" s="134" t="str">
        <f>IF(AC1654="","",IFERROR((RANK(AC1654,$AC$2:$AC$2028,1)+COUNTIF($AC$2:AC1654,AC1654))-1,""))</f>
        <v/>
      </c>
      <c r="AE1654" s="144" t="str">
        <f t="shared" si="523"/>
        <v/>
      </c>
      <c r="AF1654" s="144" t="str">
        <f>IF(AE1654="","",SUM($AE$2:AE1654))</f>
        <v/>
      </c>
    </row>
    <row r="1655" spans="14:32" x14ac:dyDescent="0.35">
      <c r="N1655" s="134" t="str">
        <f t="shared" si="521"/>
        <v/>
      </c>
      <c r="O1655" s="82" t="str">
        <f t="shared" si="524"/>
        <v/>
      </c>
      <c r="P1655" s="81" t="str">
        <f t="shared" si="522"/>
        <v/>
      </c>
      <c r="Q1655" s="81" t="str">
        <f t="shared" si="525"/>
        <v/>
      </c>
      <c r="R1655" s="135" t="str">
        <f t="shared" ca="1" si="526"/>
        <v/>
      </c>
      <c r="S1655" s="134" t="str">
        <f t="shared" ca="1" si="527"/>
        <v/>
      </c>
      <c r="T1655" s="134" t="str">
        <f ca="1">IF(S1655=Dashboard!$D$12,S1655,"")</f>
        <v/>
      </c>
      <c r="U1655" s="134" t="str">
        <f t="shared" ca="1" si="528"/>
        <v/>
      </c>
      <c r="V1655" s="83" t="str">
        <f ca="1">IF(U1655="","",IFERROR((RANK(U1655,$U$2:$U$2028,1)+COUNTIF($U$2:U1655,U1655))-1,""))</f>
        <v/>
      </c>
      <c r="W1655" s="134" t="str">
        <f t="shared" si="532"/>
        <v/>
      </c>
      <c r="X1655" s="134" t="str">
        <f>IF(W1655="","",IFERROR((RANK(W1655,$W$2:$W$2028,1)+COUNTIF($W$2:W1655,W1655))-1,""))</f>
        <v/>
      </c>
      <c r="Y1655" s="134" t="str">
        <f t="shared" si="529"/>
        <v/>
      </c>
      <c r="Z1655" s="134" t="str">
        <f>IF(Y1655="","",IFERROR((RANK(Y1655,$Y$2:$Y$2028,1)+COUNTIF($Y$2:Y1655,Y1655))-1,""))</f>
        <v/>
      </c>
      <c r="AA1655" s="134" t="str">
        <f t="shared" si="530"/>
        <v/>
      </c>
      <c r="AB1655" s="134" t="str">
        <f>IF(AA1655="","",IFERROR((RANK(AA1655,$AA$2:$AA$2028,1)+COUNTIF($AA$2:AA1655,AA1655))-1,""))</f>
        <v/>
      </c>
      <c r="AC1655" s="134" t="str">
        <f t="shared" si="531"/>
        <v/>
      </c>
      <c r="AD1655" s="134" t="str">
        <f>IF(AC1655="","",IFERROR((RANK(AC1655,$AC$2:$AC$2028,1)+COUNTIF($AC$2:AC1655,AC1655))-1,""))</f>
        <v/>
      </c>
      <c r="AE1655" s="144" t="str">
        <f t="shared" si="523"/>
        <v/>
      </c>
      <c r="AF1655" s="144" t="str">
        <f>IF(AE1655="","",SUM($AE$2:AE1655))</f>
        <v/>
      </c>
    </row>
    <row r="1656" spans="14:32" x14ac:dyDescent="0.35">
      <c r="N1656" s="134" t="str">
        <f t="shared" si="521"/>
        <v/>
      </c>
      <c r="O1656" s="82" t="str">
        <f t="shared" si="524"/>
        <v/>
      </c>
      <c r="P1656" s="81" t="str">
        <f t="shared" si="522"/>
        <v/>
      </c>
      <c r="Q1656" s="81" t="str">
        <f t="shared" si="525"/>
        <v/>
      </c>
      <c r="R1656" s="135" t="str">
        <f t="shared" ca="1" si="526"/>
        <v/>
      </c>
      <c r="S1656" s="134" t="str">
        <f t="shared" ca="1" si="527"/>
        <v/>
      </c>
      <c r="T1656" s="134" t="str">
        <f ca="1">IF(S1656=Dashboard!$D$12,S1656,"")</f>
        <v/>
      </c>
      <c r="U1656" s="134" t="str">
        <f t="shared" ca="1" si="528"/>
        <v/>
      </c>
      <c r="V1656" s="83" t="str">
        <f ca="1">IF(U1656="","",IFERROR((RANK(U1656,$U$2:$U$2028,1)+COUNTIF($U$2:U1656,U1656))-1,""))</f>
        <v/>
      </c>
      <c r="W1656" s="134" t="str">
        <f t="shared" si="532"/>
        <v/>
      </c>
      <c r="X1656" s="134" t="str">
        <f>IF(W1656="","",IFERROR((RANK(W1656,$W$2:$W$2028,1)+COUNTIF($W$2:W1656,W1656))-1,""))</f>
        <v/>
      </c>
      <c r="Y1656" s="134" t="str">
        <f t="shared" si="529"/>
        <v/>
      </c>
      <c r="Z1656" s="134" t="str">
        <f>IF(Y1656="","",IFERROR((RANK(Y1656,$Y$2:$Y$2028,1)+COUNTIF($Y$2:Y1656,Y1656))-1,""))</f>
        <v/>
      </c>
      <c r="AA1656" s="134" t="str">
        <f t="shared" si="530"/>
        <v/>
      </c>
      <c r="AB1656" s="134" t="str">
        <f>IF(AA1656="","",IFERROR((RANK(AA1656,$AA$2:$AA$2028,1)+COUNTIF($AA$2:AA1656,AA1656))-1,""))</f>
        <v/>
      </c>
      <c r="AC1656" s="134" t="str">
        <f t="shared" si="531"/>
        <v/>
      </c>
      <c r="AD1656" s="134" t="str">
        <f>IF(AC1656="","",IFERROR((RANK(AC1656,$AC$2:$AC$2028,1)+COUNTIF($AC$2:AC1656,AC1656))-1,""))</f>
        <v/>
      </c>
      <c r="AE1656" s="144" t="str">
        <f t="shared" si="523"/>
        <v/>
      </c>
      <c r="AF1656" s="144" t="str">
        <f>IF(AE1656="","",SUM($AE$2:AE1656))</f>
        <v/>
      </c>
    </row>
    <row r="1657" spans="14:32" x14ac:dyDescent="0.35">
      <c r="N1657" s="134" t="str">
        <f t="shared" si="521"/>
        <v/>
      </c>
      <c r="O1657" s="82" t="str">
        <f t="shared" si="524"/>
        <v/>
      </c>
      <c r="P1657" s="81" t="str">
        <f t="shared" si="522"/>
        <v/>
      </c>
      <c r="Q1657" s="81" t="str">
        <f t="shared" si="525"/>
        <v/>
      </c>
      <c r="R1657" s="135" t="str">
        <f t="shared" ca="1" si="526"/>
        <v/>
      </c>
      <c r="S1657" s="134" t="str">
        <f t="shared" ca="1" si="527"/>
        <v/>
      </c>
      <c r="T1657" s="134" t="str">
        <f ca="1">IF(S1657=Dashboard!$D$12,S1657,"")</f>
        <v/>
      </c>
      <c r="U1657" s="134" t="str">
        <f t="shared" ca="1" si="528"/>
        <v/>
      </c>
      <c r="V1657" s="83" t="str">
        <f ca="1">IF(U1657="","",IFERROR((RANK(U1657,$U$2:$U$2028,1)+COUNTIF($U$2:U1657,U1657))-1,""))</f>
        <v/>
      </c>
      <c r="W1657" s="134" t="str">
        <f t="shared" si="532"/>
        <v/>
      </c>
      <c r="X1657" s="134" t="str">
        <f>IF(W1657="","",IFERROR((RANK(W1657,$W$2:$W$2028,1)+COUNTIF($W$2:W1657,W1657))-1,""))</f>
        <v/>
      </c>
      <c r="Y1657" s="134" t="str">
        <f t="shared" si="529"/>
        <v/>
      </c>
      <c r="Z1657" s="134" t="str">
        <f>IF(Y1657="","",IFERROR((RANK(Y1657,$Y$2:$Y$2028,1)+COUNTIF($Y$2:Y1657,Y1657))-1,""))</f>
        <v/>
      </c>
      <c r="AA1657" s="134" t="str">
        <f t="shared" si="530"/>
        <v/>
      </c>
      <c r="AB1657" s="134" t="str">
        <f>IF(AA1657="","",IFERROR((RANK(AA1657,$AA$2:$AA$2028,1)+COUNTIF($AA$2:AA1657,AA1657))-1,""))</f>
        <v/>
      </c>
      <c r="AC1657" s="134" t="str">
        <f t="shared" si="531"/>
        <v/>
      </c>
      <c r="AD1657" s="134" t="str">
        <f>IF(AC1657="","",IFERROR((RANK(AC1657,$AC$2:$AC$2028,1)+COUNTIF($AC$2:AC1657,AC1657))-1,""))</f>
        <v/>
      </c>
      <c r="AE1657" s="144" t="str">
        <f t="shared" si="523"/>
        <v/>
      </c>
      <c r="AF1657" s="144" t="str">
        <f>IF(AE1657="","",SUM($AE$2:AE1657))</f>
        <v/>
      </c>
    </row>
    <row r="1658" spans="14:32" x14ac:dyDescent="0.35">
      <c r="N1658" s="134" t="str">
        <f t="shared" si="521"/>
        <v/>
      </c>
      <c r="O1658" s="82" t="str">
        <f t="shared" si="524"/>
        <v/>
      </c>
      <c r="P1658" s="81" t="str">
        <f t="shared" si="522"/>
        <v/>
      </c>
      <c r="Q1658" s="81" t="str">
        <f t="shared" si="525"/>
        <v/>
      </c>
      <c r="R1658" s="135" t="str">
        <f t="shared" ca="1" si="526"/>
        <v/>
      </c>
      <c r="S1658" s="134" t="str">
        <f t="shared" ca="1" si="527"/>
        <v/>
      </c>
      <c r="T1658" s="134" t="str">
        <f ca="1">IF(S1658=Dashboard!$D$12,S1658,"")</f>
        <v/>
      </c>
      <c r="U1658" s="134" t="str">
        <f t="shared" ca="1" si="528"/>
        <v/>
      </c>
      <c r="V1658" s="83" t="str">
        <f ca="1">IF(U1658="","",IFERROR((RANK(U1658,$U$2:$U$2028,1)+COUNTIF($U$2:U1658,U1658))-1,""))</f>
        <v/>
      </c>
      <c r="W1658" s="134" t="str">
        <f t="shared" si="532"/>
        <v/>
      </c>
      <c r="X1658" s="134" t="str">
        <f>IF(W1658="","",IFERROR((RANK(W1658,$W$2:$W$2028,1)+COUNTIF($W$2:W1658,W1658))-1,""))</f>
        <v/>
      </c>
      <c r="Y1658" s="134" t="str">
        <f t="shared" si="529"/>
        <v/>
      </c>
      <c r="Z1658" s="134" t="str">
        <f>IF(Y1658="","",IFERROR((RANK(Y1658,$Y$2:$Y$2028,1)+COUNTIF($Y$2:Y1658,Y1658))-1,""))</f>
        <v/>
      </c>
      <c r="AA1658" s="134" t="str">
        <f t="shared" si="530"/>
        <v/>
      </c>
      <c r="AB1658" s="134" t="str">
        <f>IF(AA1658="","",IFERROR((RANK(AA1658,$AA$2:$AA$2028,1)+COUNTIF($AA$2:AA1658,AA1658))-1,""))</f>
        <v/>
      </c>
      <c r="AC1658" s="134" t="str">
        <f t="shared" si="531"/>
        <v/>
      </c>
      <c r="AD1658" s="134" t="str">
        <f>IF(AC1658="","",IFERROR((RANK(AC1658,$AC$2:$AC$2028,1)+COUNTIF($AC$2:AC1658,AC1658))-1,""))</f>
        <v/>
      </c>
      <c r="AE1658" s="144" t="str">
        <f t="shared" si="523"/>
        <v/>
      </c>
      <c r="AF1658" s="144" t="str">
        <f>IF(AE1658="","",SUM($AE$2:AE1658))</f>
        <v/>
      </c>
    </row>
    <row r="1659" spans="14:32" x14ac:dyDescent="0.35">
      <c r="N1659" s="134" t="str">
        <f t="shared" si="521"/>
        <v/>
      </c>
      <c r="O1659" s="82" t="str">
        <f t="shared" si="524"/>
        <v/>
      </c>
      <c r="P1659" s="81" t="str">
        <f t="shared" si="522"/>
        <v/>
      </c>
      <c r="Q1659" s="81" t="str">
        <f t="shared" si="525"/>
        <v/>
      </c>
      <c r="R1659" s="135" t="str">
        <f t="shared" ca="1" si="526"/>
        <v/>
      </c>
      <c r="S1659" s="134" t="str">
        <f t="shared" ca="1" si="527"/>
        <v/>
      </c>
      <c r="T1659" s="134" t="str">
        <f ca="1">IF(S1659=Dashboard!$D$12,S1659,"")</f>
        <v/>
      </c>
      <c r="U1659" s="134" t="str">
        <f t="shared" ca="1" si="528"/>
        <v/>
      </c>
      <c r="V1659" s="83" t="str">
        <f ca="1">IF(U1659="","",IFERROR((RANK(U1659,$U$2:$U$2028,1)+COUNTIF($U$2:U1659,U1659))-1,""))</f>
        <v/>
      </c>
      <c r="W1659" s="134" t="str">
        <f t="shared" si="532"/>
        <v/>
      </c>
      <c r="X1659" s="134" t="str">
        <f>IF(W1659="","",IFERROR((RANK(W1659,$W$2:$W$2028,1)+COUNTIF($W$2:W1659,W1659))-1,""))</f>
        <v/>
      </c>
      <c r="Y1659" s="134" t="str">
        <f t="shared" si="529"/>
        <v/>
      </c>
      <c r="Z1659" s="134" t="str">
        <f>IF(Y1659="","",IFERROR((RANK(Y1659,$Y$2:$Y$2028,1)+COUNTIF($Y$2:Y1659,Y1659))-1,""))</f>
        <v/>
      </c>
      <c r="AA1659" s="134" t="str">
        <f t="shared" si="530"/>
        <v/>
      </c>
      <c r="AB1659" s="134" t="str">
        <f>IF(AA1659="","",IFERROR((RANK(AA1659,$AA$2:$AA$2028,1)+COUNTIF($AA$2:AA1659,AA1659))-1,""))</f>
        <v/>
      </c>
      <c r="AC1659" s="134" t="str">
        <f t="shared" si="531"/>
        <v/>
      </c>
      <c r="AD1659" s="134" t="str">
        <f>IF(AC1659="","",IFERROR((RANK(AC1659,$AC$2:$AC$2028,1)+COUNTIF($AC$2:AC1659,AC1659))-1,""))</f>
        <v/>
      </c>
      <c r="AE1659" s="144" t="str">
        <f t="shared" si="523"/>
        <v/>
      </c>
      <c r="AF1659" s="144" t="str">
        <f>IF(AE1659="","",SUM($AE$2:AE1659))</f>
        <v/>
      </c>
    </row>
    <row r="1660" spans="14:32" x14ac:dyDescent="0.35">
      <c r="N1660" s="134" t="str">
        <f t="shared" si="521"/>
        <v/>
      </c>
      <c r="O1660" s="82" t="str">
        <f t="shared" si="524"/>
        <v/>
      </c>
      <c r="P1660" s="81" t="str">
        <f t="shared" si="522"/>
        <v/>
      </c>
      <c r="Q1660" s="81" t="str">
        <f t="shared" si="525"/>
        <v/>
      </c>
      <c r="R1660" s="135" t="str">
        <f t="shared" ca="1" si="526"/>
        <v/>
      </c>
      <c r="S1660" s="134" t="str">
        <f t="shared" ca="1" si="527"/>
        <v/>
      </c>
      <c r="T1660" s="134" t="str">
        <f ca="1">IF(S1660=Dashboard!$D$12,S1660,"")</f>
        <v/>
      </c>
      <c r="U1660" s="134" t="str">
        <f t="shared" ca="1" si="528"/>
        <v/>
      </c>
      <c r="V1660" s="83" t="str">
        <f ca="1">IF(U1660="","",IFERROR((RANK(U1660,$U$2:$U$2028,1)+COUNTIF($U$2:U1660,U1660))-1,""))</f>
        <v/>
      </c>
      <c r="W1660" s="134" t="str">
        <f t="shared" si="532"/>
        <v/>
      </c>
      <c r="X1660" s="134" t="str">
        <f>IF(W1660="","",IFERROR((RANK(W1660,$W$2:$W$2028,1)+COUNTIF($W$2:W1660,W1660))-1,""))</f>
        <v/>
      </c>
      <c r="Y1660" s="134" t="str">
        <f t="shared" si="529"/>
        <v/>
      </c>
      <c r="Z1660" s="134" t="str">
        <f>IF(Y1660="","",IFERROR((RANK(Y1660,$Y$2:$Y$2028,1)+COUNTIF($Y$2:Y1660,Y1660))-1,""))</f>
        <v/>
      </c>
      <c r="AA1660" s="134" t="str">
        <f t="shared" si="530"/>
        <v/>
      </c>
      <c r="AB1660" s="134" t="str">
        <f>IF(AA1660="","",IFERROR((RANK(AA1660,$AA$2:$AA$2028,1)+COUNTIF($AA$2:AA1660,AA1660))-1,""))</f>
        <v/>
      </c>
      <c r="AC1660" s="134" t="str">
        <f t="shared" si="531"/>
        <v/>
      </c>
      <c r="AD1660" s="134" t="str">
        <f>IF(AC1660="","",IFERROR((RANK(AC1660,$AC$2:$AC$2028,1)+COUNTIF($AC$2:AC1660,AC1660))-1,""))</f>
        <v/>
      </c>
      <c r="AE1660" s="144" t="str">
        <f t="shared" si="523"/>
        <v/>
      </c>
      <c r="AF1660" s="144" t="str">
        <f>IF(AE1660="","",SUM($AE$2:AE1660))</f>
        <v/>
      </c>
    </row>
    <row r="1661" spans="14:32" x14ac:dyDescent="0.35">
      <c r="N1661" s="134" t="str">
        <f t="shared" si="521"/>
        <v/>
      </c>
      <c r="O1661" s="82" t="str">
        <f t="shared" si="524"/>
        <v/>
      </c>
      <c r="P1661" s="81" t="str">
        <f t="shared" si="522"/>
        <v/>
      </c>
      <c r="Q1661" s="81" t="str">
        <f t="shared" si="525"/>
        <v/>
      </c>
      <c r="R1661" s="135" t="str">
        <f t="shared" ca="1" si="526"/>
        <v/>
      </c>
      <c r="S1661" s="134" t="str">
        <f t="shared" ca="1" si="527"/>
        <v/>
      </c>
      <c r="T1661" s="134" t="str">
        <f ca="1">IF(S1661=Dashboard!$D$12,S1661,"")</f>
        <v/>
      </c>
      <c r="U1661" s="134" t="str">
        <f t="shared" ca="1" si="528"/>
        <v/>
      </c>
      <c r="V1661" s="83" t="str">
        <f ca="1">IF(U1661="","",IFERROR((RANK(U1661,$U$2:$U$2028,1)+COUNTIF($U$2:U1661,U1661))-1,""))</f>
        <v/>
      </c>
      <c r="W1661" s="134" t="str">
        <f t="shared" si="532"/>
        <v/>
      </c>
      <c r="X1661" s="134" t="str">
        <f>IF(W1661="","",IFERROR((RANK(W1661,$W$2:$W$2028,1)+COUNTIF($W$2:W1661,W1661))-1,""))</f>
        <v/>
      </c>
      <c r="Y1661" s="134" t="str">
        <f t="shared" si="529"/>
        <v/>
      </c>
      <c r="Z1661" s="134" t="str">
        <f>IF(Y1661="","",IFERROR((RANK(Y1661,$Y$2:$Y$2028,1)+COUNTIF($Y$2:Y1661,Y1661))-1,""))</f>
        <v/>
      </c>
      <c r="AA1661" s="134" t="str">
        <f t="shared" si="530"/>
        <v/>
      </c>
      <c r="AB1661" s="134" t="str">
        <f>IF(AA1661="","",IFERROR((RANK(AA1661,$AA$2:$AA$2028,1)+COUNTIF($AA$2:AA1661,AA1661))-1,""))</f>
        <v/>
      </c>
      <c r="AC1661" s="134" t="str">
        <f t="shared" si="531"/>
        <v/>
      </c>
      <c r="AD1661" s="134" t="str">
        <f>IF(AC1661="","",IFERROR((RANK(AC1661,$AC$2:$AC$2028,1)+COUNTIF($AC$2:AC1661,AC1661))-1,""))</f>
        <v/>
      </c>
      <c r="AE1661" s="144" t="str">
        <f t="shared" si="523"/>
        <v/>
      </c>
      <c r="AF1661" s="144" t="str">
        <f>IF(AE1661="","",SUM($AE$2:AE1661))</f>
        <v/>
      </c>
    </row>
    <row r="1662" spans="14:32" x14ac:dyDescent="0.35">
      <c r="N1662" s="134" t="str">
        <f t="shared" si="521"/>
        <v/>
      </c>
      <c r="O1662" s="82" t="str">
        <f t="shared" si="524"/>
        <v/>
      </c>
      <c r="P1662" s="81" t="str">
        <f t="shared" si="522"/>
        <v/>
      </c>
      <c r="Q1662" s="81" t="str">
        <f t="shared" si="525"/>
        <v/>
      </c>
      <c r="R1662" s="135" t="str">
        <f t="shared" ca="1" si="526"/>
        <v/>
      </c>
      <c r="S1662" s="134" t="str">
        <f t="shared" ca="1" si="527"/>
        <v/>
      </c>
      <c r="T1662" s="134" t="str">
        <f ca="1">IF(S1662=Dashboard!$D$12,S1662,"")</f>
        <v/>
      </c>
      <c r="U1662" s="134" t="str">
        <f t="shared" ca="1" si="528"/>
        <v/>
      </c>
      <c r="V1662" s="83" t="str">
        <f ca="1">IF(U1662="","",IFERROR((RANK(U1662,$U$2:$U$2028,1)+COUNTIF($U$2:U1662,U1662))-1,""))</f>
        <v/>
      </c>
      <c r="W1662" s="134" t="str">
        <f t="shared" si="532"/>
        <v/>
      </c>
      <c r="X1662" s="134" t="str">
        <f>IF(W1662="","",IFERROR((RANK(W1662,$W$2:$W$2028,1)+COUNTIF($W$2:W1662,W1662))-1,""))</f>
        <v/>
      </c>
      <c r="Y1662" s="134" t="str">
        <f t="shared" si="529"/>
        <v/>
      </c>
      <c r="Z1662" s="134" t="str">
        <f>IF(Y1662="","",IFERROR((RANK(Y1662,$Y$2:$Y$2028,1)+COUNTIF($Y$2:Y1662,Y1662))-1,""))</f>
        <v/>
      </c>
      <c r="AA1662" s="134" t="str">
        <f t="shared" si="530"/>
        <v/>
      </c>
      <c r="AB1662" s="134" t="str">
        <f>IF(AA1662="","",IFERROR((RANK(AA1662,$AA$2:$AA$2028,1)+COUNTIF($AA$2:AA1662,AA1662))-1,""))</f>
        <v/>
      </c>
      <c r="AC1662" s="134" t="str">
        <f t="shared" si="531"/>
        <v/>
      </c>
      <c r="AD1662" s="134" t="str">
        <f>IF(AC1662="","",IFERROR((RANK(AC1662,$AC$2:$AC$2028,1)+COUNTIF($AC$2:AC1662,AC1662))-1,""))</f>
        <v/>
      </c>
      <c r="AE1662" s="144" t="str">
        <f t="shared" si="523"/>
        <v/>
      </c>
      <c r="AF1662" s="144" t="str">
        <f>IF(AE1662="","",SUM($AE$2:AE1662))</f>
        <v/>
      </c>
    </row>
    <row r="1663" spans="14:32" x14ac:dyDescent="0.35">
      <c r="N1663" s="134" t="str">
        <f t="shared" si="521"/>
        <v/>
      </c>
      <c r="O1663" s="82" t="str">
        <f t="shared" si="524"/>
        <v/>
      </c>
      <c r="P1663" s="81" t="str">
        <f t="shared" si="522"/>
        <v/>
      </c>
      <c r="Q1663" s="81" t="str">
        <f t="shared" si="525"/>
        <v/>
      </c>
      <c r="R1663" s="135" t="str">
        <f t="shared" ca="1" si="526"/>
        <v/>
      </c>
      <c r="S1663" s="134" t="str">
        <f t="shared" ca="1" si="527"/>
        <v/>
      </c>
      <c r="T1663" s="134" t="str">
        <f ca="1">IF(S1663=Dashboard!$D$12,S1663,"")</f>
        <v/>
      </c>
      <c r="U1663" s="134" t="str">
        <f t="shared" ca="1" si="528"/>
        <v/>
      </c>
      <c r="V1663" s="83" t="str">
        <f ca="1">IF(U1663="","",IFERROR((RANK(U1663,$U$2:$U$2028,1)+COUNTIF($U$2:U1663,U1663))-1,""))</f>
        <v/>
      </c>
      <c r="W1663" s="134" t="str">
        <f t="shared" si="532"/>
        <v/>
      </c>
      <c r="X1663" s="134" t="str">
        <f>IF(W1663="","",IFERROR((RANK(W1663,$W$2:$W$2028,1)+COUNTIF($W$2:W1663,W1663))-1,""))</f>
        <v/>
      </c>
      <c r="Y1663" s="134" t="str">
        <f t="shared" si="529"/>
        <v/>
      </c>
      <c r="Z1663" s="134" t="str">
        <f>IF(Y1663="","",IFERROR((RANK(Y1663,$Y$2:$Y$2028,1)+COUNTIF($Y$2:Y1663,Y1663))-1,""))</f>
        <v/>
      </c>
      <c r="AA1663" s="134" t="str">
        <f t="shared" si="530"/>
        <v/>
      </c>
      <c r="AB1663" s="134" t="str">
        <f>IF(AA1663="","",IFERROR((RANK(AA1663,$AA$2:$AA$2028,1)+COUNTIF($AA$2:AA1663,AA1663))-1,""))</f>
        <v/>
      </c>
      <c r="AC1663" s="134" t="str">
        <f t="shared" si="531"/>
        <v/>
      </c>
      <c r="AD1663" s="134" t="str">
        <f>IF(AC1663="","",IFERROR((RANK(AC1663,$AC$2:$AC$2028,1)+COUNTIF($AC$2:AC1663,AC1663))-1,""))</f>
        <v/>
      </c>
      <c r="AE1663" s="144" t="str">
        <f t="shared" si="523"/>
        <v/>
      </c>
      <c r="AF1663" s="144" t="str">
        <f>IF(AE1663="","",SUM($AE$2:AE1663))</f>
        <v/>
      </c>
    </row>
    <row r="1664" spans="14:32" x14ac:dyDescent="0.35">
      <c r="N1664" s="134" t="str">
        <f t="shared" si="521"/>
        <v/>
      </c>
      <c r="O1664" s="82" t="str">
        <f t="shared" si="524"/>
        <v/>
      </c>
      <c r="P1664" s="81" t="str">
        <f t="shared" si="522"/>
        <v/>
      </c>
      <c r="Q1664" s="81" t="str">
        <f t="shared" si="525"/>
        <v/>
      </c>
      <c r="R1664" s="135" t="str">
        <f t="shared" ca="1" si="526"/>
        <v/>
      </c>
      <c r="S1664" s="134" t="str">
        <f t="shared" ca="1" si="527"/>
        <v/>
      </c>
      <c r="T1664" s="134" t="str">
        <f ca="1">IF(S1664=Dashboard!$D$12,S1664,"")</f>
        <v/>
      </c>
      <c r="U1664" s="134" t="str">
        <f t="shared" ca="1" si="528"/>
        <v/>
      </c>
      <c r="V1664" s="83" t="str">
        <f ca="1">IF(U1664="","",IFERROR((RANK(U1664,$U$2:$U$2028,1)+COUNTIF($U$2:U1664,U1664))-1,""))</f>
        <v/>
      </c>
      <c r="W1664" s="134" t="str">
        <f t="shared" si="532"/>
        <v/>
      </c>
      <c r="X1664" s="134" t="str">
        <f>IF(W1664="","",IFERROR((RANK(W1664,$W$2:$W$2028,1)+COUNTIF($W$2:W1664,W1664))-1,""))</f>
        <v/>
      </c>
      <c r="Y1664" s="134" t="str">
        <f t="shared" si="529"/>
        <v/>
      </c>
      <c r="Z1664" s="134" t="str">
        <f>IF(Y1664="","",IFERROR((RANK(Y1664,$Y$2:$Y$2028,1)+COUNTIF($Y$2:Y1664,Y1664))-1,""))</f>
        <v/>
      </c>
      <c r="AA1664" s="134" t="str">
        <f t="shared" si="530"/>
        <v/>
      </c>
      <c r="AB1664" s="134" t="str">
        <f>IF(AA1664="","",IFERROR((RANK(AA1664,$AA$2:$AA$2028,1)+COUNTIF($AA$2:AA1664,AA1664))-1,""))</f>
        <v/>
      </c>
      <c r="AC1664" s="134" t="str">
        <f t="shared" si="531"/>
        <v/>
      </c>
      <c r="AD1664" s="134" t="str">
        <f>IF(AC1664="","",IFERROR((RANK(AC1664,$AC$2:$AC$2028,1)+COUNTIF($AC$2:AC1664,AC1664))-1,""))</f>
        <v/>
      </c>
      <c r="AE1664" s="144" t="str">
        <f t="shared" si="523"/>
        <v/>
      </c>
      <c r="AF1664" s="144" t="str">
        <f>IF(AE1664="","",SUM($AE$2:AE1664))</f>
        <v/>
      </c>
    </row>
    <row r="1665" spans="14:32" x14ac:dyDescent="0.35">
      <c r="N1665" s="134" t="str">
        <f t="shared" si="521"/>
        <v/>
      </c>
      <c r="O1665" s="82" t="str">
        <f t="shared" si="524"/>
        <v/>
      </c>
      <c r="P1665" s="81" t="str">
        <f t="shared" si="522"/>
        <v/>
      </c>
      <c r="Q1665" s="81" t="str">
        <f t="shared" si="525"/>
        <v/>
      </c>
      <c r="R1665" s="135" t="str">
        <f t="shared" ca="1" si="526"/>
        <v/>
      </c>
      <c r="S1665" s="134" t="str">
        <f t="shared" ca="1" si="527"/>
        <v/>
      </c>
      <c r="T1665" s="134" t="str">
        <f ca="1">IF(S1665=Dashboard!$D$12,S1665,"")</f>
        <v/>
      </c>
      <c r="U1665" s="134" t="str">
        <f t="shared" ca="1" si="528"/>
        <v/>
      </c>
      <c r="V1665" s="83" t="str">
        <f ca="1">IF(U1665="","",IFERROR((RANK(U1665,$U$2:$U$2028,1)+COUNTIF($U$2:U1665,U1665))-1,""))</f>
        <v/>
      </c>
      <c r="W1665" s="134" t="str">
        <f t="shared" si="532"/>
        <v/>
      </c>
      <c r="X1665" s="134" t="str">
        <f>IF(W1665="","",IFERROR((RANK(W1665,$W$2:$W$2028,1)+COUNTIF($W$2:W1665,W1665))-1,""))</f>
        <v/>
      </c>
      <c r="Y1665" s="134" t="str">
        <f t="shared" si="529"/>
        <v/>
      </c>
      <c r="Z1665" s="134" t="str">
        <f>IF(Y1665="","",IFERROR((RANK(Y1665,$Y$2:$Y$2028,1)+COUNTIF($Y$2:Y1665,Y1665))-1,""))</f>
        <v/>
      </c>
      <c r="AA1665" s="134" t="str">
        <f t="shared" si="530"/>
        <v/>
      </c>
      <c r="AB1665" s="134" t="str">
        <f>IF(AA1665="","",IFERROR((RANK(AA1665,$AA$2:$AA$2028,1)+COUNTIF($AA$2:AA1665,AA1665))-1,""))</f>
        <v/>
      </c>
      <c r="AC1665" s="134" t="str">
        <f t="shared" si="531"/>
        <v/>
      </c>
      <c r="AD1665" s="134" t="str">
        <f>IF(AC1665="","",IFERROR((RANK(AC1665,$AC$2:$AC$2028,1)+COUNTIF($AC$2:AC1665,AC1665))-1,""))</f>
        <v/>
      </c>
      <c r="AE1665" s="144" t="str">
        <f t="shared" si="523"/>
        <v/>
      </c>
      <c r="AF1665" s="144" t="str">
        <f>IF(AE1665="","",SUM($AE$2:AE1665))</f>
        <v/>
      </c>
    </row>
    <row r="1666" spans="14:32" x14ac:dyDescent="0.35">
      <c r="N1666" s="134" t="str">
        <f t="shared" ref="N1666:N1729" si="533">IF(A1666="","",COUNTIFS(M:M,M1666,H:H,"&lt;"&amp;H1666)+1)</f>
        <v/>
      </c>
      <c r="O1666" s="82" t="str">
        <f t="shared" si="524"/>
        <v/>
      </c>
      <c r="P1666" s="81" t="str">
        <f t="shared" ref="P1666:P1729" si="534">IF(A1666="","",COUNTIFS(M:M,M1666,H:H,"&gt;"&amp;H1666)+1)</f>
        <v/>
      </c>
      <c r="Q1666" s="81" t="str">
        <f t="shared" si="525"/>
        <v/>
      </c>
      <c r="R1666" s="135" t="str">
        <f t="shared" ca="1" si="526"/>
        <v/>
      </c>
      <c r="S1666" s="134" t="str">
        <f t="shared" ca="1" si="527"/>
        <v/>
      </c>
      <c r="T1666" s="134" t="str">
        <f ca="1">IF(S1666=Dashboard!$D$12,S1666,"")</f>
        <v/>
      </c>
      <c r="U1666" s="134" t="str">
        <f t="shared" ca="1" si="528"/>
        <v/>
      </c>
      <c r="V1666" s="83" t="str">
        <f ca="1">IF(U1666="","",IFERROR((RANK(U1666,$U$2:$U$2028,1)+COUNTIF($U$2:U1666,U1666))-1,""))</f>
        <v/>
      </c>
      <c r="W1666" s="134" t="str">
        <f t="shared" si="532"/>
        <v/>
      </c>
      <c r="X1666" s="134" t="str">
        <f>IF(W1666="","",IFERROR((RANK(W1666,$W$2:$W$2028,1)+COUNTIF($W$2:W1666,W1666))-1,""))</f>
        <v/>
      </c>
      <c r="Y1666" s="134" t="str">
        <f t="shared" si="529"/>
        <v/>
      </c>
      <c r="Z1666" s="134" t="str">
        <f>IF(Y1666="","",IFERROR((RANK(Y1666,$Y$2:$Y$2028,1)+COUNTIF($Y$2:Y1666,Y1666))-1,""))</f>
        <v/>
      </c>
      <c r="AA1666" s="134" t="str">
        <f t="shared" si="530"/>
        <v/>
      </c>
      <c r="AB1666" s="134" t="str">
        <f>IF(AA1666="","",IFERROR((RANK(AA1666,$AA$2:$AA$2028,1)+COUNTIF($AA$2:AA1666,AA1666))-1,""))</f>
        <v/>
      </c>
      <c r="AC1666" s="134" t="str">
        <f t="shared" si="531"/>
        <v/>
      </c>
      <c r="AD1666" s="134" t="str">
        <f>IF(AC1666="","",IFERROR((RANK(AC1666,$AC$2:$AC$2028,1)+COUNTIF($AC$2:AC1666,AC1666))-1,""))</f>
        <v/>
      </c>
      <c r="AE1666" s="144" t="str">
        <f t="shared" si="523"/>
        <v/>
      </c>
      <c r="AF1666" s="144" t="str">
        <f>IF(AE1666="","",SUM($AE$2:AE1666))</f>
        <v/>
      </c>
    </row>
    <row r="1667" spans="14:32" x14ac:dyDescent="0.35">
      <c r="N1667" s="134" t="str">
        <f t="shared" si="533"/>
        <v/>
      </c>
      <c r="O1667" s="82" t="str">
        <f t="shared" si="524"/>
        <v/>
      </c>
      <c r="P1667" s="81" t="str">
        <f t="shared" si="534"/>
        <v/>
      </c>
      <c r="Q1667" s="81" t="str">
        <f t="shared" si="525"/>
        <v/>
      </c>
      <c r="R1667" s="135" t="str">
        <f t="shared" ca="1" si="526"/>
        <v/>
      </c>
      <c r="S1667" s="134" t="str">
        <f t="shared" ca="1" si="527"/>
        <v/>
      </c>
      <c r="T1667" s="134" t="str">
        <f ca="1">IF(S1667=Dashboard!$D$12,S1667,"")</f>
        <v/>
      </c>
      <c r="U1667" s="134" t="str">
        <f t="shared" ca="1" si="528"/>
        <v/>
      </c>
      <c r="V1667" s="83" t="str">
        <f ca="1">IF(U1667="","",IFERROR((RANK(U1667,$U$2:$U$2028,1)+COUNTIF($U$2:U1667,U1667))-1,""))</f>
        <v/>
      </c>
      <c r="W1667" s="134" t="str">
        <f t="shared" si="532"/>
        <v/>
      </c>
      <c r="X1667" s="134" t="str">
        <f>IF(W1667="","",IFERROR((RANK(W1667,$W$2:$W$2028,1)+COUNTIF($W$2:W1667,W1667))-1,""))</f>
        <v/>
      </c>
      <c r="Y1667" s="134" t="str">
        <f t="shared" si="529"/>
        <v/>
      </c>
      <c r="Z1667" s="134" t="str">
        <f>IF(Y1667="","",IFERROR((RANK(Y1667,$Y$2:$Y$2028,1)+COUNTIF($Y$2:Y1667,Y1667))-1,""))</f>
        <v/>
      </c>
      <c r="AA1667" s="134" t="str">
        <f t="shared" si="530"/>
        <v/>
      </c>
      <c r="AB1667" s="134" t="str">
        <f>IF(AA1667="","",IFERROR((RANK(AA1667,$AA$2:$AA$2028,1)+COUNTIF($AA$2:AA1667,AA1667))-1,""))</f>
        <v/>
      </c>
      <c r="AC1667" s="134" t="str">
        <f t="shared" si="531"/>
        <v/>
      </c>
      <c r="AD1667" s="134" t="str">
        <f>IF(AC1667="","",IFERROR((RANK(AC1667,$AC$2:$AC$2028,1)+COUNTIF($AC$2:AC1667,AC1667))-1,""))</f>
        <v/>
      </c>
      <c r="AE1667" s="144" t="str">
        <f t="shared" si="523"/>
        <v/>
      </c>
      <c r="AF1667" s="144" t="str">
        <f>IF(AE1667="","",SUM($AE$2:AE1667))</f>
        <v/>
      </c>
    </row>
    <row r="1668" spans="14:32" x14ac:dyDescent="0.35">
      <c r="N1668" s="134" t="str">
        <f t="shared" si="533"/>
        <v/>
      </c>
      <c r="O1668" s="82" t="str">
        <f t="shared" si="524"/>
        <v/>
      </c>
      <c r="P1668" s="81" t="str">
        <f t="shared" si="534"/>
        <v/>
      </c>
      <c r="Q1668" s="81" t="str">
        <f t="shared" si="525"/>
        <v/>
      </c>
      <c r="R1668" s="135" t="str">
        <f t="shared" ca="1" si="526"/>
        <v/>
      </c>
      <c r="S1668" s="134" t="str">
        <f t="shared" ca="1" si="527"/>
        <v/>
      </c>
      <c r="T1668" s="134" t="str">
        <f ca="1">IF(S1668=Dashboard!$D$12,S1668,"")</f>
        <v/>
      </c>
      <c r="U1668" s="134" t="str">
        <f t="shared" ca="1" si="528"/>
        <v/>
      </c>
      <c r="V1668" s="83" t="str">
        <f ca="1">IF(U1668="","",IFERROR((RANK(U1668,$U$2:$U$2028,1)+COUNTIF($U$2:U1668,U1668))-1,""))</f>
        <v/>
      </c>
      <c r="W1668" s="134" t="str">
        <f t="shared" si="532"/>
        <v/>
      </c>
      <c r="X1668" s="134" t="str">
        <f>IF(W1668="","",IFERROR((RANK(W1668,$W$2:$W$2028,1)+COUNTIF($W$2:W1668,W1668))-1,""))</f>
        <v/>
      </c>
      <c r="Y1668" s="134" t="str">
        <f t="shared" si="529"/>
        <v/>
      </c>
      <c r="Z1668" s="134" t="str">
        <f>IF(Y1668="","",IFERROR((RANK(Y1668,$Y$2:$Y$2028,1)+COUNTIF($Y$2:Y1668,Y1668))-1,""))</f>
        <v/>
      </c>
      <c r="AA1668" s="134" t="str">
        <f t="shared" si="530"/>
        <v/>
      </c>
      <c r="AB1668" s="134" t="str">
        <f>IF(AA1668="","",IFERROR((RANK(AA1668,$AA$2:$AA$2028,1)+COUNTIF($AA$2:AA1668,AA1668))-1,""))</f>
        <v/>
      </c>
      <c r="AC1668" s="134" t="str">
        <f t="shared" si="531"/>
        <v/>
      </c>
      <c r="AD1668" s="134" t="str">
        <f>IF(AC1668="","",IFERROR((RANK(AC1668,$AC$2:$AC$2028,1)+COUNTIF($AC$2:AC1668,AC1668))-1,""))</f>
        <v/>
      </c>
      <c r="AE1668" s="144" t="str">
        <f t="shared" si="523"/>
        <v/>
      </c>
      <c r="AF1668" s="144" t="str">
        <f>IF(AE1668="","",SUM($AE$2:AE1668))</f>
        <v/>
      </c>
    </row>
    <row r="1669" spans="14:32" x14ac:dyDescent="0.35">
      <c r="N1669" s="134" t="str">
        <f t="shared" si="533"/>
        <v/>
      </c>
      <c r="O1669" s="82" t="str">
        <f t="shared" si="524"/>
        <v/>
      </c>
      <c r="P1669" s="81" t="str">
        <f t="shared" si="534"/>
        <v/>
      </c>
      <c r="Q1669" s="81" t="str">
        <f t="shared" si="525"/>
        <v/>
      </c>
      <c r="R1669" s="135" t="str">
        <f t="shared" ca="1" si="526"/>
        <v/>
      </c>
      <c r="S1669" s="134" t="str">
        <f t="shared" ca="1" si="527"/>
        <v/>
      </c>
      <c r="T1669" s="134" t="str">
        <f ca="1">IF(S1669=Dashboard!$D$12,S1669,"")</f>
        <v/>
      </c>
      <c r="U1669" s="134" t="str">
        <f t="shared" ca="1" si="528"/>
        <v/>
      </c>
      <c r="V1669" s="83" t="str">
        <f ca="1">IF(U1669="","",IFERROR((RANK(U1669,$U$2:$U$2028,1)+COUNTIF($U$2:U1669,U1669))-1,""))</f>
        <v/>
      </c>
      <c r="W1669" s="134" t="str">
        <f t="shared" si="532"/>
        <v/>
      </c>
      <c r="X1669" s="134" t="str">
        <f>IF(W1669="","",IFERROR((RANK(W1669,$W$2:$W$2028,1)+COUNTIF($W$2:W1669,W1669))-1,""))</f>
        <v/>
      </c>
      <c r="Y1669" s="134" t="str">
        <f t="shared" si="529"/>
        <v/>
      </c>
      <c r="Z1669" s="134" t="str">
        <f>IF(Y1669="","",IFERROR((RANK(Y1669,$Y$2:$Y$2028,1)+COUNTIF($Y$2:Y1669,Y1669))-1,""))</f>
        <v/>
      </c>
      <c r="AA1669" s="134" t="str">
        <f t="shared" si="530"/>
        <v/>
      </c>
      <c r="AB1669" s="134" t="str">
        <f>IF(AA1669="","",IFERROR((RANK(AA1669,$AA$2:$AA$2028,1)+COUNTIF($AA$2:AA1669,AA1669))-1,""))</f>
        <v/>
      </c>
      <c r="AC1669" s="134" t="str">
        <f t="shared" si="531"/>
        <v/>
      </c>
      <c r="AD1669" s="134" t="str">
        <f>IF(AC1669="","",IFERROR((RANK(AC1669,$AC$2:$AC$2028,1)+COUNTIF($AC$2:AC1669,AC1669))-1,""))</f>
        <v/>
      </c>
      <c r="AE1669" s="144" t="str">
        <f t="shared" si="523"/>
        <v/>
      </c>
      <c r="AF1669" s="144" t="str">
        <f>IF(AE1669="","",SUM($AE$2:AE1669))</f>
        <v/>
      </c>
    </row>
    <row r="1670" spans="14:32" x14ac:dyDescent="0.35">
      <c r="N1670" s="134" t="str">
        <f t="shared" si="533"/>
        <v/>
      </c>
      <c r="O1670" s="82" t="str">
        <f t="shared" si="524"/>
        <v/>
      </c>
      <c r="P1670" s="81" t="str">
        <f t="shared" si="534"/>
        <v/>
      </c>
      <c r="Q1670" s="81" t="str">
        <f t="shared" si="525"/>
        <v/>
      </c>
      <c r="R1670" s="135" t="str">
        <f t="shared" ca="1" si="526"/>
        <v/>
      </c>
      <c r="S1670" s="134" t="str">
        <f t="shared" ca="1" si="527"/>
        <v/>
      </c>
      <c r="T1670" s="134" t="str">
        <f ca="1">IF(S1670=Dashboard!$D$12,S1670,"")</f>
        <v/>
      </c>
      <c r="U1670" s="134" t="str">
        <f t="shared" ca="1" si="528"/>
        <v/>
      </c>
      <c r="V1670" s="83" t="str">
        <f ca="1">IF(U1670="","",IFERROR((RANK(U1670,$U$2:$U$2028,1)+COUNTIF($U$2:U1670,U1670))-1,""))</f>
        <v/>
      </c>
      <c r="W1670" s="134" t="str">
        <f t="shared" si="532"/>
        <v/>
      </c>
      <c r="X1670" s="134" t="str">
        <f>IF(W1670="","",IFERROR((RANK(W1670,$W$2:$W$2028,1)+COUNTIF($W$2:W1670,W1670))-1,""))</f>
        <v/>
      </c>
      <c r="Y1670" s="134" t="str">
        <f t="shared" si="529"/>
        <v/>
      </c>
      <c r="Z1670" s="134" t="str">
        <f>IF(Y1670="","",IFERROR((RANK(Y1670,$Y$2:$Y$2028,1)+COUNTIF($Y$2:Y1670,Y1670))-1,""))</f>
        <v/>
      </c>
      <c r="AA1670" s="134" t="str">
        <f t="shared" si="530"/>
        <v/>
      </c>
      <c r="AB1670" s="134" t="str">
        <f>IF(AA1670="","",IFERROR((RANK(AA1670,$AA$2:$AA$2028,1)+COUNTIF($AA$2:AA1670,AA1670))-1,""))</f>
        <v/>
      </c>
      <c r="AC1670" s="134" t="str">
        <f t="shared" si="531"/>
        <v/>
      </c>
      <c r="AD1670" s="134" t="str">
        <f>IF(AC1670="","",IFERROR((RANK(AC1670,$AC$2:$AC$2028,1)+COUNTIF($AC$2:AC1670,AC1670))-1,""))</f>
        <v/>
      </c>
      <c r="AE1670" s="144" t="str">
        <f t="shared" si="523"/>
        <v/>
      </c>
      <c r="AF1670" s="144" t="str">
        <f>IF(AE1670="","",SUM($AE$2:AE1670))</f>
        <v/>
      </c>
    </row>
    <row r="1671" spans="14:32" x14ac:dyDescent="0.35">
      <c r="N1671" s="134" t="str">
        <f t="shared" si="533"/>
        <v/>
      </c>
      <c r="O1671" s="82" t="str">
        <f t="shared" si="524"/>
        <v/>
      </c>
      <c r="P1671" s="81" t="str">
        <f t="shared" si="534"/>
        <v/>
      </c>
      <c r="Q1671" s="81" t="str">
        <f t="shared" si="525"/>
        <v/>
      </c>
      <c r="R1671" s="135" t="str">
        <f t="shared" ca="1" si="526"/>
        <v/>
      </c>
      <c r="S1671" s="134" t="str">
        <f t="shared" ca="1" si="527"/>
        <v/>
      </c>
      <c r="T1671" s="134" t="str">
        <f ca="1">IF(S1671=Dashboard!$D$12,S1671,"")</f>
        <v/>
      </c>
      <c r="U1671" s="134" t="str">
        <f t="shared" ca="1" si="528"/>
        <v/>
      </c>
      <c r="V1671" s="83" t="str">
        <f ca="1">IF(U1671="","",IFERROR((RANK(U1671,$U$2:$U$2028,1)+COUNTIF($U$2:U1671,U1671))-1,""))</f>
        <v/>
      </c>
      <c r="W1671" s="134" t="str">
        <f t="shared" si="532"/>
        <v/>
      </c>
      <c r="X1671" s="134" t="str">
        <f>IF(W1671="","",IFERROR((RANK(W1671,$W$2:$W$2028,1)+COUNTIF($W$2:W1671,W1671))-1,""))</f>
        <v/>
      </c>
      <c r="Y1671" s="134" t="str">
        <f t="shared" si="529"/>
        <v/>
      </c>
      <c r="Z1671" s="134" t="str">
        <f>IF(Y1671="","",IFERROR((RANK(Y1671,$Y$2:$Y$2028,1)+COUNTIF($Y$2:Y1671,Y1671))-1,""))</f>
        <v/>
      </c>
      <c r="AA1671" s="134" t="str">
        <f t="shared" si="530"/>
        <v/>
      </c>
      <c r="AB1671" s="134" t="str">
        <f>IF(AA1671="","",IFERROR((RANK(AA1671,$AA$2:$AA$2028,1)+COUNTIF($AA$2:AA1671,AA1671))-1,""))</f>
        <v/>
      </c>
      <c r="AC1671" s="134" t="str">
        <f t="shared" si="531"/>
        <v/>
      </c>
      <c r="AD1671" s="134" t="str">
        <f>IF(AC1671="","",IFERROR((RANK(AC1671,$AC$2:$AC$2028,1)+COUNTIF($AC$2:AC1671,AC1671))-1,""))</f>
        <v/>
      </c>
      <c r="AE1671" s="144" t="str">
        <f t="shared" ref="AE1671:AE1734" si="535">IF(P1671=1,P1671,"")</f>
        <v/>
      </c>
      <c r="AF1671" s="144" t="str">
        <f>IF(AE1671="","",SUM($AE$2:AE1671))</f>
        <v/>
      </c>
    </row>
    <row r="1672" spans="14:32" x14ac:dyDescent="0.35">
      <c r="N1672" s="134" t="str">
        <f t="shared" si="533"/>
        <v/>
      </c>
      <c r="O1672" s="82" t="str">
        <f t="shared" si="524"/>
        <v/>
      </c>
      <c r="P1672" s="81" t="str">
        <f t="shared" si="534"/>
        <v/>
      </c>
      <c r="Q1672" s="81" t="str">
        <f t="shared" si="525"/>
        <v/>
      </c>
      <c r="R1672" s="135" t="str">
        <f t="shared" ca="1" si="526"/>
        <v/>
      </c>
      <c r="S1672" s="134" t="str">
        <f t="shared" ca="1" si="527"/>
        <v/>
      </c>
      <c r="T1672" s="134" t="str">
        <f ca="1">IF(S1672=Dashboard!$D$12,S1672,"")</f>
        <v/>
      </c>
      <c r="U1672" s="134" t="str">
        <f t="shared" ca="1" si="528"/>
        <v/>
      </c>
      <c r="V1672" s="83" t="str">
        <f ca="1">IF(U1672="","",IFERROR((RANK(U1672,$U$2:$U$2028,1)+COUNTIF($U$2:U1672,U1672))-1,""))</f>
        <v/>
      </c>
      <c r="W1672" s="134" t="str">
        <f t="shared" si="532"/>
        <v/>
      </c>
      <c r="X1672" s="134" t="str">
        <f>IF(W1672="","",IFERROR((RANK(W1672,$W$2:$W$2028,1)+COUNTIF($W$2:W1672,W1672))-1,""))</f>
        <v/>
      </c>
      <c r="Y1672" s="134" t="str">
        <f t="shared" si="529"/>
        <v/>
      </c>
      <c r="Z1672" s="134" t="str">
        <f>IF(Y1672="","",IFERROR((RANK(Y1672,$Y$2:$Y$2028,1)+COUNTIF($Y$2:Y1672,Y1672))-1,""))</f>
        <v/>
      </c>
      <c r="AA1672" s="134" t="str">
        <f t="shared" si="530"/>
        <v/>
      </c>
      <c r="AB1672" s="134" t="str">
        <f>IF(AA1672="","",IFERROR((RANK(AA1672,$AA$2:$AA$2028,1)+COUNTIF($AA$2:AA1672,AA1672))-1,""))</f>
        <v/>
      </c>
      <c r="AC1672" s="134" t="str">
        <f t="shared" si="531"/>
        <v/>
      </c>
      <c r="AD1672" s="134" t="str">
        <f>IF(AC1672="","",IFERROR((RANK(AC1672,$AC$2:$AC$2028,1)+COUNTIF($AC$2:AC1672,AC1672))-1,""))</f>
        <v/>
      </c>
      <c r="AE1672" s="144" t="str">
        <f t="shared" si="535"/>
        <v/>
      </c>
      <c r="AF1672" s="144" t="str">
        <f>IF(AE1672="","",SUM($AE$2:AE1672))</f>
        <v/>
      </c>
    </row>
    <row r="1673" spans="14:32" x14ac:dyDescent="0.35">
      <c r="N1673" s="134" t="str">
        <f t="shared" si="533"/>
        <v/>
      </c>
      <c r="O1673" s="82" t="str">
        <f t="shared" si="524"/>
        <v/>
      </c>
      <c r="P1673" s="81" t="str">
        <f t="shared" si="534"/>
        <v/>
      </c>
      <c r="Q1673" s="81" t="str">
        <f t="shared" si="525"/>
        <v/>
      </c>
      <c r="R1673" s="135" t="str">
        <f t="shared" ca="1" si="526"/>
        <v/>
      </c>
      <c r="S1673" s="134" t="str">
        <f t="shared" ca="1" si="527"/>
        <v/>
      </c>
      <c r="T1673" s="134" t="str">
        <f ca="1">IF(S1673=Dashboard!$D$12,S1673,"")</f>
        <v/>
      </c>
      <c r="U1673" s="134" t="str">
        <f t="shared" ca="1" si="528"/>
        <v/>
      </c>
      <c r="V1673" s="83" t="str">
        <f ca="1">IF(U1673="","",IFERROR((RANK(U1673,$U$2:$U$2028,1)+COUNTIF($U$2:U1673,U1673))-1,""))</f>
        <v/>
      </c>
      <c r="W1673" s="134" t="str">
        <f t="shared" si="532"/>
        <v/>
      </c>
      <c r="X1673" s="134" t="str">
        <f>IF(W1673="","",IFERROR((RANK(W1673,$W$2:$W$2028,1)+COUNTIF($W$2:W1673,W1673))-1,""))</f>
        <v/>
      </c>
      <c r="Y1673" s="134" t="str">
        <f t="shared" si="529"/>
        <v/>
      </c>
      <c r="Z1673" s="134" t="str">
        <f>IF(Y1673="","",IFERROR((RANK(Y1673,$Y$2:$Y$2028,1)+COUNTIF($Y$2:Y1673,Y1673))-1,""))</f>
        <v/>
      </c>
      <c r="AA1673" s="134" t="str">
        <f t="shared" si="530"/>
        <v/>
      </c>
      <c r="AB1673" s="134" t="str">
        <f>IF(AA1673="","",IFERROR((RANK(AA1673,$AA$2:$AA$2028,1)+COUNTIF($AA$2:AA1673,AA1673))-1,""))</f>
        <v/>
      </c>
      <c r="AC1673" s="134" t="str">
        <f t="shared" si="531"/>
        <v/>
      </c>
      <c r="AD1673" s="134" t="str">
        <f>IF(AC1673="","",IFERROR((RANK(AC1673,$AC$2:$AC$2028,1)+COUNTIF($AC$2:AC1673,AC1673))-1,""))</f>
        <v/>
      </c>
      <c r="AE1673" s="144" t="str">
        <f t="shared" si="535"/>
        <v/>
      </c>
      <c r="AF1673" s="144" t="str">
        <f>IF(AE1673="","",SUM($AE$2:AE1673))</f>
        <v/>
      </c>
    </row>
    <row r="1674" spans="14:32" x14ac:dyDescent="0.35">
      <c r="N1674" s="134" t="str">
        <f t="shared" si="533"/>
        <v/>
      </c>
      <c r="O1674" s="82" t="str">
        <f t="shared" si="524"/>
        <v/>
      </c>
      <c r="P1674" s="81" t="str">
        <f t="shared" si="534"/>
        <v/>
      </c>
      <c r="Q1674" s="81" t="str">
        <f t="shared" si="525"/>
        <v/>
      </c>
      <c r="R1674" s="135" t="str">
        <f t="shared" ca="1" si="526"/>
        <v/>
      </c>
      <c r="S1674" s="134" t="str">
        <f t="shared" ca="1" si="527"/>
        <v/>
      </c>
      <c r="T1674" s="134" t="str">
        <f ca="1">IF(S1674=Dashboard!$D$12,S1674,"")</f>
        <v/>
      </c>
      <c r="U1674" s="134" t="str">
        <f t="shared" ca="1" si="528"/>
        <v/>
      </c>
      <c r="V1674" s="83" t="str">
        <f ca="1">IF(U1674="","",IFERROR((RANK(U1674,$U$2:$U$2028,1)+COUNTIF($U$2:U1674,U1674))-1,""))</f>
        <v/>
      </c>
      <c r="W1674" s="134" t="str">
        <f t="shared" si="532"/>
        <v/>
      </c>
      <c r="X1674" s="134" t="str">
        <f>IF(W1674="","",IFERROR((RANK(W1674,$W$2:$W$2028,1)+COUNTIF($W$2:W1674,W1674))-1,""))</f>
        <v/>
      </c>
      <c r="Y1674" s="134" t="str">
        <f t="shared" si="529"/>
        <v/>
      </c>
      <c r="Z1674" s="134" t="str">
        <f>IF(Y1674="","",IFERROR((RANK(Y1674,$Y$2:$Y$2028,1)+COUNTIF($Y$2:Y1674,Y1674))-1,""))</f>
        <v/>
      </c>
      <c r="AA1674" s="134" t="str">
        <f t="shared" si="530"/>
        <v/>
      </c>
      <c r="AB1674" s="134" t="str">
        <f>IF(AA1674="","",IFERROR((RANK(AA1674,$AA$2:$AA$2028,1)+COUNTIF($AA$2:AA1674,AA1674))-1,""))</f>
        <v/>
      </c>
      <c r="AC1674" s="134" t="str">
        <f t="shared" si="531"/>
        <v/>
      </c>
      <c r="AD1674" s="134" t="str">
        <f>IF(AC1674="","",IFERROR((RANK(AC1674,$AC$2:$AC$2028,1)+COUNTIF($AC$2:AC1674,AC1674))-1,""))</f>
        <v/>
      </c>
      <c r="AE1674" s="144" t="str">
        <f t="shared" si="535"/>
        <v/>
      </c>
      <c r="AF1674" s="144" t="str">
        <f>IF(AE1674="","",SUM($AE$2:AE1674))</f>
        <v/>
      </c>
    </row>
    <row r="1675" spans="14:32" x14ac:dyDescent="0.35">
      <c r="N1675" s="134" t="str">
        <f t="shared" si="533"/>
        <v/>
      </c>
      <c r="O1675" s="82" t="str">
        <f t="shared" si="524"/>
        <v/>
      </c>
      <c r="P1675" s="81" t="str">
        <f t="shared" si="534"/>
        <v/>
      </c>
      <c r="Q1675" s="81" t="str">
        <f t="shared" si="525"/>
        <v/>
      </c>
      <c r="R1675" s="135" t="str">
        <f t="shared" ca="1" si="526"/>
        <v/>
      </c>
      <c r="S1675" s="134" t="str">
        <f t="shared" ca="1" si="527"/>
        <v/>
      </c>
      <c r="T1675" s="134" t="str">
        <f ca="1">IF(S1675=Dashboard!$D$12,S1675,"")</f>
        <v/>
      </c>
      <c r="U1675" s="134" t="str">
        <f t="shared" ca="1" si="528"/>
        <v/>
      </c>
      <c r="V1675" s="83" t="str">
        <f ca="1">IF(U1675="","",IFERROR((RANK(U1675,$U$2:$U$2028,1)+COUNTIF($U$2:U1675,U1675))-1,""))</f>
        <v/>
      </c>
      <c r="W1675" s="134" t="str">
        <f t="shared" si="532"/>
        <v/>
      </c>
      <c r="X1675" s="134" t="str">
        <f>IF(W1675="","",IFERROR((RANK(W1675,$W$2:$W$2028,1)+COUNTIF($W$2:W1675,W1675))-1,""))</f>
        <v/>
      </c>
      <c r="Y1675" s="134" t="str">
        <f t="shared" si="529"/>
        <v/>
      </c>
      <c r="Z1675" s="134" t="str">
        <f>IF(Y1675="","",IFERROR((RANK(Y1675,$Y$2:$Y$2028,1)+COUNTIF($Y$2:Y1675,Y1675))-1,""))</f>
        <v/>
      </c>
      <c r="AA1675" s="134" t="str">
        <f t="shared" si="530"/>
        <v/>
      </c>
      <c r="AB1675" s="134" t="str">
        <f>IF(AA1675="","",IFERROR((RANK(AA1675,$AA$2:$AA$2028,1)+COUNTIF($AA$2:AA1675,AA1675))-1,""))</f>
        <v/>
      </c>
      <c r="AC1675" s="134" t="str">
        <f t="shared" si="531"/>
        <v/>
      </c>
      <c r="AD1675" s="134" t="str">
        <f>IF(AC1675="","",IFERROR((RANK(AC1675,$AC$2:$AC$2028,1)+COUNTIF($AC$2:AC1675,AC1675))-1,""))</f>
        <v/>
      </c>
      <c r="AE1675" s="144" t="str">
        <f t="shared" si="535"/>
        <v/>
      </c>
      <c r="AF1675" s="144" t="str">
        <f>IF(AE1675="","",SUM($AE$2:AE1675))</f>
        <v/>
      </c>
    </row>
    <row r="1676" spans="14:32" x14ac:dyDescent="0.35">
      <c r="N1676" s="134" t="str">
        <f t="shared" si="533"/>
        <v/>
      </c>
      <c r="O1676" s="82" t="str">
        <f t="shared" si="524"/>
        <v/>
      </c>
      <c r="P1676" s="81" t="str">
        <f t="shared" si="534"/>
        <v/>
      </c>
      <c r="Q1676" s="81" t="str">
        <f t="shared" si="525"/>
        <v/>
      </c>
      <c r="R1676" s="135" t="str">
        <f t="shared" ca="1" si="526"/>
        <v/>
      </c>
      <c r="S1676" s="134" t="str">
        <f t="shared" ca="1" si="527"/>
        <v/>
      </c>
      <c r="T1676" s="134" t="str">
        <f ca="1">IF(S1676=Dashboard!$D$12,S1676,"")</f>
        <v/>
      </c>
      <c r="U1676" s="134" t="str">
        <f t="shared" ca="1" si="528"/>
        <v/>
      </c>
      <c r="V1676" s="83" t="str">
        <f ca="1">IF(U1676="","",IFERROR((RANK(U1676,$U$2:$U$2028,1)+COUNTIF($U$2:U1676,U1676))-1,""))</f>
        <v/>
      </c>
      <c r="W1676" s="134" t="str">
        <f t="shared" si="532"/>
        <v/>
      </c>
      <c r="X1676" s="134" t="str">
        <f>IF(W1676="","",IFERROR((RANK(W1676,$W$2:$W$2028,1)+COUNTIF($W$2:W1676,W1676))-1,""))</f>
        <v/>
      </c>
      <c r="Y1676" s="134" t="str">
        <f t="shared" si="529"/>
        <v/>
      </c>
      <c r="Z1676" s="134" t="str">
        <f>IF(Y1676="","",IFERROR((RANK(Y1676,$Y$2:$Y$2028,1)+COUNTIF($Y$2:Y1676,Y1676))-1,""))</f>
        <v/>
      </c>
      <c r="AA1676" s="134" t="str">
        <f t="shared" si="530"/>
        <v/>
      </c>
      <c r="AB1676" s="134" t="str">
        <f>IF(AA1676="","",IFERROR((RANK(AA1676,$AA$2:$AA$2028,1)+COUNTIF($AA$2:AA1676,AA1676))-1,""))</f>
        <v/>
      </c>
      <c r="AC1676" s="134" t="str">
        <f t="shared" si="531"/>
        <v/>
      </c>
      <c r="AD1676" s="134" t="str">
        <f>IF(AC1676="","",IFERROR((RANK(AC1676,$AC$2:$AC$2028,1)+COUNTIF($AC$2:AC1676,AC1676))-1,""))</f>
        <v/>
      </c>
      <c r="AE1676" s="144" t="str">
        <f t="shared" si="535"/>
        <v/>
      </c>
      <c r="AF1676" s="144" t="str">
        <f>IF(AE1676="","",SUM($AE$2:AE1676))</f>
        <v/>
      </c>
    </row>
    <row r="1677" spans="14:32" x14ac:dyDescent="0.35">
      <c r="N1677" s="134" t="str">
        <f t="shared" si="533"/>
        <v/>
      </c>
      <c r="O1677" s="82" t="str">
        <f t="shared" si="524"/>
        <v/>
      </c>
      <c r="P1677" s="81" t="str">
        <f t="shared" si="534"/>
        <v/>
      </c>
      <c r="Q1677" s="81" t="str">
        <f t="shared" si="525"/>
        <v/>
      </c>
      <c r="R1677" s="135" t="str">
        <f t="shared" ca="1" si="526"/>
        <v/>
      </c>
      <c r="S1677" s="134" t="str">
        <f t="shared" ca="1" si="527"/>
        <v/>
      </c>
      <c r="T1677" s="134" t="str">
        <f ca="1">IF(S1677=Dashboard!$D$12,S1677,"")</f>
        <v/>
      </c>
      <c r="U1677" s="134" t="str">
        <f t="shared" ca="1" si="528"/>
        <v/>
      </c>
      <c r="V1677" s="83" t="str">
        <f ca="1">IF(U1677="","",IFERROR((RANK(U1677,$U$2:$U$2028,1)+COUNTIF($U$2:U1677,U1677))-1,""))</f>
        <v/>
      </c>
      <c r="W1677" s="134" t="str">
        <f t="shared" si="532"/>
        <v/>
      </c>
      <c r="X1677" s="134" t="str">
        <f>IF(W1677="","",IFERROR((RANK(W1677,$W$2:$W$2028,1)+COUNTIF($W$2:W1677,W1677))-1,""))</f>
        <v/>
      </c>
      <c r="Y1677" s="134" t="str">
        <f t="shared" si="529"/>
        <v/>
      </c>
      <c r="Z1677" s="134" t="str">
        <f>IF(Y1677="","",IFERROR((RANK(Y1677,$Y$2:$Y$2028,1)+COUNTIF($Y$2:Y1677,Y1677))-1,""))</f>
        <v/>
      </c>
      <c r="AA1677" s="134" t="str">
        <f t="shared" si="530"/>
        <v/>
      </c>
      <c r="AB1677" s="134" t="str">
        <f>IF(AA1677="","",IFERROR((RANK(AA1677,$AA$2:$AA$2028,1)+COUNTIF($AA$2:AA1677,AA1677))-1,""))</f>
        <v/>
      </c>
      <c r="AC1677" s="134" t="str">
        <f t="shared" si="531"/>
        <v/>
      </c>
      <c r="AD1677" s="134" t="str">
        <f>IF(AC1677="","",IFERROR((RANK(AC1677,$AC$2:$AC$2028,1)+COUNTIF($AC$2:AC1677,AC1677))-1,""))</f>
        <v/>
      </c>
      <c r="AE1677" s="144" t="str">
        <f t="shared" si="535"/>
        <v/>
      </c>
      <c r="AF1677" s="144" t="str">
        <f>IF(AE1677="","",SUM($AE$2:AE1677))</f>
        <v/>
      </c>
    </row>
    <row r="1678" spans="14:32" x14ac:dyDescent="0.35">
      <c r="N1678" s="134" t="str">
        <f t="shared" si="533"/>
        <v/>
      </c>
      <c r="O1678" s="82" t="str">
        <f t="shared" si="524"/>
        <v/>
      </c>
      <c r="P1678" s="81" t="str">
        <f t="shared" si="534"/>
        <v/>
      </c>
      <c r="Q1678" s="81" t="str">
        <f t="shared" si="525"/>
        <v/>
      </c>
      <c r="R1678" s="135" t="str">
        <f t="shared" ca="1" si="526"/>
        <v/>
      </c>
      <c r="S1678" s="134" t="str">
        <f t="shared" ca="1" si="527"/>
        <v/>
      </c>
      <c r="T1678" s="134" t="str">
        <f ca="1">IF(S1678=Dashboard!$D$12,S1678,"")</f>
        <v/>
      </c>
      <c r="U1678" s="134" t="str">
        <f t="shared" ca="1" si="528"/>
        <v/>
      </c>
      <c r="V1678" s="83" t="str">
        <f ca="1">IF(U1678="","",IFERROR((RANK(U1678,$U$2:$U$2028,1)+COUNTIF($U$2:U1678,U1678))-1,""))</f>
        <v/>
      </c>
      <c r="W1678" s="134" t="str">
        <f t="shared" si="532"/>
        <v/>
      </c>
      <c r="X1678" s="134" t="str">
        <f>IF(W1678="","",IFERROR((RANK(W1678,$W$2:$W$2028,1)+COUNTIF($W$2:W1678,W1678))-1,""))</f>
        <v/>
      </c>
      <c r="Y1678" s="134" t="str">
        <f t="shared" si="529"/>
        <v/>
      </c>
      <c r="Z1678" s="134" t="str">
        <f>IF(Y1678="","",IFERROR((RANK(Y1678,$Y$2:$Y$2028,1)+COUNTIF($Y$2:Y1678,Y1678))-1,""))</f>
        <v/>
      </c>
      <c r="AA1678" s="134" t="str">
        <f t="shared" si="530"/>
        <v/>
      </c>
      <c r="AB1678" s="134" t="str">
        <f>IF(AA1678="","",IFERROR((RANK(AA1678,$AA$2:$AA$2028,1)+COUNTIF($AA$2:AA1678,AA1678))-1,""))</f>
        <v/>
      </c>
      <c r="AC1678" s="134" t="str">
        <f t="shared" si="531"/>
        <v/>
      </c>
      <c r="AD1678" s="134" t="str">
        <f>IF(AC1678="","",IFERROR((RANK(AC1678,$AC$2:$AC$2028,1)+COUNTIF($AC$2:AC1678,AC1678))-1,""))</f>
        <v/>
      </c>
      <c r="AE1678" s="144" t="str">
        <f t="shared" si="535"/>
        <v/>
      </c>
      <c r="AF1678" s="144" t="str">
        <f>IF(AE1678="","",SUM($AE$2:AE1678))</f>
        <v/>
      </c>
    </row>
    <row r="1679" spans="14:32" x14ac:dyDescent="0.35">
      <c r="N1679" s="134" t="str">
        <f t="shared" si="533"/>
        <v/>
      </c>
      <c r="O1679" s="82" t="str">
        <f t="shared" si="524"/>
        <v/>
      </c>
      <c r="P1679" s="81" t="str">
        <f t="shared" si="534"/>
        <v/>
      </c>
      <c r="Q1679" s="81" t="str">
        <f t="shared" si="525"/>
        <v/>
      </c>
      <c r="R1679" s="135" t="str">
        <f t="shared" ca="1" si="526"/>
        <v/>
      </c>
      <c r="S1679" s="134" t="str">
        <f t="shared" ca="1" si="527"/>
        <v/>
      </c>
      <c r="T1679" s="134" t="str">
        <f ca="1">IF(S1679=Dashboard!$D$12,S1679,"")</f>
        <v/>
      </c>
      <c r="U1679" s="134" t="str">
        <f t="shared" ca="1" si="528"/>
        <v/>
      </c>
      <c r="V1679" s="83" t="str">
        <f ca="1">IF(U1679="","",IFERROR((RANK(U1679,$U$2:$U$2028,1)+COUNTIF($U$2:U1679,U1679))-1,""))</f>
        <v/>
      </c>
      <c r="W1679" s="134" t="str">
        <f t="shared" si="532"/>
        <v/>
      </c>
      <c r="X1679" s="134" t="str">
        <f>IF(W1679="","",IFERROR((RANK(W1679,$W$2:$W$2028,1)+COUNTIF($W$2:W1679,W1679))-1,""))</f>
        <v/>
      </c>
      <c r="Y1679" s="134" t="str">
        <f t="shared" si="529"/>
        <v/>
      </c>
      <c r="Z1679" s="134" t="str">
        <f>IF(Y1679="","",IFERROR((RANK(Y1679,$Y$2:$Y$2028,1)+COUNTIF($Y$2:Y1679,Y1679))-1,""))</f>
        <v/>
      </c>
      <c r="AA1679" s="134" t="str">
        <f t="shared" si="530"/>
        <v/>
      </c>
      <c r="AB1679" s="134" t="str">
        <f>IF(AA1679="","",IFERROR((RANK(AA1679,$AA$2:$AA$2028,1)+COUNTIF($AA$2:AA1679,AA1679))-1,""))</f>
        <v/>
      </c>
      <c r="AC1679" s="134" t="str">
        <f t="shared" si="531"/>
        <v/>
      </c>
      <c r="AD1679" s="134" t="str">
        <f>IF(AC1679="","",IFERROR((RANK(AC1679,$AC$2:$AC$2028,1)+COUNTIF($AC$2:AC1679,AC1679))-1,""))</f>
        <v/>
      </c>
      <c r="AE1679" s="144" t="str">
        <f t="shared" si="535"/>
        <v/>
      </c>
      <c r="AF1679" s="144" t="str">
        <f>IF(AE1679="","",SUM($AE$2:AE1679))</f>
        <v/>
      </c>
    </row>
    <row r="1680" spans="14:32" x14ac:dyDescent="0.35">
      <c r="N1680" s="134" t="str">
        <f t="shared" si="533"/>
        <v/>
      </c>
      <c r="O1680" s="82" t="str">
        <f t="shared" si="524"/>
        <v/>
      </c>
      <c r="P1680" s="81" t="str">
        <f t="shared" si="534"/>
        <v/>
      </c>
      <c r="Q1680" s="81" t="str">
        <f t="shared" si="525"/>
        <v/>
      </c>
      <c r="R1680" s="135" t="str">
        <f t="shared" ca="1" si="526"/>
        <v/>
      </c>
      <c r="S1680" s="134" t="str">
        <f t="shared" ca="1" si="527"/>
        <v/>
      </c>
      <c r="T1680" s="134" t="str">
        <f ca="1">IF(S1680=Dashboard!$D$12,S1680,"")</f>
        <v/>
      </c>
      <c r="U1680" s="134" t="str">
        <f t="shared" ca="1" si="528"/>
        <v/>
      </c>
      <c r="V1680" s="83" t="str">
        <f ca="1">IF(U1680="","",IFERROR((RANK(U1680,$U$2:$U$2028,1)+COUNTIF($U$2:U1680,U1680))-1,""))</f>
        <v/>
      </c>
      <c r="W1680" s="134" t="str">
        <f t="shared" si="532"/>
        <v/>
      </c>
      <c r="X1680" s="134" t="str">
        <f>IF(W1680="","",IFERROR((RANK(W1680,$W$2:$W$2028,1)+COUNTIF($W$2:W1680,W1680))-1,""))</f>
        <v/>
      </c>
      <c r="Y1680" s="134" t="str">
        <f t="shared" si="529"/>
        <v/>
      </c>
      <c r="Z1680" s="134" t="str">
        <f>IF(Y1680="","",IFERROR((RANK(Y1680,$Y$2:$Y$2028,1)+COUNTIF($Y$2:Y1680,Y1680))-1,""))</f>
        <v/>
      </c>
      <c r="AA1680" s="134" t="str">
        <f t="shared" si="530"/>
        <v/>
      </c>
      <c r="AB1680" s="134" t="str">
        <f>IF(AA1680="","",IFERROR((RANK(AA1680,$AA$2:$AA$2028,1)+COUNTIF($AA$2:AA1680,AA1680))-1,""))</f>
        <v/>
      </c>
      <c r="AC1680" s="134" t="str">
        <f t="shared" si="531"/>
        <v/>
      </c>
      <c r="AD1680" s="134" t="str">
        <f>IF(AC1680="","",IFERROR((RANK(AC1680,$AC$2:$AC$2028,1)+COUNTIF($AC$2:AC1680,AC1680))-1,""))</f>
        <v/>
      </c>
      <c r="AE1680" s="144" t="str">
        <f t="shared" si="535"/>
        <v/>
      </c>
      <c r="AF1680" s="144" t="str">
        <f>IF(AE1680="","",SUM($AE$2:AE1680))</f>
        <v/>
      </c>
    </row>
    <row r="1681" spans="14:32" x14ac:dyDescent="0.35">
      <c r="N1681" s="134" t="str">
        <f t="shared" si="533"/>
        <v/>
      </c>
      <c r="O1681" s="82" t="str">
        <f t="shared" si="524"/>
        <v/>
      </c>
      <c r="P1681" s="81" t="str">
        <f t="shared" si="534"/>
        <v/>
      </c>
      <c r="Q1681" s="81" t="str">
        <f t="shared" si="525"/>
        <v/>
      </c>
      <c r="R1681" s="135" t="str">
        <f t="shared" ca="1" si="526"/>
        <v/>
      </c>
      <c r="S1681" s="134" t="str">
        <f t="shared" ca="1" si="527"/>
        <v/>
      </c>
      <c r="T1681" s="134" t="str">
        <f ca="1">IF(S1681=Dashboard!$D$12,S1681,"")</f>
        <v/>
      </c>
      <c r="U1681" s="134" t="str">
        <f t="shared" ca="1" si="528"/>
        <v/>
      </c>
      <c r="V1681" s="83" t="str">
        <f ca="1">IF(U1681="","",IFERROR((RANK(U1681,$U$2:$U$2028,1)+COUNTIF($U$2:U1681,U1681))-1,""))</f>
        <v/>
      </c>
      <c r="W1681" s="134" t="str">
        <f t="shared" si="532"/>
        <v/>
      </c>
      <c r="X1681" s="134" t="str">
        <f>IF(W1681="","",IFERROR((RANK(W1681,$W$2:$W$2028,1)+COUNTIF($W$2:W1681,W1681))-1,""))</f>
        <v/>
      </c>
      <c r="Y1681" s="134" t="str">
        <f t="shared" si="529"/>
        <v/>
      </c>
      <c r="Z1681" s="134" t="str">
        <f>IF(Y1681="","",IFERROR((RANK(Y1681,$Y$2:$Y$2028,1)+COUNTIF($Y$2:Y1681,Y1681))-1,""))</f>
        <v/>
      </c>
      <c r="AA1681" s="134" t="str">
        <f t="shared" si="530"/>
        <v/>
      </c>
      <c r="AB1681" s="134" t="str">
        <f>IF(AA1681="","",IFERROR((RANK(AA1681,$AA$2:$AA$2028,1)+COUNTIF($AA$2:AA1681,AA1681))-1,""))</f>
        <v/>
      </c>
      <c r="AC1681" s="134" t="str">
        <f t="shared" si="531"/>
        <v/>
      </c>
      <c r="AD1681" s="134" t="str">
        <f>IF(AC1681="","",IFERROR((RANK(AC1681,$AC$2:$AC$2028,1)+COUNTIF($AC$2:AC1681,AC1681))-1,""))</f>
        <v/>
      </c>
      <c r="AE1681" s="144" t="str">
        <f t="shared" si="535"/>
        <v/>
      </c>
      <c r="AF1681" s="144" t="str">
        <f>IF(AE1681="","",SUM($AE$2:AE1681))</f>
        <v/>
      </c>
    </row>
    <row r="1682" spans="14:32" x14ac:dyDescent="0.35">
      <c r="N1682" s="134" t="str">
        <f t="shared" si="533"/>
        <v/>
      </c>
      <c r="O1682" s="82" t="str">
        <f t="shared" si="524"/>
        <v/>
      </c>
      <c r="P1682" s="81" t="str">
        <f t="shared" si="534"/>
        <v/>
      </c>
      <c r="Q1682" s="81" t="str">
        <f t="shared" si="525"/>
        <v/>
      </c>
      <c r="R1682" s="135" t="str">
        <f t="shared" ca="1" si="526"/>
        <v/>
      </c>
      <c r="S1682" s="134" t="str">
        <f t="shared" ca="1" si="527"/>
        <v/>
      </c>
      <c r="T1682" s="134" t="str">
        <f ca="1">IF(S1682=Dashboard!$D$12,S1682,"")</f>
        <v/>
      </c>
      <c r="U1682" s="134" t="str">
        <f t="shared" ca="1" si="528"/>
        <v/>
      </c>
      <c r="V1682" s="83" t="str">
        <f ca="1">IF(U1682="","",IFERROR((RANK(U1682,$U$2:$U$2028,1)+COUNTIF($U$2:U1682,U1682))-1,""))</f>
        <v/>
      </c>
      <c r="W1682" s="134" t="str">
        <f t="shared" si="532"/>
        <v/>
      </c>
      <c r="X1682" s="134" t="str">
        <f>IF(W1682="","",IFERROR((RANK(W1682,$W$2:$W$2028,1)+COUNTIF($W$2:W1682,W1682))-1,""))</f>
        <v/>
      </c>
      <c r="Y1682" s="134" t="str">
        <f t="shared" si="529"/>
        <v/>
      </c>
      <c r="Z1682" s="134" t="str">
        <f>IF(Y1682="","",IFERROR((RANK(Y1682,$Y$2:$Y$2028,1)+COUNTIF($Y$2:Y1682,Y1682))-1,""))</f>
        <v/>
      </c>
      <c r="AA1682" s="134" t="str">
        <f t="shared" si="530"/>
        <v/>
      </c>
      <c r="AB1682" s="134" t="str">
        <f>IF(AA1682="","",IFERROR((RANK(AA1682,$AA$2:$AA$2028,1)+COUNTIF($AA$2:AA1682,AA1682))-1,""))</f>
        <v/>
      </c>
      <c r="AC1682" s="134" t="str">
        <f t="shared" si="531"/>
        <v/>
      </c>
      <c r="AD1682" s="134" t="str">
        <f>IF(AC1682="","",IFERROR((RANK(AC1682,$AC$2:$AC$2028,1)+COUNTIF($AC$2:AC1682,AC1682))-1,""))</f>
        <v/>
      </c>
      <c r="AE1682" s="144" t="str">
        <f t="shared" si="535"/>
        <v/>
      </c>
      <c r="AF1682" s="144" t="str">
        <f>IF(AE1682="","",SUM($AE$2:AE1682))</f>
        <v/>
      </c>
    </row>
    <row r="1683" spans="14:32" x14ac:dyDescent="0.35">
      <c r="N1683" s="134" t="str">
        <f t="shared" si="533"/>
        <v/>
      </c>
      <c r="O1683" s="82" t="str">
        <f t="shared" si="524"/>
        <v/>
      </c>
      <c r="P1683" s="81" t="str">
        <f t="shared" si="534"/>
        <v/>
      </c>
      <c r="Q1683" s="81" t="str">
        <f t="shared" si="525"/>
        <v/>
      </c>
      <c r="R1683" s="135" t="str">
        <f t="shared" ca="1" si="526"/>
        <v/>
      </c>
      <c r="S1683" s="134" t="str">
        <f t="shared" ca="1" si="527"/>
        <v/>
      </c>
      <c r="T1683" s="134" t="str">
        <f ca="1">IF(S1683=Dashboard!$D$12,S1683,"")</f>
        <v/>
      </c>
      <c r="U1683" s="134" t="str">
        <f t="shared" ca="1" si="528"/>
        <v/>
      </c>
      <c r="V1683" s="83" t="str">
        <f ca="1">IF(U1683="","",IFERROR((RANK(U1683,$U$2:$U$2028,1)+COUNTIF($U$2:U1683,U1683))-1,""))</f>
        <v/>
      </c>
      <c r="W1683" s="134" t="str">
        <f t="shared" si="532"/>
        <v/>
      </c>
      <c r="X1683" s="134" t="str">
        <f>IF(W1683="","",IFERROR((RANK(W1683,$W$2:$W$2028,1)+COUNTIF($W$2:W1683,W1683))-1,""))</f>
        <v/>
      </c>
      <c r="Y1683" s="134" t="str">
        <f t="shared" si="529"/>
        <v/>
      </c>
      <c r="Z1683" s="134" t="str">
        <f>IF(Y1683="","",IFERROR((RANK(Y1683,$Y$2:$Y$2028,1)+COUNTIF($Y$2:Y1683,Y1683))-1,""))</f>
        <v/>
      </c>
      <c r="AA1683" s="134" t="str">
        <f t="shared" si="530"/>
        <v/>
      </c>
      <c r="AB1683" s="134" t="str">
        <f>IF(AA1683="","",IFERROR((RANK(AA1683,$AA$2:$AA$2028,1)+COUNTIF($AA$2:AA1683,AA1683))-1,""))</f>
        <v/>
      </c>
      <c r="AC1683" s="134" t="str">
        <f t="shared" si="531"/>
        <v/>
      </c>
      <c r="AD1683" s="134" t="str">
        <f>IF(AC1683="","",IFERROR((RANK(AC1683,$AC$2:$AC$2028,1)+COUNTIF($AC$2:AC1683,AC1683))-1,""))</f>
        <v/>
      </c>
      <c r="AE1683" s="144" t="str">
        <f t="shared" si="535"/>
        <v/>
      </c>
      <c r="AF1683" s="144" t="str">
        <f>IF(AE1683="","",SUM($AE$2:AE1683))</f>
        <v/>
      </c>
    </row>
    <row r="1684" spans="14:32" x14ac:dyDescent="0.35">
      <c r="N1684" s="134" t="str">
        <f t="shared" si="533"/>
        <v/>
      </c>
      <c r="O1684" s="82" t="str">
        <f t="shared" si="524"/>
        <v/>
      </c>
      <c r="P1684" s="81" t="str">
        <f t="shared" si="534"/>
        <v/>
      </c>
      <c r="Q1684" s="81" t="str">
        <f t="shared" si="525"/>
        <v/>
      </c>
      <c r="R1684" s="135" t="str">
        <f t="shared" ca="1" si="526"/>
        <v/>
      </c>
      <c r="S1684" s="134" t="str">
        <f t="shared" ca="1" si="527"/>
        <v/>
      </c>
      <c r="T1684" s="134" t="str">
        <f ca="1">IF(S1684=Dashboard!$D$12,S1684,"")</f>
        <v/>
      </c>
      <c r="U1684" s="134" t="str">
        <f t="shared" ca="1" si="528"/>
        <v/>
      </c>
      <c r="V1684" s="83" t="str">
        <f ca="1">IF(U1684="","",IFERROR((RANK(U1684,$U$2:$U$2028,1)+COUNTIF($U$2:U1684,U1684))-1,""))</f>
        <v/>
      </c>
      <c r="W1684" s="134" t="str">
        <f t="shared" si="532"/>
        <v/>
      </c>
      <c r="X1684" s="134" t="str">
        <f>IF(W1684="","",IFERROR((RANK(W1684,$W$2:$W$2028,1)+COUNTIF($W$2:W1684,W1684))-1,""))</f>
        <v/>
      </c>
      <c r="Y1684" s="134" t="str">
        <f t="shared" si="529"/>
        <v/>
      </c>
      <c r="Z1684" s="134" t="str">
        <f>IF(Y1684="","",IFERROR((RANK(Y1684,$Y$2:$Y$2028,1)+COUNTIF($Y$2:Y1684,Y1684))-1,""))</f>
        <v/>
      </c>
      <c r="AA1684" s="134" t="str">
        <f t="shared" si="530"/>
        <v/>
      </c>
      <c r="AB1684" s="134" t="str">
        <f>IF(AA1684="","",IFERROR((RANK(AA1684,$AA$2:$AA$2028,1)+COUNTIF($AA$2:AA1684,AA1684))-1,""))</f>
        <v/>
      </c>
      <c r="AC1684" s="134" t="str">
        <f t="shared" si="531"/>
        <v/>
      </c>
      <c r="AD1684" s="134" t="str">
        <f>IF(AC1684="","",IFERROR((RANK(AC1684,$AC$2:$AC$2028,1)+COUNTIF($AC$2:AC1684,AC1684))-1,""))</f>
        <v/>
      </c>
      <c r="AE1684" s="144" t="str">
        <f t="shared" si="535"/>
        <v/>
      </c>
      <c r="AF1684" s="144" t="str">
        <f>IF(AE1684="","",SUM($AE$2:AE1684))</f>
        <v/>
      </c>
    </row>
    <row r="1685" spans="14:32" x14ac:dyDescent="0.35">
      <c r="N1685" s="134" t="str">
        <f t="shared" si="533"/>
        <v/>
      </c>
      <c r="O1685" s="82" t="str">
        <f t="shared" si="524"/>
        <v/>
      </c>
      <c r="P1685" s="81" t="str">
        <f t="shared" si="534"/>
        <v/>
      </c>
      <c r="Q1685" s="81" t="str">
        <f t="shared" si="525"/>
        <v/>
      </c>
      <c r="R1685" s="135" t="str">
        <f t="shared" ca="1" si="526"/>
        <v/>
      </c>
      <c r="S1685" s="134" t="str">
        <f t="shared" ca="1" si="527"/>
        <v/>
      </c>
      <c r="T1685" s="134" t="str">
        <f ca="1">IF(S1685=Dashboard!$D$12,S1685,"")</f>
        <v/>
      </c>
      <c r="U1685" s="134" t="str">
        <f t="shared" ca="1" si="528"/>
        <v/>
      </c>
      <c r="V1685" s="83" t="str">
        <f ca="1">IF(U1685="","",IFERROR((RANK(U1685,$U$2:$U$2028,1)+COUNTIF($U$2:U1685,U1685))-1,""))</f>
        <v/>
      </c>
      <c r="W1685" s="134" t="str">
        <f t="shared" si="532"/>
        <v/>
      </c>
      <c r="X1685" s="134" t="str">
        <f>IF(W1685="","",IFERROR((RANK(W1685,$W$2:$W$2028,1)+COUNTIF($W$2:W1685,W1685))-1,""))</f>
        <v/>
      </c>
      <c r="Y1685" s="134" t="str">
        <f t="shared" si="529"/>
        <v/>
      </c>
      <c r="Z1685" s="134" t="str">
        <f>IF(Y1685="","",IFERROR((RANK(Y1685,$Y$2:$Y$2028,1)+COUNTIF($Y$2:Y1685,Y1685))-1,""))</f>
        <v/>
      </c>
      <c r="AA1685" s="134" t="str">
        <f t="shared" si="530"/>
        <v/>
      </c>
      <c r="AB1685" s="134" t="str">
        <f>IF(AA1685="","",IFERROR((RANK(AA1685,$AA$2:$AA$2028,1)+COUNTIF($AA$2:AA1685,AA1685))-1,""))</f>
        <v/>
      </c>
      <c r="AC1685" s="134" t="str">
        <f t="shared" si="531"/>
        <v/>
      </c>
      <c r="AD1685" s="134" t="str">
        <f>IF(AC1685="","",IFERROR((RANK(AC1685,$AC$2:$AC$2028,1)+COUNTIF($AC$2:AC1685,AC1685))-1,""))</f>
        <v/>
      </c>
      <c r="AE1685" s="144" t="str">
        <f t="shared" si="535"/>
        <v/>
      </c>
      <c r="AF1685" s="144" t="str">
        <f>IF(AE1685="","",SUM($AE$2:AE1685))</f>
        <v/>
      </c>
    </row>
    <row r="1686" spans="14:32" x14ac:dyDescent="0.35">
      <c r="N1686" s="134" t="str">
        <f t="shared" si="533"/>
        <v/>
      </c>
      <c r="O1686" s="82" t="str">
        <f t="shared" si="524"/>
        <v/>
      </c>
      <c r="P1686" s="81" t="str">
        <f t="shared" si="534"/>
        <v/>
      </c>
      <c r="Q1686" s="81" t="str">
        <f t="shared" si="525"/>
        <v/>
      </c>
      <c r="R1686" s="135" t="str">
        <f t="shared" ca="1" si="526"/>
        <v/>
      </c>
      <c r="S1686" s="134" t="str">
        <f t="shared" ca="1" si="527"/>
        <v/>
      </c>
      <c r="T1686" s="134" t="str">
        <f ca="1">IF(S1686=Dashboard!$D$12,S1686,"")</f>
        <v/>
      </c>
      <c r="U1686" s="134" t="str">
        <f t="shared" ca="1" si="528"/>
        <v/>
      </c>
      <c r="V1686" s="83" t="str">
        <f ca="1">IF(U1686="","",IFERROR((RANK(U1686,$U$2:$U$2028,1)+COUNTIF($U$2:U1686,U1686))-1,""))</f>
        <v/>
      </c>
      <c r="W1686" s="134" t="str">
        <f t="shared" si="532"/>
        <v/>
      </c>
      <c r="X1686" s="134" t="str">
        <f>IF(W1686="","",IFERROR((RANK(W1686,$W$2:$W$2028,1)+COUNTIF($W$2:W1686,W1686))-1,""))</f>
        <v/>
      </c>
      <c r="Y1686" s="134" t="str">
        <f t="shared" si="529"/>
        <v/>
      </c>
      <c r="Z1686" s="134" t="str">
        <f>IF(Y1686="","",IFERROR((RANK(Y1686,$Y$2:$Y$2028,1)+COUNTIF($Y$2:Y1686,Y1686))-1,""))</f>
        <v/>
      </c>
      <c r="AA1686" s="134" t="str">
        <f t="shared" si="530"/>
        <v/>
      </c>
      <c r="AB1686" s="134" t="str">
        <f>IF(AA1686="","",IFERROR((RANK(AA1686,$AA$2:$AA$2028,1)+COUNTIF($AA$2:AA1686,AA1686))-1,""))</f>
        <v/>
      </c>
      <c r="AC1686" s="134" t="str">
        <f t="shared" si="531"/>
        <v/>
      </c>
      <c r="AD1686" s="134" t="str">
        <f>IF(AC1686="","",IFERROR((RANK(AC1686,$AC$2:$AC$2028,1)+COUNTIF($AC$2:AC1686,AC1686))-1,""))</f>
        <v/>
      </c>
      <c r="AE1686" s="144" t="str">
        <f t="shared" si="535"/>
        <v/>
      </c>
      <c r="AF1686" s="144" t="str">
        <f>IF(AE1686="","",SUM($AE$2:AE1686))</f>
        <v/>
      </c>
    </row>
    <row r="1687" spans="14:32" x14ac:dyDescent="0.35">
      <c r="N1687" s="134" t="str">
        <f t="shared" si="533"/>
        <v/>
      </c>
      <c r="O1687" s="82" t="str">
        <f t="shared" si="524"/>
        <v/>
      </c>
      <c r="P1687" s="81" t="str">
        <f t="shared" si="534"/>
        <v/>
      </c>
      <c r="Q1687" s="81" t="str">
        <f t="shared" si="525"/>
        <v/>
      </c>
      <c r="R1687" s="135" t="str">
        <f t="shared" ca="1" si="526"/>
        <v/>
      </c>
      <c r="S1687" s="134" t="str">
        <f t="shared" ca="1" si="527"/>
        <v/>
      </c>
      <c r="T1687" s="134" t="str">
        <f ca="1">IF(S1687=Dashboard!$D$12,S1687,"")</f>
        <v/>
      </c>
      <c r="U1687" s="134" t="str">
        <f t="shared" ca="1" si="528"/>
        <v/>
      </c>
      <c r="V1687" s="83" t="str">
        <f ca="1">IF(U1687="","",IFERROR((RANK(U1687,$U$2:$U$2028,1)+COUNTIF($U$2:U1687,U1687))-1,""))</f>
        <v/>
      </c>
      <c r="W1687" s="134" t="str">
        <f t="shared" si="532"/>
        <v/>
      </c>
      <c r="X1687" s="134" t="str">
        <f>IF(W1687="","",IFERROR((RANK(W1687,$W$2:$W$2028,1)+COUNTIF($W$2:W1687,W1687))-1,""))</f>
        <v/>
      </c>
      <c r="Y1687" s="134" t="str">
        <f t="shared" si="529"/>
        <v/>
      </c>
      <c r="Z1687" s="134" t="str">
        <f>IF(Y1687="","",IFERROR((RANK(Y1687,$Y$2:$Y$2028,1)+COUNTIF($Y$2:Y1687,Y1687))-1,""))</f>
        <v/>
      </c>
      <c r="AA1687" s="134" t="str">
        <f t="shared" si="530"/>
        <v/>
      </c>
      <c r="AB1687" s="134" t="str">
        <f>IF(AA1687="","",IFERROR((RANK(AA1687,$AA$2:$AA$2028,1)+COUNTIF($AA$2:AA1687,AA1687))-1,""))</f>
        <v/>
      </c>
      <c r="AC1687" s="134" t="str">
        <f t="shared" si="531"/>
        <v/>
      </c>
      <c r="AD1687" s="134" t="str">
        <f>IF(AC1687="","",IFERROR((RANK(AC1687,$AC$2:$AC$2028,1)+COUNTIF($AC$2:AC1687,AC1687))-1,""))</f>
        <v/>
      </c>
      <c r="AE1687" s="144" t="str">
        <f t="shared" si="535"/>
        <v/>
      </c>
      <c r="AF1687" s="144" t="str">
        <f>IF(AE1687="","",SUM($AE$2:AE1687))</f>
        <v/>
      </c>
    </row>
    <row r="1688" spans="14:32" x14ac:dyDescent="0.35">
      <c r="N1688" s="134" t="str">
        <f t="shared" si="533"/>
        <v/>
      </c>
      <c r="O1688" s="82" t="str">
        <f t="shared" si="524"/>
        <v/>
      </c>
      <c r="P1688" s="81" t="str">
        <f t="shared" si="534"/>
        <v/>
      </c>
      <c r="Q1688" s="81" t="str">
        <f t="shared" si="525"/>
        <v/>
      </c>
      <c r="R1688" s="135" t="str">
        <f t="shared" ca="1" si="526"/>
        <v/>
      </c>
      <c r="S1688" s="134" t="str">
        <f t="shared" ca="1" si="527"/>
        <v/>
      </c>
      <c r="T1688" s="134" t="str">
        <f ca="1">IF(S1688=Dashboard!$D$12,S1688,"")</f>
        <v/>
      </c>
      <c r="U1688" s="134" t="str">
        <f t="shared" ca="1" si="528"/>
        <v/>
      </c>
      <c r="V1688" s="83" t="str">
        <f ca="1">IF(U1688="","",IFERROR((RANK(U1688,$U$2:$U$2028,1)+COUNTIF($U$2:U1688,U1688))-1,""))</f>
        <v/>
      </c>
      <c r="W1688" s="134" t="str">
        <f t="shared" si="532"/>
        <v/>
      </c>
      <c r="X1688" s="134" t="str">
        <f>IF(W1688="","",IFERROR((RANK(W1688,$W$2:$W$2028,1)+COUNTIF($W$2:W1688,W1688))-1,""))</f>
        <v/>
      </c>
      <c r="Y1688" s="134" t="str">
        <f t="shared" si="529"/>
        <v/>
      </c>
      <c r="Z1688" s="134" t="str">
        <f>IF(Y1688="","",IFERROR((RANK(Y1688,$Y$2:$Y$2028,1)+COUNTIF($Y$2:Y1688,Y1688))-1,""))</f>
        <v/>
      </c>
      <c r="AA1688" s="134" t="str">
        <f t="shared" si="530"/>
        <v/>
      </c>
      <c r="AB1688" s="134" t="str">
        <f>IF(AA1688="","",IFERROR((RANK(AA1688,$AA$2:$AA$2028,1)+COUNTIF($AA$2:AA1688,AA1688))-1,""))</f>
        <v/>
      </c>
      <c r="AC1688" s="134" t="str">
        <f t="shared" si="531"/>
        <v/>
      </c>
      <c r="AD1688" s="134" t="str">
        <f>IF(AC1688="","",IFERROR((RANK(AC1688,$AC$2:$AC$2028,1)+COUNTIF($AC$2:AC1688,AC1688))-1,""))</f>
        <v/>
      </c>
      <c r="AE1688" s="144" t="str">
        <f t="shared" si="535"/>
        <v/>
      </c>
      <c r="AF1688" s="144" t="str">
        <f>IF(AE1688="","",SUM($AE$2:AE1688))</f>
        <v/>
      </c>
    </row>
    <row r="1689" spans="14:32" x14ac:dyDescent="0.35">
      <c r="N1689" s="134" t="str">
        <f t="shared" si="533"/>
        <v/>
      </c>
      <c r="O1689" s="82" t="str">
        <f t="shared" si="524"/>
        <v/>
      </c>
      <c r="P1689" s="81" t="str">
        <f t="shared" si="534"/>
        <v/>
      </c>
      <c r="Q1689" s="81" t="str">
        <f t="shared" si="525"/>
        <v/>
      </c>
      <c r="R1689" s="135" t="str">
        <f t="shared" ca="1" si="526"/>
        <v/>
      </c>
      <c r="S1689" s="134" t="str">
        <f t="shared" ca="1" si="527"/>
        <v/>
      </c>
      <c r="T1689" s="134" t="str">
        <f ca="1">IF(S1689=Dashboard!$D$12,S1689,"")</f>
        <v/>
      </c>
      <c r="U1689" s="134" t="str">
        <f t="shared" ca="1" si="528"/>
        <v/>
      </c>
      <c r="V1689" s="83" t="str">
        <f ca="1">IF(U1689="","",IFERROR((RANK(U1689,$U$2:$U$2028,1)+COUNTIF($U$2:U1689,U1689))-1,""))</f>
        <v/>
      </c>
      <c r="W1689" s="134" t="str">
        <f t="shared" si="532"/>
        <v/>
      </c>
      <c r="X1689" s="134" t="str">
        <f>IF(W1689="","",IFERROR((RANK(W1689,$W$2:$W$2028,1)+COUNTIF($W$2:W1689,W1689))-1,""))</f>
        <v/>
      </c>
      <c r="Y1689" s="134" t="str">
        <f t="shared" si="529"/>
        <v/>
      </c>
      <c r="Z1689" s="134" t="str">
        <f>IF(Y1689="","",IFERROR((RANK(Y1689,$Y$2:$Y$2028,1)+COUNTIF($Y$2:Y1689,Y1689))-1,""))</f>
        <v/>
      </c>
      <c r="AA1689" s="134" t="str">
        <f t="shared" si="530"/>
        <v/>
      </c>
      <c r="AB1689" s="134" t="str">
        <f>IF(AA1689="","",IFERROR((RANK(AA1689,$AA$2:$AA$2028,1)+COUNTIF($AA$2:AA1689,AA1689))-1,""))</f>
        <v/>
      </c>
      <c r="AC1689" s="134" t="str">
        <f t="shared" si="531"/>
        <v/>
      </c>
      <c r="AD1689" s="134" t="str">
        <f>IF(AC1689="","",IFERROR((RANK(AC1689,$AC$2:$AC$2028,1)+COUNTIF($AC$2:AC1689,AC1689))-1,""))</f>
        <v/>
      </c>
      <c r="AE1689" s="144" t="str">
        <f t="shared" si="535"/>
        <v/>
      </c>
      <c r="AF1689" s="144" t="str">
        <f>IF(AE1689="","",SUM($AE$2:AE1689))</f>
        <v/>
      </c>
    </row>
    <row r="1690" spans="14:32" x14ac:dyDescent="0.35">
      <c r="N1690" s="134" t="str">
        <f t="shared" si="533"/>
        <v/>
      </c>
      <c r="O1690" s="82" t="str">
        <f t="shared" si="524"/>
        <v/>
      </c>
      <c r="P1690" s="81" t="str">
        <f t="shared" si="534"/>
        <v/>
      </c>
      <c r="Q1690" s="81" t="str">
        <f t="shared" si="525"/>
        <v/>
      </c>
      <c r="R1690" s="135" t="str">
        <f t="shared" ca="1" si="526"/>
        <v/>
      </c>
      <c r="S1690" s="134" t="str">
        <f t="shared" ca="1" si="527"/>
        <v/>
      </c>
      <c r="T1690" s="134" t="str">
        <f ca="1">IF(S1690=Dashboard!$D$12,S1690,"")</f>
        <v/>
      </c>
      <c r="U1690" s="134" t="str">
        <f t="shared" ca="1" si="528"/>
        <v/>
      </c>
      <c r="V1690" s="83" t="str">
        <f ca="1">IF(U1690="","",IFERROR((RANK(U1690,$U$2:$U$2028,1)+COUNTIF($U$2:U1690,U1690))-1,""))</f>
        <v/>
      </c>
      <c r="W1690" s="134" t="str">
        <f t="shared" si="532"/>
        <v/>
      </c>
      <c r="X1690" s="134" t="str">
        <f>IF(W1690="","",IFERROR((RANK(W1690,$W$2:$W$2028,1)+COUNTIF($W$2:W1690,W1690))-1,""))</f>
        <v/>
      </c>
      <c r="Y1690" s="134" t="str">
        <f t="shared" si="529"/>
        <v/>
      </c>
      <c r="Z1690" s="134" t="str">
        <f>IF(Y1690="","",IFERROR((RANK(Y1690,$Y$2:$Y$2028,1)+COUNTIF($Y$2:Y1690,Y1690))-1,""))</f>
        <v/>
      </c>
      <c r="AA1690" s="134" t="str">
        <f t="shared" si="530"/>
        <v/>
      </c>
      <c r="AB1690" s="134" t="str">
        <f>IF(AA1690="","",IFERROR((RANK(AA1690,$AA$2:$AA$2028,1)+COUNTIF($AA$2:AA1690,AA1690))-1,""))</f>
        <v/>
      </c>
      <c r="AC1690" s="134" t="str">
        <f t="shared" si="531"/>
        <v/>
      </c>
      <c r="AD1690" s="134" t="str">
        <f>IF(AC1690="","",IFERROR((RANK(AC1690,$AC$2:$AC$2028,1)+COUNTIF($AC$2:AC1690,AC1690))-1,""))</f>
        <v/>
      </c>
      <c r="AE1690" s="144" t="str">
        <f t="shared" si="535"/>
        <v/>
      </c>
      <c r="AF1690" s="144" t="str">
        <f>IF(AE1690="","",SUM($AE$2:AE1690))</f>
        <v/>
      </c>
    </row>
    <row r="1691" spans="14:32" x14ac:dyDescent="0.35">
      <c r="N1691" s="134" t="str">
        <f t="shared" si="533"/>
        <v/>
      </c>
      <c r="O1691" s="82" t="str">
        <f t="shared" si="524"/>
        <v/>
      </c>
      <c r="P1691" s="81" t="str">
        <f t="shared" si="534"/>
        <v/>
      </c>
      <c r="Q1691" s="81" t="str">
        <f t="shared" si="525"/>
        <v/>
      </c>
      <c r="R1691" s="135" t="str">
        <f t="shared" ca="1" si="526"/>
        <v/>
      </c>
      <c r="S1691" s="134" t="str">
        <f t="shared" ca="1" si="527"/>
        <v/>
      </c>
      <c r="T1691" s="134" t="str">
        <f ca="1">IF(S1691=Dashboard!$D$12,S1691,"")</f>
        <v/>
      </c>
      <c r="U1691" s="134" t="str">
        <f t="shared" ca="1" si="528"/>
        <v/>
      </c>
      <c r="V1691" s="83" t="str">
        <f ca="1">IF(U1691="","",IFERROR((RANK(U1691,$U$2:$U$2028,1)+COUNTIF($U$2:U1691,U1691))-1,""))</f>
        <v/>
      </c>
      <c r="W1691" s="134" t="str">
        <f t="shared" si="532"/>
        <v/>
      </c>
      <c r="X1691" s="134" t="str">
        <f>IF(W1691="","",IFERROR((RANK(W1691,$W$2:$W$2028,1)+COUNTIF($W$2:W1691,W1691))-1,""))</f>
        <v/>
      </c>
      <c r="Y1691" s="134" t="str">
        <f t="shared" si="529"/>
        <v/>
      </c>
      <c r="Z1691" s="134" t="str">
        <f>IF(Y1691="","",IFERROR((RANK(Y1691,$Y$2:$Y$2028,1)+COUNTIF($Y$2:Y1691,Y1691))-1,""))</f>
        <v/>
      </c>
      <c r="AA1691" s="134" t="str">
        <f t="shared" si="530"/>
        <v/>
      </c>
      <c r="AB1691" s="134" t="str">
        <f>IF(AA1691="","",IFERROR((RANK(AA1691,$AA$2:$AA$2028,1)+COUNTIF($AA$2:AA1691,AA1691))-1,""))</f>
        <v/>
      </c>
      <c r="AC1691" s="134" t="str">
        <f t="shared" si="531"/>
        <v/>
      </c>
      <c r="AD1691" s="134" t="str">
        <f>IF(AC1691="","",IFERROR((RANK(AC1691,$AC$2:$AC$2028,1)+COUNTIF($AC$2:AC1691,AC1691))-1,""))</f>
        <v/>
      </c>
      <c r="AE1691" s="144" t="str">
        <f t="shared" si="535"/>
        <v/>
      </c>
      <c r="AF1691" s="144" t="str">
        <f>IF(AE1691="","",SUM($AE$2:AE1691))</f>
        <v/>
      </c>
    </row>
    <row r="1692" spans="14:32" x14ac:dyDescent="0.35">
      <c r="N1692" s="134" t="str">
        <f t="shared" si="533"/>
        <v/>
      </c>
      <c r="O1692" s="82" t="str">
        <f t="shared" si="524"/>
        <v/>
      </c>
      <c r="P1692" s="81" t="str">
        <f t="shared" si="534"/>
        <v/>
      </c>
      <c r="Q1692" s="81" t="str">
        <f t="shared" si="525"/>
        <v/>
      </c>
      <c r="R1692" s="135" t="str">
        <f t="shared" ca="1" si="526"/>
        <v/>
      </c>
      <c r="S1692" s="134" t="str">
        <f t="shared" ca="1" si="527"/>
        <v/>
      </c>
      <c r="T1692" s="134" t="str">
        <f ca="1">IF(S1692=Dashboard!$D$12,S1692,"")</f>
        <v/>
      </c>
      <c r="U1692" s="134" t="str">
        <f t="shared" ca="1" si="528"/>
        <v/>
      </c>
      <c r="V1692" s="83" t="str">
        <f ca="1">IF(U1692="","",IFERROR((RANK(U1692,$U$2:$U$2028,1)+COUNTIF($U$2:U1692,U1692))-1,""))</f>
        <v/>
      </c>
      <c r="W1692" s="134" t="str">
        <f t="shared" si="532"/>
        <v/>
      </c>
      <c r="X1692" s="134" t="str">
        <f>IF(W1692="","",IFERROR((RANK(W1692,$W$2:$W$2028,1)+COUNTIF($W$2:W1692,W1692))-1,""))</f>
        <v/>
      </c>
      <c r="Y1692" s="134" t="str">
        <f t="shared" si="529"/>
        <v/>
      </c>
      <c r="Z1692" s="134" t="str">
        <f>IF(Y1692="","",IFERROR((RANK(Y1692,$Y$2:$Y$2028,1)+COUNTIF($Y$2:Y1692,Y1692))-1,""))</f>
        <v/>
      </c>
      <c r="AA1692" s="134" t="str">
        <f t="shared" si="530"/>
        <v/>
      </c>
      <c r="AB1692" s="134" t="str">
        <f>IF(AA1692="","",IFERROR((RANK(AA1692,$AA$2:$AA$2028,1)+COUNTIF($AA$2:AA1692,AA1692))-1,""))</f>
        <v/>
      </c>
      <c r="AC1692" s="134" t="str">
        <f t="shared" si="531"/>
        <v/>
      </c>
      <c r="AD1692" s="134" t="str">
        <f>IF(AC1692="","",IFERROR((RANK(AC1692,$AC$2:$AC$2028,1)+COUNTIF($AC$2:AC1692,AC1692))-1,""))</f>
        <v/>
      </c>
      <c r="AE1692" s="144" t="str">
        <f t="shared" si="535"/>
        <v/>
      </c>
      <c r="AF1692" s="144" t="str">
        <f>IF(AE1692="","",SUM($AE$2:AE1692))</f>
        <v/>
      </c>
    </row>
    <row r="1693" spans="14:32" x14ac:dyDescent="0.35">
      <c r="N1693" s="134" t="str">
        <f t="shared" si="533"/>
        <v/>
      </c>
      <c r="O1693" s="82" t="str">
        <f t="shared" si="524"/>
        <v/>
      </c>
      <c r="P1693" s="81" t="str">
        <f t="shared" si="534"/>
        <v/>
      </c>
      <c r="Q1693" s="81" t="str">
        <f t="shared" si="525"/>
        <v/>
      </c>
      <c r="R1693" s="135" t="str">
        <f t="shared" ca="1" si="526"/>
        <v/>
      </c>
      <c r="S1693" s="134" t="str">
        <f t="shared" ca="1" si="527"/>
        <v/>
      </c>
      <c r="T1693" s="134" t="str">
        <f ca="1">IF(S1693=Dashboard!$D$12,S1693,"")</f>
        <v/>
      </c>
      <c r="U1693" s="134" t="str">
        <f t="shared" ca="1" si="528"/>
        <v/>
      </c>
      <c r="V1693" s="83" t="str">
        <f ca="1">IF(U1693="","",IFERROR((RANK(U1693,$U$2:$U$2028,1)+COUNTIF($U$2:U1693,U1693))-1,""))</f>
        <v/>
      </c>
      <c r="W1693" s="134" t="str">
        <f t="shared" si="532"/>
        <v/>
      </c>
      <c r="X1693" s="134" t="str">
        <f>IF(W1693="","",IFERROR((RANK(W1693,$W$2:$W$2028,1)+COUNTIF($W$2:W1693,W1693))-1,""))</f>
        <v/>
      </c>
      <c r="Y1693" s="134" t="str">
        <f t="shared" si="529"/>
        <v/>
      </c>
      <c r="Z1693" s="134" t="str">
        <f>IF(Y1693="","",IFERROR((RANK(Y1693,$Y$2:$Y$2028,1)+COUNTIF($Y$2:Y1693,Y1693))-1,""))</f>
        <v/>
      </c>
      <c r="AA1693" s="134" t="str">
        <f t="shared" si="530"/>
        <v/>
      </c>
      <c r="AB1693" s="134" t="str">
        <f>IF(AA1693="","",IFERROR((RANK(AA1693,$AA$2:$AA$2028,1)+COUNTIF($AA$2:AA1693,AA1693))-1,""))</f>
        <v/>
      </c>
      <c r="AC1693" s="134" t="str">
        <f t="shared" si="531"/>
        <v/>
      </c>
      <c r="AD1693" s="134" t="str">
        <f>IF(AC1693="","",IFERROR((RANK(AC1693,$AC$2:$AC$2028,1)+COUNTIF($AC$2:AC1693,AC1693))-1,""))</f>
        <v/>
      </c>
      <c r="AE1693" s="144" t="str">
        <f t="shared" si="535"/>
        <v/>
      </c>
      <c r="AF1693" s="144" t="str">
        <f>IF(AE1693="","",SUM($AE$2:AE1693))</f>
        <v/>
      </c>
    </row>
    <row r="1694" spans="14:32" x14ac:dyDescent="0.35">
      <c r="N1694" s="134" t="str">
        <f t="shared" si="533"/>
        <v/>
      </c>
      <c r="O1694" s="82" t="str">
        <f t="shared" ref="O1694:O1757" si="536">IF(A1694="","",N1694&amp;"-"&amp;M1694)</f>
        <v/>
      </c>
      <c r="P1694" s="81" t="str">
        <f t="shared" si="534"/>
        <v/>
      </c>
      <c r="Q1694" s="81" t="str">
        <f t="shared" ref="Q1694:Q1757" si="537">IF(A1694="","",IF(P1694=1,M1694,""))</f>
        <v/>
      </c>
      <c r="R1694" s="135" t="str">
        <f t="shared" ref="R1694:R1757" ca="1" si="538">IF(Q1694="","",I1694-TODAY())</f>
        <v/>
      </c>
      <c r="S1694" s="134" t="str">
        <f t="shared" ref="S1694:S1757" ca="1" si="539">IF(R1694="","",
IF(R1694&lt;-90,"Pass&gt;90",IF(R1694&lt;-60,"Pass 61-90",IF(R1694&lt;-30,"Pass 31-60",IF(R1694&lt;0,"Pass 0-30",IF(R1694&lt;31,"Run 0-30",IF(R1694&lt;61,"Run 31-60",IF(R1694&lt;91,"Run 60-90","Run &gt;90"))))))))</f>
        <v/>
      </c>
      <c r="T1694" s="134" t="str">
        <f ca="1">IF(S1694=Dashboard!$D$12,S1694,"")</f>
        <v/>
      </c>
      <c r="U1694" s="134" t="str">
        <f t="shared" ref="U1694:U1757" ca="1" si="540">IF(T1694="","",R1694)</f>
        <v/>
      </c>
      <c r="V1694" s="83" t="str">
        <f ca="1">IF(U1694="","",IFERROR((RANK(U1694,$U$2:$U$2028,1)+COUNTIF($U$2:U1694,U1694))-1,""))</f>
        <v/>
      </c>
      <c r="W1694" s="134" t="str">
        <f t="shared" si="532"/>
        <v/>
      </c>
      <c r="X1694" s="134" t="str">
        <f>IF(W1694="","",IFERROR((RANK(W1694,$W$2:$W$2028,1)+COUNTIF($W$2:W1694,W1694))-1,""))</f>
        <v/>
      </c>
      <c r="Y1694" s="134" t="str">
        <f t="shared" ref="Y1694:Y1757" si="541">IF($J1694=Y$1,$U1694,"")</f>
        <v/>
      </c>
      <c r="Z1694" s="134" t="str">
        <f>IF(Y1694="","",IFERROR((RANK(Y1694,$Y$2:$Y$2028,1)+COUNTIF($Y$2:Y1694,Y1694))-1,""))</f>
        <v/>
      </c>
      <c r="AA1694" s="134" t="str">
        <f t="shared" ref="AA1694:AA1757" si="542">IF($J1694=AA$1,$U1694,"")</f>
        <v/>
      </c>
      <c r="AB1694" s="134" t="str">
        <f>IF(AA1694="","",IFERROR((RANK(AA1694,$AA$2:$AA$2028,1)+COUNTIF($AA$2:AA1694,AA1694))-1,""))</f>
        <v/>
      </c>
      <c r="AC1694" s="134" t="str">
        <f t="shared" ref="AC1694:AC1757" si="543">IF($J1694=AC$1,$U1694,"")</f>
        <v/>
      </c>
      <c r="AD1694" s="134" t="str">
        <f>IF(AC1694="","",IFERROR((RANK(AC1694,$AC$2:$AC$2028,1)+COUNTIF($AC$2:AC1694,AC1694))-1,""))</f>
        <v/>
      </c>
      <c r="AE1694" s="144" t="str">
        <f t="shared" si="535"/>
        <v/>
      </c>
      <c r="AF1694" s="144" t="str">
        <f>IF(AE1694="","",SUM($AE$2:AE1694))</f>
        <v/>
      </c>
    </row>
    <row r="1695" spans="14:32" x14ac:dyDescent="0.35">
      <c r="N1695" s="134" t="str">
        <f t="shared" si="533"/>
        <v/>
      </c>
      <c r="O1695" s="82" t="str">
        <f t="shared" si="536"/>
        <v/>
      </c>
      <c r="P1695" s="81" t="str">
        <f t="shared" si="534"/>
        <v/>
      </c>
      <c r="Q1695" s="81" t="str">
        <f t="shared" si="537"/>
        <v/>
      </c>
      <c r="R1695" s="135" t="str">
        <f t="shared" ca="1" si="538"/>
        <v/>
      </c>
      <c r="S1695" s="134" t="str">
        <f t="shared" ca="1" si="539"/>
        <v/>
      </c>
      <c r="T1695" s="134" t="str">
        <f ca="1">IF(S1695=Dashboard!$D$12,S1695,"")</f>
        <v/>
      </c>
      <c r="U1695" s="134" t="str">
        <f t="shared" ca="1" si="540"/>
        <v/>
      </c>
      <c r="V1695" s="83" t="str">
        <f ca="1">IF(U1695="","",IFERROR((RANK(U1695,$U$2:$U$2028,1)+COUNTIF($U$2:U1695,U1695))-1,""))</f>
        <v/>
      </c>
      <c r="W1695" s="134" t="str">
        <f t="shared" ref="W1695:W1758" si="544">IF($J1695=$W$1,U1695,"")</f>
        <v/>
      </c>
      <c r="X1695" s="134" t="str">
        <f>IF(W1695="","",IFERROR((RANK(W1695,$W$2:$W$2028,1)+COUNTIF($W$2:W1695,W1695))-1,""))</f>
        <v/>
      </c>
      <c r="Y1695" s="134" t="str">
        <f t="shared" si="541"/>
        <v/>
      </c>
      <c r="Z1695" s="134" t="str">
        <f>IF(Y1695="","",IFERROR((RANK(Y1695,$Y$2:$Y$2028,1)+COUNTIF($Y$2:Y1695,Y1695))-1,""))</f>
        <v/>
      </c>
      <c r="AA1695" s="134" t="str">
        <f t="shared" si="542"/>
        <v/>
      </c>
      <c r="AB1695" s="134" t="str">
        <f>IF(AA1695="","",IFERROR((RANK(AA1695,$AA$2:$AA$2028,1)+COUNTIF($AA$2:AA1695,AA1695))-1,""))</f>
        <v/>
      </c>
      <c r="AC1695" s="134" t="str">
        <f t="shared" si="543"/>
        <v/>
      </c>
      <c r="AD1695" s="134" t="str">
        <f>IF(AC1695="","",IFERROR((RANK(AC1695,$AC$2:$AC$2028,1)+COUNTIF($AC$2:AC1695,AC1695))-1,""))</f>
        <v/>
      </c>
      <c r="AE1695" s="144" t="str">
        <f t="shared" si="535"/>
        <v/>
      </c>
      <c r="AF1695" s="144" t="str">
        <f>IF(AE1695="","",SUM($AE$2:AE1695))</f>
        <v/>
      </c>
    </row>
    <row r="1696" spans="14:32" x14ac:dyDescent="0.35">
      <c r="N1696" s="134" t="str">
        <f t="shared" si="533"/>
        <v/>
      </c>
      <c r="O1696" s="82" t="str">
        <f t="shared" si="536"/>
        <v/>
      </c>
      <c r="P1696" s="81" t="str">
        <f t="shared" si="534"/>
        <v/>
      </c>
      <c r="Q1696" s="81" t="str">
        <f t="shared" si="537"/>
        <v/>
      </c>
      <c r="R1696" s="135" t="str">
        <f t="shared" ca="1" si="538"/>
        <v/>
      </c>
      <c r="S1696" s="134" t="str">
        <f t="shared" ca="1" si="539"/>
        <v/>
      </c>
      <c r="T1696" s="134" t="str">
        <f ca="1">IF(S1696=Dashboard!$D$12,S1696,"")</f>
        <v/>
      </c>
      <c r="U1696" s="134" t="str">
        <f t="shared" ca="1" si="540"/>
        <v/>
      </c>
      <c r="V1696" s="83" t="str">
        <f ca="1">IF(U1696="","",IFERROR((RANK(U1696,$U$2:$U$2028,1)+COUNTIF($U$2:U1696,U1696))-1,""))</f>
        <v/>
      </c>
      <c r="W1696" s="134" t="str">
        <f t="shared" si="544"/>
        <v/>
      </c>
      <c r="X1696" s="134" t="str">
        <f>IF(W1696="","",IFERROR((RANK(W1696,$W$2:$W$2028,1)+COUNTIF($W$2:W1696,W1696))-1,""))</f>
        <v/>
      </c>
      <c r="Y1696" s="134" t="str">
        <f t="shared" si="541"/>
        <v/>
      </c>
      <c r="Z1696" s="134" t="str">
        <f>IF(Y1696="","",IFERROR((RANK(Y1696,$Y$2:$Y$2028,1)+COUNTIF($Y$2:Y1696,Y1696))-1,""))</f>
        <v/>
      </c>
      <c r="AA1696" s="134" t="str">
        <f t="shared" si="542"/>
        <v/>
      </c>
      <c r="AB1696" s="134" t="str">
        <f>IF(AA1696="","",IFERROR((RANK(AA1696,$AA$2:$AA$2028,1)+COUNTIF($AA$2:AA1696,AA1696))-1,""))</f>
        <v/>
      </c>
      <c r="AC1696" s="134" t="str">
        <f t="shared" si="543"/>
        <v/>
      </c>
      <c r="AD1696" s="134" t="str">
        <f>IF(AC1696="","",IFERROR((RANK(AC1696,$AC$2:$AC$2028,1)+COUNTIF($AC$2:AC1696,AC1696))-1,""))</f>
        <v/>
      </c>
      <c r="AE1696" s="144" t="str">
        <f t="shared" si="535"/>
        <v/>
      </c>
      <c r="AF1696" s="144" t="str">
        <f>IF(AE1696="","",SUM($AE$2:AE1696))</f>
        <v/>
      </c>
    </row>
    <row r="1697" spans="14:32" x14ac:dyDescent="0.35">
      <c r="N1697" s="134" t="str">
        <f t="shared" si="533"/>
        <v/>
      </c>
      <c r="O1697" s="82" t="str">
        <f t="shared" si="536"/>
        <v/>
      </c>
      <c r="P1697" s="81" t="str">
        <f t="shared" si="534"/>
        <v/>
      </c>
      <c r="Q1697" s="81" t="str">
        <f t="shared" si="537"/>
        <v/>
      </c>
      <c r="R1697" s="135" t="str">
        <f t="shared" ca="1" si="538"/>
        <v/>
      </c>
      <c r="S1697" s="134" t="str">
        <f t="shared" ca="1" si="539"/>
        <v/>
      </c>
      <c r="T1697" s="134" t="str">
        <f ca="1">IF(S1697=Dashboard!$D$12,S1697,"")</f>
        <v/>
      </c>
      <c r="U1697" s="134" t="str">
        <f t="shared" ca="1" si="540"/>
        <v/>
      </c>
      <c r="V1697" s="83" t="str">
        <f ca="1">IF(U1697="","",IFERROR((RANK(U1697,$U$2:$U$2028,1)+COUNTIF($U$2:U1697,U1697))-1,""))</f>
        <v/>
      </c>
      <c r="W1697" s="134" t="str">
        <f t="shared" si="544"/>
        <v/>
      </c>
      <c r="X1697" s="134" t="str">
        <f>IF(W1697="","",IFERROR((RANK(W1697,$W$2:$W$2028,1)+COUNTIF($W$2:W1697,W1697))-1,""))</f>
        <v/>
      </c>
      <c r="Y1697" s="134" t="str">
        <f t="shared" si="541"/>
        <v/>
      </c>
      <c r="Z1697" s="134" t="str">
        <f>IF(Y1697="","",IFERROR((RANK(Y1697,$Y$2:$Y$2028,1)+COUNTIF($Y$2:Y1697,Y1697))-1,""))</f>
        <v/>
      </c>
      <c r="AA1697" s="134" t="str">
        <f t="shared" si="542"/>
        <v/>
      </c>
      <c r="AB1697" s="134" t="str">
        <f>IF(AA1697="","",IFERROR((RANK(AA1697,$AA$2:$AA$2028,1)+COUNTIF($AA$2:AA1697,AA1697))-1,""))</f>
        <v/>
      </c>
      <c r="AC1697" s="134" t="str">
        <f t="shared" si="543"/>
        <v/>
      </c>
      <c r="AD1697" s="134" t="str">
        <f>IF(AC1697="","",IFERROR((RANK(AC1697,$AC$2:$AC$2028,1)+COUNTIF($AC$2:AC1697,AC1697))-1,""))</f>
        <v/>
      </c>
      <c r="AE1697" s="144" t="str">
        <f t="shared" si="535"/>
        <v/>
      </c>
      <c r="AF1697" s="144" t="str">
        <f>IF(AE1697="","",SUM($AE$2:AE1697))</f>
        <v/>
      </c>
    </row>
    <row r="1698" spans="14:32" x14ac:dyDescent="0.35">
      <c r="N1698" s="134" t="str">
        <f t="shared" si="533"/>
        <v/>
      </c>
      <c r="O1698" s="82" t="str">
        <f t="shared" si="536"/>
        <v/>
      </c>
      <c r="P1698" s="81" t="str">
        <f t="shared" si="534"/>
        <v/>
      </c>
      <c r="Q1698" s="81" t="str">
        <f t="shared" si="537"/>
        <v/>
      </c>
      <c r="R1698" s="135" t="str">
        <f t="shared" ca="1" si="538"/>
        <v/>
      </c>
      <c r="S1698" s="134" t="str">
        <f t="shared" ca="1" si="539"/>
        <v/>
      </c>
      <c r="T1698" s="134" t="str">
        <f ca="1">IF(S1698=Dashboard!$D$12,S1698,"")</f>
        <v/>
      </c>
      <c r="U1698" s="134" t="str">
        <f t="shared" ca="1" si="540"/>
        <v/>
      </c>
      <c r="V1698" s="83" t="str">
        <f ca="1">IF(U1698="","",IFERROR((RANK(U1698,$U$2:$U$2028,1)+COUNTIF($U$2:U1698,U1698))-1,""))</f>
        <v/>
      </c>
      <c r="W1698" s="134" t="str">
        <f t="shared" si="544"/>
        <v/>
      </c>
      <c r="X1698" s="134" t="str">
        <f>IF(W1698="","",IFERROR((RANK(W1698,$W$2:$W$2028,1)+COUNTIF($W$2:W1698,W1698))-1,""))</f>
        <v/>
      </c>
      <c r="Y1698" s="134" t="str">
        <f t="shared" si="541"/>
        <v/>
      </c>
      <c r="Z1698" s="134" t="str">
        <f>IF(Y1698="","",IFERROR((RANK(Y1698,$Y$2:$Y$2028,1)+COUNTIF($Y$2:Y1698,Y1698))-1,""))</f>
        <v/>
      </c>
      <c r="AA1698" s="134" t="str">
        <f t="shared" si="542"/>
        <v/>
      </c>
      <c r="AB1698" s="134" t="str">
        <f>IF(AA1698="","",IFERROR((RANK(AA1698,$AA$2:$AA$2028,1)+COUNTIF($AA$2:AA1698,AA1698))-1,""))</f>
        <v/>
      </c>
      <c r="AC1698" s="134" t="str">
        <f t="shared" si="543"/>
        <v/>
      </c>
      <c r="AD1698" s="134" t="str">
        <f>IF(AC1698="","",IFERROR((RANK(AC1698,$AC$2:$AC$2028,1)+COUNTIF($AC$2:AC1698,AC1698))-1,""))</f>
        <v/>
      </c>
      <c r="AE1698" s="144" t="str">
        <f t="shared" si="535"/>
        <v/>
      </c>
      <c r="AF1698" s="144" t="str">
        <f>IF(AE1698="","",SUM($AE$2:AE1698))</f>
        <v/>
      </c>
    </row>
    <row r="1699" spans="14:32" x14ac:dyDescent="0.35">
      <c r="N1699" s="134" t="str">
        <f t="shared" si="533"/>
        <v/>
      </c>
      <c r="O1699" s="82" t="str">
        <f t="shared" si="536"/>
        <v/>
      </c>
      <c r="P1699" s="81" t="str">
        <f t="shared" si="534"/>
        <v/>
      </c>
      <c r="Q1699" s="81" t="str">
        <f t="shared" si="537"/>
        <v/>
      </c>
      <c r="R1699" s="135" t="str">
        <f t="shared" ca="1" si="538"/>
        <v/>
      </c>
      <c r="S1699" s="134" t="str">
        <f t="shared" ca="1" si="539"/>
        <v/>
      </c>
      <c r="T1699" s="134" t="str">
        <f ca="1">IF(S1699=Dashboard!$D$12,S1699,"")</f>
        <v/>
      </c>
      <c r="U1699" s="134" t="str">
        <f t="shared" ca="1" si="540"/>
        <v/>
      </c>
      <c r="V1699" s="83" t="str">
        <f ca="1">IF(U1699="","",IFERROR((RANK(U1699,$U$2:$U$2028,1)+COUNTIF($U$2:U1699,U1699))-1,""))</f>
        <v/>
      </c>
      <c r="W1699" s="134" t="str">
        <f t="shared" si="544"/>
        <v/>
      </c>
      <c r="X1699" s="134" t="str">
        <f>IF(W1699="","",IFERROR((RANK(W1699,$W$2:$W$2028,1)+COUNTIF($W$2:W1699,W1699))-1,""))</f>
        <v/>
      </c>
      <c r="Y1699" s="134" t="str">
        <f t="shared" si="541"/>
        <v/>
      </c>
      <c r="Z1699" s="134" t="str">
        <f>IF(Y1699="","",IFERROR((RANK(Y1699,$Y$2:$Y$2028,1)+COUNTIF($Y$2:Y1699,Y1699))-1,""))</f>
        <v/>
      </c>
      <c r="AA1699" s="134" t="str">
        <f t="shared" si="542"/>
        <v/>
      </c>
      <c r="AB1699" s="134" t="str">
        <f>IF(AA1699="","",IFERROR((RANK(AA1699,$AA$2:$AA$2028,1)+COUNTIF($AA$2:AA1699,AA1699))-1,""))</f>
        <v/>
      </c>
      <c r="AC1699" s="134" t="str">
        <f t="shared" si="543"/>
        <v/>
      </c>
      <c r="AD1699" s="134" t="str">
        <f>IF(AC1699="","",IFERROR((RANK(AC1699,$AC$2:$AC$2028,1)+COUNTIF($AC$2:AC1699,AC1699))-1,""))</f>
        <v/>
      </c>
      <c r="AE1699" s="144" t="str">
        <f t="shared" si="535"/>
        <v/>
      </c>
      <c r="AF1699" s="144" t="str">
        <f>IF(AE1699="","",SUM($AE$2:AE1699))</f>
        <v/>
      </c>
    </row>
    <row r="1700" spans="14:32" x14ac:dyDescent="0.35">
      <c r="N1700" s="134" t="str">
        <f t="shared" si="533"/>
        <v/>
      </c>
      <c r="O1700" s="82" t="str">
        <f t="shared" si="536"/>
        <v/>
      </c>
      <c r="P1700" s="81" t="str">
        <f t="shared" si="534"/>
        <v/>
      </c>
      <c r="Q1700" s="81" t="str">
        <f t="shared" si="537"/>
        <v/>
      </c>
      <c r="R1700" s="135" t="str">
        <f t="shared" ca="1" si="538"/>
        <v/>
      </c>
      <c r="S1700" s="134" t="str">
        <f t="shared" ca="1" si="539"/>
        <v/>
      </c>
      <c r="T1700" s="134" t="str">
        <f ca="1">IF(S1700=Dashboard!$D$12,S1700,"")</f>
        <v/>
      </c>
      <c r="U1700" s="134" t="str">
        <f t="shared" ca="1" si="540"/>
        <v/>
      </c>
      <c r="V1700" s="83" t="str">
        <f ca="1">IF(U1700="","",IFERROR((RANK(U1700,$U$2:$U$2028,1)+COUNTIF($U$2:U1700,U1700))-1,""))</f>
        <v/>
      </c>
      <c r="W1700" s="134" t="str">
        <f t="shared" si="544"/>
        <v/>
      </c>
      <c r="X1700" s="134" t="str">
        <f>IF(W1700="","",IFERROR((RANK(W1700,$W$2:$W$2028,1)+COUNTIF($W$2:W1700,W1700))-1,""))</f>
        <v/>
      </c>
      <c r="Y1700" s="134" t="str">
        <f t="shared" si="541"/>
        <v/>
      </c>
      <c r="Z1700" s="134" t="str">
        <f>IF(Y1700="","",IFERROR((RANK(Y1700,$Y$2:$Y$2028,1)+COUNTIF($Y$2:Y1700,Y1700))-1,""))</f>
        <v/>
      </c>
      <c r="AA1700" s="134" t="str">
        <f t="shared" si="542"/>
        <v/>
      </c>
      <c r="AB1700" s="134" t="str">
        <f>IF(AA1700="","",IFERROR((RANK(AA1700,$AA$2:$AA$2028,1)+COUNTIF($AA$2:AA1700,AA1700))-1,""))</f>
        <v/>
      </c>
      <c r="AC1700" s="134" t="str">
        <f t="shared" si="543"/>
        <v/>
      </c>
      <c r="AD1700" s="134" t="str">
        <f>IF(AC1700="","",IFERROR((RANK(AC1700,$AC$2:$AC$2028,1)+COUNTIF($AC$2:AC1700,AC1700))-1,""))</f>
        <v/>
      </c>
      <c r="AE1700" s="144" t="str">
        <f t="shared" si="535"/>
        <v/>
      </c>
      <c r="AF1700" s="144" t="str">
        <f>IF(AE1700="","",SUM($AE$2:AE1700))</f>
        <v/>
      </c>
    </row>
    <row r="1701" spans="14:32" x14ac:dyDescent="0.35">
      <c r="N1701" s="134" t="str">
        <f t="shared" si="533"/>
        <v/>
      </c>
      <c r="O1701" s="82" t="str">
        <f t="shared" si="536"/>
        <v/>
      </c>
      <c r="P1701" s="81" t="str">
        <f t="shared" si="534"/>
        <v/>
      </c>
      <c r="Q1701" s="81" t="str">
        <f t="shared" si="537"/>
        <v/>
      </c>
      <c r="R1701" s="135" t="str">
        <f t="shared" ca="1" si="538"/>
        <v/>
      </c>
      <c r="S1701" s="134" t="str">
        <f t="shared" ca="1" si="539"/>
        <v/>
      </c>
      <c r="T1701" s="134" t="str">
        <f ca="1">IF(S1701=Dashboard!$D$12,S1701,"")</f>
        <v/>
      </c>
      <c r="U1701" s="134" t="str">
        <f t="shared" ca="1" si="540"/>
        <v/>
      </c>
      <c r="V1701" s="83" t="str">
        <f ca="1">IF(U1701="","",IFERROR((RANK(U1701,$U$2:$U$2028,1)+COUNTIF($U$2:U1701,U1701))-1,""))</f>
        <v/>
      </c>
      <c r="W1701" s="134" t="str">
        <f t="shared" si="544"/>
        <v/>
      </c>
      <c r="X1701" s="134" t="str">
        <f>IF(W1701="","",IFERROR((RANK(W1701,$W$2:$W$2028,1)+COUNTIF($W$2:W1701,W1701))-1,""))</f>
        <v/>
      </c>
      <c r="Y1701" s="134" t="str">
        <f t="shared" si="541"/>
        <v/>
      </c>
      <c r="Z1701" s="134" t="str">
        <f>IF(Y1701="","",IFERROR((RANK(Y1701,$Y$2:$Y$2028,1)+COUNTIF($Y$2:Y1701,Y1701))-1,""))</f>
        <v/>
      </c>
      <c r="AA1701" s="134" t="str">
        <f t="shared" si="542"/>
        <v/>
      </c>
      <c r="AB1701" s="134" t="str">
        <f>IF(AA1701="","",IFERROR((RANK(AA1701,$AA$2:$AA$2028,1)+COUNTIF($AA$2:AA1701,AA1701))-1,""))</f>
        <v/>
      </c>
      <c r="AC1701" s="134" t="str">
        <f t="shared" si="543"/>
        <v/>
      </c>
      <c r="AD1701" s="134" t="str">
        <f>IF(AC1701="","",IFERROR((RANK(AC1701,$AC$2:$AC$2028,1)+COUNTIF($AC$2:AC1701,AC1701))-1,""))</f>
        <v/>
      </c>
      <c r="AE1701" s="144" t="str">
        <f t="shared" si="535"/>
        <v/>
      </c>
      <c r="AF1701" s="144" t="str">
        <f>IF(AE1701="","",SUM($AE$2:AE1701))</f>
        <v/>
      </c>
    </row>
    <row r="1702" spans="14:32" x14ac:dyDescent="0.35">
      <c r="N1702" s="134" t="str">
        <f t="shared" si="533"/>
        <v/>
      </c>
      <c r="O1702" s="82" t="str">
        <f t="shared" si="536"/>
        <v/>
      </c>
      <c r="P1702" s="81" t="str">
        <f t="shared" si="534"/>
        <v/>
      </c>
      <c r="Q1702" s="81" t="str">
        <f t="shared" si="537"/>
        <v/>
      </c>
      <c r="R1702" s="135" t="str">
        <f t="shared" ca="1" si="538"/>
        <v/>
      </c>
      <c r="S1702" s="134" t="str">
        <f t="shared" ca="1" si="539"/>
        <v/>
      </c>
      <c r="T1702" s="134" t="str">
        <f ca="1">IF(S1702=Dashboard!$D$12,S1702,"")</f>
        <v/>
      </c>
      <c r="U1702" s="134" t="str">
        <f t="shared" ca="1" si="540"/>
        <v/>
      </c>
      <c r="V1702" s="83" t="str">
        <f ca="1">IF(U1702="","",IFERROR((RANK(U1702,$U$2:$U$2028,1)+COUNTIF($U$2:U1702,U1702))-1,""))</f>
        <v/>
      </c>
      <c r="W1702" s="134" t="str">
        <f t="shared" si="544"/>
        <v/>
      </c>
      <c r="X1702" s="134" t="str">
        <f>IF(W1702="","",IFERROR((RANK(W1702,$W$2:$W$2028,1)+COUNTIF($W$2:W1702,W1702))-1,""))</f>
        <v/>
      </c>
      <c r="Y1702" s="134" t="str">
        <f t="shared" si="541"/>
        <v/>
      </c>
      <c r="Z1702" s="134" t="str">
        <f>IF(Y1702="","",IFERROR((RANK(Y1702,$Y$2:$Y$2028,1)+COUNTIF($Y$2:Y1702,Y1702))-1,""))</f>
        <v/>
      </c>
      <c r="AA1702" s="134" t="str">
        <f t="shared" si="542"/>
        <v/>
      </c>
      <c r="AB1702" s="134" t="str">
        <f>IF(AA1702="","",IFERROR((RANK(AA1702,$AA$2:$AA$2028,1)+COUNTIF($AA$2:AA1702,AA1702))-1,""))</f>
        <v/>
      </c>
      <c r="AC1702" s="134" t="str">
        <f t="shared" si="543"/>
        <v/>
      </c>
      <c r="AD1702" s="134" t="str">
        <f>IF(AC1702="","",IFERROR((RANK(AC1702,$AC$2:$AC$2028,1)+COUNTIF($AC$2:AC1702,AC1702))-1,""))</f>
        <v/>
      </c>
      <c r="AE1702" s="144" t="str">
        <f t="shared" si="535"/>
        <v/>
      </c>
      <c r="AF1702" s="144" t="str">
        <f>IF(AE1702="","",SUM($AE$2:AE1702))</f>
        <v/>
      </c>
    </row>
    <row r="1703" spans="14:32" x14ac:dyDescent="0.35">
      <c r="N1703" s="134" t="str">
        <f t="shared" si="533"/>
        <v/>
      </c>
      <c r="O1703" s="82" t="str">
        <f t="shared" si="536"/>
        <v/>
      </c>
      <c r="P1703" s="81" t="str">
        <f t="shared" si="534"/>
        <v/>
      </c>
      <c r="Q1703" s="81" t="str">
        <f t="shared" si="537"/>
        <v/>
      </c>
      <c r="R1703" s="135" t="str">
        <f t="shared" ca="1" si="538"/>
        <v/>
      </c>
      <c r="S1703" s="134" t="str">
        <f t="shared" ca="1" si="539"/>
        <v/>
      </c>
      <c r="T1703" s="134" t="str">
        <f ca="1">IF(S1703=Dashboard!$D$12,S1703,"")</f>
        <v/>
      </c>
      <c r="U1703" s="134" t="str">
        <f t="shared" ca="1" si="540"/>
        <v/>
      </c>
      <c r="V1703" s="83" t="str">
        <f ca="1">IF(U1703="","",IFERROR((RANK(U1703,$U$2:$U$2028,1)+COUNTIF($U$2:U1703,U1703))-1,""))</f>
        <v/>
      </c>
      <c r="W1703" s="134" t="str">
        <f t="shared" si="544"/>
        <v/>
      </c>
      <c r="X1703" s="134" t="str">
        <f>IF(W1703="","",IFERROR((RANK(W1703,$W$2:$W$2028,1)+COUNTIF($W$2:W1703,W1703))-1,""))</f>
        <v/>
      </c>
      <c r="Y1703" s="134" t="str">
        <f t="shared" si="541"/>
        <v/>
      </c>
      <c r="Z1703" s="134" t="str">
        <f>IF(Y1703="","",IFERROR((RANK(Y1703,$Y$2:$Y$2028,1)+COUNTIF($Y$2:Y1703,Y1703))-1,""))</f>
        <v/>
      </c>
      <c r="AA1703" s="134" t="str">
        <f t="shared" si="542"/>
        <v/>
      </c>
      <c r="AB1703" s="134" t="str">
        <f>IF(AA1703="","",IFERROR((RANK(AA1703,$AA$2:$AA$2028,1)+COUNTIF($AA$2:AA1703,AA1703))-1,""))</f>
        <v/>
      </c>
      <c r="AC1703" s="134" t="str">
        <f t="shared" si="543"/>
        <v/>
      </c>
      <c r="AD1703" s="134" t="str">
        <f>IF(AC1703="","",IFERROR((RANK(AC1703,$AC$2:$AC$2028,1)+COUNTIF($AC$2:AC1703,AC1703))-1,""))</f>
        <v/>
      </c>
      <c r="AE1703" s="144" t="str">
        <f t="shared" si="535"/>
        <v/>
      </c>
      <c r="AF1703" s="144" t="str">
        <f>IF(AE1703="","",SUM($AE$2:AE1703))</f>
        <v/>
      </c>
    </row>
    <row r="1704" spans="14:32" x14ac:dyDescent="0.35">
      <c r="N1704" s="134" t="str">
        <f t="shared" si="533"/>
        <v/>
      </c>
      <c r="O1704" s="82" t="str">
        <f t="shared" si="536"/>
        <v/>
      </c>
      <c r="P1704" s="81" t="str">
        <f t="shared" si="534"/>
        <v/>
      </c>
      <c r="Q1704" s="81" t="str">
        <f t="shared" si="537"/>
        <v/>
      </c>
      <c r="R1704" s="135" t="str">
        <f t="shared" ca="1" si="538"/>
        <v/>
      </c>
      <c r="S1704" s="134" t="str">
        <f t="shared" ca="1" si="539"/>
        <v/>
      </c>
      <c r="T1704" s="134" t="str">
        <f ca="1">IF(S1704=Dashboard!$D$12,S1704,"")</f>
        <v/>
      </c>
      <c r="U1704" s="134" t="str">
        <f t="shared" ca="1" si="540"/>
        <v/>
      </c>
      <c r="V1704" s="83" t="str">
        <f ca="1">IF(U1704="","",IFERROR((RANK(U1704,$U$2:$U$2028,1)+COUNTIF($U$2:U1704,U1704))-1,""))</f>
        <v/>
      </c>
      <c r="W1704" s="134" t="str">
        <f t="shared" si="544"/>
        <v/>
      </c>
      <c r="X1704" s="134" t="str">
        <f>IF(W1704="","",IFERROR((RANK(W1704,$W$2:$W$2028,1)+COUNTIF($W$2:W1704,W1704))-1,""))</f>
        <v/>
      </c>
      <c r="Y1704" s="134" t="str">
        <f t="shared" si="541"/>
        <v/>
      </c>
      <c r="Z1704" s="134" t="str">
        <f>IF(Y1704="","",IFERROR((RANK(Y1704,$Y$2:$Y$2028,1)+COUNTIF($Y$2:Y1704,Y1704))-1,""))</f>
        <v/>
      </c>
      <c r="AA1704" s="134" t="str">
        <f t="shared" si="542"/>
        <v/>
      </c>
      <c r="AB1704" s="134" t="str">
        <f>IF(AA1704="","",IFERROR((RANK(AA1704,$AA$2:$AA$2028,1)+COUNTIF($AA$2:AA1704,AA1704))-1,""))</f>
        <v/>
      </c>
      <c r="AC1704" s="134" t="str">
        <f t="shared" si="543"/>
        <v/>
      </c>
      <c r="AD1704" s="134" t="str">
        <f>IF(AC1704="","",IFERROR((RANK(AC1704,$AC$2:$AC$2028,1)+COUNTIF($AC$2:AC1704,AC1704))-1,""))</f>
        <v/>
      </c>
      <c r="AE1704" s="144" t="str">
        <f t="shared" si="535"/>
        <v/>
      </c>
      <c r="AF1704" s="144" t="str">
        <f>IF(AE1704="","",SUM($AE$2:AE1704))</f>
        <v/>
      </c>
    </row>
    <row r="1705" spans="14:32" x14ac:dyDescent="0.35">
      <c r="N1705" s="134" t="str">
        <f t="shared" si="533"/>
        <v/>
      </c>
      <c r="O1705" s="82" t="str">
        <f t="shared" si="536"/>
        <v/>
      </c>
      <c r="P1705" s="81" t="str">
        <f t="shared" si="534"/>
        <v/>
      </c>
      <c r="Q1705" s="81" t="str">
        <f t="shared" si="537"/>
        <v/>
      </c>
      <c r="R1705" s="135" t="str">
        <f t="shared" ca="1" si="538"/>
        <v/>
      </c>
      <c r="S1705" s="134" t="str">
        <f t="shared" ca="1" si="539"/>
        <v/>
      </c>
      <c r="T1705" s="134" t="str">
        <f ca="1">IF(S1705=Dashboard!$D$12,S1705,"")</f>
        <v/>
      </c>
      <c r="U1705" s="134" t="str">
        <f t="shared" ca="1" si="540"/>
        <v/>
      </c>
      <c r="V1705" s="83" t="str">
        <f ca="1">IF(U1705="","",IFERROR((RANK(U1705,$U$2:$U$2028,1)+COUNTIF($U$2:U1705,U1705))-1,""))</f>
        <v/>
      </c>
      <c r="W1705" s="134" t="str">
        <f t="shared" si="544"/>
        <v/>
      </c>
      <c r="X1705" s="134" t="str">
        <f>IF(W1705="","",IFERROR((RANK(W1705,$W$2:$W$2028,1)+COUNTIF($W$2:W1705,W1705))-1,""))</f>
        <v/>
      </c>
      <c r="Y1705" s="134" t="str">
        <f t="shared" si="541"/>
        <v/>
      </c>
      <c r="Z1705" s="134" t="str">
        <f>IF(Y1705="","",IFERROR((RANK(Y1705,$Y$2:$Y$2028,1)+COUNTIF($Y$2:Y1705,Y1705))-1,""))</f>
        <v/>
      </c>
      <c r="AA1705" s="134" t="str">
        <f t="shared" si="542"/>
        <v/>
      </c>
      <c r="AB1705" s="134" t="str">
        <f>IF(AA1705="","",IFERROR((RANK(AA1705,$AA$2:$AA$2028,1)+COUNTIF($AA$2:AA1705,AA1705))-1,""))</f>
        <v/>
      </c>
      <c r="AC1705" s="134" t="str">
        <f t="shared" si="543"/>
        <v/>
      </c>
      <c r="AD1705" s="134" t="str">
        <f>IF(AC1705="","",IFERROR((RANK(AC1705,$AC$2:$AC$2028,1)+COUNTIF($AC$2:AC1705,AC1705))-1,""))</f>
        <v/>
      </c>
      <c r="AE1705" s="144" t="str">
        <f t="shared" si="535"/>
        <v/>
      </c>
      <c r="AF1705" s="144" t="str">
        <f>IF(AE1705="","",SUM($AE$2:AE1705))</f>
        <v/>
      </c>
    </row>
    <row r="1706" spans="14:32" x14ac:dyDescent="0.35">
      <c r="N1706" s="134" t="str">
        <f t="shared" si="533"/>
        <v/>
      </c>
      <c r="O1706" s="82" t="str">
        <f t="shared" si="536"/>
        <v/>
      </c>
      <c r="P1706" s="81" t="str">
        <f t="shared" si="534"/>
        <v/>
      </c>
      <c r="Q1706" s="81" t="str">
        <f t="shared" si="537"/>
        <v/>
      </c>
      <c r="R1706" s="135" t="str">
        <f t="shared" ca="1" si="538"/>
        <v/>
      </c>
      <c r="S1706" s="134" t="str">
        <f t="shared" ca="1" si="539"/>
        <v/>
      </c>
      <c r="T1706" s="134" t="str">
        <f ca="1">IF(S1706=Dashboard!$D$12,S1706,"")</f>
        <v/>
      </c>
      <c r="U1706" s="134" t="str">
        <f t="shared" ca="1" si="540"/>
        <v/>
      </c>
      <c r="V1706" s="83" t="str">
        <f ca="1">IF(U1706="","",IFERROR((RANK(U1706,$U$2:$U$2028,1)+COUNTIF($U$2:U1706,U1706))-1,""))</f>
        <v/>
      </c>
      <c r="W1706" s="134" t="str">
        <f t="shared" si="544"/>
        <v/>
      </c>
      <c r="X1706" s="134" t="str">
        <f>IF(W1706="","",IFERROR((RANK(W1706,$W$2:$W$2028,1)+COUNTIF($W$2:W1706,W1706))-1,""))</f>
        <v/>
      </c>
      <c r="Y1706" s="134" t="str">
        <f t="shared" si="541"/>
        <v/>
      </c>
      <c r="Z1706" s="134" t="str">
        <f>IF(Y1706="","",IFERROR((RANK(Y1706,$Y$2:$Y$2028,1)+COUNTIF($Y$2:Y1706,Y1706))-1,""))</f>
        <v/>
      </c>
      <c r="AA1706" s="134" t="str">
        <f t="shared" si="542"/>
        <v/>
      </c>
      <c r="AB1706" s="134" t="str">
        <f>IF(AA1706="","",IFERROR((RANK(AA1706,$AA$2:$AA$2028,1)+COUNTIF($AA$2:AA1706,AA1706))-1,""))</f>
        <v/>
      </c>
      <c r="AC1706" s="134" t="str">
        <f t="shared" si="543"/>
        <v/>
      </c>
      <c r="AD1706" s="134" t="str">
        <f>IF(AC1706="","",IFERROR((RANK(AC1706,$AC$2:$AC$2028,1)+COUNTIF($AC$2:AC1706,AC1706))-1,""))</f>
        <v/>
      </c>
      <c r="AE1706" s="144" t="str">
        <f t="shared" si="535"/>
        <v/>
      </c>
      <c r="AF1706" s="144" t="str">
        <f>IF(AE1706="","",SUM($AE$2:AE1706))</f>
        <v/>
      </c>
    </row>
    <row r="1707" spans="14:32" x14ac:dyDescent="0.35">
      <c r="N1707" s="134" t="str">
        <f t="shared" si="533"/>
        <v/>
      </c>
      <c r="O1707" s="82" t="str">
        <f t="shared" si="536"/>
        <v/>
      </c>
      <c r="P1707" s="81" t="str">
        <f t="shared" si="534"/>
        <v/>
      </c>
      <c r="Q1707" s="81" t="str">
        <f t="shared" si="537"/>
        <v/>
      </c>
      <c r="R1707" s="135" t="str">
        <f t="shared" ca="1" si="538"/>
        <v/>
      </c>
      <c r="S1707" s="134" t="str">
        <f t="shared" ca="1" si="539"/>
        <v/>
      </c>
      <c r="T1707" s="134" t="str">
        <f ca="1">IF(S1707=Dashboard!$D$12,S1707,"")</f>
        <v/>
      </c>
      <c r="U1707" s="134" t="str">
        <f t="shared" ca="1" si="540"/>
        <v/>
      </c>
      <c r="V1707" s="83" t="str">
        <f ca="1">IF(U1707="","",IFERROR((RANK(U1707,$U$2:$U$2028,1)+COUNTIF($U$2:U1707,U1707))-1,""))</f>
        <v/>
      </c>
      <c r="W1707" s="134" t="str">
        <f t="shared" si="544"/>
        <v/>
      </c>
      <c r="X1707" s="134" t="str">
        <f>IF(W1707="","",IFERROR((RANK(W1707,$W$2:$W$2028,1)+COUNTIF($W$2:W1707,W1707))-1,""))</f>
        <v/>
      </c>
      <c r="Y1707" s="134" t="str">
        <f t="shared" si="541"/>
        <v/>
      </c>
      <c r="Z1707" s="134" t="str">
        <f>IF(Y1707="","",IFERROR((RANK(Y1707,$Y$2:$Y$2028,1)+COUNTIF($Y$2:Y1707,Y1707))-1,""))</f>
        <v/>
      </c>
      <c r="AA1707" s="134" t="str">
        <f t="shared" si="542"/>
        <v/>
      </c>
      <c r="AB1707" s="134" t="str">
        <f>IF(AA1707="","",IFERROR((RANK(AA1707,$AA$2:$AA$2028,1)+COUNTIF($AA$2:AA1707,AA1707))-1,""))</f>
        <v/>
      </c>
      <c r="AC1707" s="134" t="str">
        <f t="shared" si="543"/>
        <v/>
      </c>
      <c r="AD1707" s="134" t="str">
        <f>IF(AC1707="","",IFERROR((RANK(AC1707,$AC$2:$AC$2028,1)+COUNTIF($AC$2:AC1707,AC1707))-1,""))</f>
        <v/>
      </c>
      <c r="AE1707" s="144" t="str">
        <f t="shared" si="535"/>
        <v/>
      </c>
      <c r="AF1707" s="144" t="str">
        <f>IF(AE1707="","",SUM($AE$2:AE1707))</f>
        <v/>
      </c>
    </row>
    <row r="1708" spans="14:32" x14ac:dyDescent="0.35">
      <c r="N1708" s="134" t="str">
        <f t="shared" si="533"/>
        <v/>
      </c>
      <c r="O1708" s="82" t="str">
        <f t="shared" si="536"/>
        <v/>
      </c>
      <c r="P1708" s="81" t="str">
        <f t="shared" si="534"/>
        <v/>
      </c>
      <c r="Q1708" s="81" t="str">
        <f t="shared" si="537"/>
        <v/>
      </c>
      <c r="R1708" s="135" t="str">
        <f t="shared" ca="1" si="538"/>
        <v/>
      </c>
      <c r="S1708" s="134" t="str">
        <f t="shared" ca="1" si="539"/>
        <v/>
      </c>
      <c r="T1708" s="134" t="str">
        <f ca="1">IF(S1708=Dashboard!$D$12,S1708,"")</f>
        <v/>
      </c>
      <c r="U1708" s="134" t="str">
        <f t="shared" ca="1" si="540"/>
        <v/>
      </c>
      <c r="V1708" s="83" t="str">
        <f ca="1">IF(U1708="","",IFERROR((RANK(U1708,$U$2:$U$2028,1)+COUNTIF($U$2:U1708,U1708))-1,""))</f>
        <v/>
      </c>
      <c r="W1708" s="134" t="str">
        <f t="shared" si="544"/>
        <v/>
      </c>
      <c r="X1708" s="134" t="str">
        <f>IF(W1708="","",IFERROR((RANK(W1708,$W$2:$W$2028,1)+COUNTIF($W$2:W1708,W1708))-1,""))</f>
        <v/>
      </c>
      <c r="Y1708" s="134" t="str">
        <f t="shared" si="541"/>
        <v/>
      </c>
      <c r="Z1708" s="134" t="str">
        <f>IF(Y1708="","",IFERROR((RANK(Y1708,$Y$2:$Y$2028,1)+COUNTIF($Y$2:Y1708,Y1708))-1,""))</f>
        <v/>
      </c>
      <c r="AA1708" s="134" t="str">
        <f t="shared" si="542"/>
        <v/>
      </c>
      <c r="AB1708" s="134" t="str">
        <f>IF(AA1708="","",IFERROR((RANK(AA1708,$AA$2:$AA$2028,1)+COUNTIF($AA$2:AA1708,AA1708))-1,""))</f>
        <v/>
      </c>
      <c r="AC1708" s="134" t="str">
        <f t="shared" si="543"/>
        <v/>
      </c>
      <c r="AD1708" s="134" t="str">
        <f>IF(AC1708="","",IFERROR((RANK(AC1708,$AC$2:$AC$2028,1)+COUNTIF($AC$2:AC1708,AC1708))-1,""))</f>
        <v/>
      </c>
      <c r="AE1708" s="144" t="str">
        <f t="shared" si="535"/>
        <v/>
      </c>
      <c r="AF1708" s="144" t="str">
        <f>IF(AE1708="","",SUM($AE$2:AE1708))</f>
        <v/>
      </c>
    </row>
    <row r="1709" spans="14:32" x14ac:dyDescent="0.35">
      <c r="N1709" s="134" t="str">
        <f t="shared" si="533"/>
        <v/>
      </c>
      <c r="O1709" s="82" t="str">
        <f t="shared" si="536"/>
        <v/>
      </c>
      <c r="P1709" s="81" t="str">
        <f t="shared" si="534"/>
        <v/>
      </c>
      <c r="Q1709" s="81" t="str">
        <f t="shared" si="537"/>
        <v/>
      </c>
      <c r="R1709" s="135" t="str">
        <f t="shared" ca="1" si="538"/>
        <v/>
      </c>
      <c r="S1709" s="134" t="str">
        <f t="shared" ca="1" si="539"/>
        <v/>
      </c>
      <c r="T1709" s="134" t="str">
        <f ca="1">IF(S1709=Dashboard!$D$12,S1709,"")</f>
        <v/>
      </c>
      <c r="U1709" s="134" t="str">
        <f t="shared" ca="1" si="540"/>
        <v/>
      </c>
      <c r="V1709" s="83" t="str">
        <f ca="1">IF(U1709="","",IFERROR((RANK(U1709,$U$2:$U$2028,1)+COUNTIF($U$2:U1709,U1709))-1,""))</f>
        <v/>
      </c>
      <c r="W1709" s="134" t="str">
        <f t="shared" si="544"/>
        <v/>
      </c>
      <c r="X1709" s="134" t="str">
        <f>IF(W1709="","",IFERROR((RANK(W1709,$W$2:$W$2028,1)+COUNTIF($W$2:W1709,W1709))-1,""))</f>
        <v/>
      </c>
      <c r="Y1709" s="134" t="str">
        <f t="shared" si="541"/>
        <v/>
      </c>
      <c r="Z1709" s="134" t="str">
        <f>IF(Y1709="","",IFERROR((RANK(Y1709,$Y$2:$Y$2028,1)+COUNTIF($Y$2:Y1709,Y1709))-1,""))</f>
        <v/>
      </c>
      <c r="AA1709" s="134" t="str">
        <f t="shared" si="542"/>
        <v/>
      </c>
      <c r="AB1709" s="134" t="str">
        <f>IF(AA1709="","",IFERROR((RANK(AA1709,$AA$2:$AA$2028,1)+COUNTIF($AA$2:AA1709,AA1709))-1,""))</f>
        <v/>
      </c>
      <c r="AC1709" s="134" t="str">
        <f t="shared" si="543"/>
        <v/>
      </c>
      <c r="AD1709" s="134" t="str">
        <f>IF(AC1709="","",IFERROR((RANK(AC1709,$AC$2:$AC$2028,1)+COUNTIF($AC$2:AC1709,AC1709))-1,""))</f>
        <v/>
      </c>
      <c r="AE1709" s="144" t="str">
        <f t="shared" si="535"/>
        <v/>
      </c>
      <c r="AF1709" s="144" t="str">
        <f>IF(AE1709="","",SUM($AE$2:AE1709))</f>
        <v/>
      </c>
    </row>
    <row r="1710" spans="14:32" x14ac:dyDescent="0.35">
      <c r="N1710" s="134" t="str">
        <f t="shared" si="533"/>
        <v/>
      </c>
      <c r="O1710" s="82" t="str">
        <f t="shared" si="536"/>
        <v/>
      </c>
      <c r="P1710" s="81" t="str">
        <f t="shared" si="534"/>
        <v/>
      </c>
      <c r="Q1710" s="81" t="str">
        <f t="shared" si="537"/>
        <v/>
      </c>
      <c r="R1710" s="135" t="str">
        <f t="shared" ca="1" si="538"/>
        <v/>
      </c>
      <c r="S1710" s="134" t="str">
        <f t="shared" ca="1" si="539"/>
        <v/>
      </c>
      <c r="T1710" s="134" t="str">
        <f ca="1">IF(S1710=Dashboard!$D$12,S1710,"")</f>
        <v/>
      </c>
      <c r="U1710" s="134" t="str">
        <f t="shared" ca="1" si="540"/>
        <v/>
      </c>
      <c r="V1710" s="83" t="str">
        <f ca="1">IF(U1710="","",IFERROR((RANK(U1710,$U$2:$U$2028,1)+COUNTIF($U$2:U1710,U1710))-1,""))</f>
        <v/>
      </c>
      <c r="W1710" s="134" t="str">
        <f t="shared" si="544"/>
        <v/>
      </c>
      <c r="X1710" s="134" t="str">
        <f>IF(W1710="","",IFERROR((RANK(W1710,$W$2:$W$2028,1)+COUNTIF($W$2:W1710,W1710))-1,""))</f>
        <v/>
      </c>
      <c r="Y1710" s="134" t="str">
        <f t="shared" si="541"/>
        <v/>
      </c>
      <c r="Z1710" s="134" t="str">
        <f>IF(Y1710="","",IFERROR((RANK(Y1710,$Y$2:$Y$2028,1)+COUNTIF($Y$2:Y1710,Y1710))-1,""))</f>
        <v/>
      </c>
      <c r="AA1710" s="134" t="str">
        <f t="shared" si="542"/>
        <v/>
      </c>
      <c r="AB1710" s="134" t="str">
        <f>IF(AA1710="","",IFERROR((RANK(AA1710,$AA$2:$AA$2028,1)+COUNTIF($AA$2:AA1710,AA1710))-1,""))</f>
        <v/>
      </c>
      <c r="AC1710" s="134" t="str">
        <f t="shared" si="543"/>
        <v/>
      </c>
      <c r="AD1710" s="134" t="str">
        <f>IF(AC1710="","",IFERROR((RANK(AC1710,$AC$2:$AC$2028,1)+COUNTIF($AC$2:AC1710,AC1710))-1,""))</f>
        <v/>
      </c>
      <c r="AE1710" s="144" t="str">
        <f t="shared" si="535"/>
        <v/>
      </c>
      <c r="AF1710" s="144" t="str">
        <f>IF(AE1710="","",SUM($AE$2:AE1710))</f>
        <v/>
      </c>
    </row>
    <row r="1711" spans="14:32" x14ac:dyDescent="0.35">
      <c r="N1711" s="134" t="str">
        <f t="shared" si="533"/>
        <v/>
      </c>
      <c r="O1711" s="82" t="str">
        <f t="shared" si="536"/>
        <v/>
      </c>
      <c r="P1711" s="81" t="str">
        <f t="shared" si="534"/>
        <v/>
      </c>
      <c r="Q1711" s="81" t="str">
        <f t="shared" si="537"/>
        <v/>
      </c>
      <c r="R1711" s="135" t="str">
        <f t="shared" ca="1" si="538"/>
        <v/>
      </c>
      <c r="S1711" s="134" t="str">
        <f t="shared" ca="1" si="539"/>
        <v/>
      </c>
      <c r="T1711" s="134" t="str">
        <f ca="1">IF(S1711=Dashboard!$D$12,S1711,"")</f>
        <v/>
      </c>
      <c r="U1711" s="134" t="str">
        <f t="shared" ca="1" si="540"/>
        <v/>
      </c>
      <c r="V1711" s="83" t="str">
        <f ca="1">IF(U1711="","",IFERROR((RANK(U1711,$U$2:$U$2028,1)+COUNTIF($U$2:U1711,U1711))-1,""))</f>
        <v/>
      </c>
      <c r="W1711" s="134" t="str">
        <f t="shared" si="544"/>
        <v/>
      </c>
      <c r="X1711" s="134" t="str">
        <f>IF(W1711="","",IFERROR((RANK(W1711,$W$2:$W$2028,1)+COUNTIF($W$2:W1711,W1711))-1,""))</f>
        <v/>
      </c>
      <c r="Y1711" s="134" t="str">
        <f t="shared" si="541"/>
        <v/>
      </c>
      <c r="Z1711" s="134" t="str">
        <f>IF(Y1711="","",IFERROR((RANK(Y1711,$Y$2:$Y$2028,1)+COUNTIF($Y$2:Y1711,Y1711))-1,""))</f>
        <v/>
      </c>
      <c r="AA1711" s="134" t="str">
        <f t="shared" si="542"/>
        <v/>
      </c>
      <c r="AB1711" s="134" t="str">
        <f>IF(AA1711="","",IFERROR((RANK(AA1711,$AA$2:$AA$2028,1)+COUNTIF($AA$2:AA1711,AA1711))-1,""))</f>
        <v/>
      </c>
      <c r="AC1711" s="134" t="str">
        <f t="shared" si="543"/>
        <v/>
      </c>
      <c r="AD1711" s="134" t="str">
        <f>IF(AC1711="","",IFERROR((RANK(AC1711,$AC$2:$AC$2028,1)+COUNTIF($AC$2:AC1711,AC1711))-1,""))</f>
        <v/>
      </c>
      <c r="AE1711" s="144" t="str">
        <f t="shared" si="535"/>
        <v/>
      </c>
      <c r="AF1711" s="144" t="str">
        <f>IF(AE1711="","",SUM($AE$2:AE1711))</f>
        <v/>
      </c>
    </row>
    <row r="1712" spans="14:32" x14ac:dyDescent="0.35">
      <c r="N1712" s="134" t="str">
        <f t="shared" si="533"/>
        <v/>
      </c>
      <c r="O1712" s="82" t="str">
        <f t="shared" si="536"/>
        <v/>
      </c>
      <c r="P1712" s="81" t="str">
        <f t="shared" si="534"/>
        <v/>
      </c>
      <c r="Q1712" s="81" t="str">
        <f t="shared" si="537"/>
        <v/>
      </c>
      <c r="R1712" s="135" t="str">
        <f t="shared" ca="1" si="538"/>
        <v/>
      </c>
      <c r="S1712" s="134" t="str">
        <f t="shared" ca="1" si="539"/>
        <v/>
      </c>
      <c r="T1712" s="134" t="str">
        <f ca="1">IF(S1712=Dashboard!$D$12,S1712,"")</f>
        <v/>
      </c>
      <c r="U1712" s="134" t="str">
        <f t="shared" ca="1" si="540"/>
        <v/>
      </c>
      <c r="V1712" s="83" t="str">
        <f ca="1">IF(U1712="","",IFERROR((RANK(U1712,$U$2:$U$2028,1)+COUNTIF($U$2:U1712,U1712))-1,""))</f>
        <v/>
      </c>
      <c r="W1712" s="134" t="str">
        <f t="shared" si="544"/>
        <v/>
      </c>
      <c r="X1712" s="134" t="str">
        <f>IF(W1712="","",IFERROR((RANK(W1712,$W$2:$W$2028,1)+COUNTIF($W$2:W1712,W1712))-1,""))</f>
        <v/>
      </c>
      <c r="Y1712" s="134" t="str">
        <f t="shared" si="541"/>
        <v/>
      </c>
      <c r="Z1712" s="134" t="str">
        <f>IF(Y1712="","",IFERROR((RANK(Y1712,$Y$2:$Y$2028,1)+COUNTIF($Y$2:Y1712,Y1712))-1,""))</f>
        <v/>
      </c>
      <c r="AA1712" s="134" t="str">
        <f t="shared" si="542"/>
        <v/>
      </c>
      <c r="AB1712" s="134" t="str">
        <f>IF(AA1712="","",IFERROR((RANK(AA1712,$AA$2:$AA$2028,1)+COUNTIF($AA$2:AA1712,AA1712))-1,""))</f>
        <v/>
      </c>
      <c r="AC1712" s="134" t="str">
        <f t="shared" si="543"/>
        <v/>
      </c>
      <c r="AD1712" s="134" t="str">
        <f>IF(AC1712="","",IFERROR((RANK(AC1712,$AC$2:$AC$2028,1)+COUNTIF($AC$2:AC1712,AC1712))-1,""))</f>
        <v/>
      </c>
      <c r="AE1712" s="144" t="str">
        <f t="shared" si="535"/>
        <v/>
      </c>
      <c r="AF1712" s="144" t="str">
        <f>IF(AE1712="","",SUM($AE$2:AE1712))</f>
        <v/>
      </c>
    </row>
    <row r="1713" spans="14:32" x14ac:dyDescent="0.35">
      <c r="N1713" s="134" t="str">
        <f t="shared" si="533"/>
        <v/>
      </c>
      <c r="O1713" s="82" t="str">
        <f t="shared" si="536"/>
        <v/>
      </c>
      <c r="P1713" s="81" t="str">
        <f t="shared" si="534"/>
        <v/>
      </c>
      <c r="Q1713" s="81" t="str">
        <f t="shared" si="537"/>
        <v/>
      </c>
      <c r="R1713" s="135" t="str">
        <f t="shared" ca="1" si="538"/>
        <v/>
      </c>
      <c r="S1713" s="134" t="str">
        <f t="shared" ca="1" si="539"/>
        <v/>
      </c>
      <c r="T1713" s="134" t="str">
        <f ca="1">IF(S1713=Dashboard!$D$12,S1713,"")</f>
        <v/>
      </c>
      <c r="U1713" s="134" t="str">
        <f t="shared" ca="1" si="540"/>
        <v/>
      </c>
      <c r="V1713" s="83" t="str">
        <f ca="1">IF(U1713="","",IFERROR((RANK(U1713,$U$2:$U$2028,1)+COUNTIF($U$2:U1713,U1713))-1,""))</f>
        <v/>
      </c>
      <c r="W1713" s="134" t="str">
        <f t="shared" si="544"/>
        <v/>
      </c>
      <c r="X1713" s="134" t="str">
        <f>IF(W1713="","",IFERROR((RANK(W1713,$W$2:$W$2028,1)+COUNTIF($W$2:W1713,W1713))-1,""))</f>
        <v/>
      </c>
      <c r="Y1713" s="134" t="str">
        <f t="shared" si="541"/>
        <v/>
      </c>
      <c r="Z1713" s="134" t="str">
        <f>IF(Y1713="","",IFERROR((RANK(Y1713,$Y$2:$Y$2028,1)+COUNTIF($Y$2:Y1713,Y1713))-1,""))</f>
        <v/>
      </c>
      <c r="AA1713" s="134" t="str">
        <f t="shared" si="542"/>
        <v/>
      </c>
      <c r="AB1713" s="134" t="str">
        <f>IF(AA1713="","",IFERROR((RANK(AA1713,$AA$2:$AA$2028,1)+COUNTIF($AA$2:AA1713,AA1713))-1,""))</f>
        <v/>
      </c>
      <c r="AC1713" s="134" t="str">
        <f t="shared" si="543"/>
        <v/>
      </c>
      <c r="AD1713" s="134" t="str">
        <f>IF(AC1713="","",IFERROR((RANK(AC1713,$AC$2:$AC$2028,1)+COUNTIF($AC$2:AC1713,AC1713))-1,""))</f>
        <v/>
      </c>
      <c r="AE1713" s="144" t="str">
        <f t="shared" si="535"/>
        <v/>
      </c>
      <c r="AF1713" s="144" t="str">
        <f>IF(AE1713="","",SUM($AE$2:AE1713))</f>
        <v/>
      </c>
    </row>
    <row r="1714" spans="14:32" x14ac:dyDescent="0.35">
      <c r="N1714" s="134" t="str">
        <f t="shared" si="533"/>
        <v/>
      </c>
      <c r="O1714" s="82" t="str">
        <f t="shared" si="536"/>
        <v/>
      </c>
      <c r="P1714" s="81" t="str">
        <f t="shared" si="534"/>
        <v/>
      </c>
      <c r="Q1714" s="81" t="str">
        <f t="shared" si="537"/>
        <v/>
      </c>
      <c r="R1714" s="135" t="str">
        <f t="shared" ca="1" si="538"/>
        <v/>
      </c>
      <c r="S1714" s="134" t="str">
        <f t="shared" ca="1" si="539"/>
        <v/>
      </c>
      <c r="T1714" s="134" t="str">
        <f ca="1">IF(S1714=Dashboard!$D$12,S1714,"")</f>
        <v/>
      </c>
      <c r="U1714" s="134" t="str">
        <f t="shared" ca="1" si="540"/>
        <v/>
      </c>
      <c r="V1714" s="83" t="str">
        <f ca="1">IF(U1714="","",IFERROR((RANK(U1714,$U$2:$U$2028,1)+COUNTIF($U$2:U1714,U1714))-1,""))</f>
        <v/>
      </c>
      <c r="W1714" s="134" t="str">
        <f t="shared" si="544"/>
        <v/>
      </c>
      <c r="X1714" s="134" t="str">
        <f>IF(W1714="","",IFERROR((RANK(W1714,$W$2:$W$2028,1)+COUNTIF($W$2:W1714,W1714))-1,""))</f>
        <v/>
      </c>
      <c r="Y1714" s="134" t="str">
        <f t="shared" si="541"/>
        <v/>
      </c>
      <c r="Z1714" s="134" t="str">
        <f>IF(Y1714="","",IFERROR((RANK(Y1714,$Y$2:$Y$2028,1)+COUNTIF($Y$2:Y1714,Y1714))-1,""))</f>
        <v/>
      </c>
      <c r="AA1714" s="134" t="str">
        <f t="shared" si="542"/>
        <v/>
      </c>
      <c r="AB1714" s="134" t="str">
        <f>IF(AA1714="","",IFERROR((RANK(AA1714,$AA$2:$AA$2028,1)+COUNTIF($AA$2:AA1714,AA1714))-1,""))</f>
        <v/>
      </c>
      <c r="AC1714" s="134" t="str">
        <f t="shared" si="543"/>
        <v/>
      </c>
      <c r="AD1714" s="134" t="str">
        <f>IF(AC1714="","",IFERROR((RANK(AC1714,$AC$2:$AC$2028,1)+COUNTIF($AC$2:AC1714,AC1714))-1,""))</f>
        <v/>
      </c>
      <c r="AE1714" s="144" t="str">
        <f t="shared" si="535"/>
        <v/>
      </c>
      <c r="AF1714" s="144" t="str">
        <f>IF(AE1714="","",SUM($AE$2:AE1714))</f>
        <v/>
      </c>
    </row>
    <row r="1715" spans="14:32" x14ac:dyDescent="0.35">
      <c r="N1715" s="134" t="str">
        <f t="shared" si="533"/>
        <v/>
      </c>
      <c r="O1715" s="82" t="str">
        <f t="shared" si="536"/>
        <v/>
      </c>
      <c r="P1715" s="81" t="str">
        <f t="shared" si="534"/>
        <v/>
      </c>
      <c r="Q1715" s="81" t="str">
        <f t="shared" si="537"/>
        <v/>
      </c>
      <c r="R1715" s="135" t="str">
        <f t="shared" ca="1" si="538"/>
        <v/>
      </c>
      <c r="S1715" s="134" t="str">
        <f t="shared" ca="1" si="539"/>
        <v/>
      </c>
      <c r="T1715" s="134" t="str">
        <f ca="1">IF(S1715=Dashboard!$D$12,S1715,"")</f>
        <v/>
      </c>
      <c r="U1715" s="134" t="str">
        <f t="shared" ca="1" si="540"/>
        <v/>
      </c>
      <c r="V1715" s="83" t="str">
        <f ca="1">IF(U1715="","",IFERROR((RANK(U1715,$U$2:$U$2028,1)+COUNTIF($U$2:U1715,U1715))-1,""))</f>
        <v/>
      </c>
      <c r="W1715" s="134" t="str">
        <f t="shared" si="544"/>
        <v/>
      </c>
      <c r="X1715" s="134" t="str">
        <f>IF(W1715="","",IFERROR((RANK(W1715,$W$2:$W$2028,1)+COUNTIF($W$2:W1715,W1715))-1,""))</f>
        <v/>
      </c>
      <c r="Y1715" s="134" t="str">
        <f t="shared" si="541"/>
        <v/>
      </c>
      <c r="Z1715" s="134" t="str">
        <f>IF(Y1715="","",IFERROR((RANK(Y1715,$Y$2:$Y$2028,1)+COUNTIF($Y$2:Y1715,Y1715))-1,""))</f>
        <v/>
      </c>
      <c r="AA1715" s="134" t="str">
        <f t="shared" si="542"/>
        <v/>
      </c>
      <c r="AB1715" s="134" t="str">
        <f>IF(AA1715="","",IFERROR((RANK(AA1715,$AA$2:$AA$2028,1)+COUNTIF($AA$2:AA1715,AA1715))-1,""))</f>
        <v/>
      </c>
      <c r="AC1715" s="134" t="str">
        <f t="shared" si="543"/>
        <v/>
      </c>
      <c r="AD1715" s="134" t="str">
        <f>IF(AC1715="","",IFERROR((RANK(AC1715,$AC$2:$AC$2028,1)+COUNTIF($AC$2:AC1715,AC1715))-1,""))</f>
        <v/>
      </c>
      <c r="AE1715" s="144" t="str">
        <f t="shared" si="535"/>
        <v/>
      </c>
      <c r="AF1715" s="144" t="str">
        <f>IF(AE1715="","",SUM($AE$2:AE1715))</f>
        <v/>
      </c>
    </row>
    <row r="1716" spans="14:32" x14ac:dyDescent="0.35">
      <c r="N1716" s="134" t="str">
        <f t="shared" si="533"/>
        <v/>
      </c>
      <c r="O1716" s="82" t="str">
        <f t="shared" si="536"/>
        <v/>
      </c>
      <c r="P1716" s="81" t="str">
        <f t="shared" si="534"/>
        <v/>
      </c>
      <c r="Q1716" s="81" t="str">
        <f t="shared" si="537"/>
        <v/>
      </c>
      <c r="R1716" s="135" t="str">
        <f t="shared" ca="1" si="538"/>
        <v/>
      </c>
      <c r="S1716" s="134" t="str">
        <f t="shared" ca="1" si="539"/>
        <v/>
      </c>
      <c r="T1716" s="134" t="str">
        <f ca="1">IF(S1716=Dashboard!$D$12,S1716,"")</f>
        <v/>
      </c>
      <c r="U1716" s="134" t="str">
        <f t="shared" ca="1" si="540"/>
        <v/>
      </c>
      <c r="V1716" s="83" t="str">
        <f ca="1">IF(U1716="","",IFERROR((RANK(U1716,$U$2:$U$2028,1)+COUNTIF($U$2:U1716,U1716))-1,""))</f>
        <v/>
      </c>
      <c r="W1716" s="134" t="str">
        <f t="shared" si="544"/>
        <v/>
      </c>
      <c r="X1716" s="134" t="str">
        <f>IF(W1716="","",IFERROR((RANK(W1716,$W$2:$W$2028,1)+COUNTIF($W$2:W1716,W1716))-1,""))</f>
        <v/>
      </c>
      <c r="Y1716" s="134" t="str">
        <f t="shared" si="541"/>
        <v/>
      </c>
      <c r="Z1716" s="134" t="str">
        <f>IF(Y1716="","",IFERROR((RANK(Y1716,$Y$2:$Y$2028,1)+COUNTIF($Y$2:Y1716,Y1716))-1,""))</f>
        <v/>
      </c>
      <c r="AA1716" s="134" t="str">
        <f t="shared" si="542"/>
        <v/>
      </c>
      <c r="AB1716" s="134" t="str">
        <f>IF(AA1716="","",IFERROR((RANK(AA1716,$AA$2:$AA$2028,1)+COUNTIF($AA$2:AA1716,AA1716))-1,""))</f>
        <v/>
      </c>
      <c r="AC1716" s="134" t="str">
        <f t="shared" si="543"/>
        <v/>
      </c>
      <c r="AD1716" s="134" t="str">
        <f>IF(AC1716="","",IFERROR((RANK(AC1716,$AC$2:$AC$2028,1)+COUNTIF($AC$2:AC1716,AC1716))-1,""))</f>
        <v/>
      </c>
      <c r="AE1716" s="144" t="str">
        <f t="shared" si="535"/>
        <v/>
      </c>
      <c r="AF1716" s="144" t="str">
        <f>IF(AE1716="","",SUM($AE$2:AE1716))</f>
        <v/>
      </c>
    </row>
    <row r="1717" spans="14:32" x14ac:dyDescent="0.35">
      <c r="N1717" s="134" t="str">
        <f t="shared" si="533"/>
        <v/>
      </c>
      <c r="O1717" s="82" t="str">
        <f t="shared" si="536"/>
        <v/>
      </c>
      <c r="P1717" s="81" t="str">
        <f t="shared" si="534"/>
        <v/>
      </c>
      <c r="Q1717" s="81" t="str">
        <f t="shared" si="537"/>
        <v/>
      </c>
      <c r="R1717" s="135" t="str">
        <f t="shared" ca="1" si="538"/>
        <v/>
      </c>
      <c r="S1717" s="134" t="str">
        <f t="shared" ca="1" si="539"/>
        <v/>
      </c>
      <c r="T1717" s="134" t="str">
        <f ca="1">IF(S1717=Dashboard!$D$12,S1717,"")</f>
        <v/>
      </c>
      <c r="U1717" s="134" t="str">
        <f t="shared" ca="1" si="540"/>
        <v/>
      </c>
      <c r="V1717" s="83" t="str">
        <f ca="1">IF(U1717="","",IFERROR((RANK(U1717,$U$2:$U$2028,1)+COUNTIF($U$2:U1717,U1717))-1,""))</f>
        <v/>
      </c>
      <c r="W1717" s="134" t="str">
        <f t="shared" si="544"/>
        <v/>
      </c>
      <c r="X1717" s="134" t="str">
        <f>IF(W1717="","",IFERROR((RANK(W1717,$W$2:$W$2028,1)+COUNTIF($W$2:W1717,W1717))-1,""))</f>
        <v/>
      </c>
      <c r="Y1717" s="134" t="str">
        <f t="shared" si="541"/>
        <v/>
      </c>
      <c r="Z1717" s="134" t="str">
        <f>IF(Y1717="","",IFERROR((RANK(Y1717,$Y$2:$Y$2028,1)+COUNTIF($Y$2:Y1717,Y1717))-1,""))</f>
        <v/>
      </c>
      <c r="AA1717" s="134" t="str">
        <f t="shared" si="542"/>
        <v/>
      </c>
      <c r="AB1717" s="134" t="str">
        <f>IF(AA1717="","",IFERROR((RANK(AA1717,$AA$2:$AA$2028,1)+COUNTIF($AA$2:AA1717,AA1717))-1,""))</f>
        <v/>
      </c>
      <c r="AC1717" s="134" t="str">
        <f t="shared" si="543"/>
        <v/>
      </c>
      <c r="AD1717" s="134" t="str">
        <f>IF(AC1717="","",IFERROR((RANK(AC1717,$AC$2:$AC$2028,1)+COUNTIF($AC$2:AC1717,AC1717))-1,""))</f>
        <v/>
      </c>
      <c r="AE1717" s="144" t="str">
        <f t="shared" si="535"/>
        <v/>
      </c>
      <c r="AF1717" s="144" t="str">
        <f>IF(AE1717="","",SUM($AE$2:AE1717))</f>
        <v/>
      </c>
    </row>
    <row r="1718" spans="14:32" x14ac:dyDescent="0.35">
      <c r="N1718" s="134" t="str">
        <f t="shared" si="533"/>
        <v/>
      </c>
      <c r="O1718" s="82" t="str">
        <f t="shared" si="536"/>
        <v/>
      </c>
      <c r="P1718" s="81" t="str">
        <f t="shared" si="534"/>
        <v/>
      </c>
      <c r="Q1718" s="81" t="str">
        <f t="shared" si="537"/>
        <v/>
      </c>
      <c r="R1718" s="135" t="str">
        <f t="shared" ca="1" si="538"/>
        <v/>
      </c>
      <c r="S1718" s="134" t="str">
        <f t="shared" ca="1" si="539"/>
        <v/>
      </c>
      <c r="T1718" s="134" t="str">
        <f ca="1">IF(S1718=Dashboard!$D$12,S1718,"")</f>
        <v/>
      </c>
      <c r="U1718" s="134" t="str">
        <f t="shared" ca="1" si="540"/>
        <v/>
      </c>
      <c r="V1718" s="83" t="str">
        <f ca="1">IF(U1718="","",IFERROR((RANK(U1718,$U$2:$U$2028,1)+COUNTIF($U$2:U1718,U1718))-1,""))</f>
        <v/>
      </c>
      <c r="W1718" s="134" t="str">
        <f t="shared" si="544"/>
        <v/>
      </c>
      <c r="X1718" s="134" t="str">
        <f>IF(W1718="","",IFERROR((RANK(W1718,$W$2:$W$2028,1)+COUNTIF($W$2:W1718,W1718))-1,""))</f>
        <v/>
      </c>
      <c r="Y1718" s="134" t="str">
        <f t="shared" si="541"/>
        <v/>
      </c>
      <c r="Z1718" s="134" t="str">
        <f>IF(Y1718="","",IFERROR((RANK(Y1718,$Y$2:$Y$2028,1)+COUNTIF($Y$2:Y1718,Y1718))-1,""))</f>
        <v/>
      </c>
      <c r="AA1718" s="134" t="str">
        <f t="shared" si="542"/>
        <v/>
      </c>
      <c r="AB1718" s="134" t="str">
        <f>IF(AA1718="","",IFERROR((RANK(AA1718,$AA$2:$AA$2028,1)+COUNTIF($AA$2:AA1718,AA1718))-1,""))</f>
        <v/>
      </c>
      <c r="AC1718" s="134" t="str">
        <f t="shared" si="543"/>
        <v/>
      </c>
      <c r="AD1718" s="134" t="str">
        <f>IF(AC1718="","",IFERROR((RANK(AC1718,$AC$2:$AC$2028,1)+COUNTIF($AC$2:AC1718,AC1718))-1,""))</f>
        <v/>
      </c>
      <c r="AE1718" s="144" t="str">
        <f t="shared" si="535"/>
        <v/>
      </c>
      <c r="AF1718" s="144" t="str">
        <f>IF(AE1718="","",SUM($AE$2:AE1718))</f>
        <v/>
      </c>
    </row>
    <row r="1719" spans="14:32" x14ac:dyDescent="0.35">
      <c r="N1719" s="134" t="str">
        <f t="shared" si="533"/>
        <v/>
      </c>
      <c r="O1719" s="82" t="str">
        <f t="shared" si="536"/>
        <v/>
      </c>
      <c r="P1719" s="81" t="str">
        <f t="shared" si="534"/>
        <v/>
      </c>
      <c r="Q1719" s="81" t="str">
        <f t="shared" si="537"/>
        <v/>
      </c>
      <c r="R1719" s="135" t="str">
        <f t="shared" ca="1" si="538"/>
        <v/>
      </c>
      <c r="S1719" s="134" t="str">
        <f t="shared" ca="1" si="539"/>
        <v/>
      </c>
      <c r="T1719" s="134" t="str">
        <f ca="1">IF(S1719=Dashboard!$D$12,S1719,"")</f>
        <v/>
      </c>
      <c r="U1719" s="134" t="str">
        <f t="shared" ca="1" si="540"/>
        <v/>
      </c>
      <c r="V1719" s="83" t="str">
        <f ca="1">IF(U1719="","",IFERROR((RANK(U1719,$U$2:$U$2028,1)+COUNTIF($U$2:U1719,U1719))-1,""))</f>
        <v/>
      </c>
      <c r="W1719" s="134" t="str">
        <f t="shared" si="544"/>
        <v/>
      </c>
      <c r="X1719" s="134" t="str">
        <f>IF(W1719="","",IFERROR((RANK(W1719,$W$2:$W$2028,1)+COUNTIF($W$2:W1719,W1719))-1,""))</f>
        <v/>
      </c>
      <c r="Y1719" s="134" t="str">
        <f t="shared" si="541"/>
        <v/>
      </c>
      <c r="Z1719" s="134" t="str">
        <f>IF(Y1719="","",IFERROR((RANK(Y1719,$Y$2:$Y$2028,1)+COUNTIF($Y$2:Y1719,Y1719))-1,""))</f>
        <v/>
      </c>
      <c r="AA1719" s="134" t="str">
        <f t="shared" si="542"/>
        <v/>
      </c>
      <c r="AB1719" s="134" t="str">
        <f>IF(AA1719="","",IFERROR((RANK(AA1719,$AA$2:$AA$2028,1)+COUNTIF($AA$2:AA1719,AA1719))-1,""))</f>
        <v/>
      </c>
      <c r="AC1719" s="134" t="str">
        <f t="shared" si="543"/>
        <v/>
      </c>
      <c r="AD1719" s="134" t="str">
        <f>IF(AC1719="","",IFERROR((RANK(AC1719,$AC$2:$AC$2028,1)+COUNTIF($AC$2:AC1719,AC1719))-1,""))</f>
        <v/>
      </c>
      <c r="AE1719" s="144" t="str">
        <f t="shared" si="535"/>
        <v/>
      </c>
      <c r="AF1719" s="144" t="str">
        <f>IF(AE1719="","",SUM($AE$2:AE1719))</f>
        <v/>
      </c>
    </row>
    <row r="1720" spans="14:32" x14ac:dyDescent="0.35">
      <c r="N1720" s="134" t="str">
        <f t="shared" si="533"/>
        <v/>
      </c>
      <c r="O1720" s="82" t="str">
        <f t="shared" si="536"/>
        <v/>
      </c>
      <c r="P1720" s="81" t="str">
        <f t="shared" si="534"/>
        <v/>
      </c>
      <c r="Q1720" s="81" t="str">
        <f t="shared" si="537"/>
        <v/>
      </c>
      <c r="R1720" s="135" t="str">
        <f t="shared" ca="1" si="538"/>
        <v/>
      </c>
      <c r="S1720" s="134" t="str">
        <f t="shared" ca="1" si="539"/>
        <v/>
      </c>
      <c r="T1720" s="134" t="str">
        <f ca="1">IF(S1720=Dashboard!$D$12,S1720,"")</f>
        <v/>
      </c>
      <c r="U1720" s="134" t="str">
        <f t="shared" ca="1" si="540"/>
        <v/>
      </c>
      <c r="V1720" s="83" t="str">
        <f ca="1">IF(U1720="","",IFERROR((RANK(U1720,$U$2:$U$2028,1)+COUNTIF($U$2:U1720,U1720))-1,""))</f>
        <v/>
      </c>
      <c r="W1720" s="134" t="str">
        <f t="shared" si="544"/>
        <v/>
      </c>
      <c r="X1720" s="134" t="str">
        <f>IF(W1720="","",IFERROR((RANK(W1720,$W$2:$W$2028,1)+COUNTIF($W$2:W1720,W1720))-1,""))</f>
        <v/>
      </c>
      <c r="Y1720" s="134" t="str">
        <f t="shared" si="541"/>
        <v/>
      </c>
      <c r="Z1720" s="134" t="str">
        <f>IF(Y1720="","",IFERROR((RANK(Y1720,$Y$2:$Y$2028,1)+COUNTIF($Y$2:Y1720,Y1720))-1,""))</f>
        <v/>
      </c>
      <c r="AA1720" s="134" t="str">
        <f t="shared" si="542"/>
        <v/>
      </c>
      <c r="AB1720" s="134" t="str">
        <f>IF(AA1720="","",IFERROR((RANK(AA1720,$AA$2:$AA$2028,1)+COUNTIF($AA$2:AA1720,AA1720))-1,""))</f>
        <v/>
      </c>
      <c r="AC1720" s="134" t="str">
        <f t="shared" si="543"/>
        <v/>
      </c>
      <c r="AD1720" s="134" t="str">
        <f>IF(AC1720="","",IFERROR((RANK(AC1720,$AC$2:$AC$2028,1)+COUNTIF($AC$2:AC1720,AC1720))-1,""))</f>
        <v/>
      </c>
      <c r="AE1720" s="144" t="str">
        <f t="shared" si="535"/>
        <v/>
      </c>
      <c r="AF1720" s="144" t="str">
        <f>IF(AE1720="","",SUM($AE$2:AE1720))</f>
        <v/>
      </c>
    </row>
    <row r="1721" spans="14:32" x14ac:dyDescent="0.35">
      <c r="N1721" s="134" t="str">
        <f t="shared" si="533"/>
        <v/>
      </c>
      <c r="O1721" s="82" t="str">
        <f t="shared" si="536"/>
        <v/>
      </c>
      <c r="P1721" s="81" t="str">
        <f t="shared" si="534"/>
        <v/>
      </c>
      <c r="Q1721" s="81" t="str">
        <f t="shared" si="537"/>
        <v/>
      </c>
      <c r="R1721" s="135" t="str">
        <f t="shared" ca="1" si="538"/>
        <v/>
      </c>
      <c r="S1721" s="134" t="str">
        <f t="shared" ca="1" si="539"/>
        <v/>
      </c>
      <c r="T1721" s="134" t="str">
        <f ca="1">IF(S1721=Dashboard!$D$12,S1721,"")</f>
        <v/>
      </c>
      <c r="U1721" s="134" t="str">
        <f t="shared" ca="1" si="540"/>
        <v/>
      </c>
      <c r="V1721" s="83" t="str">
        <f ca="1">IF(U1721="","",IFERROR((RANK(U1721,$U$2:$U$2028,1)+COUNTIF($U$2:U1721,U1721))-1,""))</f>
        <v/>
      </c>
      <c r="W1721" s="134" t="str">
        <f t="shared" si="544"/>
        <v/>
      </c>
      <c r="X1721" s="134" t="str">
        <f>IF(W1721="","",IFERROR((RANK(W1721,$W$2:$W$2028,1)+COUNTIF($W$2:W1721,W1721))-1,""))</f>
        <v/>
      </c>
      <c r="Y1721" s="134" t="str">
        <f t="shared" si="541"/>
        <v/>
      </c>
      <c r="Z1721" s="134" t="str">
        <f>IF(Y1721="","",IFERROR((RANK(Y1721,$Y$2:$Y$2028,1)+COUNTIF($Y$2:Y1721,Y1721))-1,""))</f>
        <v/>
      </c>
      <c r="AA1721" s="134" t="str">
        <f t="shared" si="542"/>
        <v/>
      </c>
      <c r="AB1721" s="134" t="str">
        <f>IF(AA1721="","",IFERROR((RANK(AA1721,$AA$2:$AA$2028,1)+COUNTIF($AA$2:AA1721,AA1721))-1,""))</f>
        <v/>
      </c>
      <c r="AC1721" s="134" t="str">
        <f t="shared" si="543"/>
        <v/>
      </c>
      <c r="AD1721" s="134" t="str">
        <f>IF(AC1721="","",IFERROR((RANK(AC1721,$AC$2:$AC$2028,1)+COUNTIF($AC$2:AC1721,AC1721))-1,""))</f>
        <v/>
      </c>
      <c r="AE1721" s="144" t="str">
        <f t="shared" si="535"/>
        <v/>
      </c>
      <c r="AF1721" s="144" t="str">
        <f>IF(AE1721="","",SUM($AE$2:AE1721))</f>
        <v/>
      </c>
    </row>
    <row r="1722" spans="14:32" x14ac:dyDescent="0.35">
      <c r="N1722" s="134" t="str">
        <f t="shared" si="533"/>
        <v/>
      </c>
      <c r="O1722" s="82" t="str">
        <f t="shared" si="536"/>
        <v/>
      </c>
      <c r="P1722" s="81" t="str">
        <f t="shared" si="534"/>
        <v/>
      </c>
      <c r="Q1722" s="81" t="str">
        <f t="shared" si="537"/>
        <v/>
      </c>
      <c r="R1722" s="135" t="str">
        <f t="shared" ca="1" si="538"/>
        <v/>
      </c>
      <c r="S1722" s="134" t="str">
        <f t="shared" ca="1" si="539"/>
        <v/>
      </c>
      <c r="T1722" s="134" t="str">
        <f ca="1">IF(S1722=Dashboard!$D$12,S1722,"")</f>
        <v/>
      </c>
      <c r="U1722" s="134" t="str">
        <f t="shared" ca="1" si="540"/>
        <v/>
      </c>
      <c r="V1722" s="83" t="str">
        <f ca="1">IF(U1722="","",IFERROR((RANK(U1722,$U$2:$U$2028,1)+COUNTIF($U$2:U1722,U1722))-1,""))</f>
        <v/>
      </c>
      <c r="W1722" s="134" t="str">
        <f t="shared" si="544"/>
        <v/>
      </c>
      <c r="X1722" s="134" t="str">
        <f>IF(W1722="","",IFERROR((RANK(W1722,$W$2:$W$2028,1)+COUNTIF($W$2:W1722,W1722))-1,""))</f>
        <v/>
      </c>
      <c r="Y1722" s="134" t="str">
        <f t="shared" si="541"/>
        <v/>
      </c>
      <c r="Z1722" s="134" t="str">
        <f>IF(Y1722="","",IFERROR((RANK(Y1722,$Y$2:$Y$2028,1)+COUNTIF($Y$2:Y1722,Y1722))-1,""))</f>
        <v/>
      </c>
      <c r="AA1722" s="134" t="str">
        <f t="shared" si="542"/>
        <v/>
      </c>
      <c r="AB1722" s="134" t="str">
        <f>IF(AA1722="","",IFERROR((RANK(AA1722,$AA$2:$AA$2028,1)+COUNTIF($AA$2:AA1722,AA1722))-1,""))</f>
        <v/>
      </c>
      <c r="AC1722" s="134" t="str">
        <f t="shared" si="543"/>
        <v/>
      </c>
      <c r="AD1722" s="134" t="str">
        <f>IF(AC1722="","",IFERROR((RANK(AC1722,$AC$2:$AC$2028,1)+COUNTIF($AC$2:AC1722,AC1722))-1,""))</f>
        <v/>
      </c>
      <c r="AE1722" s="144" t="str">
        <f t="shared" si="535"/>
        <v/>
      </c>
      <c r="AF1722" s="144" t="str">
        <f>IF(AE1722="","",SUM($AE$2:AE1722))</f>
        <v/>
      </c>
    </row>
    <row r="1723" spans="14:32" x14ac:dyDescent="0.35">
      <c r="N1723" s="134" t="str">
        <f t="shared" si="533"/>
        <v/>
      </c>
      <c r="O1723" s="82" t="str">
        <f t="shared" si="536"/>
        <v/>
      </c>
      <c r="P1723" s="81" t="str">
        <f t="shared" si="534"/>
        <v/>
      </c>
      <c r="Q1723" s="81" t="str">
        <f t="shared" si="537"/>
        <v/>
      </c>
      <c r="R1723" s="135" t="str">
        <f t="shared" ca="1" si="538"/>
        <v/>
      </c>
      <c r="S1723" s="134" t="str">
        <f t="shared" ca="1" si="539"/>
        <v/>
      </c>
      <c r="T1723" s="134" t="str">
        <f ca="1">IF(S1723=Dashboard!$D$12,S1723,"")</f>
        <v/>
      </c>
      <c r="U1723" s="134" t="str">
        <f t="shared" ca="1" si="540"/>
        <v/>
      </c>
      <c r="V1723" s="83" t="str">
        <f ca="1">IF(U1723="","",IFERROR((RANK(U1723,$U$2:$U$2028,1)+COUNTIF($U$2:U1723,U1723))-1,""))</f>
        <v/>
      </c>
      <c r="W1723" s="134" t="str">
        <f t="shared" si="544"/>
        <v/>
      </c>
      <c r="X1723" s="134" t="str">
        <f>IF(W1723="","",IFERROR((RANK(W1723,$W$2:$W$2028,1)+COUNTIF($W$2:W1723,W1723))-1,""))</f>
        <v/>
      </c>
      <c r="Y1723" s="134" t="str">
        <f t="shared" si="541"/>
        <v/>
      </c>
      <c r="Z1723" s="134" t="str">
        <f>IF(Y1723="","",IFERROR((RANK(Y1723,$Y$2:$Y$2028,1)+COUNTIF($Y$2:Y1723,Y1723))-1,""))</f>
        <v/>
      </c>
      <c r="AA1723" s="134" t="str">
        <f t="shared" si="542"/>
        <v/>
      </c>
      <c r="AB1723" s="134" t="str">
        <f>IF(AA1723="","",IFERROR((RANK(AA1723,$AA$2:$AA$2028,1)+COUNTIF($AA$2:AA1723,AA1723))-1,""))</f>
        <v/>
      </c>
      <c r="AC1723" s="134" t="str">
        <f t="shared" si="543"/>
        <v/>
      </c>
      <c r="AD1723" s="134" t="str">
        <f>IF(AC1723="","",IFERROR((RANK(AC1723,$AC$2:$AC$2028,1)+COUNTIF($AC$2:AC1723,AC1723))-1,""))</f>
        <v/>
      </c>
      <c r="AE1723" s="144" t="str">
        <f t="shared" si="535"/>
        <v/>
      </c>
      <c r="AF1723" s="144" t="str">
        <f>IF(AE1723="","",SUM($AE$2:AE1723))</f>
        <v/>
      </c>
    </row>
    <row r="1724" spans="14:32" x14ac:dyDescent="0.35">
      <c r="N1724" s="134" t="str">
        <f t="shared" si="533"/>
        <v/>
      </c>
      <c r="O1724" s="82" t="str">
        <f t="shared" si="536"/>
        <v/>
      </c>
      <c r="P1724" s="81" t="str">
        <f t="shared" si="534"/>
        <v/>
      </c>
      <c r="Q1724" s="81" t="str">
        <f t="shared" si="537"/>
        <v/>
      </c>
      <c r="R1724" s="135" t="str">
        <f t="shared" ca="1" si="538"/>
        <v/>
      </c>
      <c r="S1724" s="134" t="str">
        <f t="shared" ca="1" si="539"/>
        <v/>
      </c>
      <c r="T1724" s="134" t="str">
        <f ca="1">IF(S1724=Dashboard!$D$12,S1724,"")</f>
        <v/>
      </c>
      <c r="U1724" s="134" t="str">
        <f t="shared" ca="1" si="540"/>
        <v/>
      </c>
      <c r="V1724" s="83" t="str">
        <f ca="1">IF(U1724="","",IFERROR((RANK(U1724,$U$2:$U$2028,1)+COUNTIF($U$2:U1724,U1724))-1,""))</f>
        <v/>
      </c>
      <c r="W1724" s="134" t="str">
        <f t="shared" si="544"/>
        <v/>
      </c>
      <c r="X1724" s="134" t="str">
        <f>IF(W1724="","",IFERROR((RANK(W1724,$W$2:$W$2028,1)+COUNTIF($W$2:W1724,W1724))-1,""))</f>
        <v/>
      </c>
      <c r="Y1724" s="134" t="str">
        <f t="shared" si="541"/>
        <v/>
      </c>
      <c r="Z1724" s="134" t="str">
        <f>IF(Y1724="","",IFERROR((RANK(Y1724,$Y$2:$Y$2028,1)+COUNTIF($Y$2:Y1724,Y1724))-1,""))</f>
        <v/>
      </c>
      <c r="AA1724" s="134" t="str">
        <f t="shared" si="542"/>
        <v/>
      </c>
      <c r="AB1724" s="134" t="str">
        <f>IF(AA1724="","",IFERROR((RANK(AA1724,$AA$2:$AA$2028,1)+COUNTIF($AA$2:AA1724,AA1724))-1,""))</f>
        <v/>
      </c>
      <c r="AC1724" s="134" t="str">
        <f t="shared" si="543"/>
        <v/>
      </c>
      <c r="AD1724" s="134" t="str">
        <f>IF(AC1724="","",IFERROR((RANK(AC1724,$AC$2:$AC$2028,1)+COUNTIF($AC$2:AC1724,AC1724))-1,""))</f>
        <v/>
      </c>
      <c r="AE1724" s="144" t="str">
        <f t="shared" si="535"/>
        <v/>
      </c>
      <c r="AF1724" s="144" t="str">
        <f>IF(AE1724="","",SUM($AE$2:AE1724))</f>
        <v/>
      </c>
    </row>
    <row r="1725" spans="14:32" x14ac:dyDescent="0.35">
      <c r="N1725" s="134" t="str">
        <f t="shared" si="533"/>
        <v/>
      </c>
      <c r="O1725" s="82" t="str">
        <f t="shared" si="536"/>
        <v/>
      </c>
      <c r="P1725" s="81" t="str">
        <f t="shared" si="534"/>
        <v/>
      </c>
      <c r="Q1725" s="81" t="str">
        <f t="shared" si="537"/>
        <v/>
      </c>
      <c r="R1725" s="135" t="str">
        <f t="shared" ca="1" si="538"/>
        <v/>
      </c>
      <c r="S1725" s="134" t="str">
        <f t="shared" ca="1" si="539"/>
        <v/>
      </c>
      <c r="T1725" s="134" t="str">
        <f ca="1">IF(S1725=Dashboard!$D$12,S1725,"")</f>
        <v/>
      </c>
      <c r="U1725" s="134" t="str">
        <f t="shared" ca="1" si="540"/>
        <v/>
      </c>
      <c r="V1725" s="83" t="str">
        <f ca="1">IF(U1725="","",IFERROR((RANK(U1725,$U$2:$U$2028,1)+COUNTIF($U$2:U1725,U1725))-1,""))</f>
        <v/>
      </c>
      <c r="W1725" s="134" t="str">
        <f t="shared" si="544"/>
        <v/>
      </c>
      <c r="X1725" s="134" t="str">
        <f>IF(W1725="","",IFERROR((RANK(W1725,$W$2:$W$2028,1)+COUNTIF($W$2:W1725,W1725))-1,""))</f>
        <v/>
      </c>
      <c r="Y1725" s="134" t="str">
        <f t="shared" si="541"/>
        <v/>
      </c>
      <c r="Z1725" s="134" t="str">
        <f>IF(Y1725="","",IFERROR((RANK(Y1725,$Y$2:$Y$2028,1)+COUNTIF($Y$2:Y1725,Y1725))-1,""))</f>
        <v/>
      </c>
      <c r="AA1725" s="134" t="str">
        <f t="shared" si="542"/>
        <v/>
      </c>
      <c r="AB1725" s="134" t="str">
        <f>IF(AA1725="","",IFERROR((RANK(AA1725,$AA$2:$AA$2028,1)+COUNTIF($AA$2:AA1725,AA1725))-1,""))</f>
        <v/>
      </c>
      <c r="AC1725" s="134" t="str">
        <f t="shared" si="543"/>
        <v/>
      </c>
      <c r="AD1725" s="134" t="str">
        <f>IF(AC1725="","",IFERROR((RANK(AC1725,$AC$2:$AC$2028,1)+COUNTIF($AC$2:AC1725,AC1725))-1,""))</f>
        <v/>
      </c>
      <c r="AE1725" s="144" t="str">
        <f t="shared" si="535"/>
        <v/>
      </c>
      <c r="AF1725" s="144" t="str">
        <f>IF(AE1725="","",SUM($AE$2:AE1725))</f>
        <v/>
      </c>
    </row>
    <row r="1726" spans="14:32" x14ac:dyDescent="0.35">
      <c r="N1726" s="134" t="str">
        <f t="shared" si="533"/>
        <v/>
      </c>
      <c r="O1726" s="82" t="str">
        <f t="shared" si="536"/>
        <v/>
      </c>
      <c r="P1726" s="81" t="str">
        <f t="shared" si="534"/>
        <v/>
      </c>
      <c r="Q1726" s="81" t="str">
        <f t="shared" si="537"/>
        <v/>
      </c>
      <c r="R1726" s="135" t="str">
        <f t="shared" ca="1" si="538"/>
        <v/>
      </c>
      <c r="S1726" s="134" t="str">
        <f t="shared" ca="1" si="539"/>
        <v/>
      </c>
      <c r="T1726" s="134" t="str">
        <f ca="1">IF(S1726=Dashboard!$D$12,S1726,"")</f>
        <v/>
      </c>
      <c r="U1726" s="134" t="str">
        <f t="shared" ca="1" si="540"/>
        <v/>
      </c>
      <c r="V1726" s="83" t="str">
        <f ca="1">IF(U1726="","",IFERROR((RANK(U1726,$U$2:$U$2028,1)+COUNTIF($U$2:U1726,U1726))-1,""))</f>
        <v/>
      </c>
      <c r="W1726" s="134" t="str">
        <f t="shared" si="544"/>
        <v/>
      </c>
      <c r="X1726" s="134" t="str">
        <f>IF(W1726="","",IFERROR((RANK(W1726,$W$2:$W$2028,1)+COUNTIF($W$2:W1726,W1726))-1,""))</f>
        <v/>
      </c>
      <c r="Y1726" s="134" t="str">
        <f t="shared" si="541"/>
        <v/>
      </c>
      <c r="Z1726" s="134" t="str">
        <f>IF(Y1726="","",IFERROR((RANK(Y1726,$Y$2:$Y$2028,1)+COUNTIF($Y$2:Y1726,Y1726))-1,""))</f>
        <v/>
      </c>
      <c r="AA1726" s="134" t="str">
        <f t="shared" si="542"/>
        <v/>
      </c>
      <c r="AB1726" s="134" t="str">
        <f>IF(AA1726="","",IFERROR((RANK(AA1726,$AA$2:$AA$2028,1)+COUNTIF($AA$2:AA1726,AA1726))-1,""))</f>
        <v/>
      </c>
      <c r="AC1726" s="134" t="str">
        <f t="shared" si="543"/>
        <v/>
      </c>
      <c r="AD1726" s="134" t="str">
        <f>IF(AC1726="","",IFERROR((RANK(AC1726,$AC$2:$AC$2028,1)+COUNTIF($AC$2:AC1726,AC1726))-1,""))</f>
        <v/>
      </c>
      <c r="AE1726" s="144" t="str">
        <f t="shared" si="535"/>
        <v/>
      </c>
      <c r="AF1726" s="144" t="str">
        <f>IF(AE1726="","",SUM($AE$2:AE1726))</f>
        <v/>
      </c>
    </row>
    <row r="1727" spans="14:32" x14ac:dyDescent="0.35">
      <c r="N1727" s="134" t="str">
        <f t="shared" si="533"/>
        <v/>
      </c>
      <c r="O1727" s="82" t="str">
        <f t="shared" si="536"/>
        <v/>
      </c>
      <c r="P1727" s="81" t="str">
        <f t="shared" si="534"/>
        <v/>
      </c>
      <c r="Q1727" s="81" t="str">
        <f t="shared" si="537"/>
        <v/>
      </c>
      <c r="R1727" s="135" t="str">
        <f t="shared" ca="1" si="538"/>
        <v/>
      </c>
      <c r="S1727" s="134" t="str">
        <f t="shared" ca="1" si="539"/>
        <v/>
      </c>
      <c r="T1727" s="134" t="str">
        <f ca="1">IF(S1727=Dashboard!$D$12,S1727,"")</f>
        <v/>
      </c>
      <c r="U1727" s="134" t="str">
        <f t="shared" ca="1" si="540"/>
        <v/>
      </c>
      <c r="V1727" s="83" t="str">
        <f ca="1">IF(U1727="","",IFERROR((RANK(U1727,$U$2:$U$2028,1)+COUNTIF($U$2:U1727,U1727))-1,""))</f>
        <v/>
      </c>
      <c r="W1727" s="134" t="str">
        <f t="shared" si="544"/>
        <v/>
      </c>
      <c r="X1727" s="134" t="str">
        <f>IF(W1727="","",IFERROR((RANK(W1727,$W$2:$W$2028,1)+COUNTIF($W$2:W1727,W1727))-1,""))</f>
        <v/>
      </c>
      <c r="Y1727" s="134" t="str">
        <f t="shared" si="541"/>
        <v/>
      </c>
      <c r="Z1727" s="134" t="str">
        <f>IF(Y1727="","",IFERROR((RANK(Y1727,$Y$2:$Y$2028,1)+COUNTIF($Y$2:Y1727,Y1727))-1,""))</f>
        <v/>
      </c>
      <c r="AA1727" s="134" t="str">
        <f t="shared" si="542"/>
        <v/>
      </c>
      <c r="AB1727" s="134" t="str">
        <f>IF(AA1727="","",IFERROR((RANK(AA1727,$AA$2:$AA$2028,1)+COUNTIF($AA$2:AA1727,AA1727))-1,""))</f>
        <v/>
      </c>
      <c r="AC1727" s="134" t="str">
        <f t="shared" si="543"/>
        <v/>
      </c>
      <c r="AD1727" s="134" t="str">
        <f>IF(AC1727="","",IFERROR((RANK(AC1727,$AC$2:$AC$2028,1)+COUNTIF($AC$2:AC1727,AC1727))-1,""))</f>
        <v/>
      </c>
      <c r="AE1727" s="144" t="str">
        <f t="shared" si="535"/>
        <v/>
      </c>
      <c r="AF1727" s="144" t="str">
        <f>IF(AE1727="","",SUM($AE$2:AE1727))</f>
        <v/>
      </c>
    </row>
    <row r="1728" spans="14:32" x14ac:dyDescent="0.35">
      <c r="N1728" s="134" t="str">
        <f t="shared" si="533"/>
        <v/>
      </c>
      <c r="O1728" s="82" t="str">
        <f t="shared" si="536"/>
        <v/>
      </c>
      <c r="P1728" s="81" t="str">
        <f t="shared" si="534"/>
        <v/>
      </c>
      <c r="Q1728" s="81" t="str">
        <f t="shared" si="537"/>
        <v/>
      </c>
      <c r="R1728" s="135" t="str">
        <f t="shared" ca="1" si="538"/>
        <v/>
      </c>
      <c r="S1728" s="134" t="str">
        <f t="shared" ca="1" si="539"/>
        <v/>
      </c>
      <c r="T1728" s="134" t="str">
        <f ca="1">IF(S1728=Dashboard!$D$12,S1728,"")</f>
        <v/>
      </c>
      <c r="U1728" s="134" t="str">
        <f t="shared" ca="1" si="540"/>
        <v/>
      </c>
      <c r="V1728" s="83" t="str">
        <f ca="1">IF(U1728="","",IFERROR((RANK(U1728,$U$2:$U$2028,1)+COUNTIF($U$2:U1728,U1728))-1,""))</f>
        <v/>
      </c>
      <c r="W1728" s="134" t="str">
        <f t="shared" si="544"/>
        <v/>
      </c>
      <c r="X1728" s="134" t="str">
        <f>IF(W1728="","",IFERROR((RANK(W1728,$W$2:$W$2028,1)+COUNTIF($W$2:W1728,W1728))-1,""))</f>
        <v/>
      </c>
      <c r="Y1728" s="134" t="str">
        <f t="shared" si="541"/>
        <v/>
      </c>
      <c r="Z1728" s="134" t="str">
        <f>IF(Y1728="","",IFERROR((RANK(Y1728,$Y$2:$Y$2028,1)+COUNTIF($Y$2:Y1728,Y1728))-1,""))</f>
        <v/>
      </c>
      <c r="AA1728" s="134" t="str">
        <f t="shared" si="542"/>
        <v/>
      </c>
      <c r="AB1728" s="134" t="str">
        <f>IF(AA1728="","",IFERROR((RANK(AA1728,$AA$2:$AA$2028,1)+COUNTIF($AA$2:AA1728,AA1728))-1,""))</f>
        <v/>
      </c>
      <c r="AC1728" s="134" t="str">
        <f t="shared" si="543"/>
        <v/>
      </c>
      <c r="AD1728" s="134" t="str">
        <f>IF(AC1728="","",IFERROR((RANK(AC1728,$AC$2:$AC$2028,1)+COUNTIF($AC$2:AC1728,AC1728))-1,""))</f>
        <v/>
      </c>
      <c r="AE1728" s="144" t="str">
        <f t="shared" si="535"/>
        <v/>
      </c>
      <c r="AF1728" s="144" t="str">
        <f>IF(AE1728="","",SUM($AE$2:AE1728))</f>
        <v/>
      </c>
    </row>
    <row r="1729" spans="14:32" x14ac:dyDescent="0.35">
      <c r="N1729" s="134" t="str">
        <f t="shared" si="533"/>
        <v/>
      </c>
      <c r="O1729" s="82" t="str">
        <f t="shared" si="536"/>
        <v/>
      </c>
      <c r="P1729" s="81" t="str">
        <f t="shared" si="534"/>
        <v/>
      </c>
      <c r="Q1729" s="81" t="str">
        <f t="shared" si="537"/>
        <v/>
      </c>
      <c r="R1729" s="135" t="str">
        <f t="shared" ca="1" si="538"/>
        <v/>
      </c>
      <c r="S1729" s="134" t="str">
        <f t="shared" ca="1" si="539"/>
        <v/>
      </c>
      <c r="T1729" s="134" t="str">
        <f ca="1">IF(S1729=Dashboard!$D$12,S1729,"")</f>
        <v/>
      </c>
      <c r="U1729" s="134" t="str">
        <f t="shared" ca="1" si="540"/>
        <v/>
      </c>
      <c r="V1729" s="83" t="str">
        <f ca="1">IF(U1729="","",IFERROR((RANK(U1729,$U$2:$U$2028,1)+COUNTIF($U$2:U1729,U1729))-1,""))</f>
        <v/>
      </c>
      <c r="W1729" s="134" t="str">
        <f t="shared" si="544"/>
        <v/>
      </c>
      <c r="X1729" s="134" t="str">
        <f>IF(W1729="","",IFERROR((RANK(W1729,$W$2:$W$2028,1)+COUNTIF($W$2:W1729,W1729))-1,""))</f>
        <v/>
      </c>
      <c r="Y1729" s="134" t="str">
        <f t="shared" si="541"/>
        <v/>
      </c>
      <c r="Z1729" s="134" t="str">
        <f>IF(Y1729="","",IFERROR((RANK(Y1729,$Y$2:$Y$2028,1)+COUNTIF($Y$2:Y1729,Y1729))-1,""))</f>
        <v/>
      </c>
      <c r="AA1729" s="134" t="str">
        <f t="shared" si="542"/>
        <v/>
      </c>
      <c r="AB1729" s="134" t="str">
        <f>IF(AA1729="","",IFERROR((RANK(AA1729,$AA$2:$AA$2028,1)+COUNTIF($AA$2:AA1729,AA1729))-1,""))</f>
        <v/>
      </c>
      <c r="AC1729" s="134" t="str">
        <f t="shared" si="543"/>
        <v/>
      </c>
      <c r="AD1729" s="134" t="str">
        <f>IF(AC1729="","",IFERROR((RANK(AC1729,$AC$2:$AC$2028,1)+COUNTIF($AC$2:AC1729,AC1729))-1,""))</f>
        <v/>
      </c>
      <c r="AE1729" s="144" t="str">
        <f t="shared" si="535"/>
        <v/>
      </c>
      <c r="AF1729" s="144" t="str">
        <f>IF(AE1729="","",SUM($AE$2:AE1729))</f>
        <v/>
      </c>
    </row>
    <row r="1730" spans="14:32" x14ac:dyDescent="0.35">
      <c r="N1730" s="134" t="str">
        <f t="shared" ref="N1730:N1793" si="545">IF(A1730="","",COUNTIFS(M:M,M1730,H:H,"&lt;"&amp;H1730)+1)</f>
        <v/>
      </c>
      <c r="O1730" s="82" t="str">
        <f t="shared" si="536"/>
        <v/>
      </c>
      <c r="P1730" s="81" t="str">
        <f t="shared" ref="P1730:P1793" si="546">IF(A1730="","",COUNTIFS(M:M,M1730,H:H,"&gt;"&amp;H1730)+1)</f>
        <v/>
      </c>
      <c r="Q1730" s="81" t="str">
        <f t="shared" si="537"/>
        <v/>
      </c>
      <c r="R1730" s="135" t="str">
        <f t="shared" ca="1" si="538"/>
        <v/>
      </c>
      <c r="S1730" s="134" t="str">
        <f t="shared" ca="1" si="539"/>
        <v/>
      </c>
      <c r="T1730" s="134" t="str">
        <f ca="1">IF(S1730=Dashboard!$D$12,S1730,"")</f>
        <v/>
      </c>
      <c r="U1730" s="134" t="str">
        <f t="shared" ca="1" si="540"/>
        <v/>
      </c>
      <c r="V1730" s="83" t="str">
        <f ca="1">IF(U1730="","",IFERROR((RANK(U1730,$U$2:$U$2028,1)+COUNTIF($U$2:U1730,U1730))-1,""))</f>
        <v/>
      </c>
      <c r="W1730" s="134" t="str">
        <f t="shared" si="544"/>
        <v/>
      </c>
      <c r="X1730" s="134" t="str">
        <f>IF(W1730="","",IFERROR((RANK(W1730,$W$2:$W$2028,1)+COUNTIF($W$2:W1730,W1730))-1,""))</f>
        <v/>
      </c>
      <c r="Y1730" s="134" t="str">
        <f t="shared" si="541"/>
        <v/>
      </c>
      <c r="Z1730" s="134" t="str">
        <f>IF(Y1730="","",IFERROR((RANK(Y1730,$Y$2:$Y$2028,1)+COUNTIF($Y$2:Y1730,Y1730))-1,""))</f>
        <v/>
      </c>
      <c r="AA1730" s="134" t="str">
        <f t="shared" si="542"/>
        <v/>
      </c>
      <c r="AB1730" s="134" t="str">
        <f>IF(AA1730="","",IFERROR((RANK(AA1730,$AA$2:$AA$2028,1)+COUNTIF($AA$2:AA1730,AA1730))-1,""))</f>
        <v/>
      </c>
      <c r="AC1730" s="134" t="str">
        <f t="shared" si="543"/>
        <v/>
      </c>
      <c r="AD1730" s="134" t="str">
        <f>IF(AC1730="","",IFERROR((RANK(AC1730,$AC$2:$AC$2028,1)+COUNTIF($AC$2:AC1730,AC1730))-1,""))</f>
        <v/>
      </c>
      <c r="AE1730" s="144" t="str">
        <f t="shared" si="535"/>
        <v/>
      </c>
      <c r="AF1730" s="144" t="str">
        <f>IF(AE1730="","",SUM($AE$2:AE1730))</f>
        <v/>
      </c>
    </row>
    <row r="1731" spans="14:32" x14ac:dyDescent="0.35">
      <c r="N1731" s="134" t="str">
        <f t="shared" si="545"/>
        <v/>
      </c>
      <c r="O1731" s="82" t="str">
        <f t="shared" si="536"/>
        <v/>
      </c>
      <c r="P1731" s="81" t="str">
        <f t="shared" si="546"/>
        <v/>
      </c>
      <c r="Q1731" s="81" t="str">
        <f t="shared" si="537"/>
        <v/>
      </c>
      <c r="R1731" s="135" t="str">
        <f t="shared" ca="1" si="538"/>
        <v/>
      </c>
      <c r="S1731" s="134" t="str">
        <f t="shared" ca="1" si="539"/>
        <v/>
      </c>
      <c r="T1731" s="134" t="str">
        <f ca="1">IF(S1731=Dashboard!$D$12,S1731,"")</f>
        <v/>
      </c>
      <c r="U1731" s="134" t="str">
        <f t="shared" ca="1" si="540"/>
        <v/>
      </c>
      <c r="V1731" s="83" t="str">
        <f ca="1">IF(U1731="","",IFERROR((RANK(U1731,$U$2:$U$2028,1)+COUNTIF($U$2:U1731,U1731))-1,""))</f>
        <v/>
      </c>
      <c r="W1731" s="134" t="str">
        <f t="shared" si="544"/>
        <v/>
      </c>
      <c r="X1731" s="134" t="str">
        <f>IF(W1731="","",IFERROR((RANK(W1731,$W$2:$W$2028,1)+COUNTIF($W$2:W1731,W1731))-1,""))</f>
        <v/>
      </c>
      <c r="Y1731" s="134" t="str">
        <f t="shared" si="541"/>
        <v/>
      </c>
      <c r="Z1731" s="134" t="str">
        <f>IF(Y1731="","",IFERROR((RANK(Y1731,$Y$2:$Y$2028,1)+COUNTIF($Y$2:Y1731,Y1731))-1,""))</f>
        <v/>
      </c>
      <c r="AA1731" s="134" t="str">
        <f t="shared" si="542"/>
        <v/>
      </c>
      <c r="AB1731" s="134" t="str">
        <f>IF(AA1731="","",IFERROR((RANK(AA1731,$AA$2:$AA$2028,1)+COUNTIF($AA$2:AA1731,AA1731))-1,""))</f>
        <v/>
      </c>
      <c r="AC1731" s="134" t="str">
        <f t="shared" si="543"/>
        <v/>
      </c>
      <c r="AD1731" s="134" t="str">
        <f>IF(AC1731="","",IFERROR((RANK(AC1731,$AC$2:$AC$2028,1)+COUNTIF($AC$2:AC1731,AC1731))-1,""))</f>
        <v/>
      </c>
      <c r="AE1731" s="144" t="str">
        <f t="shared" si="535"/>
        <v/>
      </c>
      <c r="AF1731" s="144" t="str">
        <f>IF(AE1731="","",SUM($AE$2:AE1731))</f>
        <v/>
      </c>
    </row>
    <row r="1732" spans="14:32" x14ac:dyDescent="0.35">
      <c r="N1732" s="134" t="str">
        <f t="shared" si="545"/>
        <v/>
      </c>
      <c r="O1732" s="82" t="str">
        <f t="shared" si="536"/>
        <v/>
      </c>
      <c r="P1732" s="81" t="str">
        <f t="shared" si="546"/>
        <v/>
      </c>
      <c r="Q1732" s="81" t="str">
        <f t="shared" si="537"/>
        <v/>
      </c>
      <c r="R1732" s="135" t="str">
        <f t="shared" ca="1" si="538"/>
        <v/>
      </c>
      <c r="S1732" s="134" t="str">
        <f t="shared" ca="1" si="539"/>
        <v/>
      </c>
      <c r="T1732" s="134" t="str">
        <f ca="1">IF(S1732=Dashboard!$D$12,S1732,"")</f>
        <v/>
      </c>
      <c r="U1732" s="134" t="str">
        <f t="shared" ca="1" si="540"/>
        <v/>
      </c>
      <c r="V1732" s="83" t="str">
        <f ca="1">IF(U1732="","",IFERROR((RANK(U1732,$U$2:$U$2028,1)+COUNTIF($U$2:U1732,U1732))-1,""))</f>
        <v/>
      </c>
      <c r="W1732" s="134" t="str">
        <f t="shared" si="544"/>
        <v/>
      </c>
      <c r="X1732" s="134" t="str">
        <f>IF(W1732="","",IFERROR((RANK(W1732,$W$2:$W$2028,1)+COUNTIF($W$2:W1732,W1732))-1,""))</f>
        <v/>
      </c>
      <c r="Y1732" s="134" t="str">
        <f t="shared" si="541"/>
        <v/>
      </c>
      <c r="Z1732" s="134" t="str">
        <f>IF(Y1732="","",IFERROR((RANK(Y1732,$Y$2:$Y$2028,1)+COUNTIF($Y$2:Y1732,Y1732))-1,""))</f>
        <v/>
      </c>
      <c r="AA1732" s="134" t="str">
        <f t="shared" si="542"/>
        <v/>
      </c>
      <c r="AB1732" s="134" t="str">
        <f>IF(AA1732="","",IFERROR((RANK(AA1732,$AA$2:$AA$2028,1)+COUNTIF($AA$2:AA1732,AA1732))-1,""))</f>
        <v/>
      </c>
      <c r="AC1732" s="134" t="str">
        <f t="shared" si="543"/>
        <v/>
      </c>
      <c r="AD1732" s="134" t="str">
        <f>IF(AC1732="","",IFERROR((RANK(AC1732,$AC$2:$AC$2028,1)+COUNTIF($AC$2:AC1732,AC1732))-1,""))</f>
        <v/>
      </c>
      <c r="AE1732" s="144" t="str">
        <f t="shared" si="535"/>
        <v/>
      </c>
      <c r="AF1732" s="144" t="str">
        <f>IF(AE1732="","",SUM($AE$2:AE1732))</f>
        <v/>
      </c>
    </row>
    <row r="1733" spans="14:32" x14ac:dyDescent="0.35">
      <c r="N1733" s="134" t="str">
        <f t="shared" si="545"/>
        <v/>
      </c>
      <c r="O1733" s="82" t="str">
        <f t="shared" si="536"/>
        <v/>
      </c>
      <c r="P1733" s="81" t="str">
        <f t="shared" si="546"/>
        <v/>
      </c>
      <c r="Q1733" s="81" t="str">
        <f t="shared" si="537"/>
        <v/>
      </c>
      <c r="R1733" s="135" t="str">
        <f t="shared" ca="1" si="538"/>
        <v/>
      </c>
      <c r="S1733" s="134" t="str">
        <f t="shared" ca="1" si="539"/>
        <v/>
      </c>
      <c r="T1733" s="134" t="str">
        <f ca="1">IF(S1733=Dashboard!$D$12,S1733,"")</f>
        <v/>
      </c>
      <c r="U1733" s="134" t="str">
        <f t="shared" ca="1" si="540"/>
        <v/>
      </c>
      <c r="V1733" s="83" t="str">
        <f ca="1">IF(U1733="","",IFERROR((RANK(U1733,$U$2:$U$2028,1)+COUNTIF($U$2:U1733,U1733))-1,""))</f>
        <v/>
      </c>
      <c r="W1733" s="134" t="str">
        <f t="shared" si="544"/>
        <v/>
      </c>
      <c r="X1733" s="134" t="str">
        <f>IF(W1733="","",IFERROR((RANK(W1733,$W$2:$W$2028,1)+COUNTIF($W$2:W1733,W1733))-1,""))</f>
        <v/>
      </c>
      <c r="Y1733" s="134" t="str">
        <f t="shared" si="541"/>
        <v/>
      </c>
      <c r="Z1733" s="134" t="str">
        <f>IF(Y1733="","",IFERROR((RANK(Y1733,$Y$2:$Y$2028,1)+COUNTIF($Y$2:Y1733,Y1733))-1,""))</f>
        <v/>
      </c>
      <c r="AA1733" s="134" t="str">
        <f t="shared" si="542"/>
        <v/>
      </c>
      <c r="AB1733" s="134" t="str">
        <f>IF(AA1733="","",IFERROR((RANK(AA1733,$AA$2:$AA$2028,1)+COUNTIF($AA$2:AA1733,AA1733))-1,""))</f>
        <v/>
      </c>
      <c r="AC1733" s="134" t="str">
        <f t="shared" si="543"/>
        <v/>
      </c>
      <c r="AD1733" s="134" t="str">
        <f>IF(AC1733="","",IFERROR((RANK(AC1733,$AC$2:$AC$2028,1)+COUNTIF($AC$2:AC1733,AC1733))-1,""))</f>
        <v/>
      </c>
      <c r="AE1733" s="144" t="str">
        <f t="shared" si="535"/>
        <v/>
      </c>
      <c r="AF1733" s="144" t="str">
        <f>IF(AE1733="","",SUM($AE$2:AE1733))</f>
        <v/>
      </c>
    </row>
    <row r="1734" spans="14:32" x14ac:dyDescent="0.35">
      <c r="N1734" s="134" t="str">
        <f t="shared" si="545"/>
        <v/>
      </c>
      <c r="O1734" s="82" t="str">
        <f t="shared" si="536"/>
        <v/>
      </c>
      <c r="P1734" s="81" t="str">
        <f t="shared" si="546"/>
        <v/>
      </c>
      <c r="Q1734" s="81" t="str">
        <f t="shared" si="537"/>
        <v/>
      </c>
      <c r="R1734" s="135" t="str">
        <f t="shared" ca="1" si="538"/>
        <v/>
      </c>
      <c r="S1734" s="134" t="str">
        <f t="shared" ca="1" si="539"/>
        <v/>
      </c>
      <c r="T1734" s="134" t="str">
        <f ca="1">IF(S1734=Dashboard!$D$12,S1734,"")</f>
        <v/>
      </c>
      <c r="U1734" s="134" t="str">
        <f t="shared" ca="1" si="540"/>
        <v/>
      </c>
      <c r="V1734" s="83" t="str">
        <f ca="1">IF(U1734="","",IFERROR((RANK(U1734,$U$2:$U$2028,1)+COUNTIF($U$2:U1734,U1734))-1,""))</f>
        <v/>
      </c>
      <c r="W1734" s="134" t="str">
        <f t="shared" si="544"/>
        <v/>
      </c>
      <c r="X1734" s="134" t="str">
        <f>IF(W1734="","",IFERROR((RANK(W1734,$W$2:$W$2028,1)+COUNTIF($W$2:W1734,W1734))-1,""))</f>
        <v/>
      </c>
      <c r="Y1734" s="134" t="str">
        <f t="shared" si="541"/>
        <v/>
      </c>
      <c r="Z1734" s="134" t="str">
        <f>IF(Y1734="","",IFERROR((RANK(Y1734,$Y$2:$Y$2028,1)+COUNTIF($Y$2:Y1734,Y1734))-1,""))</f>
        <v/>
      </c>
      <c r="AA1734" s="134" t="str">
        <f t="shared" si="542"/>
        <v/>
      </c>
      <c r="AB1734" s="134" t="str">
        <f>IF(AA1734="","",IFERROR((RANK(AA1734,$AA$2:$AA$2028,1)+COUNTIF($AA$2:AA1734,AA1734))-1,""))</f>
        <v/>
      </c>
      <c r="AC1734" s="134" t="str">
        <f t="shared" si="543"/>
        <v/>
      </c>
      <c r="AD1734" s="134" t="str">
        <f>IF(AC1734="","",IFERROR((RANK(AC1734,$AC$2:$AC$2028,1)+COUNTIF($AC$2:AC1734,AC1734))-1,""))</f>
        <v/>
      </c>
      <c r="AE1734" s="144" t="str">
        <f t="shared" si="535"/>
        <v/>
      </c>
      <c r="AF1734" s="144" t="str">
        <f>IF(AE1734="","",SUM($AE$2:AE1734))</f>
        <v/>
      </c>
    </row>
    <row r="1735" spans="14:32" x14ac:dyDescent="0.35">
      <c r="N1735" s="134" t="str">
        <f t="shared" si="545"/>
        <v/>
      </c>
      <c r="O1735" s="82" t="str">
        <f t="shared" si="536"/>
        <v/>
      </c>
      <c r="P1735" s="81" t="str">
        <f t="shared" si="546"/>
        <v/>
      </c>
      <c r="Q1735" s="81" t="str">
        <f t="shared" si="537"/>
        <v/>
      </c>
      <c r="R1735" s="135" t="str">
        <f t="shared" ca="1" si="538"/>
        <v/>
      </c>
      <c r="S1735" s="134" t="str">
        <f t="shared" ca="1" si="539"/>
        <v/>
      </c>
      <c r="T1735" s="134" t="str">
        <f ca="1">IF(S1735=Dashboard!$D$12,S1735,"")</f>
        <v/>
      </c>
      <c r="U1735" s="134" t="str">
        <f t="shared" ca="1" si="540"/>
        <v/>
      </c>
      <c r="V1735" s="83" t="str">
        <f ca="1">IF(U1735="","",IFERROR((RANK(U1735,$U$2:$U$2028,1)+COUNTIF($U$2:U1735,U1735))-1,""))</f>
        <v/>
      </c>
      <c r="W1735" s="134" t="str">
        <f t="shared" si="544"/>
        <v/>
      </c>
      <c r="X1735" s="134" t="str">
        <f>IF(W1735="","",IFERROR((RANK(W1735,$W$2:$W$2028,1)+COUNTIF($W$2:W1735,W1735))-1,""))</f>
        <v/>
      </c>
      <c r="Y1735" s="134" t="str">
        <f t="shared" si="541"/>
        <v/>
      </c>
      <c r="Z1735" s="134" t="str">
        <f>IF(Y1735="","",IFERROR((RANK(Y1735,$Y$2:$Y$2028,1)+COUNTIF($Y$2:Y1735,Y1735))-1,""))</f>
        <v/>
      </c>
      <c r="AA1735" s="134" t="str">
        <f t="shared" si="542"/>
        <v/>
      </c>
      <c r="AB1735" s="134" t="str">
        <f>IF(AA1735="","",IFERROR((RANK(AA1735,$AA$2:$AA$2028,1)+COUNTIF($AA$2:AA1735,AA1735))-1,""))</f>
        <v/>
      </c>
      <c r="AC1735" s="134" t="str">
        <f t="shared" si="543"/>
        <v/>
      </c>
      <c r="AD1735" s="134" t="str">
        <f>IF(AC1735="","",IFERROR((RANK(AC1735,$AC$2:$AC$2028,1)+COUNTIF($AC$2:AC1735,AC1735))-1,""))</f>
        <v/>
      </c>
      <c r="AE1735" s="144" t="str">
        <f t="shared" ref="AE1735:AE1798" si="547">IF(P1735=1,P1735,"")</f>
        <v/>
      </c>
      <c r="AF1735" s="144" t="str">
        <f>IF(AE1735="","",SUM($AE$2:AE1735))</f>
        <v/>
      </c>
    </row>
    <row r="1736" spans="14:32" x14ac:dyDescent="0.35">
      <c r="N1736" s="134" t="str">
        <f t="shared" si="545"/>
        <v/>
      </c>
      <c r="O1736" s="82" t="str">
        <f t="shared" si="536"/>
        <v/>
      </c>
      <c r="P1736" s="81" t="str">
        <f t="shared" si="546"/>
        <v/>
      </c>
      <c r="Q1736" s="81" t="str">
        <f t="shared" si="537"/>
        <v/>
      </c>
      <c r="R1736" s="135" t="str">
        <f t="shared" ca="1" si="538"/>
        <v/>
      </c>
      <c r="S1736" s="134" t="str">
        <f t="shared" ca="1" si="539"/>
        <v/>
      </c>
      <c r="T1736" s="134" t="str">
        <f ca="1">IF(S1736=Dashboard!$D$12,S1736,"")</f>
        <v/>
      </c>
      <c r="U1736" s="134" t="str">
        <f t="shared" ca="1" si="540"/>
        <v/>
      </c>
      <c r="V1736" s="83" t="str">
        <f ca="1">IF(U1736="","",IFERROR((RANK(U1736,$U$2:$U$2028,1)+COUNTIF($U$2:U1736,U1736))-1,""))</f>
        <v/>
      </c>
      <c r="W1736" s="134" t="str">
        <f t="shared" si="544"/>
        <v/>
      </c>
      <c r="X1736" s="134" t="str">
        <f>IF(W1736="","",IFERROR((RANK(W1736,$W$2:$W$2028,1)+COUNTIF($W$2:W1736,W1736))-1,""))</f>
        <v/>
      </c>
      <c r="Y1736" s="134" t="str">
        <f t="shared" si="541"/>
        <v/>
      </c>
      <c r="Z1736" s="134" t="str">
        <f>IF(Y1736="","",IFERROR((RANK(Y1736,$Y$2:$Y$2028,1)+COUNTIF($Y$2:Y1736,Y1736))-1,""))</f>
        <v/>
      </c>
      <c r="AA1736" s="134" t="str">
        <f t="shared" si="542"/>
        <v/>
      </c>
      <c r="AB1736" s="134" t="str">
        <f>IF(AA1736="","",IFERROR((RANK(AA1736,$AA$2:$AA$2028,1)+COUNTIF($AA$2:AA1736,AA1736))-1,""))</f>
        <v/>
      </c>
      <c r="AC1736" s="134" t="str">
        <f t="shared" si="543"/>
        <v/>
      </c>
      <c r="AD1736" s="134" t="str">
        <f>IF(AC1736="","",IFERROR((RANK(AC1736,$AC$2:$AC$2028,1)+COUNTIF($AC$2:AC1736,AC1736))-1,""))</f>
        <v/>
      </c>
      <c r="AE1736" s="144" t="str">
        <f t="shared" si="547"/>
        <v/>
      </c>
      <c r="AF1736" s="144" t="str">
        <f>IF(AE1736="","",SUM($AE$2:AE1736))</f>
        <v/>
      </c>
    </row>
    <row r="1737" spans="14:32" x14ac:dyDescent="0.35">
      <c r="N1737" s="134" t="str">
        <f t="shared" si="545"/>
        <v/>
      </c>
      <c r="O1737" s="82" t="str">
        <f t="shared" si="536"/>
        <v/>
      </c>
      <c r="P1737" s="81" t="str">
        <f t="shared" si="546"/>
        <v/>
      </c>
      <c r="Q1737" s="81" t="str">
        <f t="shared" si="537"/>
        <v/>
      </c>
      <c r="R1737" s="135" t="str">
        <f t="shared" ca="1" si="538"/>
        <v/>
      </c>
      <c r="S1737" s="134" t="str">
        <f t="shared" ca="1" si="539"/>
        <v/>
      </c>
      <c r="T1737" s="134" t="str">
        <f ca="1">IF(S1737=Dashboard!$D$12,S1737,"")</f>
        <v/>
      </c>
      <c r="U1737" s="134" t="str">
        <f t="shared" ca="1" si="540"/>
        <v/>
      </c>
      <c r="V1737" s="83" t="str">
        <f ca="1">IF(U1737="","",IFERROR((RANK(U1737,$U$2:$U$2028,1)+COUNTIF($U$2:U1737,U1737))-1,""))</f>
        <v/>
      </c>
      <c r="W1737" s="134" t="str">
        <f t="shared" si="544"/>
        <v/>
      </c>
      <c r="X1737" s="134" t="str">
        <f>IF(W1737="","",IFERROR((RANK(W1737,$W$2:$W$2028,1)+COUNTIF($W$2:W1737,W1737))-1,""))</f>
        <v/>
      </c>
      <c r="Y1737" s="134" t="str">
        <f t="shared" si="541"/>
        <v/>
      </c>
      <c r="Z1737" s="134" t="str">
        <f>IF(Y1737="","",IFERROR((RANK(Y1737,$Y$2:$Y$2028,1)+COUNTIF($Y$2:Y1737,Y1737))-1,""))</f>
        <v/>
      </c>
      <c r="AA1737" s="134" t="str">
        <f t="shared" si="542"/>
        <v/>
      </c>
      <c r="AB1737" s="134" t="str">
        <f>IF(AA1737="","",IFERROR((RANK(AA1737,$AA$2:$AA$2028,1)+COUNTIF($AA$2:AA1737,AA1737))-1,""))</f>
        <v/>
      </c>
      <c r="AC1737" s="134" t="str">
        <f t="shared" si="543"/>
        <v/>
      </c>
      <c r="AD1737" s="134" t="str">
        <f>IF(AC1737="","",IFERROR((RANK(AC1737,$AC$2:$AC$2028,1)+COUNTIF($AC$2:AC1737,AC1737))-1,""))</f>
        <v/>
      </c>
      <c r="AE1737" s="144" t="str">
        <f t="shared" si="547"/>
        <v/>
      </c>
      <c r="AF1737" s="144" t="str">
        <f>IF(AE1737="","",SUM($AE$2:AE1737))</f>
        <v/>
      </c>
    </row>
    <row r="1738" spans="14:32" x14ac:dyDescent="0.35">
      <c r="N1738" s="134" t="str">
        <f t="shared" si="545"/>
        <v/>
      </c>
      <c r="O1738" s="82" t="str">
        <f t="shared" si="536"/>
        <v/>
      </c>
      <c r="P1738" s="81" t="str">
        <f t="shared" si="546"/>
        <v/>
      </c>
      <c r="Q1738" s="81" t="str">
        <f t="shared" si="537"/>
        <v/>
      </c>
      <c r="R1738" s="135" t="str">
        <f t="shared" ca="1" si="538"/>
        <v/>
      </c>
      <c r="S1738" s="134" t="str">
        <f t="shared" ca="1" si="539"/>
        <v/>
      </c>
      <c r="T1738" s="134" t="str">
        <f ca="1">IF(S1738=Dashboard!$D$12,S1738,"")</f>
        <v/>
      </c>
      <c r="U1738" s="134" t="str">
        <f t="shared" ca="1" si="540"/>
        <v/>
      </c>
      <c r="V1738" s="83" t="str">
        <f ca="1">IF(U1738="","",IFERROR((RANK(U1738,$U$2:$U$2028,1)+COUNTIF($U$2:U1738,U1738))-1,""))</f>
        <v/>
      </c>
      <c r="W1738" s="134" t="str">
        <f t="shared" si="544"/>
        <v/>
      </c>
      <c r="X1738" s="134" t="str">
        <f>IF(W1738="","",IFERROR((RANK(W1738,$W$2:$W$2028,1)+COUNTIF($W$2:W1738,W1738))-1,""))</f>
        <v/>
      </c>
      <c r="Y1738" s="134" t="str">
        <f t="shared" si="541"/>
        <v/>
      </c>
      <c r="Z1738" s="134" t="str">
        <f>IF(Y1738="","",IFERROR((RANK(Y1738,$Y$2:$Y$2028,1)+COUNTIF($Y$2:Y1738,Y1738))-1,""))</f>
        <v/>
      </c>
      <c r="AA1738" s="134" t="str">
        <f t="shared" si="542"/>
        <v/>
      </c>
      <c r="AB1738" s="134" t="str">
        <f>IF(AA1738="","",IFERROR((RANK(AA1738,$AA$2:$AA$2028,1)+COUNTIF($AA$2:AA1738,AA1738))-1,""))</f>
        <v/>
      </c>
      <c r="AC1738" s="134" t="str">
        <f t="shared" si="543"/>
        <v/>
      </c>
      <c r="AD1738" s="134" t="str">
        <f>IF(AC1738="","",IFERROR((RANK(AC1738,$AC$2:$AC$2028,1)+COUNTIF($AC$2:AC1738,AC1738))-1,""))</f>
        <v/>
      </c>
      <c r="AE1738" s="144" t="str">
        <f t="shared" si="547"/>
        <v/>
      </c>
      <c r="AF1738" s="144" t="str">
        <f>IF(AE1738="","",SUM($AE$2:AE1738))</f>
        <v/>
      </c>
    </row>
    <row r="1739" spans="14:32" x14ac:dyDescent="0.35">
      <c r="N1739" s="134" t="str">
        <f t="shared" si="545"/>
        <v/>
      </c>
      <c r="O1739" s="82" t="str">
        <f t="shared" si="536"/>
        <v/>
      </c>
      <c r="P1739" s="81" t="str">
        <f t="shared" si="546"/>
        <v/>
      </c>
      <c r="Q1739" s="81" t="str">
        <f t="shared" si="537"/>
        <v/>
      </c>
      <c r="R1739" s="135" t="str">
        <f t="shared" ca="1" si="538"/>
        <v/>
      </c>
      <c r="S1739" s="134" t="str">
        <f t="shared" ca="1" si="539"/>
        <v/>
      </c>
      <c r="T1739" s="134" t="str">
        <f ca="1">IF(S1739=Dashboard!$D$12,S1739,"")</f>
        <v/>
      </c>
      <c r="U1739" s="134" t="str">
        <f t="shared" ca="1" si="540"/>
        <v/>
      </c>
      <c r="V1739" s="83" t="str">
        <f ca="1">IF(U1739="","",IFERROR((RANK(U1739,$U$2:$U$2028,1)+COUNTIF($U$2:U1739,U1739))-1,""))</f>
        <v/>
      </c>
      <c r="W1739" s="134" t="str">
        <f t="shared" si="544"/>
        <v/>
      </c>
      <c r="X1739" s="134" t="str">
        <f>IF(W1739="","",IFERROR((RANK(W1739,$W$2:$W$2028,1)+COUNTIF($W$2:W1739,W1739))-1,""))</f>
        <v/>
      </c>
      <c r="Y1739" s="134" t="str">
        <f t="shared" si="541"/>
        <v/>
      </c>
      <c r="Z1739" s="134" t="str">
        <f>IF(Y1739="","",IFERROR((RANK(Y1739,$Y$2:$Y$2028,1)+COUNTIF($Y$2:Y1739,Y1739))-1,""))</f>
        <v/>
      </c>
      <c r="AA1739" s="134" t="str">
        <f t="shared" si="542"/>
        <v/>
      </c>
      <c r="AB1739" s="134" t="str">
        <f>IF(AA1739="","",IFERROR((RANK(AA1739,$AA$2:$AA$2028,1)+COUNTIF($AA$2:AA1739,AA1739))-1,""))</f>
        <v/>
      </c>
      <c r="AC1739" s="134" t="str">
        <f t="shared" si="543"/>
        <v/>
      </c>
      <c r="AD1739" s="134" t="str">
        <f>IF(AC1739="","",IFERROR((RANK(AC1739,$AC$2:$AC$2028,1)+COUNTIF($AC$2:AC1739,AC1739))-1,""))</f>
        <v/>
      </c>
      <c r="AE1739" s="144" t="str">
        <f t="shared" si="547"/>
        <v/>
      </c>
      <c r="AF1739" s="144" t="str">
        <f>IF(AE1739="","",SUM($AE$2:AE1739))</f>
        <v/>
      </c>
    </row>
    <row r="1740" spans="14:32" x14ac:dyDescent="0.35">
      <c r="N1740" s="134" t="str">
        <f t="shared" si="545"/>
        <v/>
      </c>
      <c r="O1740" s="82" t="str">
        <f t="shared" si="536"/>
        <v/>
      </c>
      <c r="P1740" s="81" t="str">
        <f t="shared" si="546"/>
        <v/>
      </c>
      <c r="Q1740" s="81" t="str">
        <f t="shared" si="537"/>
        <v/>
      </c>
      <c r="R1740" s="135" t="str">
        <f t="shared" ca="1" si="538"/>
        <v/>
      </c>
      <c r="S1740" s="134" t="str">
        <f t="shared" ca="1" si="539"/>
        <v/>
      </c>
      <c r="T1740" s="134" t="str">
        <f ca="1">IF(S1740=Dashboard!$D$12,S1740,"")</f>
        <v/>
      </c>
      <c r="U1740" s="134" t="str">
        <f t="shared" ca="1" si="540"/>
        <v/>
      </c>
      <c r="V1740" s="83" t="str">
        <f ca="1">IF(U1740="","",IFERROR((RANK(U1740,$U$2:$U$2028,1)+COUNTIF($U$2:U1740,U1740))-1,""))</f>
        <v/>
      </c>
      <c r="W1740" s="134" t="str">
        <f t="shared" si="544"/>
        <v/>
      </c>
      <c r="X1740" s="134" t="str">
        <f>IF(W1740="","",IFERROR((RANK(W1740,$W$2:$W$2028,1)+COUNTIF($W$2:W1740,W1740))-1,""))</f>
        <v/>
      </c>
      <c r="Y1740" s="134" t="str">
        <f t="shared" si="541"/>
        <v/>
      </c>
      <c r="Z1740" s="134" t="str">
        <f>IF(Y1740="","",IFERROR((RANK(Y1740,$Y$2:$Y$2028,1)+COUNTIF($Y$2:Y1740,Y1740))-1,""))</f>
        <v/>
      </c>
      <c r="AA1740" s="134" t="str">
        <f t="shared" si="542"/>
        <v/>
      </c>
      <c r="AB1740" s="134" t="str">
        <f>IF(AA1740="","",IFERROR((RANK(AA1740,$AA$2:$AA$2028,1)+COUNTIF($AA$2:AA1740,AA1740))-1,""))</f>
        <v/>
      </c>
      <c r="AC1740" s="134" t="str">
        <f t="shared" si="543"/>
        <v/>
      </c>
      <c r="AD1740" s="134" t="str">
        <f>IF(AC1740="","",IFERROR((RANK(AC1740,$AC$2:$AC$2028,1)+COUNTIF($AC$2:AC1740,AC1740))-1,""))</f>
        <v/>
      </c>
      <c r="AE1740" s="144" t="str">
        <f t="shared" si="547"/>
        <v/>
      </c>
      <c r="AF1740" s="144" t="str">
        <f>IF(AE1740="","",SUM($AE$2:AE1740))</f>
        <v/>
      </c>
    </row>
    <row r="1741" spans="14:32" x14ac:dyDescent="0.35">
      <c r="N1741" s="134" t="str">
        <f t="shared" si="545"/>
        <v/>
      </c>
      <c r="O1741" s="82" t="str">
        <f t="shared" si="536"/>
        <v/>
      </c>
      <c r="P1741" s="81" t="str">
        <f t="shared" si="546"/>
        <v/>
      </c>
      <c r="Q1741" s="81" t="str">
        <f t="shared" si="537"/>
        <v/>
      </c>
      <c r="R1741" s="135" t="str">
        <f t="shared" ca="1" si="538"/>
        <v/>
      </c>
      <c r="S1741" s="134" t="str">
        <f t="shared" ca="1" si="539"/>
        <v/>
      </c>
      <c r="T1741" s="134" t="str">
        <f ca="1">IF(S1741=Dashboard!$D$12,S1741,"")</f>
        <v/>
      </c>
      <c r="U1741" s="134" t="str">
        <f t="shared" ca="1" si="540"/>
        <v/>
      </c>
      <c r="V1741" s="83" t="str">
        <f ca="1">IF(U1741="","",IFERROR((RANK(U1741,$U$2:$U$2028,1)+COUNTIF($U$2:U1741,U1741))-1,""))</f>
        <v/>
      </c>
      <c r="W1741" s="134" t="str">
        <f t="shared" si="544"/>
        <v/>
      </c>
      <c r="X1741" s="134" t="str">
        <f>IF(W1741="","",IFERROR((RANK(W1741,$W$2:$W$2028,1)+COUNTIF($W$2:W1741,W1741))-1,""))</f>
        <v/>
      </c>
      <c r="Y1741" s="134" t="str">
        <f t="shared" si="541"/>
        <v/>
      </c>
      <c r="Z1741" s="134" t="str">
        <f>IF(Y1741="","",IFERROR((RANK(Y1741,$Y$2:$Y$2028,1)+COUNTIF($Y$2:Y1741,Y1741))-1,""))</f>
        <v/>
      </c>
      <c r="AA1741" s="134" t="str">
        <f t="shared" si="542"/>
        <v/>
      </c>
      <c r="AB1741" s="134" t="str">
        <f>IF(AA1741="","",IFERROR((RANK(AA1741,$AA$2:$AA$2028,1)+COUNTIF($AA$2:AA1741,AA1741))-1,""))</f>
        <v/>
      </c>
      <c r="AC1741" s="134" t="str">
        <f t="shared" si="543"/>
        <v/>
      </c>
      <c r="AD1741" s="134" t="str">
        <f>IF(AC1741="","",IFERROR((RANK(AC1741,$AC$2:$AC$2028,1)+COUNTIF($AC$2:AC1741,AC1741))-1,""))</f>
        <v/>
      </c>
      <c r="AE1741" s="144" t="str">
        <f t="shared" si="547"/>
        <v/>
      </c>
      <c r="AF1741" s="144" t="str">
        <f>IF(AE1741="","",SUM($AE$2:AE1741))</f>
        <v/>
      </c>
    </row>
    <row r="1742" spans="14:32" x14ac:dyDescent="0.35">
      <c r="N1742" s="134" t="str">
        <f t="shared" si="545"/>
        <v/>
      </c>
      <c r="O1742" s="82" t="str">
        <f t="shared" si="536"/>
        <v/>
      </c>
      <c r="P1742" s="81" t="str">
        <f t="shared" si="546"/>
        <v/>
      </c>
      <c r="Q1742" s="81" t="str">
        <f t="shared" si="537"/>
        <v/>
      </c>
      <c r="R1742" s="135" t="str">
        <f t="shared" ca="1" si="538"/>
        <v/>
      </c>
      <c r="S1742" s="134" t="str">
        <f t="shared" ca="1" si="539"/>
        <v/>
      </c>
      <c r="T1742" s="134" t="str">
        <f ca="1">IF(S1742=Dashboard!$D$12,S1742,"")</f>
        <v/>
      </c>
      <c r="U1742" s="134" t="str">
        <f t="shared" ca="1" si="540"/>
        <v/>
      </c>
      <c r="V1742" s="83" t="str">
        <f ca="1">IF(U1742="","",IFERROR((RANK(U1742,$U$2:$U$2028,1)+COUNTIF($U$2:U1742,U1742))-1,""))</f>
        <v/>
      </c>
      <c r="W1742" s="134" t="str">
        <f t="shared" si="544"/>
        <v/>
      </c>
      <c r="X1742" s="134" t="str">
        <f>IF(W1742="","",IFERROR((RANK(W1742,$W$2:$W$2028,1)+COUNTIF($W$2:W1742,W1742))-1,""))</f>
        <v/>
      </c>
      <c r="Y1742" s="134" t="str">
        <f t="shared" si="541"/>
        <v/>
      </c>
      <c r="Z1742" s="134" t="str">
        <f>IF(Y1742="","",IFERROR((RANK(Y1742,$Y$2:$Y$2028,1)+COUNTIF($Y$2:Y1742,Y1742))-1,""))</f>
        <v/>
      </c>
      <c r="AA1742" s="134" t="str">
        <f t="shared" si="542"/>
        <v/>
      </c>
      <c r="AB1742" s="134" t="str">
        <f>IF(AA1742="","",IFERROR((RANK(AA1742,$AA$2:$AA$2028,1)+COUNTIF($AA$2:AA1742,AA1742))-1,""))</f>
        <v/>
      </c>
      <c r="AC1742" s="134" t="str">
        <f t="shared" si="543"/>
        <v/>
      </c>
      <c r="AD1742" s="134" t="str">
        <f>IF(AC1742="","",IFERROR((RANK(AC1742,$AC$2:$AC$2028,1)+COUNTIF($AC$2:AC1742,AC1742))-1,""))</f>
        <v/>
      </c>
      <c r="AE1742" s="144" t="str">
        <f t="shared" si="547"/>
        <v/>
      </c>
      <c r="AF1742" s="144" t="str">
        <f>IF(AE1742="","",SUM($AE$2:AE1742))</f>
        <v/>
      </c>
    </row>
    <row r="1743" spans="14:32" x14ac:dyDescent="0.35">
      <c r="N1743" s="134" t="str">
        <f t="shared" si="545"/>
        <v/>
      </c>
      <c r="O1743" s="82" t="str">
        <f t="shared" si="536"/>
        <v/>
      </c>
      <c r="P1743" s="81" t="str">
        <f t="shared" si="546"/>
        <v/>
      </c>
      <c r="Q1743" s="81" t="str">
        <f t="shared" si="537"/>
        <v/>
      </c>
      <c r="R1743" s="135" t="str">
        <f t="shared" ca="1" si="538"/>
        <v/>
      </c>
      <c r="S1743" s="134" t="str">
        <f t="shared" ca="1" si="539"/>
        <v/>
      </c>
      <c r="T1743" s="134" t="str">
        <f ca="1">IF(S1743=Dashboard!$D$12,S1743,"")</f>
        <v/>
      </c>
      <c r="U1743" s="134" t="str">
        <f t="shared" ca="1" si="540"/>
        <v/>
      </c>
      <c r="V1743" s="83" t="str">
        <f ca="1">IF(U1743="","",IFERROR((RANK(U1743,$U$2:$U$2028,1)+COUNTIF($U$2:U1743,U1743))-1,""))</f>
        <v/>
      </c>
      <c r="W1743" s="134" t="str">
        <f t="shared" si="544"/>
        <v/>
      </c>
      <c r="X1743" s="134" t="str">
        <f>IF(W1743="","",IFERROR((RANK(W1743,$W$2:$W$2028,1)+COUNTIF($W$2:W1743,W1743))-1,""))</f>
        <v/>
      </c>
      <c r="Y1743" s="134" t="str">
        <f t="shared" si="541"/>
        <v/>
      </c>
      <c r="Z1743" s="134" t="str">
        <f>IF(Y1743="","",IFERROR((RANK(Y1743,$Y$2:$Y$2028,1)+COUNTIF($Y$2:Y1743,Y1743))-1,""))</f>
        <v/>
      </c>
      <c r="AA1743" s="134" t="str">
        <f t="shared" si="542"/>
        <v/>
      </c>
      <c r="AB1743" s="134" t="str">
        <f>IF(AA1743="","",IFERROR((RANK(AA1743,$AA$2:$AA$2028,1)+COUNTIF($AA$2:AA1743,AA1743))-1,""))</f>
        <v/>
      </c>
      <c r="AC1743" s="134" t="str">
        <f t="shared" si="543"/>
        <v/>
      </c>
      <c r="AD1743" s="134" t="str">
        <f>IF(AC1743="","",IFERROR((RANK(AC1743,$AC$2:$AC$2028,1)+COUNTIF($AC$2:AC1743,AC1743))-1,""))</f>
        <v/>
      </c>
      <c r="AE1743" s="144" t="str">
        <f t="shared" si="547"/>
        <v/>
      </c>
      <c r="AF1743" s="144" t="str">
        <f>IF(AE1743="","",SUM($AE$2:AE1743))</f>
        <v/>
      </c>
    </row>
    <row r="1744" spans="14:32" x14ac:dyDescent="0.35">
      <c r="N1744" s="134" t="str">
        <f t="shared" si="545"/>
        <v/>
      </c>
      <c r="O1744" s="82" t="str">
        <f t="shared" si="536"/>
        <v/>
      </c>
      <c r="P1744" s="81" t="str">
        <f t="shared" si="546"/>
        <v/>
      </c>
      <c r="Q1744" s="81" t="str">
        <f t="shared" si="537"/>
        <v/>
      </c>
      <c r="R1744" s="135" t="str">
        <f t="shared" ca="1" si="538"/>
        <v/>
      </c>
      <c r="S1744" s="134" t="str">
        <f t="shared" ca="1" si="539"/>
        <v/>
      </c>
      <c r="T1744" s="134" t="str">
        <f ca="1">IF(S1744=Dashboard!$D$12,S1744,"")</f>
        <v/>
      </c>
      <c r="U1744" s="134" t="str">
        <f t="shared" ca="1" si="540"/>
        <v/>
      </c>
      <c r="V1744" s="83" t="str">
        <f ca="1">IF(U1744="","",IFERROR((RANK(U1744,$U$2:$U$2028,1)+COUNTIF($U$2:U1744,U1744))-1,""))</f>
        <v/>
      </c>
      <c r="W1744" s="134" t="str">
        <f t="shared" si="544"/>
        <v/>
      </c>
      <c r="X1744" s="134" t="str">
        <f>IF(W1744="","",IFERROR((RANK(W1744,$W$2:$W$2028,1)+COUNTIF($W$2:W1744,W1744))-1,""))</f>
        <v/>
      </c>
      <c r="Y1744" s="134" t="str">
        <f t="shared" si="541"/>
        <v/>
      </c>
      <c r="Z1744" s="134" t="str">
        <f>IF(Y1744="","",IFERROR((RANK(Y1744,$Y$2:$Y$2028,1)+COUNTIF($Y$2:Y1744,Y1744))-1,""))</f>
        <v/>
      </c>
      <c r="AA1744" s="134" t="str">
        <f t="shared" si="542"/>
        <v/>
      </c>
      <c r="AB1744" s="134" t="str">
        <f>IF(AA1744="","",IFERROR((RANK(AA1744,$AA$2:$AA$2028,1)+COUNTIF($AA$2:AA1744,AA1744))-1,""))</f>
        <v/>
      </c>
      <c r="AC1744" s="134" t="str">
        <f t="shared" si="543"/>
        <v/>
      </c>
      <c r="AD1744" s="134" t="str">
        <f>IF(AC1744="","",IFERROR((RANK(AC1744,$AC$2:$AC$2028,1)+COUNTIF($AC$2:AC1744,AC1744))-1,""))</f>
        <v/>
      </c>
      <c r="AE1744" s="144" t="str">
        <f t="shared" si="547"/>
        <v/>
      </c>
      <c r="AF1744" s="144" t="str">
        <f>IF(AE1744="","",SUM($AE$2:AE1744))</f>
        <v/>
      </c>
    </row>
    <row r="1745" spans="14:32" x14ac:dyDescent="0.35">
      <c r="N1745" s="134" t="str">
        <f t="shared" si="545"/>
        <v/>
      </c>
      <c r="O1745" s="82" t="str">
        <f t="shared" si="536"/>
        <v/>
      </c>
      <c r="P1745" s="81" t="str">
        <f t="shared" si="546"/>
        <v/>
      </c>
      <c r="Q1745" s="81" t="str">
        <f t="shared" si="537"/>
        <v/>
      </c>
      <c r="R1745" s="135" t="str">
        <f t="shared" ca="1" si="538"/>
        <v/>
      </c>
      <c r="S1745" s="134" t="str">
        <f t="shared" ca="1" si="539"/>
        <v/>
      </c>
      <c r="T1745" s="134" t="str">
        <f ca="1">IF(S1745=Dashboard!$D$12,S1745,"")</f>
        <v/>
      </c>
      <c r="U1745" s="134" t="str">
        <f t="shared" ca="1" si="540"/>
        <v/>
      </c>
      <c r="V1745" s="83" t="str">
        <f ca="1">IF(U1745="","",IFERROR((RANK(U1745,$U$2:$U$2028,1)+COUNTIF($U$2:U1745,U1745))-1,""))</f>
        <v/>
      </c>
      <c r="W1745" s="134" t="str">
        <f t="shared" si="544"/>
        <v/>
      </c>
      <c r="X1745" s="134" t="str">
        <f>IF(W1745="","",IFERROR((RANK(W1745,$W$2:$W$2028,1)+COUNTIF($W$2:W1745,W1745))-1,""))</f>
        <v/>
      </c>
      <c r="Y1745" s="134" t="str">
        <f t="shared" si="541"/>
        <v/>
      </c>
      <c r="Z1745" s="134" t="str">
        <f>IF(Y1745="","",IFERROR((RANK(Y1745,$Y$2:$Y$2028,1)+COUNTIF($Y$2:Y1745,Y1745))-1,""))</f>
        <v/>
      </c>
      <c r="AA1745" s="134" t="str">
        <f t="shared" si="542"/>
        <v/>
      </c>
      <c r="AB1745" s="134" t="str">
        <f>IF(AA1745="","",IFERROR((RANK(AA1745,$AA$2:$AA$2028,1)+COUNTIF($AA$2:AA1745,AA1745))-1,""))</f>
        <v/>
      </c>
      <c r="AC1745" s="134" t="str">
        <f t="shared" si="543"/>
        <v/>
      </c>
      <c r="AD1745" s="134" t="str">
        <f>IF(AC1745="","",IFERROR((RANK(AC1745,$AC$2:$AC$2028,1)+COUNTIF($AC$2:AC1745,AC1745))-1,""))</f>
        <v/>
      </c>
      <c r="AE1745" s="144" t="str">
        <f t="shared" si="547"/>
        <v/>
      </c>
      <c r="AF1745" s="144" t="str">
        <f>IF(AE1745="","",SUM($AE$2:AE1745))</f>
        <v/>
      </c>
    </row>
    <row r="1746" spans="14:32" x14ac:dyDescent="0.35">
      <c r="N1746" s="134" t="str">
        <f t="shared" si="545"/>
        <v/>
      </c>
      <c r="O1746" s="82" t="str">
        <f t="shared" si="536"/>
        <v/>
      </c>
      <c r="P1746" s="81" t="str">
        <f t="shared" si="546"/>
        <v/>
      </c>
      <c r="Q1746" s="81" t="str">
        <f t="shared" si="537"/>
        <v/>
      </c>
      <c r="R1746" s="135" t="str">
        <f t="shared" ca="1" si="538"/>
        <v/>
      </c>
      <c r="S1746" s="134" t="str">
        <f t="shared" ca="1" si="539"/>
        <v/>
      </c>
      <c r="T1746" s="134" t="str">
        <f ca="1">IF(S1746=Dashboard!$D$12,S1746,"")</f>
        <v/>
      </c>
      <c r="U1746" s="134" t="str">
        <f t="shared" ca="1" si="540"/>
        <v/>
      </c>
      <c r="V1746" s="83" t="str">
        <f ca="1">IF(U1746="","",IFERROR((RANK(U1746,$U$2:$U$2028,1)+COUNTIF($U$2:U1746,U1746))-1,""))</f>
        <v/>
      </c>
      <c r="W1746" s="134" t="str">
        <f t="shared" si="544"/>
        <v/>
      </c>
      <c r="X1746" s="134" t="str">
        <f>IF(W1746="","",IFERROR((RANK(W1746,$W$2:$W$2028,1)+COUNTIF($W$2:W1746,W1746))-1,""))</f>
        <v/>
      </c>
      <c r="Y1746" s="134" t="str">
        <f t="shared" si="541"/>
        <v/>
      </c>
      <c r="Z1746" s="134" t="str">
        <f>IF(Y1746="","",IFERROR((RANK(Y1746,$Y$2:$Y$2028,1)+COUNTIF($Y$2:Y1746,Y1746))-1,""))</f>
        <v/>
      </c>
      <c r="AA1746" s="134" t="str">
        <f t="shared" si="542"/>
        <v/>
      </c>
      <c r="AB1746" s="134" t="str">
        <f>IF(AA1746="","",IFERROR((RANK(AA1746,$AA$2:$AA$2028,1)+COUNTIF($AA$2:AA1746,AA1746))-1,""))</f>
        <v/>
      </c>
      <c r="AC1746" s="134" t="str">
        <f t="shared" si="543"/>
        <v/>
      </c>
      <c r="AD1746" s="134" t="str">
        <f>IF(AC1746="","",IFERROR((RANK(AC1746,$AC$2:$AC$2028,1)+COUNTIF($AC$2:AC1746,AC1746))-1,""))</f>
        <v/>
      </c>
      <c r="AE1746" s="144" t="str">
        <f t="shared" si="547"/>
        <v/>
      </c>
      <c r="AF1746" s="144" t="str">
        <f>IF(AE1746="","",SUM($AE$2:AE1746))</f>
        <v/>
      </c>
    </row>
    <row r="1747" spans="14:32" x14ac:dyDescent="0.35">
      <c r="N1747" s="134" t="str">
        <f t="shared" si="545"/>
        <v/>
      </c>
      <c r="O1747" s="82" t="str">
        <f t="shared" si="536"/>
        <v/>
      </c>
      <c r="P1747" s="81" t="str">
        <f t="shared" si="546"/>
        <v/>
      </c>
      <c r="Q1747" s="81" t="str">
        <f t="shared" si="537"/>
        <v/>
      </c>
      <c r="R1747" s="135" t="str">
        <f t="shared" ca="1" si="538"/>
        <v/>
      </c>
      <c r="S1747" s="134" t="str">
        <f t="shared" ca="1" si="539"/>
        <v/>
      </c>
      <c r="T1747" s="134" t="str">
        <f ca="1">IF(S1747=Dashboard!$D$12,S1747,"")</f>
        <v/>
      </c>
      <c r="U1747" s="134" t="str">
        <f t="shared" ca="1" si="540"/>
        <v/>
      </c>
      <c r="V1747" s="83" t="str">
        <f ca="1">IF(U1747="","",IFERROR((RANK(U1747,$U$2:$U$2028,1)+COUNTIF($U$2:U1747,U1747))-1,""))</f>
        <v/>
      </c>
      <c r="W1747" s="134" t="str">
        <f t="shared" si="544"/>
        <v/>
      </c>
      <c r="X1747" s="134" t="str">
        <f>IF(W1747="","",IFERROR((RANK(W1747,$W$2:$W$2028,1)+COUNTIF($W$2:W1747,W1747))-1,""))</f>
        <v/>
      </c>
      <c r="Y1747" s="134" t="str">
        <f t="shared" si="541"/>
        <v/>
      </c>
      <c r="Z1747" s="134" t="str">
        <f>IF(Y1747="","",IFERROR((RANK(Y1747,$Y$2:$Y$2028,1)+COUNTIF($Y$2:Y1747,Y1747))-1,""))</f>
        <v/>
      </c>
      <c r="AA1747" s="134" t="str">
        <f t="shared" si="542"/>
        <v/>
      </c>
      <c r="AB1747" s="134" t="str">
        <f>IF(AA1747="","",IFERROR((RANK(AA1747,$AA$2:$AA$2028,1)+COUNTIF($AA$2:AA1747,AA1747))-1,""))</f>
        <v/>
      </c>
      <c r="AC1747" s="134" t="str">
        <f t="shared" si="543"/>
        <v/>
      </c>
      <c r="AD1747" s="134" t="str">
        <f>IF(AC1747="","",IFERROR((RANK(AC1747,$AC$2:$AC$2028,1)+COUNTIF($AC$2:AC1747,AC1747))-1,""))</f>
        <v/>
      </c>
      <c r="AE1747" s="144" t="str">
        <f t="shared" si="547"/>
        <v/>
      </c>
      <c r="AF1747" s="144" t="str">
        <f>IF(AE1747="","",SUM($AE$2:AE1747))</f>
        <v/>
      </c>
    </row>
    <row r="1748" spans="14:32" x14ac:dyDescent="0.35">
      <c r="N1748" s="134" t="str">
        <f t="shared" si="545"/>
        <v/>
      </c>
      <c r="O1748" s="82" t="str">
        <f t="shared" si="536"/>
        <v/>
      </c>
      <c r="P1748" s="81" t="str">
        <f t="shared" si="546"/>
        <v/>
      </c>
      <c r="Q1748" s="81" t="str">
        <f t="shared" si="537"/>
        <v/>
      </c>
      <c r="R1748" s="135" t="str">
        <f t="shared" ca="1" si="538"/>
        <v/>
      </c>
      <c r="S1748" s="134" t="str">
        <f t="shared" ca="1" si="539"/>
        <v/>
      </c>
      <c r="T1748" s="134" t="str">
        <f ca="1">IF(S1748=Dashboard!$D$12,S1748,"")</f>
        <v/>
      </c>
      <c r="U1748" s="134" t="str">
        <f t="shared" ca="1" si="540"/>
        <v/>
      </c>
      <c r="V1748" s="83" t="str">
        <f ca="1">IF(U1748="","",IFERROR((RANK(U1748,$U$2:$U$2028,1)+COUNTIF($U$2:U1748,U1748))-1,""))</f>
        <v/>
      </c>
      <c r="W1748" s="134" t="str">
        <f t="shared" si="544"/>
        <v/>
      </c>
      <c r="X1748" s="134" t="str">
        <f>IF(W1748="","",IFERROR((RANK(W1748,$W$2:$W$2028,1)+COUNTIF($W$2:W1748,W1748))-1,""))</f>
        <v/>
      </c>
      <c r="Y1748" s="134" t="str">
        <f t="shared" si="541"/>
        <v/>
      </c>
      <c r="Z1748" s="134" t="str">
        <f>IF(Y1748="","",IFERROR((RANK(Y1748,$Y$2:$Y$2028,1)+COUNTIF($Y$2:Y1748,Y1748))-1,""))</f>
        <v/>
      </c>
      <c r="AA1748" s="134" t="str">
        <f t="shared" si="542"/>
        <v/>
      </c>
      <c r="AB1748" s="134" t="str">
        <f>IF(AA1748="","",IFERROR((RANK(AA1748,$AA$2:$AA$2028,1)+COUNTIF($AA$2:AA1748,AA1748))-1,""))</f>
        <v/>
      </c>
      <c r="AC1748" s="134" t="str">
        <f t="shared" si="543"/>
        <v/>
      </c>
      <c r="AD1748" s="134" t="str">
        <f>IF(AC1748="","",IFERROR((RANK(AC1748,$AC$2:$AC$2028,1)+COUNTIF($AC$2:AC1748,AC1748))-1,""))</f>
        <v/>
      </c>
      <c r="AE1748" s="144" t="str">
        <f t="shared" si="547"/>
        <v/>
      </c>
      <c r="AF1748" s="144" t="str">
        <f>IF(AE1748="","",SUM($AE$2:AE1748))</f>
        <v/>
      </c>
    </row>
    <row r="1749" spans="14:32" x14ac:dyDescent="0.35">
      <c r="N1749" s="134" t="str">
        <f t="shared" si="545"/>
        <v/>
      </c>
      <c r="O1749" s="82" t="str">
        <f t="shared" si="536"/>
        <v/>
      </c>
      <c r="P1749" s="81" t="str">
        <f t="shared" si="546"/>
        <v/>
      </c>
      <c r="Q1749" s="81" t="str">
        <f t="shared" si="537"/>
        <v/>
      </c>
      <c r="R1749" s="135" t="str">
        <f t="shared" ca="1" si="538"/>
        <v/>
      </c>
      <c r="S1749" s="134" t="str">
        <f t="shared" ca="1" si="539"/>
        <v/>
      </c>
      <c r="T1749" s="134" t="str">
        <f ca="1">IF(S1749=Dashboard!$D$12,S1749,"")</f>
        <v/>
      </c>
      <c r="U1749" s="134" t="str">
        <f t="shared" ca="1" si="540"/>
        <v/>
      </c>
      <c r="V1749" s="83" t="str">
        <f ca="1">IF(U1749="","",IFERROR((RANK(U1749,$U$2:$U$2028,1)+COUNTIF($U$2:U1749,U1749))-1,""))</f>
        <v/>
      </c>
      <c r="W1749" s="134" t="str">
        <f t="shared" si="544"/>
        <v/>
      </c>
      <c r="X1749" s="134" t="str">
        <f>IF(W1749="","",IFERROR((RANK(W1749,$W$2:$W$2028,1)+COUNTIF($W$2:W1749,W1749))-1,""))</f>
        <v/>
      </c>
      <c r="Y1749" s="134" t="str">
        <f t="shared" si="541"/>
        <v/>
      </c>
      <c r="Z1749" s="134" t="str">
        <f>IF(Y1749="","",IFERROR((RANK(Y1749,$Y$2:$Y$2028,1)+COUNTIF($Y$2:Y1749,Y1749))-1,""))</f>
        <v/>
      </c>
      <c r="AA1749" s="134" t="str">
        <f t="shared" si="542"/>
        <v/>
      </c>
      <c r="AB1749" s="134" t="str">
        <f>IF(AA1749="","",IFERROR((RANK(AA1749,$AA$2:$AA$2028,1)+COUNTIF($AA$2:AA1749,AA1749))-1,""))</f>
        <v/>
      </c>
      <c r="AC1749" s="134" t="str">
        <f t="shared" si="543"/>
        <v/>
      </c>
      <c r="AD1749" s="134" t="str">
        <f>IF(AC1749="","",IFERROR((RANK(AC1749,$AC$2:$AC$2028,1)+COUNTIF($AC$2:AC1749,AC1749))-1,""))</f>
        <v/>
      </c>
      <c r="AE1749" s="144" t="str">
        <f t="shared" si="547"/>
        <v/>
      </c>
      <c r="AF1749" s="144" t="str">
        <f>IF(AE1749="","",SUM($AE$2:AE1749))</f>
        <v/>
      </c>
    </row>
    <row r="1750" spans="14:32" x14ac:dyDescent="0.35">
      <c r="N1750" s="134" t="str">
        <f t="shared" si="545"/>
        <v/>
      </c>
      <c r="O1750" s="82" t="str">
        <f t="shared" si="536"/>
        <v/>
      </c>
      <c r="P1750" s="81" t="str">
        <f t="shared" si="546"/>
        <v/>
      </c>
      <c r="Q1750" s="81" t="str">
        <f t="shared" si="537"/>
        <v/>
      </c>
      <c r="R1750" s="135" t="str">
        <f t="shared" ca="1" si="538"/>
        <v/>
      </c>
      <c r="S1750" s="134" t="str">
        <f t="shared" ca="1" si="539"/>
        <v/>
      </c>
      <c r="T1750" s="134" t="str">
        <f ca="1">IF(S1750=Dashboard!$D$12,S1750,"")</f>
        <v/>
      </c>
      <c r="U1750" s="134" t="str">
        <f t="shared" ca="1" si="540"/>
        <v/>
      </c>
      <c r="V1750" s="83" t="str">
        <f ca="1">IF(U1750="","",IFERROR((RANK(U1750,$U$2:$U$2028,1)+COUNTIF($U$2:U1750,U1750))-1,""))</f>
        <v/>
      </c>
      <c r="W1750" s="134" t="str">
        <f t="shared" si="544"/>
        <v/>
      </c>
      <c r="X1750" s="134" t="str">
        <f>IF(W1750="","",IFERROR((RANK(W1750,$W$2:$W$2028,1)+COUNTIF($W$2:W1750,W1750))-1,""))</f>
        <v/>
      </c>
      <c r="Y1750" s="134" t="str">
        <f t="shared" si="541"/>
        <v/>
      </c>
      <c r="Z1750" s="134" t="str">
        <f>IF(Y1750="","",IFERROR((RANK(Y1750,$Y$2:$Y$2028,1)+COUNTIF($Y$2:Y1750,Y1750))-1,""))</f>
        <v/>
      </c>
      <c r="AA1750" s="134" t="str">
        <f t="shared" si="542"/>
        <v/>
      </c>
      <c r="AB1750" s="134" t="str">
        <f>IF(AA1750="","",IFERROR((RANK(AA1750,$AA$2:$AA$2028,1)+COUNTIF($AA$2:AA1750,AA1750))-1,""))</f>
        <v/>
      </c>
      <c r="AC1750" s="134" t="str">
        <f t="shared" si="543"/>
        <v/>
      </c>
      <c r="AD1750" s="134" t="str">
        <f>IF(AC1750="","",IFERROR((RANK(AC1750,$AC$2:$AC$2028,1)+COUNTIF($AC$2:AC1750,AC1750))-1,""))</f>
        <v/>
      </c>
      <c r="AE1750" s="144" t="str">
        <f t="shared" si="547"/>
        <v/>
      </c>
      <c r="AF1750" s="144" t="str">
        <f>IF(AE1750="","",SUM($AE$2:AE1750))</f>
        <v/>
      </c>
    </row>
    <row r="1751" spans="14:32" x14ac:dyDescent="0.35">
      <c r="N1751" s="134" t="str">
        <f t="shared" si="545"/>
        <v/>
      </c>
      <c r="O1751" s="82" t="str">
        <f t="shared" si="536"/>
        <v/>
      </c>
      <c r="P1751" s="81" t="str">
        <f t="shared" si="546"/>
        <v/>
      </c>
      <c r="Q1751" s="81" t="str">
        <f t="shared" si="537"/>
        <v/>
      </c>
      <c r="R1751" s="135" t="str">
        <f t="shared" ca="1" si="538"/>
        <v/>
      </c>
      <c r="S1751" s="134" t="str">
        <f t="shared" ca="1" si="539"/>
        <v/>
      </c>
      <c r="T1751" s="134" t="str">
        <f ca="1">IF(S1751=Dashboard!$D$12,S1751,"")</f>
        <v/>
      </c>
      <c r="U1751" s="134" t="str">
        <f t="shared" ca="1" si="540"/>
        <v/>
      </c>
      <c r="V1751" s="83" t="str">
        <f ca="1">IF(U1751="","",IFERROR((RANK(U1751,$U$2:$U$2028,1)+COUNTIF($U$2:U1751,U1751))-1,""))</f>
        <v/>
      </c>
      <c r="W1751" s="134" t="str">
        <f t="shared" si="544"/>
        <v/>
      </c>
      <c r="X1751" s="134" t="str">
        <f>IF(W1751="","",IFERROR((RANK(W1751,$W$2:$W$2028,1)+COUNTIF($W$2:W1751,W1751))-1,""))</f>
        <v/>
      </c>
      <c r="Y1751" s="134" t="str">
        <f t="shared" si="541"/>
        <v/>
      </c>
      <c r="Z1751" s="134" t="str">
        <f>IF(Y1751="","",IFERROR((RANK(Y1751,$Y$2:$Y$2028,1)+COUNTIF($Y$2:Y1751,Y1751))-1,""))</f>
        <v/>
      </c>
      <c r="AA1751" s="134" t="str">
        <f t="shared" si="542"/>
        <v/>
      </c>
      <c r="AB1751" s="134" t="str">
        <f>IF(AA1751="","",IFERROR((RANK(AA1751,$AA$2:$AA$2028,1)+COUNTIF($AA$2:AA1751,AA1751))-1,""))</f>
        <v/>
      </c>
      <c r="AC1751" s="134" t="str">
        <f t="shared" si="543"/>
        <v/>
      </c>
      <c r="AD1751" s="134" t="str">
        <f>IF(AC1751="","",IFERROR((RANK(AC1751,$AC$2:$AC$2028,1)+COUNTIF($AC$2:AC1751,AC1751))-1,""))</f>
        <v/>
      </c>
      <c r="AE1751" s="144" t="str">
        <f t="shared" si="547"/>
        <v/>
      </c>
      <c r="AF1751" s="144" t="str">
        <f>IF(AE1751="","",SUM($AE$2:AE1751))</f>
        <v/>
      </c>
    </row>
    <row r="1752" spans="14:32" x14ac:dyDescent="0.35">
      <c r="N1752" s="134" t="str">
        <f t="shared" si="545"/>
        <v/>
      </c>
      <c r="O1752" s="82" t="str">
        <f t="shared" si="536"/>
        <v/>
      </c>
      <c r="P1752" s="81" t="str">
        <f t="shared" si="546"/>
        <v/>
      </c>
      <c r="Q1752" s="81" t="str">
        <f t="shared" si="537"/>
        <v/>
      </c>
      <c r="R1752" s="135" t="str">
        <f t="shared" ca="1" si="538"/>
        <v/>
      </c>
      <c r="S1752" s="134" t="str">
        <f t="shared" ca="1" si="539"/>
        <v/>
      </c>
      <c r="T1752" s="134" t="str">
        <f ca="1">IF(S1752=Dashboard!$D$12,S1752,"")</f>
        <v/>
      </c>
      <c r="U1752" s="134" t="str">
        <f t="shared" ca="1" si="540"/>
        <v/>
      </c>
      <c r="V1752" s="83" t="str">
        <f ca="1">IF(U1752="","",IFERROR((RANK(U1752,$U$2:$U$2028,1)+COUNTIF($U$2:U1752,U1752))-1,""))</f>
        <v/>
      </c>
      <c r="W1752" s="134" t="str">
        <f t="shared" si="544"/>
        <v/>
      </c>
      <c r="X1752" s="134" t="str">
        <f>IF(W1752="","",IFERROR((RANK(W1752,$W$2:$W$2028,1)+COUNTIF($W$2:W1752,W1752))-1,""))</f>
        <v/>
      </c>
      <c r="Y1752" s="134" t="str">
        <f t="shared" si="541"/>
        <v/>
      </c>
      <c r="Z1752" s="134" t="str">
        <f>IF(Y1752="","",IFERROR((RANK(Y1752,$Y$2:$Y$2028,1)+COUNTIF($Y$2:Y1752,Y1752))-1,""))</f>
        <v/>
      </c>
      <c r="AA1752" s="134" t="str">
        <f t="shared" si="542"/>
        <v/>
      </c>
      <c r="AB1752" s="134" t="str">
        <f>IF(AA1752="","",IFERROR((RANK(AA1752,$AA$2:$AA$2028,1)+COUNTIF($AA$2:AA1752,AA1752))-1,""))</f>
        <v/>
      </c>
      <c r="AC1752" s="134" t="str">
        <f t="shared" si="543"/>
        <v/>
      </c>
      <c r="AD1752" s="134" t="str">
        <f>IF(AC1752="","",IFERROR((RANK(AC1752,$AC$2:$AC$2028,1)+COUNTIF($AC$2:AC1752,AC1752))-1,""))</f>
        <v/>
      </c>
      <c r="AE1752" s="144" t="str">
        <f t="shared" si="547"/>
        <v/>
      </c>
      <c r="AF1752" s="144" t="str">
        <f>IF(AE1752="","",SUM($AE$2:AE1752))</f>
        <v/>
      </c>
    </row>
    <row r="1753" spans="14:32" x14ac:dyDescent="0.35">
      <c r="N1753" s="134" t="str">
        <f t="shared" si="545"/>
        <v/>
      </c>
      <c r="O1753" s="82" t="str">
        <f t="shared" si="536"/>
        <v/>
      </c>
      <c r="P1753" s="81" t="str">
        <f t="shared" si="546"/>
        <v/>
      </c>
      <c r="Q1753" s="81" t="str">
        <f t="shared" si="537"/>
        <v/>
      </c>
      <c r="R1753" s="135" t="str">
        <f t="shared" ca="1" si="538"/>
        <v/>
      </c>
      <c r="S1753" s="134" t="str">
        <f t="shared" ca="1" si="539"/>
        <v/>
      </c>
      <c r="T1753" s="134" t="str">
        <f ca="1">IF(S1753=Dashboard!$D$12,S1753,"")</f>
        <v/>
      </c>
      <c r="U1753" s="134" t="str">
        <f t="shared" ca="1" si="540"/>
        <v/>
      </c>
      <c r="V1753" s="83" t="str">
        <f ca="1">IF(U1753="","",IFERROR((RANK(U1753,$U$2:$U$2028,1)+COUNTIF($U$2:U1753,U1753))-1,""))</f>
        <v/>
      </c>
      <c r="W1753" s="134" t="str">
        <f t="shared" si="544"/>
        <v/>
      </c>
      <c r="X1753" s="134" t="str">
        <f>IF(W1753="","",IFERROR((RANK(W1753,$W$2:$W$2028,1)+COUNTIF($W$2:W1753,W1753))-1,""))</f>
        <v/>
      </c>
      <c r="Y1753" s="134" t="str">
        <f t="shared" si="541"/>
        <v/>
      </c>
      <c r="Z1753" s="134" t="str">
        <f>IF(Y1753="","",IFERROR((RANK(Y1753,$Y$2:$Y$2028,1)+COUNTIF($Y$2:Y1753,Y1753))-1,""))</f>
        <v/>
      </c>
      <c r="AA1753" s="134" t="str">
        <f t="shared" si="542"/>
        <v/>
      </c>
      <c r="AB1753" s="134" t="str">
        <f>IF(AA1753="","",IFERROR((RANK(AA1753,$AA$2:$AA$2028,1)+COUNTIF($AA$2:AA1753,AA1753))-1,""))</f>
        <v/>
      </c>
      <c r="AC1753" s="134" t="str">
        <f t="shared" si="543"/>
        <v/>
      </c>
      <c r="AD1753" s="134" t="str">
        <f>IF(AC1753="","",IFERROR((RANK(AC1753,$AC$2:$AC$2028,1)+COUNTIF($AC$2:AC1753,AC1753))-1,""))</f>
        <v/>
      </c>
      <c r="AE1753" s="144" t="str">
        <f t="shared" si="547"/>
        <v/>
      </c>
      <c r="AF1753" s="144" t="str">
        <f>IF(AE1753="","",SUM($AE$2:AE1753))</f>
        <v/>
      </c>
    </row>
    <row r="1754" spans="14:32" x14ac:dyDescent="0.35">
      <c r="N1754" s="134" t="str">
        <f t="shared" si="545"/>
        <v/>
      </c>
      <c r="O1754" s="82" t="str">
        <f t="shared" si="536"/>
        <v/>
      </c>
      <c r="P1754" s="81" t="str">
        <f t="shared" si="546"/>
        <v/>
      </c>
      <c r="Q1754" s="81" t="str">
        <f t="shared" si="537"/>
        <v/>
      </c>
      <c r="R1754" s="135" t="str">
        <f t="shared" ca="1" si="538"/>
        <v/>
      </c>
      <c r="S1754" s="134" t="str">
        <f t="shared" ca="1" si="539"/>
        <v/>
      </c>
      <c r="T1754" s="134" t="str">
        <f ca="1">IF(S1754=Dashboard!$D$12,S1754,"")</f>
        <v/>
      </c>
      <c r="U1754" s="134" t="str">
        <f t="shared" ca="1" si="540"/>
        <v/>
      </c>
      <c r="V1754" s="83" t="str">
        <f ca="1">IF(U1754="","",IFERROR((RANK(U1754,$U$2:$U$2028,1)+COUNTIF($U$2:U1754,U1754))-1,""))</f>
        <v/>
      </c>
      <c r="W1754" s="134" t="str">
        <f t="shared" si="544"/>
        <v/>
      </c>
      <c r="X1754" s="134" t="str">
        <f>IF(W1754="","",IFERROR((RANK(W1754,$W$2:$W$2028,1)+COUNTIF($W$2:W1754,W1754))-1,""))</f>
        <v/>
      </c>
      <c r="Y1754" s="134" t="str">
        <f t="shared" si="541"/>
        <v/>
      </c>
      <c r="Z1754" s="134" t="str">
        <f>IF(Y1754="","",IFERROR((RANK(Y1754,$Y$2:$Y$2028,1)+COUNTIF($Y$2:Y1754,Y1754))-1,""))</f>
        <v/>
      </c>
      <c r="AA1754" s="134" t="str">
        <f t="shared" si="542"/>
        <v/>
      </c>
      <c r="AB1754" s="134" t="str">
        <f>IF(AA1754="","",IFERROR((RANK(AA1754,$AA$2:$AA$2028,1)+COUNTIF($AA$2:AA1754,AA1754))-1,""))</f>
        <v/>
      </c>
      <c r="AC1754" s="134" t="str">
        <f t="shared" si="543"/>
        <v/>
      </c>
      <c r="AD1754" s="134" t="str">
        <f>IF(AC1754="","",IFERROR((RANK(AC1754,$AC$2:$AC$2028,1)+COUNTIF($AC$2:AC1754,AC1754))-1,""))</f>
        <v/>
      </c>
      <c r="AE1754" s="144" t="str">
        <f t="shared" si="547"/>
        <v/>
      </c>
      <c r="AF1754" s="144" t="str">
        <f>IF(AE1754="","",SUM($AE$2:AE1754))</f>
        <v/>
      </c>
    </row>
    <row r="1755" spans="14:32" x14ac:dyDescent="0.35">
      <c r="N1755" s="134" t="str">
        <f t="shared" si="545"/>
        <v/>
      </c>
      <c r="O1755" s="82" t="str">
        <f t="shared" si="536"/>
        <v/>
      </c>
      <c r="P1755" s="81" t="str">
        <f t="shared" si="546"/>
        <v/>
      </c>
      <c r="Q1755" s="81" t="str">
        <f t="shared" si="537"/>
        <v/>
      </c>
      <c r="R1755" s="135" t="str">
        <f t="shared" ca="1" si="538"/>
        <v/>
      </c>
      <c r="S1755" s="134" t="str">
        <f t="shared" ca="1" si="539"/>
        <v/>
      </c>
      <c r="T1755" s="134" t="str">
        <f ca="1">IF(S1755=Dashboard!$D$12,S1755,"")</f>
        <v/>
      </c>
      <c r="U1755" s="134" t="str">
        <f t="shared" ca="1" si="540"/>
        <v/>
      </c>
      <c r="V1755" s="83" t="str">
        <f ca="1">IF(U1755="","",IFERROR((RANK(U1755,$U$2:$U$2028,1)+COUNTIF($U$2:U1755,U1755))-1,""))</f>
        <v/>
      </c>
      <c r="W1755" s="134" t="str">
        <f t="shared" si="544"/>
        <v/>
      </c>
      <c r="X1755" s="134" t="str">
        <f>IF(W1755="","",IFERROR((RANK(W1755,$W$2:$W$2028,1)+COUNTIF($W$2:W1755,W1755))-1,""))</f>
        <v/>
      </c>
      <c r="Y1755" s="134" t="str">
        <f t="shared" si="541"/>
        <v/>
      </c>
      <c r="Z1755" s="134" t="str">
        <f>IF(Y1755="","",IFERROR((RANK(Y1755,$Y$2:$Y$2028,1)+COUNTIF($Y$2:Y1755,Y1755))-1,""))</f>
        <v/>
      </c>
      <c r="AA1755" s="134" t="str">
        <f t="shared" si="542"/>
        <v/>
      </c>
      <c r="AB1755" s="134" t="str">
        <f>IF(AA1755="","",IFERROR((RANK(AA1755,$AA$2:$AA$2028,1)+COUNTIF($AA$2:AA1755,AA1755))-1,""))</f>
        <v/>
      </c>
      <c r="AC1755" s="134" t="str">
        <f t="shared" si="543"/>
        <v/>
      </c>
      <c r="AD1755" s="134" t="str">
        <f>IF(AC1755="","",IFERROR((RANK(AC1755,$AC$2:$AC$2028,1)+COUNTIF($AC$2:AC1755,AC1755))-1,""))</f>
        <v/>
      </c>
      <c r="AE1755" s="144" t="str">
        <f t="shared" si="547"/>
        <v/>
      </c>
      <c r="AF1755" s="144" t="str">
        <f>IF(AE1755="","",SUM($AE$2:AE1755))</f>
        <v/>
      </c>
    </row>
    <row r="1756" spans="14:32" x14ac:dyDescent="0.35">
      <c r="N1756" s="134" t="str">
        <f t="shared" si="545"/>
        <v/>
      </c>
      <c r="O1756" s="82" t="str">
        <f t="shared" si="536"/>
        <v/>
      </c>
      <c r="P1756" s="81" t="str">
        <f t="shared" si="546"/>
        <v/>
      </c>
      <c r="Q1756" s="81" t="str">
        <f t="shared" si="537"/>
        <v/>
      </c>
      <c r="R1756" s="135" t="str">
        <f t="shared" ca="1" si="538"/>
        <v/>
      </c>
      <c r="S1756" s="134" t="str">
        <f t="shared" ca="1" si="539"/>
        <v/>
      </c>
      <c r="T1756" s="134" t="str">
        <f ca="1">IF(S1756=Dashboard!$D$12,S1756,"")</f>
        <v/>
      </c>
      <c r="U1756" s="134" t="str">
        <f t="shared" ca="1" si="540"/>
        <v/>
      </c>
      <c r="V1756" s="83" t="str">
        <f ca="1">IF(U1756="","",IFERROR((RANK(U1756,$U$2:$U$2028,1)+COUNTIF($U$2:U1756,U1756))-1,""))</f>
        <v/>
      </c>
      <c r="W1756" s="134" t="str">
        <f t="shared" si="544"/>
        <v/>
      </c>
      <c r="X1756" s="134" t="str">
        <f>IF(W1756="","",IFERROR((RANK(W1756,$W$2:$W$2028,1)+COUNTIF($W$2:W1756,W1756))-1,""))</f>
        <v/>
      </c>
      <c r="Y1756" s="134" t="str">
        <f t="shared" si="541"/>
        <v/>
      </c>
      <c r="Z1756" s="134" t="str">
        <f>IF(Y1756="","",IFERROR((RANK(Y1756,$Y$2:$Y$2028,1)+COUNTIF($Y$2:Y1756,Y1756))-1,""))</f>
        <v/>
      </c>
      <c r="AA1756" s="134" t="str">
        <f t="shared" si="542"/>
        <v/>
      </c>
      <c r="AB1756" s="134" t="str">
        <f>IF(AA1756="","",IFERROR((RANK(AA1756,$AA$2:$AA$2028,1)+COUNTIF($AA$2:AA1756,AA1756))-1,""))</f>
        <v/>
      </c>
      <c r="AC1756" s="134" t="str">
        <f t="shared" si="543"/>
        <v/>
      </c>
      <c r="AD1756" s="134" t="str">
        <f>IF(AC1756="","",IFERROR((RANK(AC1756,$AC$2:$AC$2028,1)+COUNTIF($AC$2:AC1756,AC1756))-1,""))</f>
        <v/>
      </c>
      <c r="AE1756" s="144" t="str">
        <f t="shared" si="547"/>
        <v/>
      </c>
      <c r="AF1756" s="144" t="str">
        <f>IF(AE1756="","",SUM($AE$2:AE1756))</f>
        <v/>
      </c>
    </row>
    <row r="1757" spans="14:32" x14ac:dyDescent="0.35">
      <c r="N1757" s="134" t="str">
        <f t="shared" si="545"/>
        <v/>
      </c>
      <c r="O1757" s="82" t="str">
        <f t="shared" si="536"/>
        <v/>
      </c>
      <c r="P1757" s="81" t="str">
        <f t="shared" si="546"/>
        <v/>
      </c>
      <c r="Q1757" s="81" t="str">
        <f t="shared" si="537"/>
        <v/>
      </c>
      <c r="R1757" s="135" t="str">
        <f t="shared" ca="1" si="538"/>
        <v/>
      </c>
      <c r="S1757" s="134" t="str">
        <f t="shared" ca="1" si="539"/>
        <v/>
      </c>
      <c r="T1757" s="134" t="str">
        <f ca="1">IF(S1757=Dashboard!$D$12,S1757,"")</f>
        <v/>
      </c>
      <c r="U1757" s="134" t="str">
        <f t="shared" ca="1" si="540"/>
        <v/>
      </c>
      <c r="V1757" s="83" t="str">
        <f ca="1">IF(U1757="","",IFERROR((RANK(U1757,$U$2:$U$2028,1)+COUNTIF($U$2:U1757,U1757))-1,""))</f>
        <v/>
      </c>
      <c r="W1757" s="134" t="str">
        <f t="shared" si="544"/>
        <v/>
      </c>
      <c r="X1757" s="134" t="str">
        <f>IF(W1757="","",IFERROR((RANK(W1757,$W$2:$W$2028,1)+COUNTIF($W$2:W1757,W1757))-1,""))</f>
        <v/>
      </c>
      <c r="Y1757" s="134" t="str">
        <f t="shared" si="541"/>
        <v/>
      </c>
      <c r="Z1757" s="134" t="str">
        <f>IF(Y1757="","",IFERROR((RANK(Y1757,$Y$2:$Y$2028,1)+COUNTIF($Y$2:Y1757,Y1757))-1,""))</f>
        <v/>
      </c>
      <c r="AA1757" s="134" t="str">
        <f t="shared" si="542"/>
        <v/>
      </c>
      <c r="AB1757" s="134" t="str">
        <f>IF(AA1757="","",IFERROR((RANK(AA1757,$AA$2:$AA$2028,1)+COUNTIF($AA$2:AA1757,AA1757))-1,""))</f>
        <v/>
      </c>
      <c r="AC1757" s="134" t="str">
        <f t="shared" si="543"/>
        <v/>
      </c>
      <c r="AD1757" s="134" t="str">
        <f>IF(AC1757="","",IFERROR((RANK(AC1757,$AC$2:$AC$2028,1)+COUNTIF($AC$2:AC1757,AC1757))-1,""))</f>
        <v/>
      </c>
      <c r="AE1757" s="144" t="str">
        <f t="shared" si="547"/>
        <v/>
      </c>
      <c r="AF1757" s="144" t="str">
        <f>IF(AE1757="","",SUM($AE$2:AE1757))</f>
        <v/>
      </c>
    </row>
    <row r="1758" spans="14:32" x14ac:dyDescent="0.35">
      <c r="N1758" s="134" t="str">
        <f t="shared" si="545"/>
        <v/>
      </c>
      <c r="O1758" s="82" t="str">
        <f t="shared" ref="O1758:O1821" si="548">IF(A1758="","",N1758&amp;"-"&amp;M1758)</f>
        <v/>
      </c>
      <c r="P1758" s="81" t="str">
        <f t="shared" si="546"/>
        <v/>
      </c>
      <c r="Q1758" s="81" t="str">
        <f t="shared" ref="Q1758:Q1821" si="549">IF(A1758="","",IF(P1758=1,M1758,""))</f>
        <v/>
      </c>
      <c r="R1758" s="135" t="str">
        <f t="shared" ref="R1758:R1821" ca="1" si="550">IF(Q1758="","",I1758-TODAY())</f>
        <v/>
      </c>
      <c r="S1758" s="134" t="str">
        <f t="shared" ref="S1758:S1821" ca="1" si="551">IF(R1758="","",
IF(R1758&lt;-90,"Pass&gt;90",IF(R1758&lt;-60,"Pass 61-90",IF(R1758&lt;-30,"Pass 31-60",IF(R1758&lt;0,"Pass 0-30",IF(R1758&lt;31,"Run 0-30",IF(R1758&lt;61,"Run 31-60",IF(R1758&lt;91,"Run 60-90","Run &gt;90"))))))))</f>
        <v/>
      </c>
      <c r="T1758" s="134" t="str">
        <f ca="1">IF(S1758=Dashboard!$D$12,S1758,"")</f>
        <v/>
      </c>
      <c r="U1758" s="134" t="str">
        <f t="shared" ref="U1758:U1821" ca="1" si="552">IF(T1758="","",R1758)</f>
        <v/>
      </c>
      <c r="V1758" s="83" t="str">
        <f ca="1">IF(U1758="","",IFERROR((RANK(U1758,$U$2:$U$2028,1)+COUNTIF($U$2:U1758,U1758))-1,""))</f>
        <v/>
      </c>
      <c r="W1758" s="134" t="str">
        <f t="shared" si="544"/>
        <v/>
      </c>
      <c r="X1758" s="134" t="str">
        <f>IF(W1758="","",IFERROR((RANK(W1758,$W$2:$W$2028,1)+COUNTIF($W$2:W1758,W1758))-1,""))</f>
        <v/>
      </c>
      <c r="Y1758" s="134" t="str">
        <f t="shared" ref="Y1758:Y1821" si="553">IF($J1758=Y$1,$U1758,"")</f>
        <v/>
      </c>
      <c r="Z1758" s="134" t="str">
        <f>IF(Y1758="","",IFERROR((RANK(Y1758,$Y$2:$Y$2028,1)+COUNTIF($Y$2:Y1758,Y1758))-1,""))</f>
        <v/>
      </c>
      <c r="AA1758" s="134" t="str">
        <f t="shared" ref="AA1758:AA1821" si="554">IF($J1758=AA$1,$U1758,"")</f>
        <v/>
      </c>
      <c r="AB1758" s="134" t="str">
        <f>IF(AA1758="","",IFERROR((RANK(AA1758,$AA$2:$AA$2028,1)+COUNTIF($AA$2:AA1758,AA1758))-1,""))</f>
        <v/>
      </c>
      <c r="AC1758" s="134" t="str">
        <f t="shared" ref="AC1758:AC1821" si="555">IF($J1758=AC$1,$U1758,"")</f>
        <v/>
      </c>
      <c r="AD1758" s="134" t="str">
        <f>IF(AC1758="","",IFERROR((RANK(AC1758,$AC$2:$AC$2028,1)+COUNTIF($AC$2:AC1758,AC1758))-1,""))</f>
        <v/>
      </c>
      <c r="AE1758" s="144" t="str">
        <f t="shared" si="547"/>
        <v/>
      </c>
      <c r="AF1758" s="144" t="str">
        <f>IF(AE1758="","",SUM($AE$2:AE1758))</f>
        <v/>
      </c>
    </row>
    <row r="1759" spans="14:32" x14ac:dyDescent="0.35">
      <c r="N1759" s="134" t="str">
        <f t="shared" si="545"/>
        <v/>
      </c>
      <c r="O1759" s="82" t="str">
        <f t="shared" si="548"/>
        <v/>
      </c>
      <c r="P1759" s="81" t="str">
        <f t="shared" si="546"/>
        <v/>
      </c>
      <c r="Q1759" s="81" t="str">
        <f t="shared" si="549"/>
        <v/>
      </c>
      <c r="R1759" s="135" t="str">
        <f t="shared" ca="1" si="550"/>
        <v/>
      </c>
      <c r="S1759" s="134" t="str">
        <f t="shared" ca="1" si="551"/>
        <v/>
      </c>
      <c r="T1759" s="134" t="str">
        <f ca="1">IF(S1759=Dashboard!$D$12,S1759,"")</f>
        <v/>
      </c>
      <c r="U1759" s="134" t="str">
        <f t="shared" ca="1" si="552"/>
        <v/>
      </c>
      <c r="V1759" s="83" t="str">
        <f ca="1">IF(U1759="","",IFERROR((RANK(U1759,$U$2:$U$2028,1)+COUNTIF($U$2:U1759,U1759))-1,""))</f>
        <v/>
      </c>
      <c r="W1759" s="134" t="str">
        <f t="shared" ref="W1759:W1822" si="556">IF($J1759=$W$1,U1759,"")</f>
        <v/>
      </c>
      <c r="X1759" s="134" t="str">
        <f>IF(W1759="","",IFERROR((RANK(W1759,$W$2:$W$2028,1)+COUNTIF($W$2:W1759,W1759))-1,""))</f>
        <v/>
      </c>
      <c r="Y1759" s="134" t="str">
        <f t="shared" si="553"/>
        <v/>
      </c>
      <c r="Z1759" s="134" t="str">
        <f>IF(Y1759="","",IFERROR((RANK(Y1759,$Y$2:$Y$2028,1)+COUNTIF($Y$2:Y1759,Y1759))-1,""))</f>
        <v/>
      </c>
      <c r="AA1759" s="134" t="str">
        <f t="shared" si="554"/>
        <v/>
      </c>
      <c r="AB1759" s="134" t="str">
        <f>IF(AA1759="","",IFERROR((RANK(AA1759,$AA$2:$AA$2028,1)+COUNTIF($AA$2:AA1759,AA1759))-1,""))</f>
        <v/>
      </c>
      <c r="AC1759" s="134" t="str">
        <f t="shared" si="555"/>
        <v/>
      </c>
      <c r="AD1759" s="134" t="str">
        <f>IF(AC1759="","",IFERROR((RANK(AC1759,$AC$2:$AC$2028,1)+COUNTIF($AC$2:AC1759,AC1759))-1,""))</f>
        <v/>
      </c>
      <c r="AE1759" s="144" t="str">
        <f t="shared" si="547"/>
        <v/>
      </c>
      <c r="AF1759" s="144" t="str">
        <f>IF(AE1759="","",SUM($AE$2:AE1759))</f>
        <v/>
      </c>
    </row>
    <row r="1760" spans="14:32" x14ac:dyDescent="0.35">
      <c r="N1760" s="134" t="str">
        <f t="shared" si="545"/>
        <v/>
      </c>
      <c r="O1760" s="82" t="str">
        <f t="shared" si="548"/>
        <v/>
      </c>
      <c r="P1760" s="81" t="str">
        <f t="shared" si="546"/>
        <v/>
      </c>
      <c r="Q1760" s="81" t="str">
        <f t="shared" si="549"/>
        <v/>
      </c>
      <c r="R1760" s="135" t="str">
        <f t="shared" ca="1" si="550"/>
        <v/>
      </c>
      <c r="S1760" s="134" t="str">
        <f t="shared" ca="1" si="551"/>
        <v/>
      </c>
      <c r="T1760" s="134" t="str">
        <f ca="1">IF(S1760=Dashboard!$D$12,S1760,"")</f>
        <v/>
      </c>
      <c r="U1760" s="134" t="str">
        <f t="shared" ca="1" si="552"/>
        <v/>
      </c>
      <c r="V1760" s="83" t="str">
        <f ca="1">IF(U1760="","",IFERROR((RANK(U1760,$U$2:$U$2028,1)+COUNTIF($U$2:U1760,U1760))-1,""))</f>
        <v/>
      </c>
      <c r="W1760" s="134" t="str">
        <f t="shared" si="556"/>
        <v/>
      </c>
      <c r="X1760" s="134" t="str">
        <f>IF(W1760="","",IFERROR((RANK(W1760,$W$2:$W$2028,1)+COUNTIF($W$2:W1760,W1760))-1,""))</f>
        <v/>
      </c>
      <c r="Y1760" s="134" t="str">
        <f t="shared" si="553"/>
        <v/>
      </c>
      <c r="Z1760" s="134" t="str">
        <f>IF(Y1760="","",IFERROR((RANK(Y1760,$Y$2:$Y$2028,1)+COUNTIF($Y$2:Y1760,Y1760))-1,""))</f>
        <v/>
      </c>
      <c r="AA1760" s="134" t="str">
        <f t="shared" si="554"/>
        <v/>
      </c>
      <c r="AB1760" s="134" t="str">
        <f>IF(AA1760="","",IFERROR((RANK(AA1760,$AA$2:$AA$2028,1)+COUNTIF($AA$2:AA1760,AA1760))-1,""))</f>
        <v/>
      </c>
      <c r="AC1760" s="134" t="str">
        <f t="shared" si="555"/>
        <v/>
      </c>
      <c r="AD1760" s="134" t="str">
        <f>IF(AC1760="","",IFERROR((RANK(AC1760,$AC$2:$AC$2028,1)+COUNTIF($AC$2:AC1760,AC1760))-1,""))</f>
        <v/>
      </c>
      <c r="AE1760" s="144" t="str">
        <f t="shared" si="547"/>
        <v/>
      </c>
      <c r="AF1760" s="144" t="str">
        <f>IF(AE1760="","",SUM($AE$2:AE1760))</f>
        <v/>
      </c>
    </row>
    <row r="1761" spans="14:32" x14ac:dyDescent="0.35">
      <c r="N1761" s="134" t="str">
        <f t="shared" si="545"/>
        <v/>
      </c>
      <c r="O1761" s="82" t="str">
        <f t="shared" si="548"/>
        <v/>
      </c>
      <c r="P1761" s="81" t="str">
        <f t="shared" si="546"/>
        <v/>
      </c>
      <c r="Q1761" s="81" t="str">
        <f t="shared" si="549"/>
        <v/>
      </c>
      <c r="R1761" s="135" t="str">
        <f t="shared" ca="1" si="550"/>
        <v/>
      </c>
      <c r="S1761" s="134" t="str">
        <f t="shared" ca="1" si="551"/>
        <v/>
      </c>
      <c r="T1761" s="134" t="str">
        <f ca="1">IF(S1761=Dashboard!$D$12,S1761,"")</f>
        <v/>
      </c>
      <c r="U1761" s="134" t="str">
        <f t="shared" ca="1" si="552"/>
        <v/>
      </c>
      <c r="V1761" s="83" t="str">
        <f ca="1">IF(U1761="","",IFERROR((RANK(U1761,$U$2:$U$2028,1)+COUNTIF($U$2:U1761,U1761))-1,""))</f>
        <v/>
      </c>
      <c r="W1761" s="134" t="str">
        <f t="shared" si="556"/>
        <v/>
      </c>
      <c r="X1761" s="134" t="str">
        <f>IF(W1761="","",IFERROR((RANK(W1761,$W$2:$W$2028,1)+COUNTIF($W$2:W1761,W1761))-1,""))</f>
        <v/>
      </c>
      <c r="Y1761" s="134" t="str">
        <f t="shared" si="553"/>
        <v/>
      </c>
      <c r="Z1761" s="134" t="str">
        <f>IF(Y1761="","",IFERROR((RANK(Y1761,$Y$2:$Y$2028,1)+COUNTIF($Y$2:Y1761,Y1761))-1,""))</f>
        <v/>
      </c>
      <c r="AA1761" s="134" t="str">
        <f t="shared" si="554"/>
        <v/>
      </c>
      <c r="AB1761" s="134" t="str">
        <f>IF(AA1761="","",IFERROR((RANK(AA1761,$AA$2:$AA$2028,1)+COUNTIF($AA$2:AA1761,AA1761))-1,""))</f>
        <v/>
      </c>
      <c r="AC1761" s="134" t="str">
        <f t="shared" si="555"/>
        <v/>
      </c>
      <c r="AD1761" s="134" t="str">
        <f>IF(AC1761="","",IFERROR((RANK(AC1761,$AC$2:$AC$2028,1)+COUNTIF($AC$2:AC1761,AC1761))-1,""))</f>
        <v/>
      </c>
      <c r="AE1761" s="144" t="str">
        <f t="shared" si="547"/>
        <v/>
      </c>
      <c r="AF1761" s="144" t="str">
        <f>IF(AE1761="","",SUM($AE$2:AE1761))</f>
        <v/>
      </c>
    </row>
    <row r="1762" spans="14:32" x14ac:dyDescent="0.35">
      <c r="N1762" s="134" t="str">
        <f t="shared" si="545"/>
        <v/>
      </c>
      <c r="O1762" s="82" t="str">
        <f t="shared" si="548"/>
        <v/>
      </c>
      <c r="P1762" s="81" t="str">
        <f t="shared" si="546"/>
        <v/>
      </c>
      <c r="Q1762" s="81" t="str">
        <f t="shared" si="549"/>
        <v/>
      </c>
      <c r="R1762" s="135" t="str">
        <f t="shared" ca="1" si="550"/>
        <v/>
      </c>
      <c r="S1762" s="134" t="str">
        <f t="shared" ca="1" si="551"/>
        <v/>
      </c>
      <c r="T1762" s="134" t="str">
        <f ca="1">IF(S1762=Dashboard!$D$12,S1762,"")</f>
        <v/>
      </c>
      <c r="U1762" s="134" t="str">
        <f t="shared" ca="1" si="552"/>
        <v/>
      </c>
      <c r="V1762" s="83" t="str">
        <f ca="1">IF(U1762="","",IFERROR((RANK(U1762,$U$2:$U$2028,1)+COUNTIF($U$2:U1762,U1762))-1,""))</f>
        <v/>
      </c>
      <c r="W1762" s="134" t="str">
        <f t="shared" si="556"/>
        <v/>
      </c>
      <c r="X1762" s="134" t="str">
        <f>IF(W1762="","",IFERROR((RANK(W1762,$W$2:$W$2028,1)+COUNTIF($W$2:W1762,W1762))-1,""))</f>
        <v/>
      </c>
      <c r="Y1762" s="134" t="str">
        <f t="shared" si="553"/>
        <v/>
      </c>
      <c r="Z1762" s="134" t="str">
        <f>IF(Y1762="","",IFERROR((RANK(Y1762,$Y$2:$Y$2028,1)+COUNTIF($Y$2:Y1762,Y1762))-1,""))</f>
        <v/>
      </c>
      <c r="AA1762" s="134" t="str">
        <f t="shared" si="554"/>
        <v/>
      </c>
      <c r="AB1762" s="134" t="str">
        <f>IF(AA1762="","",IFERROR((RANK(AA1762,$AA$2:$AA$2028,1)+COUNTIF($AA$2:AA1762,AA1762))-1,""))</f>
        <v/>
      </c>
      <c r="AC1762" s="134" t="str">
        <f t="shared" si="555"/>
        <v/>
      </c>
      <c r="AD1762" s="134" t="str">
        <f>IF(AC1762="","",IFERROR((RANK(AC1762,$AC$2:$AC$2028,1)+COUNTIF($AC$2:AC1762,AC1762))-1,""))</f>
        <v/>
      </c>
      <c r="AE1762" s="144" t="str">
        <f t="shared" si="547"/>
        <v/>
      </c>
      <c r="AF1762" s="144" t="str">
        <f>IF(AE1762="","",SUM($AE$2:AE1762))</f>
        <v/>
      </c>
    </row>
    <row r="1763" spans="14:32" x14ac:dyDescent="0.35">
      <c r="N1763" s="134" t="str">
        <f t="shared" si="545"/>
        <v/>
      </c>
      <c r="O1763" s="82" t="str">
        <f t="shared" si="548"/>
        <v/>
      </c>
      <c r="P1763" s="81" t="str">
        <f t="shared" si="546"/>
        <v/>
      </c>
      <c r="Q1763" s="81" t="str">
        <f t="shared" si="549"/>
        <v/>
      </c>
      <c r="R1763" s="135" t="str">
        <f t="shared" ca="1" si="550"/>
        <v/>
      </c>
      <c r="S1763" s="134" t="str">
        <f t="shared" ca="1" si="551"/>
        <v/>
      </c>
      <c r="T1763" s="134" t="str">
        <f ca="1">IF(S1763=Dashboard!$D$12,S1763,"")</f>
        <v/>
      </c>
      <c r="U1763" s="134" t="str">
        <f t="shared" ca="1" si="552"/>
        <v/>
      </c>
      <c r="V1763" s="83" t="str">
        <f ca="1">IF(U1763="","",IFERROR((RANK(U1763,$U$2:$U$2028,1)+COUNTIF($U$2:U1763,U1763))-1,""))</f>
        <v/>
      </c>
      <c r="W1763" s="134" t="str">
        <f t="shared" si="556"/>
        <v/>
      </c>
      <c r="X1763" s="134" t="str">
        <f>IF(W1763="","",IFERROR((RANK(W1763,$W$2:$W$2028,1)+COUNTIF($W$2:W1763,W1763))-1,""))</f>
        <v/>
      </c>
      <c r="Y1763" s="134" t="str">
        <f t="shared" si="553"/>
        <v/>
      </c>
      <c r="Z1763" s="134" t="str">
        <f>IF(Y1763="","",IFERROR((RANK(Y1763,$Y$2:$Y$2028,1)+COUNTIF($Y$2:Y1763,Y1763))-1,""))</f>
        <v/>
      </c>
      <c r="AA1763" s="134" t="str">
        <f t="shared" si="554"/>
        <v/>
      </c>
      <c r="AB1763" s="134" t="str">
        <f>IF(AA1763="","",IFERROR((RANK(AA1763,$AA$2:$AA$2028,1)+COUNTIF($AA$2:AA1763,AA1763))-1,""))</f>
        <v/>
      </c>
      <c r="AC1763" s="134" t="str">
        <f t="shared" si="555"/>
        <v/>
      </c>
      <c r="AD1763" s="134" t="str">
        <f>IF(AC1763="","",IFERROR((RANK(AC1763,$AC$2:$AC$2028,1)+COUNTIF($AC$2:AC1763,AC1763))-1,""))</f>
        <v/>
      </c>
      <c r="AE1763" s="144" t="str">
        <f t="shared" si="547"/>
        <v/>
      </c>
      <c r="AF1763" s="144" t="str">
        <f>IF(AE1763="","",SUM($AE$2:AE1763))</f>
        <v/>
      </c>
    </row>
    <row r="1764" spans="14:32" x14ac:dyDescent="0.35">
      <c r="N1764" s="134" t="str">
        <f t="shared" si="545"/>
        <v/>
      </c>
      <c r="O1764" s="82" t="str">
        <f t="shared" si="548"/>
        <v/>
      </c>
      <c r="P1764" s="81" t="str">
        <f t="shared" si="546"/>
        <v/>
      </c>
      <c r="Q1764" s="81" t="str">
        <f t="shared" si="549"/>
        <v/>
      </c>
      <c r="R1764" s="135" t="str">
        <f t="shared" ca="1" si="550"/>
        <v/>
      </c>
      <c r="S1764" s="134" t="str">
        <f t="shared" ca="1" si="551"/>
        <v/>
      </c>
      <c r="T1764" s="134" t="str">
        <f ca="1">IF(S1764=Dashboard!$D$12,S1764,"")</f>
        <v/>
      </c>
      <c r="U1764" s="134" t="str">
        <f t="shared" ca="1" si="552"/>
        <v/>
      </c>
      <c r="V1764" s="83" t="str">
        <f ca="1">IF(U1764="","",IFERROR((RANK(U1764,$U$2:$U$2028,1)+COUNTIF($U$2:U1764,U1764))-1,""))</f>
        <v/>
      </c>
      <c r="W1764" s="134" t="str">
        <f t="shared" si="556"/>
        <v/>
      </c>
      <c r="X1764" s="134" t="str">
        <f>IF(W1764="","",IFERROR((RANK(W1764,$W$2:$W$2028,1)+COUNTIF($W$2:W1764,W1764))-1,""))</f>
        <v/>
      </c>
      <c r="Y1764" s="134" t="str">
        <f t="shared" si="553"/>
        <v/>
      </c>
      <c r="Z1764" s="134" t="str">
        <f>IF(Y1764="","",IFERROR((RANK(Y1764,$Y$2:$Y$2028,1)+COUNTIF($Y$2:Y1764,Y1764))-1,""))</f>
        <v/>
      </c>
      <c r="AA1764" s="134" t="str">
        <f t="shared" si="554"/>
        <v/>
      </c>
      <c r="AB1764" s="134" t="str">
        <f>IF(AA1764="","",IFERROR((RANK(AA1764,$AA$2:$AA$2028,1)+COUNTIF($AA$2:AA1764,AA1764))-1,""))</f>
        <v/>
      </c>
      <c r="AC1764" s="134" t="str">
        <f t="shared" si="555"/>
        <v/>
      </c>
      <c r="AD1764" s="134" t="str">
        <f>IF(AC1764="","",IFERROR((RANK(AC1764,$AC$2:$AC$2028,1)+COUNTIF($AC$2:AC1764,AC1764))-1,""))</f>
        <v/>
      </c>
      <c r="AE1764" s="144" t="str">
        <f t="shared" si="547"/>
        <v/>
      </c>
      <c r="AF1764" s="144" t="str">
        <f>IF(AE1764="","",SUM($AE$2:AE1764))</f>
        <v/>
      </c>
    </row>
    <row r="1765" spans="14:32" x14ac:dyDescent="0.35">
      <c r="N1765" s="134" t="str">
        <f t="shared" si="545"/>
        <v/>
      </c>
      <c r="O1765" s="82" t="str">
        <f t="shared" si="548"/>
        <v/>
      </c>
      <c r="P1765" s="81" t="str">
        <f t="shared" si="546"/>
        <v/>
      </c>
      <c r="Q1765" s="81" t="str">
        <f t="shared" si="549"/>
        <v/>
      </c>
      <c r="R1765" s="135" t="str">
        <f t="shared" ca="1" si="550"/>
        <v/>
      </c>
      <c r="S1765" s="134" t="str">
        <f t="shared" ca="1" si="551"/>
        <v/>
      </c>
      <c r="T1765" s="134" t="str">
        <f ca="1">IF(S1765=Dashboard!$D$12,S1765,"")</f>
        <v/>
      </c>
      <c r="U1765" s="134" t="str">
        <f t="shared" ca="1" si="552"/>
        <v/>
      </c>
      <c r="V1765" s="83" t="str">
        <f ca="1">IF(U1765="","",IFERROR((RANK(U1765,$U$2:$U$2028,1)+COUNTIF($U$2:U1765,U1765))-1,""))</f>
        <v/>
      </c>
      <c r="W1765" s="134" t="str">
        <f t="shared" si="556"/>
        <v/>
      </c>
      <c r="X1765" s="134" t="str">
        <f>IF(W1765="","",IFERROR((RANK(W1765,$W$2:$W$2028,1)+COUNTIF($W$2:W1765,W1765))-1,""))</f>
        <v/>
      </c>
      <c r="Y1765" s="134" t="str">
        <f t="shared" si="553"/>
        <v/>
      </c>
      <c r="Z1765" s="134" t="str">
        <f>IF(Y1765="","",IFERROR((RANK(Y1765,$Y$2:$Y$2028,1)+COUNTIF($Y$2:Y1765,Y1765))-1,""))</f>
        <v/>
      </c>
      <c r="AA1765" s="134" t="str">
        <f t="shared" si="554"/>
        <v/>
      </c>
      <c r="AB1765" s="134" t="str">
        <f>IF(AA1765="","",IFERROR((RANK(AA1765,$AA$2:$AA$2028,1)+COUNTIF($AA$2:AA1765,AA1765))-1,""))</f>
        <v/>
      </c>
      <c r="AC1765" s="134" t="str">
        <f t="shared" si="555"/>
        <v/>
      </c>
      <c r="AD1765" s="134" t="str">
        <f>IF(AC1765="","",IFERROR((RANK(AC1765,$AC$2:$AC$2028,1)+COUNTIF($AC$2:AC1765,AC1765))-1,""))</f>
        <v/>
      </c>
      <c r="AE1765" s="144" t="str">
        <f t="shared" si="547"/>
        <v/>
      </c>
      <c r="AF1765" s="144" t="str">
        <f>IF(AE1765="","",SUM($AE$2:AE1765))</f>
        <v/>
      </c>
    </row>
    <row r="1766" spans="14:32" x14ac:dyDescent="0.35">
      <c r="N1766" s="134" t="str">
        <f t="shared" si="545"/>
        <v/>
      </c>
      <c r="O1766" s="82" t="str">
        <f t="shared" si="548"/>
        <v/>
      </c>
      <c r="P1766" s="81" t="str">
        <f t="shared" si="546"/>
        <v/>
      </c>
      <c r="Q1766" s="81" t="str">
        <f t="shared" si="549"/>
        <v/>
      </c>
      <c r="R1766" s="135" t="str">
        <f t="shared" ca="1" si="550"/>
        <v/>
      </c>
      <c r="S1766" s="134" t="str">
        <f t="shared" ca="1" si="551"/>
        <v/>
      </c>
      <c r="T1766" s="134" t="str">
        <f ca="1">IF(S1766=Dashboard!$D$12,S1766,"")</f>
        <v/>
      </c>
      <c r="U1766" s="134" t="str">
        <f t="shared" ca="1" si="552"/>
        <v/>
      </c>
      <c r="V1766" s="83" t="str">
        <f ca="1">IF(U1766="","",IFERROR((RANK(U1766,$U$2:$U$2028,1)+COUNTIF($U$2:U1766,U1766))-1,""))</f>
        <v/>
      </c>
      <c r="W1766" s="134" t="str">
        <f t="shared" si="556"/>
        <v/>
      </c>
      <c r="X1766" s="134" t="str">
        <f>IF(W1766="","",IFERROR((RANK(W1766,$W$2:$W$2028,1)+COUNTIF($W$2:W1766,W1766))-1,""))</f>
        <v/>
      </c>
      <c r="Y1766" s="134" t="str">
        <f t="shared" si="553"/>
        <v/>
      </c>
      <c r="Z1766" s="134" t="str">
        <f>IF(Y1766="","",IFERROR((RANK(Y1766,$Y$2:$Y$2028,1)+COUNTIF($Y$2:Y1766,Y1766))-1,""))</f>
        <v/>
      </c>
      <c r="AA1766" s="134" t="str">
        <f t="shared" si="554"/>
        <v/>
      </c>
      <c r="AB1766" s="134" t="str">
        <f>IF(AA1766="","",IFERROR((RANK(AA1766,$AA$2:$AA$2028,1)+COUNTIF($AA$2:AA1766,AA1766))-1,""))</f>
        <v/>
      </c>
      <c r="AC1766" s="134" t="str">
        <f t="shared" si="555"/>
        <v/>
      </c>
      <c r="AD1766" s="134" t="str">
        <f>IF(AC1766="","",IFERROR((RANK(AC1766,$AC$2:$AC$2028,1)+COUNTIF($AC$2:AC1766,AC1766))-1,""))</f>
        <v/>
      </c>
      <c r="AE1766" s="144" t="str">
        <f t="shared" si="547"/>
        <v/>
      </c>
      <c r="AF1766" s="144" t="str">
        <f>IF(AE1766="","",SUM($AE$2:AE1766))</f>
        <v/>
      </c>
    </row>
    <row r="1767" spans="14:32" x14ac:dyDescent="0.35">
      <c r="N1767" s="134" t="str">
        <f t="shared" si="545"/>
        <v/>
      </c>
      <c r="O1767" s="82" t="str">
        <f t="shared" si="548"/>
        <v/>
      </c>
      <c r="P1767" s="81" t="str">
        <f t="shared" si="546"/>
        <v/>
      </c>
      <c r="Q1767" s="81" t="str">
        <f t="shared" si="549"/>
        <v/>
      </c>
      <c r="R1767" s="135" t="str">
        <f t="shared" ca="1" si="550"/>
        <v/>
      </c>
      <c r="S1767" s="134" t="str">
        <f t="shared" ca="1" si="551"/>
        <v/>
      </c>
      <c r="T1767" s="134" t="str">
        <f ca="1">IF(S1767=Dashboard!$D$12,S1767,"")</f>
        <v/>
      </c>
      <c r="U1767" s="134" t="str">
        <f t="shared" ca="1" si="552"/>
        <v/>
      </c>
      <c r="V1767" s="83" t="str">
        <f ca="1">IF(U1767="","",IFERROR((RANK(U1767,$U$2:$U$2028,1)+COUNTIF($U$2:U1767,U1767))-1,""))</f>
        <v/>
      </c>
      <c r="W1767" s="134" t="str">
        <f t="shared" si="556"/>
        <v/>
      </c>
      <c r="X1767" s="134" t="str">
        <f>IF(W1767="","",IFERROR((RANK(W1767,$W$2:$W$2028,1)+COUNTIF($W$2:W1767,W1767))-1,""))</f>
        <v/>
      </c>
      <c r="Y1767" s="134" t="str">
        <f t="shared" si="553"/>
        <v/>
      </c>
      <c r="Z1767" s="134" t="str">
        <f>IF(Y1767="","",IFERROR((RANK(Y1767,$Y$2:$Y$2028,1)+COUNTIF($Y$2:Y1767,Y1767))-1,""))</f>
        <v/>
      </c>
      <c r="AA1767" s="134" t="str">
        <f t="shared" si="554"/>
        <v/>
      </c>
      <c r="AB1767" s="134" t="str">
        <f>IF(AA1767="","",IFERROR((RANK(AA1767,$AA$2:$AA$2028,1)+COUNTIF($AA$2:AA1767,AA1767))-1,""))</f>
        <v/>
      </c>
      <c r="AC1767" s="134" t="str">
        <f t="shared" si="555"/>
        <v/>
      </c>
      <c r="AD1767" s="134" t="str">
        <f>IF(AC1767="","",IFERROR((RANK(AC1767,$AC$2:$AC$2028,1)+COUNTIF($AC$2:AC1767,AC1767))-1,""))</f>
        <v/>
      </c>
      <c r="AE1767" s="144" t="str">
        <f t="shared" si="547"/>
        <v/>
      </c>
      <c r="AF1767" s="144" t="str">
        <f>IF(AE1767="","",SUM($AE$2:AE1767))</f>
        <v/>
      </c>
    </row>
    <row r="1768" spans="14:32" x14ac:dyDescent="0.35">
      <c r="N1768" s="134" t="str">
        <f t="shared" si="545"/>
        <v/>
      </c>
      <c r="O1768" s="82" t="str">
        <f t="shared" si="548"/>
        <v/>
      </c>
      <c r="P1768" s="81" t="str">
        <f t="shared" si="546"/>
        <v/>
      </c>
      <c r="Q1768" s="81" t="str">
        <f t="shared" si="549"/>
        <v/>
      </c>
      <c r="R1768" s="135" t="str">
        <f t="shared" ca="1" si="550"/>
        <v/>
      </c>
      <c r="S1768" s="134" t="str">
        <f t="shared" ca="1" si="551"/>
        <v/>
      </c>
      <c r="T1768" s="134" t="str">
        <f ca="1">IF(S1768=Dashboard!$D$12,S1768,"")</f>
        <v/>
      </c>
      <c r="U1768" s="134" t="str">
        <f t="shared" ca="1" si="552"/>
        <v/>
      </c>
      <c r="V1768" s="83" t="str">
        <f ca="1">IF(U1768="","",IFERROR((RANK(U1768,$U$2:$U$2028,1)+COUNTIF($U$2:U1768,U1768))-1,""))</f>
        <v/>
      </c>
      <c r="W1768" s="134" t="str">
        <f t="shared" si="556"/>
        <v/>
      </c>
      <c r="X1768" s="134" t="str">
        <f>IF(W1768="","",IFERROR((RANK(W1768,$W$2:$W$2028,1)+COUNTIF($W$2:W1768,W1768))-1,""))</f>
        <v/>
      </c>
      <c r="Y1768" s="134" t="str">
        <f t="shared" si="553"/>
        <v/>
      </c>
      <c r="Z1768" s="134" t="str">
        <f>IF(Y1768="","",IFERROR((RANK(Y1768,$Y$2:$Y$2028,1)+COUNTIF($Y$2:Y1768,Y1768))-1,""))</f>
        <v/>
      </c>
      <c r="AA1768" s="134" t="str">
        <f t="shared" si="554"/>
        <v/>
      </c>
      <c r="AB1768" s="134" t="str">
        <f>IF(AA1768="","",IFERROR((RANK(AA1768,$AA$2:$AA$2028,1)+COUNTIF($AA$2:AA1768,AA1768))-1,""))</f>
        <v/>
      </c>
      <c r="AC1768" s="134" t="str">
        <f t="shared" si="555"/>
        <v/>
      </c>
      <c r="AD1768" s="134" t="str">
        <f>IF(AC1768="","",IFERROR((RANK(AC1768,$AC$2:$AC$2028,1)+COUNTIF($AC$2:AC1768,AC1768))-1,""))</f>
        <v/>
      </c>
      <c r="AE1768" s="144" t="str">
        <f t="shared" si="547"/>
        <v/>
      </c>
      <c r="AF1768" s="144" t="str">
        <f>IF(AE1768="","",SUM($AE$2:AE1768))</f>
        <v/>
      </c>
    </row>
    <row r="1769" spans="14:32" x14ac:dyDescent="0.35">
      <c r="N1769" s="134" t="str">
        <f t="shared" si="545"/>
        <v/>
      </c>
      <c r="O1769" s="82" t="str">
        <f t="shared" si="548"/>
        <v/>
      </c>
      <c r="P1769" s="81" t="str">
        <f t="shared" si="546"/>
        <v/>
      </c>
      <c r="Q1769" s="81" t="str">
        <f t="shared" si="549"/>
        <v/>
      </c>
      <c r="R1769" s="135" t="str">
        <f t="shared" ca="1" si="550"/>
        <v/>
      </c>
      <c r="S1769" s="134" t="str">
        <f t="shared" ca="1" si="551"/>
        <v/>
      </c>
      <c r="T1769" s="134" t="str">
        <f ca="1">IF(S1769=Dashboard!$D$12,S1769,"")</f>
        <v/>
      </c>
      <c r="U1769" s="134" t="str">
        <f t="shared" ca="1" si="552"/>
        <v/>
      </c>
      <c r="V1769" s="83" t="str">
        <f ca="1">IF(U1769="","",IFERROR((RANK(U1769,$U$2:$U$2028,1)+COUNTIF($U$2:U1769,U1769))-1,""))</f>
        <v/>
      </c>
      <c r="W1769" s="134" t="str">
        <f t="shared" si="556"/>
        <v/>
      </c>
      <c r="X1769" s="134" t="str">
        <f>IF(W1769="","",IFERROR((RANK(W1769,$W$2:$W$2028,1)+COUNTIF($W$2:W1769,W1769))-1,""))</f>
        <v/>
      </c>
      <c r="Y1769" s="134" t="str">
        <f t="shared" si="553"/>
        <v/>
      </c>
      <c r="Z1769" s="134" t="str">
        <f>IF(Y1769="","",IFERROR((RANK(Y1769,$Y$2:$Y$2028,1)+COUNTIF($Y$2:Y1769,Y1769))-1,""))</f>
        <v/>
      </c>
      <c r="AA1769" s="134" t="str">
        <f t="shared" si="554"/>
        <v/>
      </c>
      <c r="AB1769" s="134" t="str">
        <f>IF(AA1769="","",IFERROR((RANK(AA1769,$AA$2:$AA$2028,1)+COUNTIF($AA$2:AA1769,AA1769))-1,""))</f>
        <v/>
      </c>
      <c r="AC1769" s="134" t="str">
        <f t="shared" si="555"/>
        <v/>
      </c>
      <c r="AD1769" s="134" t="str">
        <f>IF(AC1769="","",IFERROR((RANK(AC1769,$AC$2:$AC$2028,1)+COUNTIF($AC$2:AC1769,AC1769))-1,""))</f>
        <v/>
      </c>
      <c r="AE1769" s="144" t="str">
        <f t="shared" si="547"/>
        <v/>
      </c>
      <c r="AF1769" s="144" t="str">
        <f>IF(AE1769="","",SUM($AE$2:AE1769))</f>
        <v/>
      </c>
    </row>
    <row r="1770" spans="14:32" x14ac:dyDescent="0.35">
      <c r="N1770" s="134" t="str">
        <f t="shared" si="545"/>
        <v/>
      </c>
      <c r="O1770" s="82" t="str">
        <f t="shared" si="548"/>
        <v/>
      </c>
      <c r="P1770" s="81" t="str">
        <f t="shared" si="546"/>
        <v/>
      </c>
      <c r="Q1770" s="81" t="str">
        <f t="shared" si="549"/>
        <v/>
      </c>
      <c r="R1770" s="135" t="str">
        <f t="shared" ca="1" si="550"/>
        <v/>
      </c>
      <c r="S1770" s="134" t="str">
        <f t="shared" ca="1" si="551"/>
        <v/>
      </c>
      <c r="T1770" s="134" t="str">
        <f ca="1">IF(S1770=Dashboard!$D$12,S1770,"")</f>
        <v/>
      </c>
      <c r="U1770" s="134" t="str">
        <f t="shared" ca="1" si="552"/>
        <v/>
      </c>
      <c r="V1770" s="83" t="str">
        <f ca="1">IF(U1770="","",IFERROR((RANK(U1770,$U$2:$U$2028,1)+COUNTIF($U$2:U1770,U1770))-1,""))</f>
        <v/>
      </c>
      <c r="W1770" s="134" t="str">
        <f t="shared" si="556"/>
        <v/>
      </c>
      <c r="X1770" s="134" t="str">
        <f>IF(W1770="","",IFERROR((RANK(W1770,$W$2:$W$2028,1)+COUNTIF($W$2:W1770,W1770))-1,""))</f>
        <v/>
      </c>
      <c r="Y1770" s="134" t="str">
        <f t="shared" si="553"/>
        <v/>
      </c>
      <c r="Z1770" s="134" t="str">
        <f>IF(Y1770="","",IFERROR((RANK(Y1770,$Y$2:$Y$2028,1)+COUNTIF($Y$2:Y1770,Y1770))-1,""))</f>
        <v/>
      </c>
      <c r="AA1770" s="134" t="str">
        <f t="shared" si="554"/>
        <v/>
      </c>
      <c r="AB1770" s="134" t="str">
        <f>IF(AA1770="","",IFERROR((RANK(AA1770,$AA$2:$AA$2028,1)+COUNTIF($AA$2:AA1770,AA1770))-1,""))</f>
        <v/>
      </c>
      <c r="AC1770" s="134" t="str">
        <f t="shared" si="555"/>
        <v/>
      </c>
      <c r="AD1770" s="134" t="str">
        <f>IF(AC1770="","",IFERROR((RANK(AC1770,$AC$2:$AC$2028,1)+COUNTIF($AC$2:AC1770,AC1770))-1,""))</f>
        <v/>
      </c>
      <c r="AE1770" s="144" t="str">
        <f t="shared" si="547"/>
        <v/>
      </c>
      <c r="AF1770" s="144" t="str">
        <f>IF(AE1770="","",SUM($AE$2:AE1770))</f>
        <v/>
      </c>
    </row>
    <row r="1771" spans="14:32" x14ac:dyDescent="0.35">
      <c r="N1771" s="134" t="str">
        <f t="shared" si="545"/>
        <v/>
      </c>
      <c r="O1771" s="82" t="str">
        <f t="shared" si="548"/>
        <v/>
      </c>
      <c r="P1771" s="81" t="str">
        <f t="shared" si="546"/>
        <v/>
      </c>
      <c r="Q1771" s="81" t="str">
        <f t="shared" si="549"/>
        <v/>
      </c>
      <c r="R1771" s="135" t="str">
        <f t="shared" ca="1" si="550"/>
        <v/>
      </c>
      <c r="S1771" s="134" t="str">
        <f t="shared" ca="1" si="551"/>
        <v/>
      </c>
      <c r="T1771" s="134" t="str">
        <f ca="1">IF(S1771=Dashboard!$D$12,S1771,"")</f>
        <v/>
      </c>
      <c r="U1771" s="134" t="str">
        <f t="shared" ca="1" si="552"/>
        <v/>
      </c>
      <c r="V1771" s="83" t="str">
        <f ca="1">IF(U1771="","",IFERROR((RANK(U1771,$U$2:$U$2028,1)+COUNTIF($U$2:U1771,U1771))-1,""))</f>
        <v/>
      </c>
      <c r="W1771" s="134" t="str">
        <f t="shared" si="556"/>
        <v/>
      </c>
      <c r="X1771" s="134" t="str">
        <f>IF(W1771="","",IFERROR((RANK(W1771,$W$2:$W$2028,1)+COUNTIF($W$2:W1771,W1771))-1,""))</f>
        <v/>
      </c>
      <c r="Y1771" s="134" t="str">
        <f t="shared" si="553"/>
        <v/>
      </c>
      <c r="Z1771" s="134" t="str">
        <f>IF(Y1771="","",IFERROR((RANK(Y1771,$Y$2:$Y$2028,1)+COUNTIF($Y$2:Y1771,Y1771))-1,""))</f>
        <v/>
      </c>
      <c r="AA1771" s="134" t="str">
        <f t="shared" si="554"/>
        <v/>
      </c>
      <c r="AB1771" s="134" t="str">
        <f>IF(AA1771="","",IFERROR((RANK(AA1771,$AA$2:$AA$2028,1)+COUNTIF($AA$2:AA1771,AA1771))-1,""))</f>
        <v/>
      </c>
      <c r="AC1771" s="134" t="str">
        <f t="shared" si="555"/>
        <v/>
      </c>
      <c r="AD1771" s="134" t="str">
        <f>IF(AC1771="","",IFERROR((RANK(AC1771,$AC$2:$AC$2028,1)+COUNTIF($AC$2:AC1771,AC1771))-1,""))</f>
        <v/>
      </c>
      <c r="AE1771" s="144" t="str">
        <f t="shared" si="547"/>
        <v/>
      </c>
      <c r="AF1771" s="144" t="str">
        <f>IF(AE1771="","",SUM($AE$2:AE1771))</f>
        <v/>
      </c>
    </row>
    <row r="1772" spans="14:32" x14ac:dyDescent="0.35">
      <c r="N1772" s="134" t="str">
        <f t="shared" si="545"/>
        <v/>
      </c>
      <c r="O1772" s="82" t="str">
        <f t="shared" si="548"/>
        <v/>
      </c>
      <c r="P1772" s="81" t="str">
        <f t="shared" si="546"/>
        <v/>
      </c>
      <c r="Q1772" s="81" t="str">
        <f t="shared" si="549"/>
        <v/>
      </c>
      <c r="R1772" s="135" t="str">
        <f t="shared" ca="1" si="550"/>
        <v/>
      </c>
      <c r="S1772" s="134" t="str">
        <f t="shared" ca="1" si="551"/>
        <v/>
      </c>
      <c r="T1772" s="134" t="str">
        <f ca="1">IF(S1772=Dashboard!$D$12,S1772,"")</f>
        <v/>
      </c>
      <c r="U1772" s="134" t="str">
        <f t="shared" ca="1" si="552"/>
        <v/>
      </c>
      <c r="V1772" s="83" t="str">
        <f ca="1">IF(U1772="","",IFERROR((RANK(U1772,$U$2:$U$2028,1)+COUNTIF($U$2:U1772,U1772))-1,""))</f>
        <v/>
      </c>
      <c r="W1772" s="134" t="str">
        <f t="shared" si="556"/>
        <v/>
      </c>
      <c r="X1772" s="134" t="str">
        <f>IF(W1772="","",IFERROR((RANK(W1772,$W$2:$W$2028,1)+COUNTIF($W$2:W1772,W1772))-1,""))</f>
        <v/>
      </c>
      <c r="Y1772" s="134" t="str">
        <f t="shared" si="553"/>
        <v/>
      </c>
      <c r="Z1772" s="134" t="str">
        <f>IF(Y1772="","",IFERROR((RANK(Y1772,$Y$2:$Y$2028,1)+COUNTIF($Y$2:Y1772,Y1772))-1,""))</f>
        <v/>
      </c>
      <c r="AA1772" s="134" t="str">
        <f t="shared" si="554"/>
        <v/>
      </c>
      <c r="AB1772" s="134" t="str">
        <f>IF(AA1772="","",IFERROR((RANK(AA1772,$AA$2:$AA$2028,1)+COUNTIF($AA$2:AA1772,AA1772))-1,""))</f>
        <v/>
      </c>
      <c r="AC1772" s="134" t="str">
        <f t="shared" si="555"/>
        <v/>
      </c>
      <c r="AD1772" s="134" t="str">
        <f>IF(AC1772="","",IFERROR((RANK(AC1772,$AC$2:$AC$2028,1)+COUNTIF($AC$2:AC1772,AC1772))-1,""))</f>
        <v/>
      </c>
      <c r="AE1772" s="144" t="str">
        <f t="shared" si="547"/>
        <v/>
      </c>
      <c r="AF1772" s="144" t="str">
        <f>IF(AE1772="","",SUM($AE$2:AE1772))</f>
        <v/>
      </c>
    </row>
    <row r="1773" spans="14:32" x14ac:dyDescent="0.35">
      <c r="N1773" s="134" t="str">
        <f t="shared" si="545"/>
        <v/>
      </c>
      <c r="O1773" s="82" t="str">
        <f t="shared" si="548"/>
        <v/>
      </c>
      <c r="P1773" s="81" t="str">
        <f t="shared" si="546"/>
        <v/>
      </c>
      <c r="Q1773" s="81" t="str">
        <f t="shared" si="549"/>
        <v/>
      </c>
      <c r="R1773" s="135" t="str">
        <f t="shared" ca="1" si="550"/>
        <v/>
      </c>
      <c r="S1773" s="134" t="str">
        <f t="shared" ca="1" si="551"/>
        <v/>
      </c>
      <c r="T1773" s="134" t="str">
        <f ca="1">IF(S1773=Dashboard!$D$12,S1773,"")</f>
        <v/>
      </c>
      <c r="U1773" s="134" t="str">
        <f t="shared" ca="1" si="552"/>
        <v/>
      </c>
      <c r="V1773" s="83" t="str">
        <f ca="1">IF(U1773="","",IFERROR((RANK(U1773,$U$2:$U$2028,1)+COUNTIF($U$2:U1773,U1773))-1,""))</f>
        <v/>
      </c>
      <c r="W1773" s="134" t="str">
        <f t="shared" si="556"/>
        <v/>
      </c>
      <c r="X1773" s="134" t="str">
        <f>IF(W1773="","",IFERROR((RANK(W1773,$W$2:$W$2028,1)+COUNTIF($W$2:W1773,W1773))-1,""))</f>
        <v/>
      </c>
      <c r="Y1773" s="134" t="str">
        <f t="shared" si="553"/>
        <v/>
      </c>
      <c r="Z1773" s="134" t="str">
        <f>IF(Y1773="","",IFERROR((RANK(Y1773,$Y$2:$Y$2028,1)+COUNTIF($Y$2:Y1773,Y1773))-1,""))</f>
        <v/>
      </c>
      <c r="AA1773" s="134" t="str">
        <f t="shared" si="554"/>
        <v/>
      </c>
      <c r="AB1773" s="134" t="str">
        <f>IF(AA1773="","",IFERROR((RANK(AA1773,$AA$2:$AA$2028,1)+COUNTIF($AA$2:AA1773,AA1773))-1,""))</f>
        <v/>
      </c>
      <c r="AC1773" s="134" t="str">
        <f t="shared" si="555"/>
        <v/>
      </c>
      <c r="AD1773" s="134" t="str">
        <f>IF(AC1773="","",IFERROR((RANK(AC1773,$AC$2:$AC$2028,1)+COUNTIF($AC$2:AC1773,AC1773))-1,""))</f>
        <v/>
      </c>
      <c r="AE1773" s="144" t="str">
        <f t="shared" si="547"/>
        <v/>
      </c>
      <c r="AF1773" s="144" t="str">
        <f>IF(AE1773="","",SUM($AE$2:AE1773))</f>
        <v/>
      </c>
    </row>
    <row r="1774" spans="14:32" x14ac:dyDescent="0.35">
      <c r="N1774" s="134" t="str">
        <f t="shared" si="545"/>
        <v/>
      </c>
      <c r="O1774" s="82" t="str">
        <f t="shared" si="548"/>
        <v/>
      </c>
      <c r="P1774" s="81" t="str">
        <f t="shared" si="546"/>
        <v/>
      </c>
      <c r="Q1774" s="81" t="str">
        <f t="shared" si="549"/>
        <v/>
      </c>
      <c r="R1774" s="135" t="str">
        <f t="shared" ca="1" si="550"/>
        <v/>
      </c>
      <c r="S1774" s="134" t="str">
        <f t="shared" ca="1" si="551"/>
        <v/>
      </c>
      <c r="T1774" s="134" t="str">
        <f ca="1">IF(S1774=Dashboard!$D$12,S1774,"")</f>
        <v/>
      </c>
      <c r="U1774" s="134" t="str">
        <f t="shared" ca="1" si="552"/>
        <v/>
      </c>
      <c r="V1774" s="83" t="str">
        <f ca="1">IF(U1774="","",IFERROR((RANK(U1774,$U$2:$U$2028,1)+COUNTIF($U$2:U1774,U1774))-1,""))</f>
        <v/>
      </c>
      <c r="W1774" s="134" t="str">
        <f t="shared" si="556"/>
        <v/>
      </c>
      <c r="X1774" s="134" t="str">
        <f>IF(W1774="","",IFERROR((RANK(W1774,$W$2:$W$2028,1)+COUNTIF($W$2:W1774,W1774))-1,""))</f>
        <v/>
      </c>
      <c r="Y1774" s="134" t="str">
        <f t="shared" si="553"/>
        <v/>
      </c>
      <c r="Z1774" s="134" t="str">
        <f>IF(Y1774="","",IFERROR((RANK(Y1774,$Y$2:$Y$2028,1)+COUNTIF($Y$2:Y1774,Y1774))-1,""))</f>
        <v/>
      </c>
      <c r="AA1774" s="134" t="str">
        <f t="shared" si="554"/>
        <v/>
      </c>
      <c r="AB1774" s="134" t="str">
        <f>IF(AA1774="","",IFERROR((RANK(AA1774,$AA$2:$AA$2028,1)+COUNTIF($AA$2:AA1774,AA1774))-1,""))</f>
        <v/>
      </c>
      <c r="AC1774" s="134" t="str">
        <f t="shared" si="555"/>
        <v/>
      </c>
      <c r="AD1774" s="134" t="str">
        <f>IF(AC1774="","",IFERROR((RANK(AC1774,$AC$2:$AC$2028,1)+COUNTIF($AC$2:AC1774,AC1774))-1,""))</f>
        <v/>
      </c>
      <c r="AE1774" s="144" t="str">
        <f t="shared" si="547"/>
        <v/>
      </c>
      <c r="AF1774" s="144" t="str">
        <f>IF(AE1774="","",SUM($AE$2:AE1774))</f>
        <v/>
      </c>
    </row>
    <row r="1775" spans="14:32" x14ac:dyDescent="0.35">
      <c r="N1775" s="134" t="str">
        <f t="shared" si="545"/>
        <v/>
      </c>
      <c r="O1775" s="82" t="str">
        <f t="shared" si="548"/>
        <v/>
      </c>
      <c r="P1775" s="81" t="str">
        <f t="shared" si="546"/>
        <v/>
      </c>
      <c r="Q1775" s="81" t="str">
        <f t="shared" si="549"/>
        <v/>
      </c>
      <c r="R1775" s="135" t="str">
        <f t="shared" ca="1" si="550"/>
        <v/>
      </c>
      <c r="S1775" s="134" t="str">
        <f t="shared" ca="1" si="551"/>
        <v/>
      </c>
      <c r="T1775" s="134" t="str">
        <f ca="1">IF(S1775=Dashboard!$D$12,S1775,"")</f>
        <v/>
      </c>
      <c r="U1775" s="134" t="str">
        <f t="shared" ca="1" si="552"/>
        <v/>
      </c>
      <c r="V1775" s="83" t="str">
        <f ca="1">IF(U1775="","",IFERROR((RANK(U1775,$U$2:$U$2028,1)+COUNTIF($U$2:U1775,U1775))-1,""))</f>
        <v/>
      </c>
      <c r="W1775" s="134" t="str">
        <f t="shared" si="556"/>
        <v/>
      </c>
      <c r="X1775" s="134" t="str">
        <f>IF(W1775="","",IFERROR((RANK(W1775,$W$2:$W$2028,1)+COUNTIF($W$2:W1775,W1775))-1,""))</f>
        <v/>
      </c>
      <c r="Y1775" s="134" t="str">
        <f t="shared" si="553"/>
        <v/>
      </c>
      <c r="Z1775" s="134" t="str">
        <f>IF(Y1775="","",IFERROR((RANK(Y1775,$Y$2:$Y$2028,1)+COUNTIF($Y$2:Y1775,Y1775))-1,""))</f>
        <v/>
      </c>
      <c r="AA1775" s="134" t="str">
        <f t="shared" si="554"/>
        <v/>
      </c>
      <c r="AB1775" s="134" t="str">
        <f>IF(AA1775="","",IFERROR((RANK(AA1775,$AA$2:$AA$2028,1)+COUNTIF($AA$2:AA1775,AA1775))-1,""))</f>
        <v/>
      </c>
      <c r="AC1775" s="134" t="str">
        <f t="shared" si="555"/>
        <v/>
      </c>
      <c r="AD1775" s="134" t="str">
        <f>IF(AC1775="","",IFERROR((RANK(AC1775,$AC$2:$AC$2028,1)+COUNTIF($AC$2:AC1775,AC1775))-1,""))</f>
        <v/>
      </c>
      <c r="AE1775" s="144" t="str">
        <f t="shared" si="547"/>
        <v/>
      </c>
      <c r="AF1775" s="144" t="str">
        <f>IF(AE1775="","",SUM($AE$2:AE1775))</f>
        <v/>
      </c>
    </row>
    <row r="1776" spans="14:32" x14ac:dyDescent="0.35">
      <c r="N1776" s="134" t="str">
        <f t="shared" si="545"/>
        <v/>
      </c>
      <c r="O1776" s="82" t="str">
        <f t="shared" si="548"/>
        <v/>
      </c>
      <c r="P1776" s="81" t="str">
        <f t="shared" si="546"/>
        <v/>
      </c>
      <c r="Q1776" s="81" t="str">
        <f t="shared" si="549"/>
        <v/>
      </c>
      <c r="R1776" s="135" t="str">
        <f t="shared" ca="1" si="550"/>
        <v/>
      </c>
      <c r="S1776" s="134" t="str">
        <f t="shared" ca="1" si="551"/>
        <v/>
      </c>
      <c r="T1776" s="134" t="str">
        <f ca="1">IF(S1776=Dashboard!$D$12,S1776,"")</f>
        <v/>
      </c>
      <c r="U1776" s="134" t="str">
        <f t="shared" ca="1" si="552"/>
        <v/>
      </c>
      <c r="V1776" s="83" t="str">
        <f ca="1">IF(U1776="","",IFERROR((RANK(U1776,$U$2:$U$2028,1)+COUNTIF($U$2:U1776,U1776))-1,""))</f>
        <v/>
      </c>
      <c r="W1776" s="134" t="str">
        <f t="shared" si="556"/>
        <v/>
      </c>
      <c r="X1776" s="134" t="str">
        <f>IF(W1776="","",IFERROR((RANK(W1776,$W$2:$W$2028,1)+COUNTIF($W$2:W1776,W1776))-1,""))</f>
        <v/>
      </c>
      <c r="Y1776" s="134" t="str">
        <f t="shared" si="553"/>
        <v/>
      </c>
      <c r="Z1776" s="134" t="str">
        <f>IF(Y1776="","",IFERROR((RANK(Y1776,$Y$2:$Y$2028,1)+COUNTIF($Y$2:Y1776,Y1776))-1,""))</f>
        <v/>
      </c>
      <c r="AA1776" s="134" t="str">
        <f t="shared" si="554"/>
        <v/>
      </c>
      <c r="AB1776" s="134" t="str">
        <f>IF(AA1776="","",IFERROR((RANK(AA1776,$AA$2:$AA$2028,1)+COUNTIF($AA$2:AA1776,AA1776))-1,""))</f>
        <v/>
      </c>
      <c r="AC1776" s="134" t="str">
        <f t="shared" si="555"/>
        <v/>
      </c>
      <c r="AD1776" s="134" t="str">
        <f>IF(AC1776="","",IFERROR((RANK(AC1776,$AC$2:$AC$2028,1)+COUNTIF($AC$2:AC1776,AC1776))-1,""))</f>
        <v/>
      </c>
      <c r="AE1776" s="144" t="str">
        <f t="shared" si="547"/>
        <v/>
      </c>
      <c r="AF1776" s="144" t="str">
        <f>IF(AE1776="","",SUM($AE$2:AE1776))</f>
        <v/>
      </c>
    </row>
    <row r="1777" spans="14:32" x14ac:dyDescent="0.35">
      <c r="N1777" s="134" t="str">
        <f t="shared" si="545"/>
        <v/>
      </c>
      <c r="O1777" s="82" t="str">
        <f t="shared" si="548"/>
        <v/>
      </c>
      <c r="P1777" s="81" t="str">
        <f t="shared" si="546"/>
        <v/>
      </c>
      <c r="Q1777" s="81" t="str">
        <f t="shared" si="549"/>
        <v/>
      </c>
      <c r="R1777" s="135" t="str">
        <f t="shared" ca="1" si="550"/>
        <v/>
      </c>
      <c r="S1777" s="134" t="str">
        <f t="shared" ca="1" si="551"/>
        <v/>
      </c>
      <c r="T1777" s="134" t="str">
        <f ca="1">IF(S1777=Dashboard!$D$12,S1777,"")</f>
        <v/>
      </c>
      <c r="U1777" s="134" t="str">
        <f t="shared" ca="1" si="552"/>
        <v/>
      </c>
      <c r="V1777" s="83" t="str">
        <f ca="1">IF(U1777="","",IFERROR((RANK(U1777,$U$2:$U$2028,1)+COUNTIF($U$2:U1777,U1777))-1,""))</f>
        <v/>
      </c>
      <c r="W1777" s="134" t="str">
        <f t="shared" si="556"/>
        <v/>
      </c>
      <c r="X1777" s="134" t="str">
        <f>IF(W1777="","",IFERROR((RANK(W1777,$W$2:$W$2028,1)+COUNTIF($W$2:W1777,W1777))-1,""))</f>
        <v/>
      </c>
      <c r="Y1777" s="134" t="str">
        <f t="shared" si="553"/>
        <v/>
      </c>
      <c r="Z1777" s="134" t="str">
        <f>IF(Y1777="","",IFERROR((RANK(Y1777,$Y$2:$Y$2028,1)+COUNTIF($Y$2:Y1777,Y1777))-1,""))</f>
        <v/>
      </c>
      <c r="AA1777" s="134" t="str">
        <f t="shared" si="554"/>
        <v/>
      </c>
      <c r="AB1777" s="134" t="str">
        <f>IF(AA1777="","",IFERROR((RANK(AA1777,$AA$2:$AA$2028,1)+COUNTIF($AA$2:AA1777,AA1777))-1,""))</f>
        <v/>
      </c>
      <c r="AC1777" s="134" t="str">
        <f t="shared" si="555"/>
        <v/>
      </c>
      <c r="AD1777" s="134" t="str">
        <f>IF(AC1777="","",IFERROR((RANK(AC1777,$AC$2:$AC$2028,1)+COUNTIF($AC$2:AC1777,AC1777))-1,""))</f>
        <v/>
      </c>
      <c r="AE1777" s="144" t="str">
        <f t="shared" si="547"/>
        <v/>
      </c>
      <c r="AF1777" s="144" t="str">
        <f>IF(AE1777="","",SUM($AE$2:AE1777))</f>
        <v/>
      </c>
    </row>
    <row r="1778" spans="14:32" x14ac:dyDescent="0.35">
      <c r="N1778" s="134" t="str">
        <f t="shared" si="545"/>
        <v/>
      </c>
      <c r="O1778" s="82" t="str">
        <f t="shared" si="548"/>
        <v/>
      </c>
      <c r="P1778" s="81" t="str">
        <f t="shared" si="546"/>
        <v/>
      </c>
      <c r="Q1778" s="81" t="str">
        <f t="shared" si="549"/>
        <v/>
      </c>
      <c r="R1778" s="135" t="str">
        <f t="shared" ca="1" si="550"/>
        <v/>
      </c>
      <c r="S1778" s="134" t="str">
        <f t="shared" ca="1" si="551"/>
        <v/>
      </c>
      <c r="T1778" s="134" t="str">
        <f ca="1">IF(S1778=Dashboard!$D$12,S1778,"")</f>
        <v/>
      </c>
      <c r="U1778" s="134" t="str">
        <f t="shared" ca="1" si="552"/>
        <v/>
      </c>
      <c r="V1778" s="83" t="str">
        <f ca="1">IF(U1778="","",IFERROR((RANK(U1778,$U$2:$U$2028,1)+COUNTIF($U$2:U1778,U1778))-1,""))</f>
        <v/>
      </c>
      <c r="W1778" s="134" t="str">
        <f t="shared" si="556"/>
        <v/>
      </c>
      <c r="X1778" s="134" t="str">
        <f>IF(W1778="","",IFERROR((RANK(W1778,$W$2:$W$2028,1)+COUNTIF($W$2:W1778,W1778))-1,""))</f>
        <v/>
      </c>
      <c r="Y1778" s="134" t="str">
        <f t="shared" si="553"/>
        <v/>
      </c>
      <c r="Z1778" s="134" t="str">
        <f>IF(Y1778="","",IFERROR((RANK(Y1778,$Y$2:$Y$2028,1)+COUNTIF($Y$2:Y1778,Y1778))-1,""))</f>
        <v/>
      </c>
      <c r="AA1778" s="134" t="str">
        <f t="shared" si="554"/>
        <v/>
      </c>
      <c r="AB1778" s="134" t="str">
        <f>IF(AA1778="","",IFERROR((RANK(AA1778,$AA$2:$AA$2028,1)+COUNTIF($AA$2:AA1778,AA1778))-1,""))</f>
        <v/>
      </c>
      <c r="AC1778" s="134" t="str">
        <f t="shared" si="555"/>
        <v/>
      </c>
      <c r="AD1778" s="134" t="str">
        <f>IF(AC1778="","",IFERROR((RANK(AC1778,$AC$2:$AC$2028,1)+COUNTIF($AC$2:AC1778,AC1778))-1,""))</f>
        <v/>
      </c>
      <c r="AE1778" s="144" t="str">
        <f t="shared" si="547"/>
        <v/>
      </c>
      <c r="AF1778" s="144" t="str">
        <f>IF(AE1778="","",SUM($AE$2:AE1778))</f>
        <v/>
      </c>
    </row>
    <row r="1779" spans="14:32" x14ac:dyDescent="0.35">
      <c r="N1779" s="134" t="str">
        <f t="shared" si="545"/>
        <v/>
      </c>
      <c r="O1779" s="82" t="str">
        <f t="shared" si="548"/>
        <v/>
      </c>
      <c r="P1779" s="81" t="str">
        <f t="shared" si="546"/>
        <v/>
      </c>
      <c r="Q1779" s="81" t="str">
        <f t="shared" si="549"/>
        <v/>
      </c>
      <c r="R1779" s="135" t="str">
        <f t="shared" ca="1" si="550"/>
        <v/>
      </c>
      <c r="S1779" s="134" t="str">
        <f t="shared" ca="1" si="551"/>
        <v/>
      </c>
      <c r="T1779" s="134" t="str">
        <f ca="1">IF(S1779=Dashboard!$D$12,S1779,"")</f>
        <v/>
      </c>
      <c r="U1779" s="134" t="str">
        <f t="shared" ca="1" si="552"/>
        <v/>
      </c>
      <c r="V1779" s="83" t="str">
        <f ca="1">IF(U1779="","",IFERROR((RANK(U1779,$U$2:$U$2028,1)+COUNTIF($U$2:U1779,U1779))-1,""))</f>
        <v/>
      </c>
      <c r="W1779" s="134" t="str">
        <f t="shared" si="556"/>
        <v/>
      </c>
      <c r="X1779" s="134" t="str">
        <f>IF(W1779="","",IFERROR((RANK(W1779,$W$2:$W$2028,1)+COUNTIF($W$2:W1779,W1779))-1,""))</f>
        <v/>
      </c>
      <c r="Y1779" s="134" t="str">
        <f t="shared" si="553"/>
        <v/>
      </c>
      <c r="Z1779" s="134" t="str">
        <f>IF(Y1779="","",IFERROR((RANK(Y1779,$Y$2:$Y$2028,1)+COUNTIF($Y$2:Y1779,Y1779))-1,""))</f>
        <v/>
      </c>
      <c r="AA1779" s="134" t="str">
        <f t="shared" si="554"/>
        <v/>
      </c>
      <c r="AB1779" s="134" t="str">
        <f>IF(AA1779="","",IFERROR((RANK(AA1779,$AA$2:$AA$2028,1)+COUNTIF($AA$2:AA1779,AA1779))-1,""))</f>
        <v/>
      </c>
      <c r="AC1779" s="134" t="str">
        <f t="shared" si="555"/>
        <v/>
      </c>
      <c r="AD1779" s="134" t="str">
        <f>IF(AC1779="","",IFERROR((RANK(AC1779,$AC$2:$AC$2028,1)+COUNTIF($AC$2:AC1779,AC1779))-1,""))</f>
        <v/>
      </c>
      <c r="AE1779" s="144" t="str">
        <f t="shared" si="547"/>
        <v/>
      </c>
      <c r="AF1779" s="144" t="str">
        <f>IF(AE1779="","",SUM($AE$2:AE1779))</f>
        <v/>
      </c>
    </row>
    <row r="1780" spans="14:32" x14ac:dyDescent="0.35">
      <c r="N1780" s="134" t="str">
        <f t="shared" si="545"/>
        <v/>
      </c>
      <c r="O1780" s="82" t="str">
        <f t="shared" si="548"/>
        <v/>
      </c>
      <c r="P1780" s="81" t="str">
        <f t="shared" si="546"/>
        <v/>
      </c>
      <c r="Q1780" s="81" t="str">
        <f t="shared" si="549"/>
        <v/>
      </c>
      <c r="R1780" s="135" t="str">
        <f t="shared" ca="1" si="550"/>
        <v/>
      </c>
      <c r="S1780" s="134" t="str">
        <f t="shared" ca="1" si="551"/>
        <v/>
      </c>
      <c r="T1780" s="134" t="str">
        <f ca="1">IF(S1780=Dashboard!$D$12,S1780,"")</f>
        <v/>
      </c>
      <c r="U1780" s="134" t="str">
        <f t="shared" ca="1" si="552"/>
        <v/>
      </c>
      <c r="V1780" s="83" t="str">
        <f ca="1">IF(U1780="","",IFERROR((RANK(U1780,$U$2:$U$2028,1)+COUNTIF($U$2:U1780,U1780))-1,""))</f>
        <v/>
      </c>
      <c r="W1780" s="134" t="str">
        <f t="shared" si="556"/>
        <v/>
      </c>
      <c r="X1780" s="134" t="str">
        <f>IF(W1780="","",IFERROR((RANK(W1780,$W$2:$W$2028,1)+COUNTIF($W$2:W1780,W1780))-1,""))</f>
        <v/>
      </c>
      <c r="Y1780" s="134" t="str">
        <f t="shared" si="553"/>
        <v/>
      </c>
      <c r="Z1780" s="134" t="str">
        <f>IF(Y1780="","",IFERROR((RANK(Y1780,$Y$2:$Y$2028,1)+COUNTIF($Y$2:Y1780,Y1780))-1,""))</f>
        <v/>
      </c>
      <c r="AA1780" s="134" t="str">
        <f t="shared" si="554"/>
        <v/>
      </c>
      <c r="AB1780" s="134" t="str">
        <f>IF(AA1780="","",IFERROR((RANK(AA1780,$AA$2:$AA$2028,1)+COUNTIF($AA$2:AA1780,AA1780))-1,""))</f>
        <v/>
      </c>
      <c r="AC1780" s="134" t="str">
        <f t="shared" si="555"/>
        <v/>
      </c>
      <c r="AD1780" s="134" t="str">
        <f>IF(AC1780="","",IFERROR((RANK(AC1780,$AC$2:$AC$2028,1)+COUNTIF($AC$2:AC1780,AC1780))-1,""))</f>
        <v/>
      </c>
      <c r="AE1780" s="144" t="str">
        <f t="shared" si="547"/>
        <v/>
      </c>
      <c r="AF1780" s="144" t="str">
        <f>IF(AE1780="","",SUM($AE$2:AE1780))</f>
        <v/>
      </c>
    </row>
    <row r="1781" spans="14:32" x14ac:dyDescent="0.35">
      <c r="N1781" s="134" t="str">
        <f t="shared" si="545"/>
        <v/>
      </c>
      <c r="O1781" s="82" t="str">
        <f t="shared" si="548"/>
        <v/>
      </c>
      <c r="P1781" s="81" t="str">
        <f t="shared" si="546"/>
        <v/>
      </c>
      <c r="Q1781" s="81" t="str">
        <f t="shared" si="549"/>
        <v/>
      </c>
      <c r="R1781" s="135" t="str">
        <f t="shared" ca="1" si="550"/>
        <v/>
      </c>
      <c r="S1781" s="134" t="str">
        <f t="shared" ca="1" si="551"/>
        <v/>
      </c>
      <c r="T1781" s="134" t="str">
        <f ca="1">IF(S1781=Dashboard!$D$12,S1781,"")</f>
        <v/>
      </c>
      <c r="U1781" s="134" t="str">
        <f t="shared" ca="1" si="552"/>
        <v/>
      </c>
      <c r="V1781" s="83" t="str">
        <f ca="1">IF(U1781="","",IFERROR((RANK(U1781,$U$2:$U$2028,1)+COUNTIF($U$2:U1781,U1781))-1,""))</f>
        <v/>
      </c>
      <c r="W1781" s="134" t="str">
        <f t="shared" si="556"/>
        <v/>
      </c>
      <c r="X1781" s="134" t="str">
        <f>IF(W1781="","",IFERROR((RANK(W1781,$W$2:$W$2028,1)+COUNTIF($W$2:W1781,W1781))-1,""))</f>
        <v/>
      </c>
      <c r="Y1781" s="134" t="str">
        <f t="shared" si="553"/>
        <v/>
      </c>
      <c r="Z1781" s="134" t="str">
        <f>IF(Y1781="","",IFERROR((RANK(Y1781,$Y$2:$Y$2028,1)+COUNTIF($Y$2:Y1781,Y1781))-1,""))</f>
        <v/>
      </c>
      <c r="AA1781" s="134" t="str">
        <f t="shared" si="554"/>
        <v/>
      </c>
      <c r="AB1781" s="134" t="str">
        <f>IF(AA1781="","",IFERROR((RANK(AA1781,$AA$2:$AA$2028,1)+COUNTIF($AA$2:AA1781,AA1781))-1,""))</f>
        <v/>
      </c>
      <c r="AC1781" s="134" t="str">
        <f t="shared" si="555"/>
        <v/>
      </c>
      <c r="AD1781" s="134" t="str">
        <f>IF(AC1781="","",IFERROR((RANK(AC1781,$AC$2:$AC$2028,1)+COUNTIF($AC$2:AC1781,AC1781))-1,""))</f>
        <v/>
      </c>
      <c r="AE1781" s="144" t="str">
        <f t="shared" si="547"/>
        <v/>
      </c>
      <c r="AF1781" s="144" t="str">
        <f>IF(AE1781="","",SUM($AE$2:AE1781))</f>
        <v/>
      </c>
    </row>
    <row r="1782" spans="14:32" x14ac:dyDescent="0.35">
      <c r="N1782" s="134" t="str">
        <f t="shared" si="545"/>
        <v/>
      </c>
      <c r="O1782" s="82" t="str">
        <f t="shared" si="548"/>
        <v/>
      </c>
      <c r="P1782" s="81" t="str">
        <f t="shared" si="546"/>
        <v/>
      </c>
      <c r="Q1782" s="81" t="str">
        <f t="shared" si="549"/>
        <v/>
      </c>
      <c r="R1782" s="135" t="str">
        <f t="shared" ca="1" si="550"/>
        <v/>
      </c>
      <c r="S1782" s="134" t="str">
        <f t="shared" ca="1" si="551"/>
        <v/>
      </c>
      <c r="T1782" s="134" t="str">
        <f ca="1">IF(S1782=Dashboard!$D$12,S1782,"")</f>
        <v/>
      </c>
      <c r="U1782" s="134" t="str">
        <f t="shared" ca="1" si="552"/>
        <v/>
      </c>
      <c r="V1782" s="83" t="str">
        <f ca="1">IF(U1782="","",IFERROR((RANK(U1782,$U$2:$U$2028,1)+COUNTIF($U$2:U1782,U1782))-1,""))</f>
        <v/>
      </c>
      <c r="W1782" s="134" t="str">
        <f t="shared" si="556"/>
        <v/>
      </c>
      <c r="X1782" s="134" t="str">
        <f>IF(W1782="","",IFERROR((RANK(W1782,$W$2:$W$2028,1)+COUNTIF($W$2:W1782,W1782))-1,""))</f>
        <v/>
      </c>
      <c r="Y1782" s="134" t="str">
        <f t="shared" si="553"/>
        <v/>
      </c>
      <c r="Z1782" s="134" t="str">
        <f>IF(Y1782="","",IFERROR((RANK(Y1782,$Y$2:$Y$2028,1)+COUNTIF($Y$2:Y1782,Y1782))-1,""))</f>
        <v/>
      </c>
      <c r="AA1782" s="134" t="str">
        <f t="shared" si="554"/>
        <v/>
      </c>
      <c r="AB1782" s="134" t="str">
        <f>IF(AA1782="","",IFERROR((RANK(AA1782,$AA$2:$AA$2028,1)+COUNTIF($AA$2:AA1782,AA1782))-1,""))</f>
        <v/>
      </c>
      <c r="AC1782" s="134" t="str">
        <f t="shared" si="555"/>
        <v/>
      </c>
      <c r="AD1782" s="134" t="str">
        <f>IF(AC1782="","",IFERROR((RANK(AC1782,$AC$2:$AC$2028,1)+COUNTIF($AC$2:AC1782,AC1782))-1,""))</f>
        <v/>
      </c>
      <c r="AE1782" s="144" t="str">
        <f t="shared" si="547"/>
        <v/>
      </c>
      <c r="AF1782" s="144" t="str">
        <f>IF(AE1782="","",SUM($AE$2:AE1782))</f>
        <v/>
      </c>
    </row>
    <row r="1783" spans="14:32" x14ac:dyDescent="0.35">
      <c r="N1783" s="134" t="str">
        <f t="shared" si="545"/>
        <v/>
      </c>
      <c r="O1783" s="82" t="str">
        <f t="shared" si="548"/>
        <v/>
      </c>
      <c r="P1783" s="81" t="str">
        <f t="shared" si="546"/>
        <v/>
      </c>
      <c r="Q1783" s="81" t="str">
        <f t="shared" si="549"/>
        <v/>
      </c>
      <c r="R1783" s="135" t="str">
        <f t="shared" ca="1" si="550"/>
        <v/>
      </c>
      <c r="S1783" s="134" t="str">
        <f t="shared" ca="1" si="551"/>
        <v/>
      </c>
      <c r="T1783" s="134" t="str">
        <f ca="1">IF(S1783=Dashboard!$D$12,S1783,"")</f>
        <v/>
      </c>
      <c r="U1783" s="134" t="str">
        <f t="shared" ca="1" si="552"/>
        <v/>
      </c>
      <c r="V1783" s="83" t="str">
        <f ca="1">IF(U1783="","",IFERROR((RANK(U1783,$U$2:$U$2028,1)+COUNTIF($U$2:U1783,U1783))-1,""))</f>
        <v/>
      </c>
      <c r="W1783" s="134" t="str">
        <f t="shared" si="556"/>
        <v/>
      </c>
      <c r="X1783" s="134" t="str">
        <f>IF(W1783="","",IFERROR((RANK(W1783,$W$2:$W$2028,1)+COUNTIF($W$2:W1783,W1783))-1,""))</f>
        <v/>
      </c>
      <c r="Y1783" s="134" t="str">
        <f t="shared" si="553"/>
        <v/>
      </c>
      <c r="Z1783" s="134" t="str">
        <f>IF(Y1783="","",IFERROR((RANK(Y1783,$Y$2:$Y$2028,1)+COUNTIF($Y$2:Y1783,Y1783))-1,""))</f>
        <v/>
      </c>
      <c r="AA1783" s="134" t="str">
        <f t="shared" si="554"/>
        <v/>
      </c>
      <c r="AB1783" s="134" t="str">
        <f>IF(AA1783="","",IFERROR((RANK(AA1783,$AA$2:$AA$2028,1)+COUNTIF($AA$2:AA1783,AA1783))-1,""))</f>
        <v/>
      </c>
      <c r="AC1783" s="134" t="str">
        <f t="shared" si="555"/>
        <v/>
      </c>
      <c r="AD1783" s="134" t="str">
        <f>IF(AC1783="","",IFERROR((RANK(AC1783,$AC$2:$AC$2028,1)+COUNTIF($AC$2:AC1783,AC1783))-1,""))</f>
        <v/>
      </c>
      <c r="AE1783" s="144" t="str">
        <f t="shared" si="547"/>
        <v/>
      </c>
      <c r="AF1783" s="144" t="str">
        <f>IF(AE1783="","",SUM($AE$2:AE1783))</f>
        <v/>
      </c>
    </row>
    <row r="1784" spans="14:32" x14ac:dyDescent="0.35">
      <c r="N1784" s="134" t="str">
        <f t="shared" si="545"/>
        <v/>
      </c>
      <c r="O1784" s="82" t="str">
        <f t="shared" si="548"/>
        <v/>
      </c>
      <c r="P1784" s="81" t="str">
        <f t="shared" si="546"/>
        <v/>
      </c>
      <c r="Q1784" s="81" t="str">
        <f t="shared" si="549"/>
        <v/>
      </c>
      <c r="R1784" s="135" t="str">
        <f t="shared" ca="1" si="550"/>
        <v/>
      </c>
      <c r="S1784" s="134" t="str">
        <f t="shared" ca="1" si="551"/>
        <v/>
      </c>
      <c r="T1784" s="134" t="str">
        <f ca="1">IF(S1784=Dashboard!$D$12,S1784,"")</f>
        <v/>
      </c>
      <c r="U1784" s="134" t="str">
        <f t="shared" ca="1" si="552"/>
        <v/>
      </c>
      <c r="V1784" s="83" t="str">
        <f ca="1">IF(U1784="","",IFERROR((RANK(U1784,$U$2:$U$2028,1)+COUNTIF($U$2:U1784,U1784))-1,""))</f>
        <v/>
      </c>
      <c r="W1784" s="134" t="str">
        <f t="shared" si="556"/>
        <v/>
      </c>
      <c r="X1784" s="134" t="str">
        <f>IF(W1784="","",IFERROR((RANK(W1784,$W$2:$W$2028,1)+COUNTIF($W$2:W1784,W1784))-1,""))</f>
        <v/>
      </c>
      <c r="Y1784" s="134" t="str">
        <f t="shared" si="553"/>
        <v/>
      </c>
      <c r="Z1784" s="134" t="str">
        <f>IF(Y1784="","",IFERROR((RANK(Y1784,$Y$2:$Y$2028,1)+COUNTIF($Y$2:Y1784,Y1784))-1,""))</f>
        <v/>
      </c>
      <c r="AA1784" s="134" t="str">
        <f t="shared" si="554"/>
        <v/>
      </c>
      <c r="AB1784" s="134" t="str">
        <f>IF(AA1784="","",IFERROR((RANK(AA1784,$AA$2:$AA$2028,1)+COUNTIF($AA$2:AA1784,AA1784))-1,""))</f>
        <v/>
      </c>
      <c r="AC1784" s="134" t="str">
        <f t="shared" si="555"/>
        <v/>
      </c>
      <c r="AD1784" s="134" t="str">
        <f>IF(AC1784="","",IFERROR((RANK(AC1784,$AC$2:$AC$2028,1)+COUNTIF($AC$2:AC1784,AC1784))-1,""))</f>
        <v/>
      </c>
      <c r="AE1784" s="144" t="str">
        <f t="shared" si="547"/>
        <v/>
      </c>
      <c r="AF1784" s="144" t="str">
        <f>IF(AE1784="","",SUM($AE$2:AE1784))</f>
        <v/>
      </c>
    </row>
    <row r="1785" spans="14:32" x14ac:dyDescent="0.35">
      <c r="N1785" s="134" t="str">
        <f t="shared" si="545"/>
        <v/>
      </c>
      <c r="O1785" s="82" t="str">
        <f t="shared" si="548"/>
        <v/>
      </c>
      <c r="P1785" s="81" t="str">
        <f t="shared" si="546"/>
        <v/>
      </c>
      <c r="Q1785" s="81" t="str">
        <f t="shared" si="549"/>
        <v/>
      </c>
      <c r="R1785" s="135" t="str">
        <f t="shared" ca="1" si="550"/>
        <v/>
      </c>
      <c r="S1785" s="134" t="str">
        <f t="shared" ca="1" si="551"/>
        <v/>
      </c>
      <c r="T1785" s="134" t="str">
        <f ca="1">IF(S1785=Dashboard!$D$12,S1785,"")</f>
        <v/>
      </c>
      <c r="U1785" s="134" t="str">
        <f t="shared" ca="1" si="552"/>
        <v/>
      </c>
      <c r="V1785" s="83" t="str">
        <f ca="1">IF(U1785="","",IFERROR((RANK(U1785,$U$2:$U$2028,1)+COUNTIF($U$2:U1785,U1785))-1,""))</f>
        <v/>
      </c>
      <c r="W1785" s="134" t="str">
        <f t="shared" si="556"/>
        <v/>
      </c>
      <c r="X1785" s="134" t="str">
        <f>IF(W1785="","",IFERROR((RANK(W1785,$W$2:$W$2028,1)+COUNTIF($W$2:W1785,W1785))-1,""))</f>
        <v/>
      </c>
      <c r="Y1785" s="134" t="str">
        <f t="shared" si="553"/>
        <v/>
      </c>
      <c r="Z1785" s="134" t="str">
        <f>IF(Y1785="","",IFERROR((RANK(Y1785,$Y$2:$Y$2028,1)+COUNTIF($Y$2:Y1785,Y1785))-1,""))</f>
        <v/>
      </c>
      <c r="AA1785" s="134" t="str">
        <f t="shared" si="554"/>
        <v/>
      </c>
      <c r="AB1785" s="134" t="str">
        <f>IF(AA1785="","",IFERROR((RANK(AA1785,$AA$2:$AA$2028,1)+COUNTIF($AA$2:AA1785,AA1785))-1,""))</f>
        <v/>
      </c>
      <c r="AC1785" s="134" t="str">
        <f t="shared" si="555"/>
        <v/>
      </c>
      <c r="AD1785" s="134" t="str">
        <f>IF(AC1785="","",IFERROR((RANK(AC1785,$AC$2:$AC$2028,1)+COUNTIF($AC$2:AC1785,AC1785))-1,""))</f>
        <v/>
      </c>
      <c r="AE1785" s="144" t="str">
        <f t="shared" si="547"/>
        <v/>
      </c>
      <c r="AF1785" s="144" t="str">
        <f>IF(AE1785="","",SUM($AE$2:AE1785))</f>
        <v/>
      </c>
    </row>
    <row r="1786" spans="14:32" x14ac:dyDescent="0.35">
      <c r="N1786" s="134" t="str">
        <f t="shared" si="545"/>
        <v/>
      </c>
      <c r="O1786" s="82" t="str">
        <f t="shared" si="548"/>
        <v/>
      </c>
      <c r="P1786" s="81" t="str">
        <f t="shared" si="546"/>
        <v/>
      </c>
      <c r="Q1786" s="81" t="str">
        <f t="shared" si="549"/>
        <v/>
      </c>
      <c r="R1786" s="135" t="str">
        <f t="shared" ca="1" si="550"/>
        <v/>
      </c>
      <c r="S1786" s="134" t="str">
        <f t="shared" ca="1" si="551"/>
        <v/>
      </c>
      <c r="T1786" s="134" t="str">
        <f ca="1">IF(S1786=Dashboard!$D$12,S1786,"")</f>
        <v/>
      </c>
      <c r="U1786" s="134" t="str">
        <f t="shared" ca="1" si="552"/>
        <v/>
      </c>
      <c r="V1786" s="83" t="str">
        <f ca="1">IF(U1786="","",IFERROR((RANK(U1786,$U$2:$U$2028,1)+COUNTIF($U$2:U1786,U1786))-1,""))</f>
        <v/>
      </c>
      <c r="W1786" s="134" t="str">
        <f t="shared" si="556"/>
        <v/>
      </c>
      <c r="X1786" s="134" t="str">
        <f>IF(W1786="","",IFERROR((RANK(W1786,$W$2:$W$2028,1)+COUNTIF($W$2:W1786,W1786))-1,""))</f>
        <v/>
      </c>
      <c r="Y1786" s="134" t="str">
        <f t="shared" si="553"/>
        <v/>
      </c>
      <c r="Z1786" s="134" t="str">
        <f>IF(Y1786="","",IFERROR((RANK(Y1786,$Y$2:$Y$2028,1)+COUNTIF($Y$2:Y1786,Y1786))-1,""))</f>
        <v/>
      </c>
      <c r="AA1786" s="134" t="str">
        <f t="shared" si="554"/>
        <v/>
      </c>
      <c r="AB1786" s="134" t="str">
        <f>IF(AA1786="","",IFERROR((RANK(AA1786,$AA$2:$AA$2028,1)+COUNTIF($AA$2:AA1786,AA1786))-1,""))</f>
        <v/>
      </c>
      <c r="AC1786" s="134" t="str">
        <f t="shared" si="555"/>
        <v/>
      </c>
      <c r="AD1786" s="134" t="str">
        <f>IF(AC1786="","",IFERROR((RANK(AC1786,$AC$2:$AC$2028,1)+COUNTIF($AC$2:AC1786,AC1786))-1,""))</f>
        <v/>
      </c>
      <c r="AE1786" s="144" t="str">
        <f t="shared" si="547"/>
        <v/>
      </c>
      <c r="AF1786" s="144" t="str">
        <f>IF(AE1786="","",SUM($AE$2:AE1786))</f>
        <v/>
      </c>
    </row>
    <row r="1787" spans="14:32" x14ac:dyDescent="0.35">
      <c r="N1787" s="134" t="str">
        <f t="shared" si="545"/>
        <v/>
      </c>
      <c r="O1787" s="82" t="str">
        <f t="shared" si="548"/>
        <v/>
      </c>
      <c r="P1787" s="81" t="str">
        <f t="shared" si="546"/>
        <v/>
      </c>
      <c r="Q1787" s="81" t="str">
        <f t="shared" si="549"/>
        <v/>
      </c>
      <c r="R1787" s="135" t="str">
        <f t="shared" ca="1" si="550"/>
        <v/>
      </c>
      <c r="S1787" s="134" t="str">
        <f t="shared" ca="1" si="551"/>
        <v/>
      </c>
      <c r="T1787" s="134" t="str">
        <f ca="1">IF(S1787=Dashboard!$D$12,S1787,"")</f>
        <v/>
      </c>
      <c r="U1787" s="134" t="str">
        <f t="shared" ca="1" si="552"/>
        <v/>
      </c>
      <c r="V1787" s="83" t="str">
        <f ca="1">IF(U1787="","",IFERROR((RANK(U1787,$U$2:$U$2028,1)+COUNTIF($U$2:U1787,U1787))-1,""))</f>
        <v/>
      </c>
      <c r="W1787" s="134" t="str">
        <f t="shared" si="556"/>
        <v/>
      </c>
      <c r="X1787" s="134" t="str">
        <f>IF(W1787="","",IFERROR((RANK(W1787,$W$2:$W$2028,1)+COUNTIF($W$2:W1787,W1787))-1,""))</f>
        <v/>
      </c>
      <c r="Y1787" s="134" t="str">
        <f t="shared" si="553"/>
        <v/>
      </c>
      <c r="Z1787" s="134" t="str">
        <f>IF(Y1787="","",IFERROR((RANK(Y1787,$Y$2:$Y$2028,1)+COUNTIF($Y$2:Y1787,Y1787))-1,""))</f>
        <v/>
      </c>
      <c r="AA1787" s="134" t="str">
        <f t="shared" si="554"/>
        <v/>
      </c>
      <c r="AB1787" s="134" t="str">
        <f>IF(AA1787="","",IFERROR((RANK(AA1787,$AA$2:$AA$2028,1)+COUNTIF($AA$2:AA1787,AA1787))-1,""))</f>
        <v/>
      </c>
      <c r="AC1787" s="134" t="str">
        <f t="shared" si="555"/>
        <v/>
      </c>
      <c r="AD1787" s="134" t="str">
        <f>IF(AC1787="","",IFERROR((RANK(AC1787,$AC$2:$AC$2028,1)+COUNTIF($AC$2:AC1787,AC1787))-1,""))</f>
        <v/>
      </c>
      <c r="AE1787" s="144" t="str">
        <f t="shared" si="547"/>
        <v/>
      </c>
      <c r="AF1787" s="144" t="str">
        <f>IF(AE1787="","",SUM($AE$2:AE1787))</f>
        <v/>
      </c>
    </row>
    <row r="1788" spans="14:32" x14ac:dyDescent="0.35">
      <c r="N1788" s="134" t="str">
        <f t="shared" si="545"/>
        <v/>
      </c>
      <c r="O1788" s="82" t="str">
        <f t="shared" si="548"/>
        <v/>
      </c>
      <c r="P1788" s="81" t="str">
        <f t="shared" si="546"/>
        <v/>
      </c>
      <c r="Q1788" s="81" t="str">
        <f t="shared" si="549"/>
        <v/>
      </c>
      <c r="R1788" s="135" t="str">
        <f t="shared" ca="1" si="550"/>
        <v/>
      </c>
      <c r="S1788" s="134" t="str">
        <f t="shared" ca="1" si="551"/>
        <v/>
      </c>
      <c r="T1788" s="134" t="str">
        <f ca="1">IF(S1788=Dashboard!$D$12,S1788,"")</f>
        <v/>
      </c>
      <c r="U1788" s="134" t="str">
        <f t="shared" ca="1" si="552"/>
        <v/>
      </c>
      <c r="V1788" s="83" t="str">
        <f ca="1">IF(U1788="","",IFERROR((RANK(U1788,$U$2:$U$2028,1)+COUNTIF($U$2:U1788,U1788))-1,""))</f>
        <v/>
      </c>
      <c r="W1788" s="134" t="str">
        <f t="shared" si="556"/>
        <v/>
      </c>
      <c r="X1788" s="134" t="str">
        <f>IF(W1788="","",IFERROR((RANK(W1788,$W$2:$W$2028,1)+COUNTIF($W$2:W1788,W1788))-1,""))</f>
        <v/>
      </c>
      <c r="Y1788" s="134" t="str">
        <f t="shared" si="553"/>
        <v/>
      </c>
      <c r="Z1788" s="134" t="str">
        <f>IF(Y1788="","",IFERROR((RANK(Y1788,$Y$2:$Y$2028,1)+COUNTIF($Y$2:Y1788,Y1788))-1,""))</f>
        <v/>
      </c>
      <c r="AA1788" s="134" t="str">
        <f t="shared" si="554"/>
        <v/>
      </c>
      <c r="AB1788" s="134" t="str">
        <f>IF(AA1788="","",IFERROR((RANK(AA1788,$AA$2:$AA$2028,1)+COUNTIF($AA$2:AA1788,AA1788))-1,""))</f>
        <v/>
      </c>
      <c r="AC1788" s="134" t="str">
        <f t="shared" si="555"/>
        <v/>
      </c>
      <c r="AD1788" s="134" t="str">
        <f>IF(AC1788="","",IFERROR((RANK(AC1788,$AC$2:$AC$2028,1)+COUNTIF($AC$2:AC1788,AC1788))-1,""))</f>
        <v/>
      </c>
      <c r="AE1788" s="144" t="str">
        <f t="shared" si="547"/>
        <v/>
      </c>
      <c r="AF1788" s="144" t="str">
        <f>IF(AE1788="","",SUM($AE$2:AE1788))</f>
        <v/>
      </c>
    </row>
    <row r="1789" spans="14:32" x14ac:dyDescent="0.35">
      <c r="N1789" s="134" t="str">
        <f t="shared" si="545"/>
        <v/>
      </c>
      <c r="O1789" s="82" t="str">
        <f t="shared" si="548"/>
        <v/>
      </c>
      <c r="P1789" s="81" t="str">
        <f t="shared" si="546"/>
        <v/>
      </c>
      <c r="Q1789" s="81" t="str">
        <f t="shared" si="549"/>
        <v/>
      </c>
      <c r="R1789" s="135" t="str">
        <f t="shared" ca="1" si="550"/>
        <v/>
      </c>
      <c r="S1789" s="134" t="str">
        <f t="shared" ca="1" si="551"/>
        <v/>
      </c>
      <c r="T1789" s="134" t="str">
        <f ca="1">IF(S1789=Dashboard!$D$12,S1789,"")</f>
        <v/>
      </c>
      <c r="U1789" s="134" t="str">
        <f t="shared" ca="1" si="552"/>
        <v/>
      </c>
      <c r="V1789" s="83" t="str">
        <f ca="1">IF(U1789="","",IFERROR((RANK(U1789,$U$2:$U$2028,1)+COUNTIF($U$2:U1789,U1789))-1,""))</f>
        <v/>
      </c>
      <c r="W1789" s="134" t="str">
        <f t="shared" si="556"/>
        <v/>
      </c>
      <c r="X1789" s="134" t="str">
        <f>IF(W1789="","",IFERROR((RANK(W1789,$W$2:$W$2028,1)+COUNTIF($W$2:W1789,W1789))-1,""))</f>
        <v/>
      </c>
      <c r="Y1789" s="134" t="str">
        <f t="shared" si="553"/>
        <v/>
      </c>
      <c r="Z1789" s="134" t="str">
        <f>IF(Y1789="","",IFERROR((RANK(Y1789,$Y$2:$Y$2028,1)+COUNTIF($Y$2:Y1789,Y1789))-1,""))</f>
        <v/>
      </c>
      <c r="AA1789" s="134" t="str">
        <f t="shared" si="554"/>
        <v/>
      </c>
      <c r="AB1789" s="134" t="str">
        <f>IF(AA1789="","",IFERROR((RANK(AA1789,$AA$2:$AA$2028,1)+COUNTIF($AA$2:AA1789,AA1789))-1,""))</f>
        <v/>
      </c>
      <c r="AC1789" s="134" t="str">
        <f t="shared" si="555"/>
        <v/>
      </c>
      <c r="AD1789" s="134" t="str">
        <f>IF(AC1789="","",IFERROR((RANK(AC1789,$AC$2:$AC$2028,1)+COUNTIF($AC$2:AC1789,AC1789))-1,""))</f>
        <v/>
      </c>
      <c r="AE1789" s="144" t="str">
        <f t="shared" si="547"/>
        <v/>
      </c>
      <c r="AF1789" s="144" t="str">
        <f>IF(AE1789="","",SUM($AE$2:AE1789))</f>
        <v/>
      </c>
    </row>
    <row r="1790" spans="14:32" x14ac:dyDescent="0.35">
      <c r="N1790" s="134" t="str">
        <f t="shared" si="545"/>
        <v/>
      </c>
      <c r="O1790" s="82" t="str">
        <f t="shared" si="548"/>
        <v/>
      </c>
      <c r="P1790" s="81" t="str">
        <f t="shared" si="546"/>
        <v/>
      </c>
      <c r="Q1790" s="81" t="str">
        <f t="shared" si="549"/>
        <v/>
      </c>
      <c r="R1790" s="135" t="str">
        <f t="shared" ca="1" si="550"/>
        <v/>
      </c>
      <c r="S1790" s="134" t="str">
        <f t="shared" ca="1" si="551"/>
        <v/>
      </c>
      <c r="T1790" s="134" t="str">
        <f ca="1">IF(S1790=Dashboard!$D$12,S1790,"")</f>
        <v/>
      </c>
      <c r="U1790" s="134" t="str">
        <f t="shared" ca="1" si="552"/>
        <v/>
      </c>
      <c r="V1790" s="83" t="str">
        <f ca="1">IF(U1790="","",IFERROR((RANK(U1790,$U$2:$U$2028,1)+COUNTIF($U$2:U1790,U1790))-1,""))</f>
        <v/>
      </c>
      <c r="W1790" s="134" t="str">
        <f t="shared" si="556"/>
        <v/>
      </c>
      <c r="X1790" s="134" t="str">
        <f>IF(W1790="","",IFERROR((RANK(W1790,$W$2:$W$2028,1)+COUNTIF($W$2:W1790,W1790))-1,""))</f>
        <v/>
      </c>
      <c r="Y1790" s="134" t="str">
        <f t="shared" si="553"/>
        <v/>
      </c>
      <c r="Z1790" s="134" t="str">
        <f>IF(Y1790="","",IFERROR((RANK(Y1790,$Y$2:$Y$2028,1)+COUNTIF($Y$2:Y1790,Y1790))-1,""))</f>
        <v/>
      </c>
      <c r="AA1790" s="134" t="str">
        <f t="shared" si="554"/>
        <v/>
      </c>
      <c r="AB1790" s="134" t="str">
        <f>IF(AA1790="","",IFERROR((RANK(AA1790,$AA$2:$AA$2028,1)+COUNTIF($AA$2:AA1790,AA1790))-1,""))</f>
        <v/>
      </c>
      <c r="AC1790" s="134" t="str">
        <f t="shared" si="555"/>
        <v/>
      </c>
      <c r="AD1790" s="134" t="str">
        <f>IF(AC1790="","",IFERROR((RANK(AC1790,$AC$2:$AC$2028,1)+COUNTIF($AC$2:AC1790,AC1790))-1,""))</f>
        <v/>
      </c>
      <c r="AE1790" s="144" t="str">
        <f t="shared" si="547"/>
        <v/>
      </c>
      <c r="AF1790" s="144" t="str">
        <f>IF(AE1790="","",SUM($AE$2:AE1790))</f>
        <v/>
      </c>
    </row>
    <row r="1791" spans="14:32" x14ac:dyDescent="0.35">
      <c r="N1791" s="134" t="str">
        <f t="shared" si="545"/>
        <v/>
      </c>
      <c r="O1791" s="82" t="str">
        <f t="shared" si="548"/>
        <v/>
      </c>
      <c r="P1791" s="81" t="str">
        <f t="shared" si="546"/>
        <v/>
      </c>
      <c r="Q1791" s="81" t="str">
        <f t="shared" si="549"/>
        <v/>
      </c>
      <c r="R1791" s="135" t="str">
        <f t="shared" ca="1" si="550"/>
        <v/>
      </c>
      <c r="S1791" s="134" t="str">
        <f t="shared" ca="1" si="551"/>
        <v/>
      </c>
      <c r="T1791" s="134" t="str">
        <f ca="1">IF(S1791=Dashboard!$D$12,S1791,"")</f>
        <v/>
      </c>
      <c r="U1791" s="134" t="str">
        <f t="shared" ca="1" si="552"/>
        <v/>
      </c>
      <c r="V1791" s="83" t="str">
        <f ca="1">IF(U1791="","",IFERROR((RANK(U1791,$U$2:$U$2028,1)+COUNTIF($U$2:U1791,U1791))-1,""))</f>
        <v/>
      </c>
      <c r="W1791" s="134" t="str">
        <f t="shared" si="556"/>
        <v/>
      </c>
      <c r="X1791" s="134" t="str">
        <f>IF(W1791="","",IFERROR((RANK(W1791,$W$2:$W$2028,1)+COUNTIF($W$2:W1791,W1791))-1,""))</f>
        <v/>
      </c>
      <c r="Y1791" s="134" t="str">
        <f t="shared" si="553"/>
        <v/>
      </c>
      <c r="Z1791" s="134" t="str">
        <f>IF(Y1791="","",IFERROR((RANK(Y1791,$Y$2:$Y$2028,1)+COUNTIF($Y$2:Y1791,Y1791))-1,""))</f>
        <v/>
      </c>
      <c r="AA1791" s="134" t="str">
        <f t="shared" si="554"/>
        <v/>
      </c>
      <c r="AB1791" s="134" t="str">
        <f>IF(AA1791="","",IFERROR((RANK(AA1791,$AA$2:$AA$2028,1)+COUNTIF($AA$2:AA1791,AA1791))-1,""))</f>
        <v/>
      </c>
      <c r="AC1791" s="134" t="str">
        <f t="shared" si="555"/>
        <v/>
      </c>
      <c r="AD1791" s="134" t="str">
        <f>IF(AC1791="","",IFERROR((RANK(AC1791,$AC$2:$AC$2028,1)+COUNTIF($AC$2:AC1791,AC1791))-1,""))</f>
        <v/>
      </c>
      <c r="AE1791" s="144" t="str">
        <f t="shared" si="547"/>
        <v/>
      </c>
      <c r="AF1791" s="144" t="str">
        <f>IF(AE1791="","",SUM($AE$2:AE1791))</f>
        <v/>
      </c>
    </row>
    <row r="1792" spans="14:32" x14ac:dyDescent="0.35">
      <c r="N1792" s="134" t="str">
        <f t="shared" si="545"/>
        <v/>
      </c>
      <c r="O1792" s="82" t="str">
        <f t="shared" si="548"/>
        <v/>
      </c>
      <c r="P1792" s="81" t="str">
        <f t="shared" si="546"/>
        <v/>
      </c>
      <c r="Q1792" s="81" t="str">
        <f t="shared" si="549"/>
        <v/>
      </c>
      <c r="R1792" s="135" t="str">
        <f t="shared" ca="1" si="550"/>
        <v/>
      </c>
      <c r="S1792" s="134" t="str">
        <f t="shared" ca="1" si="551"/>
        <v/>
      </c>
      <c r="T1792" s="134" t="str">
        <f ca="1">IF(S1792=Dashboard!$D$12,S1792,"")</f>
        <v/>
      </c>
      <c r="U1792" s="134" t="str">
        <f t="shared" ca="1" si="552"/>
        <v/>
      </c>
      <c r="V1792" s="83" t="str">
        <f ca="1">IF(U1792="","",IFERROR((RANK(U1792,$U$2:$U$2028,1)+COUNTIF($U$2:U1792,U1792))-1,""))</f>
        <v/>
      </c>
      <c r="W1792" s="134" t="str">
        <f t="shared" si="556"/>
        <v/>
      </c>
      <c r="X1792" s="134" t="str">
        <f>IF(W1792="","",IFERROR((RANK(W1792,$W$2:$W$2028,1)+COUNTIF($W$2:W1792,W1792))-1,""))</f>
        <v/>
      </c>
      <c r="Y1792" s="134" t="str">
        <f t="shared" si="553"/>
        <v/>
      </c>
      <c r="Z1792" s="134" t="str">
        <f>IF(Y1792="","",IFERROR((RANK(Y1792,$Y$2:$Y$2028,1)+COUNTIF($Y$2:Y1792,Y1792))-1,""))</f>
        <v/>
      </c>
      <c r="AA1792" s="134" t="str">
        <f t="shared" si="554"/>
        <v/>
      </c>
      <c r="AB1792" s="134" t="str">
        <f>IF(AA1792="","",IFERROR((RANK(AA1792,$AA$2:$AA$2028,1)+COUNTIF($AA$2:AA1792,AA1792))-1,""))</f>
        <v/>
      </c>
      <c r="AC1792" s="134" t="str">
        <f t="shared" si="555"/>
        <v/>
      </c>
      <c r="AD1792" s="134" t="str">
        <f>IF(AC1792="","",IFERROR((RANK(AC1792,$AC$2:$AC$2028,1)+COUNTIF($AC$2:AC1792,AC1792))-1,""))</f>
        <v/>
      </c>
      <c r="AE1792" s="144" t="str">
        <f t="shared" si="547"/>
        <v/>
      </c>
      <c r="AF1792" s="144" t="str">
        <f>IF(AE1792="","",SUM($AE$2:AE1792))</f>
        <v/>
      </c>
    </row>
    <row r="1793" spans="14:32" x14ac:dyDescent="0.35">
      <c r="N1793" s="134" t="str">
        <f t="shared" si="545"/>
        <v/>
      </c>
      <c r="O1793" s="82" t="str">
        <f t="shared" si="548"/>
        <v/>
      </c>
      <c r="P1793" s="81" t="str">
        <f t="shared" si="546"/>
        <v/>
      </c>
      <c r="Q1793" s="81" t="str">
        <f t="shared" si="549"/>
        <v/>
      </c>
      <c r="R1793" s="135" t="str">
        <f t="shared" ca="1" si="550"/>
        <v/>
      </c>
      <c r="S1793" s="134" t="str">
        <f t="shared" ca="1" si="551"/>
        <v/>
      </c>
      <c r="T1793" s="134" t="str">
        <f ca="1">IF(S1793=Dashboard!$D$12,S1793,"")</f>
        <v/>
      </c>
      <c r="U1793" s="134" t="str">
        <f t="shared" ca="1" si="552"/>
        <v/>
      </c>
      <c r="V1793" s="83" t="str">
        <f ca="1">IF(U1793="","",IFERROR((RANK(U1793,$U$2:$U$2028,1)+COUNTIF($U$2:U1793,U1793))-1,""))</f>
        <v/>
      </c>
      <c r="W1793" s="134" t="str">
        <f t="shared" si="556"/>
        <v/>
      </c>
      <c r="X1793" s="134" t="str">
        <f>IF(W1793="","",IFERROR((RANK(W1793,$W$2:$W$2028,1)+COUNTIF($W$2:W1793,W1793))-1,""))</f>
        <v/>
      </c>
      <c r="Y1793" s="134" t="str">
        <f t="shared" si="553"/>
        <v/>
      </c>
      <c r="Z1793" s="134" t="str">
        <f>IF(Y1793="","",IFERROR((RANK(Y1793,$Y$2:$Y$2028,1)+COUNTIF($Y$2:Y1793,Y1793))-1,""))</f>
        <v/>
      </c>
      <c r="AA1793" s="134" t="str">
        <f t="shared" si="554"/>
        <v/>
      </c>
      <c r="AB1793" s="134" t="str">
        <f>IF(AA1793="","",IFERROR((RANK(AA1793,$AA$2:$AA$2028,1)+COUNTIF($AA$2:AA1793,AA1793))-1,""))</f>
        <v/>
      </c>
      <c r="AC1793" s="134" t="str">
        <f t="shared" si="555"/>
        <v/>
      </c>
      <c r="AD1793" s="134" t="str">
        <f>IF(AC1793="","",IFERROR((RANK(AC1793,$AC$2:$AC$2028,1)+COUNTIF($AC$2:AC1793,AC1793))-1,""))</f>
        <v/>
      </c>
      <c r="AE1793" s="144" t="str">
        <f t="shared" si="547"/>
        <v/>
      </c>
      <c r="AF1793" s="144" t="str">
        <f>IF(AE1793="","",SUM($AE$2:AE1793))</f>
        <v/>
      </c>
    </row>
    <row r="1794" spans="14:32" x14ac:dyDescent="0.35">
      <c r="N1794" s="134" t="str">
        <f t="shared" ref="N1794:N1857" si="557">IF(A1794="","",COUNTIFS(M:M,M1794,H:H,"&lt;"&amp;H1794)+1)</f>
        <v/>
      </c>
      <c r="O1794" s="82" t="str">
        <f t="shared" si="548"/>
        <v/>
      </c>
      <c r="P1794" s="81" t="str">
        <f t="shared" ref="P1794:P1857" si="558">IF(A1794="","",COUNTIFS(M:M,M1794,H:H,"&gt;"&amp;H1794)+1)</f>
        <v/>
      </c>
      <c r="Q1794" s="81" t="str">
        <f t="shared" si="549"/>
        <v/>
      </c>
      <c r="R1794" s="135" t="str">
        <f t="shared" ca="1" si="550"/>
        <v/>
      </c>
      <c r="S1794" s="134" t="str">
        <f t="shared" ca="1" si="551"/>
        <v/>
      </c>
      <c r="T1794" s="134" t="str">
        <f ca="1">IF(S1794=Dashboard!$D$12,S1794,"")</f>
        <v/>
      </c>
      <c r="U1794" s="134" t="str">
        <f t="shared" ca="1" si="552"/>
        <v/>
      </c>
      <c r="V1794" s="83" t="str">
        <f ca="1">IF(U1794="","",IFERROR((RANK(U1794,$U$2:$U$2028,1)+COUNTIF($U$2:U1794,U1794))-1,""))</f>
        <v/>
      </c>
      <c r="W1794" s="134" t="str">
        <f t="shared" si="556"/>
        <v/>
      </c>
      <c r="X1794" s="134" t="str">
        <f>IF(W1794="","",IFERROR((RANK(W1794,$W$2:$W$2028,1)+COUNTIF($W$2:W1794,W1794))-1,""))</f>
        <v/>
      </c>
      <c r="Y1794" s="134" t="str">
        <f t="shared" si="553"/>
        <v/>
      </c>
      <c r="Z1794" s="134" t="str">
        <f>IF(Y1794="","",IFERROR((RANK(Y1794,$Y$2:$Y$2028,1)+COUNTIF($Y$2:Y1794,Y1794))-1,""))</f>
        <v/>
      </c>
      <c r="AA1794" s="134" t="str">
        <f t="shared" si="554"/>
        <v/>
      </c>
      <c r="AB1794" s="134" t="str">
        <f>IF(AA1794="","",IFERROR((RANK(AA1794,$AA$2:$AA$2028,1)+COUNTIF($AA$2:AA1794,AA1794))-1,""))</f>
        <v/>
      </c>
      <c r="AC1794" s="134" t="str">
        <f t="shared" si="555"/>
        <v/>
      </c>
      <c r="AD1794" s="134" t="str">
        <f>IF(AC1794="","",IFERROR((RANK(AC1794,$AC$2:$AC$2028,1)+COUNTIF($AC$2:AC1794,AC1794))-1,""))</f>
        <v/>
      </c>
      <c r="AE1794" s="144" t="str">
        <f t="shared" si="547"/>
        <v/>
      </c>
      <c r="AF1794" s="144" t="str">
        <f>IF(AE1794="","",SUM($AE$2:AE1794))</f>
        <v/>
      </c>
    </row>
    <row r="1795" spans="14:32" x14ac:dyDescent="0.35">
      <c r="N1795" s="134" t="str">
        <f t="shared" si="557"/>
        <v/>
      </c>
      <c r="O1795" s="82" t="str">
        <f t="shared" si="548"/>
        <v/>
      </c>
      <c r="P1795" s="81" t="str">
        <f t="shared" si="558"/>
        <v/>
      </c>
      <c r="Q1795" s="81" t="str">
        <f t="shared" si="549"/>
        <v/>
      </c>
      <c r="R1795" s="135" t="str">
        <f t="shared" ca="1" si="550"/>
        <v/>
      </c>
      <c r="S1795" s="134" t="str">
        <f t="shared" ca="1" si="551"/>
        <v/>
      </c>
      <c r="T1795" s="134" t="str">
        <f ca="1">IF(S1795=Dashboard!$D$12,S1795,"")</f>
        <v/>
      </c>
      <c r="U1795" s="134" t="str">
        <f t="shared" ca="1" si="552"/>
        <v/>
      </c>
      <c r="V1795" s="83" t="str">
        <f ca="1">IF(U1795="","",IFERROR((RANK(U1795,$U$2:$U$2028,1)+COUNTIF($U$2:U1795,U1795))-1,""))</f>
        <v/>
      </c>
      <c r="W1795" s="134" t="str">
        <f t="shared" si="556"/>
        <v/>
      </c>
      <c r="X1795" s="134" t="str">
        <f>IF(W1795="","",IFERROR((RANK(W1795,$W$2:$W$2028,1)+COUNTIF($W$2:W1795,W1795))-1,""))</f>
        <v/>
      </c>
      <c r="Y1795" s="134" t="str">
        <f t="shared" si="553"/>
        <v/>
      </c>
      <c r="Z1795" s="134" t="str">
        <f>IF(Y1795="","",IFERROR((RANK(Y1795,$Y$2:$Y$2028,1)+COUNTIF($Y$2:Y1795,Y1795))-1,""))</f>
        <v/>
      </c>
      <c r="AA1795" s="134" t="str">
        <f t="shared" si="554"/>
        <v/>
      </c>
      <c r="AB1795" s="134" t="str">
        <f>IF(AA1795="","",IFERROR((RANK(AA1795,$AA$2:$AA$2028,1)+COUNTIF($AA$2:AA1795,AA1795))-1,""))</f>
        <v/>
      </c>
      <c r="AC1795" s="134" t="str">
        <f t="shared" si="555"/>
        <v/>
      </c>
      <c r="AD1795" s="134" t="str">
        <f>IF(AC1795="","",IFERROR((RANK(AC1795,$AC$2:$AC$2028,1)+COUNTIF($AC$2:AC1795,AC1795))-1,""))</f>
        <v/>
      </c>
      <c r="AE1795" s="144" t="str">
        <f t="shared" si="547"/>
        <v/>
      </c>
      <c r="AF1795" s="144" t="str">
        <f>IF(AE1795="","",SUM($AE$2:AE1795))</f>
        <v/>
      </c>
    </row>
    <row r="1796" spans="14:32" x14ac:dyDescent="0.35">
      <c r="N1796" s="134" t="str">
        <f t="shared" si="557"/>
        <v/>
      </c>
      <c r="O1796" s="82" t="str">
        <f t="shared" si="548"/>
        <v/>
      </c>
      <c r="P1796" s="81" t="str">
        <f t="shared" si="558"/>
        <v/>
      </c>
      <c r="Q1796" s="81" t="str">
        <f t="shared" si="549"/>
        <v/>
      </c>
      <c r="R1796" s="135" t="str">
        <f t="shared" ca="1" si="550"/>
        <v/>
      </c>
      <c r="S1796" s="134" t="str">
        <f t="shared" ca="1" si="551"/>
        <v/>
      </c>
      <c r="T1796" s="134" t="str">
        <f ca="1">IF(S1796=Dashboard!$D$12,S1796,"")</f>
        <v/>
      </c>
      <c r="U1796" s="134" t="str">
        <f t="shared" ca="1" si="552"/>
        <v/>
      </c>
      <c r="V1796" s="83" t="str">
        <f ca="1">IF(U1796="","",IFERROR((RANK(U1796,$U$2:$U$2028,1)+COUNTIF($U$2:U1796,U1796))-1,""))</f>
        <v/>
      </c>
      <c r="W1796" s="134" t="str">
        <f t="shared" si="556"/>
        <v/>
      </c>
      <c r="X1796" s="134" t="str">
        <f>IF(W1796="","",IFERROR((RANK(W1796,$W$2:$W$2028,1)+COUNTIF($W$2:W1796,W1796))-1,""))</f>
        <v/>
      </c>
      <c r="Y1796" s="134" t="str">
        <f t="shared" si="553"/>
        <v/>
      </c>
      <c r="Z1796" s="134" t="str">
        <f>IF(Y1796="","",IFERROR((RANK(Y1796,$Y$2:$Y$2028,1)+COUNTIF($Y$2:Y1796,Y1796))-1,""))</f>
        <v/>
      </c>
      <c r="AA1796" s="134" t="str">
        <f t="shared" si="554"/>
        <v/>
      </c>
      <c r="AB1796" s="134" t="str">
        <f>IF(AA1796="","",IFERROR((RANK(AA1796,$AA$2:$AA$2028,1)+COUNTIF($AA$2:AA1796,AA1796))-1,""))</f>
        <v/>
      </c>
      <c r="AC1796" s="134" t="str">
        <f t="shared" si="555"/>
        <v/>
      </c>
      <c r="AD1796" s="134" t="str">
        <f>IF(AC1796="","",IFERROR((RANK(AC1796,$AC$2:$AC$2028,1)+COUNTIF($AC$2:AC1796,AC1796))-1,""))</f>
        <v/>
      </c>
      <c r="AE1796" s="144" t="str">
        <f t="shared" si="547"/>
        <v/>
      </c>
      <c r="AF1796" s="144" t="str">
        <f>IF(AE1796="","",SUM($AE$2:AE1796))</f>
        <v/>
      </c>
    </row>
    <row r="1797" spans="14:32" x14ac:dyDescent="0.35">
      <c r="N1797" s="134" t="str">
        <f t="shared" si="557"/>
        <v/>
      </c>
      <c r="O1797" s="82" t="str">
        <f t="shared" si="548"/>
        <v/>
      </c>
      <c r="P1797" s="81" t="str">
        <f t="shared" si="558"/>
        <v/>
      </c>
      <c r="Q1797" s="81" t="str">
        <f t="shared" si="549"/>
        <v/>
      </c>
      <c r="R1797" s="135" t="str">
        <f t="shared" ca="1" si="550"/>
        <v/>
      </c>
      <c r="S1797" s="134" t="str">
        <f t="shared" ca="1" si="551"/>
        <v/>
      </c>
      <c r="T1797" s="134" t="str">
        <f ca="1">IF(S1797=Dashboard!$D$12,S1797,"")</f>
        <v/>
      </c>
      <c r="U1797" s="134" t="str">
        <f t="shared" ca="1" si="552"/>
        <v/>
      </c>
      <c r="V1797" s="83" t="str">
        <f ca="1">IF(U1797="","",IFERROR((RANK(U1797,$U$2:$U$2028,1)+COUNTIF($U$2:U1797,U1797))-1,""))</f>
        <v/>
      </c>
      <c r="W1797" s="134" t="str">
        <f t="shared" si="556"/>
        <v/>
      </c>
      <c r="X1797" s="134" t="str">
        <f>IF(W1797="","",IFERROR((RANK(W1797,$W$2:$W$2028,1)+COUNTIF($W$2:W1797,W1797))-1,""))</f>
        <v/>
      </c>
      <c r="Y1797" s="134" t="str">
        <f t="shared" si="553"/>
        <v/>
      </c>
      <c r="Z1797" s="134" t="str">
        <f>IF(Y1797="","",IFERROR((RANK(Y1797,$Y$2:$Y$2028,1)+COUNTIF($Y$2:Y1797,Y1797))-1,""))</f>
        <v/>
      </c>
      <c r="AA1797" s="134" t="str">
        <f t="shared" si="554"/>
        <v/>
      </c>
      <c r="AB1797" s="134" t="str">
        <f>IF(AA1797="","",IFERROR((RANK(AA1797,$AA$2:$AA$2028,1)+COUNTIF($AA$2:AA1797,AA1797))-1,""))</f>
        <v/>
      </c>
      <c r="AC1797" s="134" t="str">
        <f t="shared" si="555"/>
        <v/>
      </c>
      <c r="AD1797" s="134" t="str">
        <f>IF(AC1797="","",IFERROR((RANK(AC1797,$AC$2:$AC$2028,1)+COUNTIF($AC$2:AC1797,AC1797))-1,""))</f>
        <v/>
      </c>
      <c r="AE1797" s="144" t="str">
        <f t="shared" si="547"/>
        <v/>
      </c>
      <c r="AF1797" s="144" t="str">
        <f>IF(AE1797="","",SUM($AE$2:AE1797))</f>
        <v/>
      </c>
    </row>
    <row r="1798" spans="14:32" x14ac:dyDescent="0.35">
      <c r="N1798" s="134" t="str">
        <f t="shared" si="557"/>
        <v/>
      </c>
      <c r="O1798" s="82" t="str">
        <f t="shared" si="548"/>
        <v/>
      </c>
      <c r="P1798" s="81" t="str">
        <f t="shared" si="558"/>
        <v/>
      </c>
      <c r="Q1798" s="81" t="str">
        <f t="shared" si="549"/>
        <v/>
      </c>
      <c r="R1798" s="135" t="str">
        <f t="shared" ca="1" si="550"/>
        <v/>
      </c>
      <c r="S1798" s="134" t="str">
        <f t="shared" ca="1" si="551"/>
        <v/>
      </c>
      <c r="T1798" s="134" t="str">
        <f ca="1">IF(S1798=Dashboard!$D$12,S1798,"")</f>
        <v/>
      </c>
      <c r="U1798" s="134" t="str">
        <f t="shared" ca="1" si="552"/>
        <v/>
      </c>
      <c r="V1798" s="83" t="str">
        <f ca="1">IF(U1798="","",IFERROR((RANK(U1798,$U$2:$U$2028,1)+COUNTIF($U$2:U1798,U1798))-1,""))</f>
        <v/>
      </c>
      <c r="W1798" s="134" t="str">
        <f t="shared" si="556"/>
        <v/>
      </c>
      <c r="X1798" s="134" t="str">
        <f>IF(W1798="","",IFERROR((RANK(W1798,$W$2:$W$2028,1)+COUNTIF($W$2:W1798,W1798))-1,""))</f>
        <v/>
      </c>
      <c r="Y1798" s="134" t="str">
        <f t="shared" si="553"/>
        <v/>
      </c>
      <c r="Z1798" s="134" t="str">
        <f>IF(Y1798="","",IFERROR((RANK(Y1798,$Y$2:$Y$2028,1)+COUNTIF($Y$2:Y1798,Y1798))-1,""))</f>
        <v/>
      </c>
      <c r="AA1798" s="134" t="str">
        <f t="shared" si="554"/>
        <v/>
      </c>
      <c r="AB1798" s="134" t="str">
        <f>IF(AA1798="","",IFERROR((RANK(AA1798,$AA$2:$AA$2028,1)+COUNTIF($AA$2:AA1798,AA1798))-1,""))</f>
        <v/>
      </c>
      <c r="AC1798" s="134" t="str">
        <f t="shared" si="555"/>
        <v/>
      </c>
      <c r="AD1798" s="134" t="str">
        <f>IF(AC1798="","",IFERROR((RANK(AC1798,$AC$2:$AC$2028,1)+COUNTIF($AC$2:AC1798,AC1798))-1,""))</f>
        <v/>
      </c>
      <c r="AE1798" s="144" t="str">
        <f t="shared" si="547"/>
        <v/>
      </c>
      <c r="AF1798" s="144" t="str">
        <f>IF(AE1798="","",SUM($AE$2:AE1798))</f>
        <v/>
      </c>
    </row>
    <row r="1799" spans="14:32" x14ac:dyDescent="0.35">
      <c r="N1799" s="134" t="str">
        <f t="shared" si="557"/>
        <v/>
      </c>
      <c r="O1799" s="82" t="str">
        <f t="shared" si="548"/>
        <v/>
      </c>
      <c r="P1799" s="81" t="str">
        <f t="shared" si="558"/>
        <v/>
      </c>
      <c r="Q1799" s="81" t="str">
        <f t="shared" si="549"/>
        <v/>
      </c>
      <c r="R1799" s="135" t="str">
        <f t="shared" ca="1" si="550"/>
        <v/>
      </c>
      <c r="S1799" s="134" t="str">
        <f t="shared" ca="1" si="551"/>
        <v/>
      </c>
      <c r="T1799" s="134" t="str">
        <f ca="1">IF(S1799=Dashboard!$D$12,S1799,"")</f>
        <v/>
      </c>
      <c r="U1799" s="134" t="str">
        <f t="shared" ca="1" si="552"/>
        <v/>
      </c>
      <c r="V1799" s="83" t="str">
        <f ca="1">IF(U1799="","",IFERROR((RANK(U1799,$U$2:$U$2028,1)+COUNTIF($U$2:U1799,U1799))-1,""))</f>
        <v/>
      </c>
      <c r="W1799" s="134" t="str">
        <f t="shared" si="556"/>
        <v/>
      </c>
      <c r="X1799" s="134" t="str">
        <f>IF(W1799="","",IFERROR((RANK(W1799,$W$2:$W$2028,1)+COUNTIF($W$2:W1799,W1799))-1,""))</f>
        <v/>
      </c>
      <c r="Y1799" s="134" t="str">
        <f t="shared" si="553"/>
        <v/>
      </c>
      <c r="Z1799" s="134" t="str">
        <f>IF(Y1799="","",IFERROR((RANK(Y1799,$Y$2:$Y$2028,1)+COUNTIF($Y$2:Y1799,Y1799))-1,""))</f>
        <v/>
      </c>
      <c r="AA1799" s="134" t="str">
        <f t="shared" si="554"/>
        <v/>
      </c>
      <c r="AB1799" s="134" t="str">
        <f>IF(AA1799="","",IFERROR((RANK(AA1799,$AA$2:$AA$2028,1)+COUNTIF($AA$2:AA1799,AA1799))-1,""))</f>
        <v/>
      </c>
      <c r="AC1799" s="134" t="str">
        <f t="shared" si="555"/>
        <v/>
      </c>
      <c r="AD1799" s="134" t="str">
        <f>IF(AC1799="","",IFERROR((RANK(AC1799,$AC$2:$AC$2028,1)+COUNTIF($AC$2:AC1799,AC1799))-1,""))</f>
        <v/>
      </c>
      <c r="AE1799" s="144" t="str">
        <f t="shared" ref="AE1799:AE1862" si="559">IF(P1799=1,P1799,"")</f>
        <v/>
      </c>
      <c r="AF1799" s="144" t="str">
        <f>IF(AE1799="","",SUM($AE$2:AE1799))</f>
        <v/>
      </c>
    </row>
    <row r="1800" spans="14:32" x14ac:dyDescent="0.35">
      <c r="N1800" s="134" t="str">
        <f t="shared" si="557"/>
        <v/>
      </c>
      <c r="O1800" s="82" t="str">
        <f t="shared" si="548"/>
        <v/>
      </c>
      <c r="P1800" s="81" t="str">
        <f t="shared" si="558"/>
        <v/>
      </c>
      <c r="Q1800" s="81" t="str">
        <f t="shared" si="549"/>
        <v/>
      </c>
      <c r="R1800" s="135" t="str">
        <f t="shared" ca="1" si="550"/>
        <v/>
      </c>
      <c r="S1800" s="134" t="str">
        <f t="shared" ca="1" si="551"/>
        <v/>
      </c>
      <c r="T1800" s="134" t="str">
        <f ca="1">IF(S1800=Dashboard!$D$12,S1800,"")</f>
        <v/>
      </c>
      <c r="U1800" s="134" t="str">
        <f t="shared" ca="1" si="552"/>
        <v/>
      </c>
      <c r="V1800" s="83" t="str">
        <f ca="1">IF(U1800="","",IFERROR((RANK(U1800,$U$2:$U$2028,1)+COUNTIF($U$2:U1800,U1800))-1,""))</f>
        <v/>
      </c>
      <c r="W1800" s="134" t="str">
        <f t="shared" si="556"/>
        <v/>
      </c>
      <c r="X1800" s="134" t="str">
        <f>IF(W1800="","",IFERROR((RANK(W1800,$W$2:$W$2028,1)+COUNTIF($W$2:W1800,W1800))-1,""))</f>
        <v/>
      </c>
      <c r="Y1800" s="134" t="str">
        <f t="shared" si="553"/>
        <v/>
      </c>
      <c r="Z1800" s="134" t="str">
        <f>IF(Y1800="","",IFERROR((RANK(Y1800,$Y$2:$Y$2028,1)+COUNTIF($Y$2:Y1800,Y1800))-1,""))</f>
        <v/>
      </c>
      <c r="AA1800" s="134" t="str">
        <f t="shared" si="554"/>
        <v/>
      </c>
      <c r="AB1800" s="134" t="str">
        <f>IF(AA1800="","",IFERROR((RANK(AA1800,$AA$2:$AA$2028,1)+COUNTIF($AA$2:AA1800,AA1800))-1,""))</f>
        <v/>
      </c>
      <c r="AC1800" s="134" t="str">
        <f t="shared" si="555"/>
        <v/>
      </c>
      <c r="AD1800" s="134" t="str">
        <f>IF(AC1800="","",IFERROR((RANK(AC1800,$AC$2:$AC$2028,1)+COUNTIF($AC$2:AC1800,AC1800))-1,""))</f>
        <v/>
      </c>
      <c r="AE1800" s="144" t="str">
        <f t="shared" si="559"/>
        <v/>
      </c>
      <c r="AF1800" s="144" t="str">
        <f>IF(AE1800="","",SUM($AE$2:AE1800))</f>
        <v/>
      </c>
    </row>
    <row r="1801" spans="14:32" x14ac:dyDescent="0.35">
      <c r="N1801" s="134" t="str">
        <f t="shared" si="557"/>
        <v/>
      </c>
      <c r="O1801" s="82" t="str">
        <f t="shared" si="548"/>
        <v/>
      </c>
      <c r="P1801" s="81" t="str">
        <f t="shared" si="558"/>
        <v/>
      </c>
      <c r="Q1801" s="81" t="str">
        <f t="shared" si="549"/>
        <v/>
      </c>
      <c r="R1801" s="135" t="str">
        <f t="shared" ca="1" si="550"/>
        <v/>
      </c>
      <c r="S1801" s="134" t="str">
        <f t="shared" ca="1" si="551"/>
        <v/>
      </c>
      <c r="T1801" s="134" t="str">
        <f ca="1">IF(S1801=Dashboard!$D$12,S1801,"")</f>
        <v/>
      </c>
      <c r="U1801" s="134" t="str">
        <f t="shared" ca="1" si="552"/>
        <v/>
      </c>
      <c r="V1801" s="83" t="str">
        <f ca="1">IF(U1801="","",IFERROR((RANK(U1801,$U$2:$U$2028,1)+COUNTIF($U$2:U1801,U1801))-1,""))</f>
        <v/>
      </c>
      <c r="W1801" s="134" t="str">
        <f t="shared" si="556"/>
        <v/>
      </c>
      <c r="X1801" s="134" t="str">
        <f>IF(W1801="","",IFERROR((RANK(W1801,$W$2:$W$2028,1)+COUNTIF($W$2:W1801,W1801))-1,""))</f>
        <v/>
      </c>
      <c r="Y1801" s="134" t="str">
        <f t="shared" si="553"/>
        <v/>
      </c>
      <c r="Z1801" s="134" t="str">
        <f>IF(Y1801="","",IFERROR((RANK(Y1801,$Y$2:$Y$2028,1)+COUNTIF($Y$2:Y1801,Y1801))-1,""))</f>
        <v/>
      </c>
      <c r="AA1801" s="134" t="str">
        <f t="shared" si="554"/>
        <v/>
      </c>
      <c r="AB1801" s="134" t="str">
        <f>IF(AA1801="","",IFERROR((RANK(AA1801,$AA$2:$AA$2028,1)+COUNTIF($AA$2:AA1801,AA1801))-1,""))</f>
        <v/>
      </c>
      <c r="AC1801" s="134" t="str">
        <f t="shared" si="555"/>
        <v/>
      </c>
      <c r="AD1801" s="134" t="str">
        <f>IF(AC1801="","",IFERROR((RANK(AC1801,$AC$2:$AC$2028,1)+COUNTIF($AC$2:AC1801,AC1801))-1,""))</f>
        <v/>
      </c>
      <c r="AE1801" s="144" t="str">
        <f t="shared" si="559"/>
        <v/>
      </c>
      <c r="AF1801" s="144" t="str">
        <f>IF(AE1801="","",SUM($AE$2:AE1801))</f>
        <v/>
      </c>
    </row>
    <row r="1802" spans="14:32" x14ac:dyDescent="0.35">
      <c r="N1802" s="134" t="str">
        <f t="shared" si="557"/>
        <v/>
      </c>
      <c r="O1802" s="82" t="str">
        <f t="shared" si="548"/>
        <v/>
      </c>
      <c r="P1802" s="81" t="str">
        <f t="shared" si="558"/>
        <v/>
      </c>
      <c r="Q1802" s="81" t="str">
        <f t="shared" si="549"/>
        <v/>
      </c>
      <c r="R1802" s="135" t="str">
        <f t="shared" ca="1" si="550"/>
        <v/>
      </c>
      <c r="S1802" s="134" t="str">
        <f t="shared" ca="1" si="551"/>
        <v/>
      </c>
      <c r="T1802" s="134" t="str">
        <f ca="1">IF(S1802=Dashboard!$D$12,S1802,"")</f>
        <v/>
      </c>
      <c r="U1802" s="134" t="str">
        <f t="shared" ca="1" si="552"/>
        <v/>
      </c>
      <c r="V1802" s="83" t="str">
        <f ca="1">IF(U1802="","",IFERROR((RANK(U1802,$U$2:$U$2028,1)+COUNTIF($U$2:U1802,U1802))-1,""))</f>
        <v/>
      </c>
      <c r="W1802" s="134" t="str">
        <f t="shared" si="556"/>
        <v/>
      </c>
      <c r="X1802" s="134" t="str">
        <f>IF(W1802="","",IFERROR((RANK(W1802,$W$2:$W$2028,1)+COUNTIF($W$2:W1802,W1802))-1,""))</f>
        <v/>
      </c>
      <c r="Y1802" s="134" t="str">
        <f t="shared" si="553"/>
        <v/>
      </c>
      <c r="Z1802" s="134" t="str">
        <f>IF(Y1802="","",IFERROR((RANK(Y1802,$Y$2:$Y$2028,1)+COUNTIF($Y$2:Y1802,Y1802))-1,""))</f>
        <v/>
      </c>
      <c r="AA1802" s="134" t="str">
        <f t="shared" si="554"/>
        <v/>
      </c>
      <c r="AB1802" s="134" t="str">
        <f>IF(AA1802="","",IFERROR((RANK(AA1802,$AA$2:$AA$2028,1)+COUNTIF($AA$2:AA1802,AA1802))-1,""))</f>
        <v/>
      </c>
      <c r="AC1802" s="134" t="str">
        <f t="shared" si="555"/>
        <v/>
      </c>
      <c r="AD1802" s="134" t="str">
        <f>IF(AC1802="","",IFERROR((RANK(AC1802,$AC$2:$AC$2028,1)+COUNTIF($AC$2:AC1802,AC1802))-1,""))</f>
        <v/>
      </c>
      <c r="AE1802" s="144" t="str">
        <f t="shared" si="559"/>
        <v/>
      </c>
      <c r="AF1802" s="144" t="str">
        <f>IF(AE1802="","",SUM($AE$2:AE1802))</f>
        <v/>
      </c>
    </row>
    <row r="1803" spans="14:32" x14ac:dyDescent="0.35">
      <c r="N1803" s="134" t="str">
        <f t="shared" si="557"/>
        <v/>
      </c>
      <c r="O1803" s="82" t="str">
        <f t="shared" si="548"/>
        <v/>
      </c>
      <c r="P1803" s="81" t="str">
        <f t="shared" si="558"/>
        <v/>
      </c>
      <c r="Q1803" s="81" t="str">
        <f t="shared" si="549"/>
        <v/>
      </c>
      <c r="R1803" s="135" t="str">
        <f t="shared" ca="1" si="550"/>
        <v/>
      </c>
      <c r="S1803" s="134" t="str">
        <f t="shared" ca="1" si="551"/>
        <v/>
      </c>
      <c r="T1803" s="134" t="str">
        <f ca="1">IF(S1803=Dashboard!$D$12,S1803,"")</f>
        <v/>
      </c>
      <c r="U1803" s="134" t="str">
        <f t="shared" ca="1" si="552"/>
        <v/>
      </c>
      <c r="V1803" s="83" t="str">
        <f ca="1">IF(U1803="","",IFERROR((RANK(U1803,$U$2:$U$2028,1)+COUNTIF($U$2:U1803,U1803))-1,""))</f>
        <v/>
      </c>
      <c r="W1803" s="134" t="str">
        <f t="shared" si="556"/>
        <v/>
      </c>
      <c r="X1803" s="134" t="str">
        <f>IF(W1803="","",IFERROR((RANK(W1803,$W$2:$W$2028,1)+COUNTIF($W$2:W1803,W1803))-1,""))</f>
        <v/>
      </c>
      <c r="Y1803" s="134" t="str">
        <f t="shared" si="553"/>
        <v/>
      </c>
      <c r="Z1803" s="134" t="str">
        <f>IF(Y1803="","",IFERROR((RANK(Y1803,$Y$2:$Y$2028,1)+COUNTIF($Y$2:Y1803,Y1803))-1,""))</f>
        <v/>
      </c>
      <c r="AA1803" s="134" t="str">
        <f t="shared" si="554"/>
        <v/>
      </c>
      <c r="AB1803" s="134" t="str">
        <f>IF(AA1803="","",IFERROR((RANK(AA1803,$AA$2:$AA$2028,1)+COUNTIF($AA$2:AA1803,AA1803))-1,""))</f>
        <v/>
      </c>
      <c r="AC1803" s="134" t="str">
        <f t="shared" si="555"/>
        <v/>
      </c>
      <c r="AD1803" s="134" t="str">
        <f>IF(AC1803="","",IFERROR((RANK(AC1803,$AC$2:$AC$2028,1)+COUNTIF($AC$2:AC1803,AC1803))-1,""))</f>
        <v/>
      </c>
      <c r="AE1803" s="144" t="str">
        <f t="shared" si="559"/>
        <v/>
      </c>
      <c r="AF1803" s="144" t="str">
        <f>IF(AE1803="","",SUM($AE$2:AE1803))</f>
        <v/>
      </c>
    </row>
    <row r="1804" spans="14:32" x14ac:dyDescent="0.35">
      <c r="N1804" s="134" t="str">
        <f t="shared" si="557"/>
        <v/>
      </c>
      <c r="O1804" s="82" t="str">
        <f t="shared" si="548"/>
        <v/>
      </c>
      <c r="P1804" s="81" t="str">
        <f t="shared" si="558"/>
        <v/>
      </c>
      <c r="Q1804" s="81" t="str">
        <f t="shared" si="549"/>
        <v/>
      </c>
      <c r="R1804" s="135" t="str">
        <f t="shared" ca="1" si="550"/>
        <v/>
      </c>
      <c r="S1804" s="134" t="str">
        <f t="shared" ca="1" si="551"/>
        <v/>
      </c>
      <c r="T1804" s="134" t="str">
        <f ca="1">IF(S1804=Dashboard!$D$12,S1804,"")</f>
        <v/>
      </c>
      <c r="U1804" s="134" t="str">
        <f t="shared" ca="1" si="552"/>
        <v/>
      </c>
      <c r="V1804" s="83" t="str">
        <f ca="1">IF(U1804="","",IFERROR((RANK(U1804,$U$2:$U$2028,1)+COUNTIF($U$2:U1804,U1804))-1,""))</f>
        <v/>
      </c>
      <c r="W1804" s="134" t="str">
        <f t="shared" si="556"/>
        <v/>
      </c>
      <c r="X1804" s="134" t="str">
        <f>IF(W1804="","",IFERROR((RANK(W1804,$W$2:$W$2028,1)+COUNTIF($W$2:W1804,W1804))-1,""))</f>
        <v/>
      </c>
      <c r="Y1804" s="134" t="str">
        <f t="shared" si="553"/>
        <v/>
      </c>
      <c r="Z1804" s="134" t="str">
        <f>IF(Y1804="","",IFERROR((RANK(Y1804,$Y$2:$Y$2028,1)+COUNTIF($Y$2:Y1804,Y1804))-1,""))</f>
        <v/>
      </c>
      <c r="AA1804" s="134" t="str">
        <f t="shared" si="554"/>
        <v/>
      </c>
      <c r="AB1804" s="134" t="str">
        <f>IF(AA1804="","",IFERROR((RANK(AA1804,$AA$2:$AA$2028,1)+COUNTIF($AA$2:AA1804,AA1804))-1,""))</f>
        <v/>
      </c>
      <c r="AC1804" s="134" t="str">
        <f t="shared" si="555"/>
        <v/>
      </c>
      <c r="AD1804" s="134" t="str">
        <f>IF(AC1804="","",IFERROR((RANK(AC1804,$AC$2:$AC$2028,1)+COUNTIF($AC$2:AC1804,AC1804))-1,""))</f>
        <v/>
      </c>
      <c r="AE1804" s="144" t="str">
        <f t="shared" si="559"/>
        <v/>
      </c>
      <c r="AF1804" s="144" t="str">
        <f>IF(AE1804="","",SUM($AE$2:AE1804))</f>
        <v/>
      </c>
    </row>
    <row r="1805" spans="14:32" x14ac:dyDescent="0.35">
      <c r="N1805" s="134" t="str">
        <f t="shared" si="557"/>
        <v/>
      </c>
      <c r="O1805" s="82" t="str">
        <f t="shared" si="548"/>
        <v/>
      </c>
      <c r="P1805" s="81" t="str">
        <f t="shared" si="558"/>
        <v/>
      </c>
      <c r="Q1805" s="81" t="str">
        <f t="shared" si="549"/>
        <v/>
      </c>
      <c r="R1805" s="135" t="str">
        <f t="shared" ca="1" si="550"/>
        <v/>
      </c>
      <c r="S1805" s="134" t="str">
        <f t="shared" ca="1" si="551"/>
        <v/>
      </c>
      <c r="T1805" s="134" t="str">
        <f ca="1">IF(S1805=Dashboard!$D$12,S1805,"")</f>
        <v/>
      </c>
      <c r="U1805" s="134" t="str">
        <f t="shared" ca="1" si="552"/>
        <v/>
      </c>
      <c r="V1805" s="83" t="str">
        <f ca="1">IF(U1805="","",IFERROR((RANK(U1805,$U$2:$U$2028,1)+COUNTIF($U$2:U1805,U1805))-1,""))</f>
        <v/>
      </c>
      <c r="W1805" s="134" t="str">
        <f t="shared" si="556"/>
        <v/>
      </c>
      <c r="X1805" s="134" t="str">
        <f>IF(W1805="","",IFERROR((RANK(W1805,$W$2:$W$2028,1)+COUNTIF($W$2:W1805,W1805))-1,""))</f>
        <v/>
      </c>
      <c r="Y1805" s="134" t="str">
        <f t="shared" si="553"/>
        <v/>
      </c>
      <c r="Z1805" s="134" t="str">
        <f>IF(Y1805="","",IFERROR((RANK(Y1805,$Y$2:$Y$2028,1)+COUNTIF($Y$2:Y1805,Y1805))-1,""))</f>
        <v/>
      </c>
      <c r="AA1805" s="134" t="str">
        <f t="shared" si="554"/>
        <v/>
      </c>
      <c r="AB1805" s="134" t="str">
        <f>IF(AA1805="","",IFERROR((RANK(AA1805,$AA$2:$AA$2028,1)+COUNTIF($AA$2:AA1805,AA1805))-1,""))</f>
        <v/>
      </c>
      <c r="AC1805" s="134" t="str">
        <f t="shared" si="555"/>
        <v/>
      </c>
      <c r="AD1805" s="134" t="str">
        <f>IF(AC1805="","",IFERROR((RANK(AC1805,$AC$2:$AC$2028,1)+COUNTIF($AC$2:AC1805,AC1805))-1,""))</f>
        <v/>
      </c>
      <c r="AE1805" s="144" t="str">
        <f t="shared" si="559"/>
        <v/>
      </c>
      <c r="AF1805" s="144" t="str">
        <f>IF(AE1805="","",SUM($AE$2:AE1805))</f>
        <v/>
      </c>
    </row>
    <row r="1806" spans="14:32" x14ac:dyDescent="0.35">
      <c r="N1806" s="134" t="str">
        <f t="shared" si="557"/>
        <v/>
      </c>
      <c r="O1806" s="82" t="str">
        <f t="shared" si="548"/>
        <v/>
      </c>
      <c r="P1806" s="81" t="str">
        <f t="shared" si="558"/>
        <v/>
      </c>
      <c r="Q1806" s="81" t="str">
        <f t="shared" si="549"/>
        <v/>
      </c>
      <c r="R1806" s="135" t="str">
        <f t="shared" ca="1" si="550"/>
        <v/>
      </c>
      <c r="S1806" s="134" t="str">
        <f t="shared" ca="1" si="551"/>
        <v/>
      </c>
      <c r="T1806" s="134" t="str">
        <f ca="1">IF(S1806=Dashboard!$D$12,S1806,"")</f>
        <v/>
      </c>
      <c r="U1806" s="134" t="str">
        <f t="shared" ca="1" si="552"/>
        <v/>
      </c>
      <c r="V1806" s="83" t="str">
        <f ca="1">IF(U1806="","",IFERROR((RANK(U1806,$U$2:$U$2028,1)+COUNTIF($U$2:U1806,U1806))-1,""))</f>
        <v/>
      </c>
      <c r="W1806" s="134" t="str">
        <f t="shared" si="556"/>
        <v/>
      </c>
      <c r="X1806" s="134" t="str">
        <f>IF(W1806="","",IFERROR((RANK(W1806,$W$2:$W$2028,1)+COUNTIF($W$2:W1806,W1806))-1,""))</f>
        <v/>
      </c>
      <c r="Y1806" s="134" t="str">
        <f t="shared" si="553"/>
        <v/>
      </c>
      <c r="Z1806" s="134" t="str">
        <f>IF(Y1806="","",IFERROR((RANK(Y1806,$Y$2:$Y$2028,1)+COUNTIF($Y$2:Y1806,Y1806))-1,""))</f>
        <v/>
      </c>
      <c r="AA1806" s="134" t="str">
        <f t="shared" si="554"/>
        <v/>
      </c>
      <c r="AB1806" s="134" t="str">
        <f>IF(AA1806="","",IFERROR((RANK(AA1806,$AA$2:$AA$2028,1)+COUNTIF($AA$2:AA1806,AA1806))-1,""))</f>
        <v/>
      </c>
      <c r="AC1806" s="134" t="str">
        <f t="shared" si="555"/>
        <v/>
      </c>
      <c r="AD1806" s="134" t="str">
        <f>IF(AC1806="","",IFERROR((RANK(AC1806,$AC$2:$AC$2028,1)+COUNTIF($AC$2:AC1806,AC1806))-1,""))</f>
        <v/>
      </c>
      <c r="AE1806" s="144" t="str">
        <f t="shared" si="559"/>
        <v/>
      </c>
      <c r="AF1806" s="144" t="str">
        <f>IF(AE1806="","",SUM($AE$2:AE1806))</f>
        <v/>
      </c>
    </row>
    <row r="1807" spans="14:32" x14ac:dyDescent="0.35">
      <c r="N1807" s="134" t="str">
        <f t="shared" si="557"/>
        <v/>
      </c>
      <c r="O1807" s="82" t="str">
        <f t="shared" si="548"/>
        <v/>
      </c>
      <c r="P1807" s="81" t="str">
        <f t="shared" si="558"/>
        <v/>
      </c>
      <c r="Q1807" s="81" t="str">
        <f t="shared" si="549"/>
        <v/>
      </c>
      <c r="R1807" s="135" t="str">
        <f t="shared" ca="1" si="550"/>
        <v/>
      </c>
      <c r="S1807" s="134" t="str">
        <f t="shared" ca="1" si="551"/>
        <v/>
      </c>
      <c r="T1807" s="134" t="str">
        <f ca="1">IF(S1807=Dashboard!$D$12,S1807,"")</f>
        <v/>
      </c>
      <c r="U1807" s="134" t="str">
        <f t="shared" ca="1" si="552"/>
        <v/>
      </c>
      <c r="V1807" s="83" t="str">
        <f ca="1">IF(U1807="","",IFERROR((RANK(U1807,$U$2:$U$2028,1)+COUNTIF($U$2:U1807,U1807))-1,""))</f>
        <v/>
      </c>
      <c r="W1807" s="134" t="str">
        <f t="shared" si="556"/>
        <v/>
      </c>
      <c r="X1807" s="134" t="str">
        <f>IF(W1807="","",IFERROR((RANK(W1807,$W$2:$W$2028,1)+COUNTIF($W$2:W1807,W1807))-1,""))</f>
        <v/>
      </c>
      <c r="Y1807" s="134" t="str">
        <f t="shared" si="553"/>
        <v/>
      </c>
      <c r="Z1807" s="134" t="str">
        <f>IF(Y1807="","",IFERROR((RANK(Y1807,$Y$2:$Y$2028,1)+COUNTIF($Y$2:Y1807,Y1807))-1,""))</f>
        <v/>
      </c>
      <c r="AA1807" s="134" t="str">
        <f t="shared" si="554"/>
        <v/>
      </c>
      <c r="AB1807" s="134" t="str">
        <f>IF(AA1807="","",IFERROR((RANK(AA1807,$AA$2:$AA$2028,1)+COUNTIF($AA$2:AA1807,AA1807))-1,""))</f>
        <v/>
      </c>
      <c r="AC1807" s="134" t="str">
        <f t="shared" si="555"/>
        <v/>
      </c>
      <c r="AD1807" s="134" t="str">
        <f>IF(AC1807="","",IFERROR((RANK(AC1807,$AC$2:$AC$2028,1)+COUNTIF($AC$2:AC1807,AC1807))-1,""))</f>
        <v/>
      </c>
      <c r="AE1807" s="144" t="str">
        <f t="shared" si="559"/>
        <v/>
      </c>
      <c r="AF1807" s="144" t="str">
        <f>IF(AE1807="","",SUM($AE$2:AE1807))</f>
        <v/>
      </c>
    </row>
    <row r="1808" spans="14:32" x14ac:dyDescent="0.35">
      <c r="N1808" s="134" t="str">
        <f t="shared" si="557"/>
        <v/>
      </c>
      <c r="O1808" s="82" t="str">
        <f t="shared" si="548"/>
        <v/>
      </c>
      <c r="P1808" s="81" t="str">
        <f t="shared" si="558"/>
        <v/>
      </c>
      <c r="Q1808" s="81" t="str">
        <f t="shared" si="549"/>
        <v/>
      </c>
      <c r="R1808" s="135" t="str">
        <f t="shared" ca="1" si="550"/>
        <v/>
      </c>
      <c r="S1808" s="134" t="str">
        <f t="shared" ca="1" si="551"/>
        <v/>
      </c>
      <c r="T1808" s="134" t="str">
        <f ca="1">IF(S1808=Dashboard!$D$12,S1808,"")</f>
        <v/>
      </c>
      <c r="U1808" s="134" t="str">
        <f t="shared" ca="1" si="552"/>
        <v/>
      </c>
      <c r="V1808" s="83" t="str">
        <f ca="1">IF(U1808="","",IFERROR((RANK(U1808,$U$2:$U$2028,1)+COUNTIF($U$2:U1808,U1808))-1,""))</f>
        <v/>
      </c>
      <c r="W1808" s="134" t="str">
        <f t="shared" si="556"/>
        <v/>
      </c>
      <c r="X1808" s="134" t="str">
        <f>IF(W1808="","",IFERROR((RANK(W1808,$W$2:$W$2028,1)+COUNTIF($W$2:W1808,W1808))-1,""))</f>
        <v/>
      </c>
      <c r="Y1808" s="134" t="str">
        <f t="shared" si="553"/>
        <v/>
      </c>
      <c r="Z1808" s="134" t="str">
        <f>IF(Y1808="","",IFERROR((RANK(Y1808,$Y$2:$Y$2028,1)+COUNTIF($Y$2:Y1808,Y1808))-1,""))</f>
        <v/>
      </c>
      <c r="AA1808" s="134" t="str">
        <f t="shared" si="554"/>
        <v/>
      </c>
      <c r="AB1808" s="134" t="str">
        <f>IF(AA1808="","",IFERROR((RANK(AA1808,$AA$2:$AA$2028,1)+COUNTIF($AA$2:AA1808,AA1808))-1,""))</f>
        <v/>
      </c>
      <c r="AC1808" s="134" t="str">
        <f t="shared" si="555"/>
        <v/>
      </c>
      <c r="AD1808" s="134" t="str">
        <f>IF(AC1808="","",IFERROR((RANK(AC1808,$AC$2:$AC$2028,1)+COUNTIF($AC$2:AC1808,AC1808))-1,""))</f>
        <v/>
      </c>
      <c r="AE1808" s="144" t="str">
        <f t="shared" si="559"/>
        <v/>
      </c>
      <c r="AF1808" s="144" t="str">
        <f>IF(AE1808="","",SUM($AE$2:AE1808))</f>
        <v/>
      </c>
    </row>
    <row r="1809" spans="14:32" x14ac:dyDescent="0.35">
      <c r="N1809" s="134" t="str">
        <f t="shared" si="557"/>
        <v/>
      </c>
      <c r="O1809" s="82" t="str">
        <f t="shared" si="548"/>
        <v/>
      </c>
      <c r="P1809" s="81" t="str">
        <f t="shared" si="558"/>
        <v/>
      </c>
      <c r="Q1809" s="81" t="str">
        <f t="shared" si="549"/>
        <v/>
      </c>
      <c r="R1809" s="135" t="str">
        <f t="shared" ca="1" si="550"/>
        <v/>
      </c>
      <c r="S1809" s="134" t="str">
        <f t="shared" ca="1" si="551"/>
        <v/>
      </c>
      <c r="T1809" s="134" t="str">
        <f ca="1">IF(S1809=Dashboard!$D$12,S1809,"")</f>
        <v/>
      </c>
      <c r="U1809" s="134" t="str">
        <f t="shared" ca="1" si="552"/>
        <v/>
      </c>
      <c r="V1809" s="83" t="str">
        <f ca="1">IF(U1809="","",IFERROR((RANK(U1809,$U$2:$U$2028,1)+COUNTIF($U$2:U1809,U1809))-1,""))</f>
        <v/>
      </c>
      <c r="W1809" s="134" t="str">
        <f t="shared" si="556"/>
        <v/>
      </c>
      <c r="X1809" s="134" t="str">
        <f>IF(W1809="","",IFERROR((RANK(W1809,$W$2:$W$2028,1)+COUNTIF($W$2:W1809,W1809))-1,""))</f>
        <v/>
      </c>
      <c r="Y1809" s="134" t="str">
        <f t="shared" si="553"/>
        <v/>
      </c>
      <c r="Z1809" s="134" t="str">
        <f>IF(Y1809="","",IFERROR((RANK(Y1809,$Y$2:$Y$2028,1)+COUNTIF($Y$2:Y1809,Y1809))-1,""))</f>
        <v/>
      </c>
      <c r="AA1809" s="134" t="str">
        <f t="shared" si="554"/>
        <v/>
      </c>
      <c r="AB1809" s="134" t="str">
        <f>IF(AA1809="","",IFERROR((RANK(AA1809,$AA$2:$AA$2028,1)+COUNTIF($AA$2:AA1809,AA1809))-1,""))</f>
        <v/>
      </c>
      <c r="AC1809" s="134" t="str">
        <f t="shared" si="555"/>
        <v/>
      </c>
      <c r="AD1809" s="134" t="str">
        <f>IF(AC1809="","",IFERROR((RANK(AC1809,$AC$2:$AC$2028,1)+COUNTIF($AC$2:AC1809,AC1809))-1,""))</f>
        <v/>
      </c>
      <c r="AE1809" s="144" t="str">
        <f t="shared" si="559"/>
        <v/>
      </c>
      <c r="AF1809" s="144" t="str">
        <f>IF(AE1809="","",SUM($AE$2:AE1809))</f>
        <v/>
      </c>
    </row>
    <row r="1810" spans="14:32" x14ac:dyDescent="0.35">
      <c r="N1810" s="134" t="str">
        <f t="shared" si="557"/>
        <v/>
      </c>
      <c r="O1810" s="82" t="str">
        <f t="shared" si="548"/>
        <v/>
      </c>
      <c r="P1810" s="81" t="str">
        <f t="shared" si="558"/>
        <v/>
      </c>
      <c r="Q1810" s="81" t="str">
        <f t="shared" si="549"/>
        <v/>
      </c>
      <c r="R1810" s="135" t="str">
        <f t="shared" ca="1" si="550"/>
        <v/>
      </c>
      <c r="S1810" s="134" t="str">
        <f t="shared" ca="1" si="551"/>
        <v/>
      </c>
      <c r="T1810" s="134" t="str">
        <f ca="1">IF(S1810=Dashboard!$D$12,S1810,"")</f>
        <v/>
      </c>
      <c r="U1810" s="134" t="str">
        <f t="shared" ca="1" si="552"/>
        <v/>
      </c>
      <c r="V1810" s="83" t="str">
        <f ca="1">IF(U1810="","",IFERROR((RANK(U1810,$U$2:$U$2028,1)+COUNTIF($U$2:U1810,U1810))-1,""))</f>
        <v/>
      </c>
      <c r="W1810" s="134" t="str">
        <f t="shared" si="556"/>
        <v/>
      </c>
      <c r="X1810" s="134" t="str">
        <f>IF(W1810="","",IFERROR((RANK(W1810,$W$2:$W$2028,1)+COUNTIF($W$2:W1810,W1810))-1,""))</f>
        <v/>
      </c>
      <c r="Y1810" s="134" t="str">
        <f t="shared" si="553"/>
        <v/>
      </c>
      <c r="Z1810" s="134" t="str">
        <f>IF(Y1810="","",IFERROR((RANK(Y1810,$Y$2:$Y$2028,1)+COUNTIF($Y$2:Y1810,Y1810))-1,""))</f>
        <v/>
      </c>
      <c r="AA1810" s="134" t="str">
        <f t="shared" si="554"/>
        <v/>
      </c>
      <c r="AB1810" s="134" t="str">
        <f>IF(AA1810="","",IFERROR((RANK(AA1810,$AA$2:$AA$2028,1)+COUNTIF($AA$2:AA1810,AA1810))-1,""))</f>
        <v/>
      </c>
      <c r="AC1810" s="134" t="str">
        <f t="shared" si="555"/>
        <v/>
      </c>
      <c r="AD1810" s="134" t="str">
        <f>IF(AC1810="","",IFERROR((RANK(AC1810,$AC$2:$AC$2028,1)+COUNTIF($AC$2:AC1810,AC1810))-1,""))</f>
        <v/>
      </c>
      <c r="AE1810" s="144" t="str">
        <f t="shared" si="559"/>
        <v/>
      </c>
      <c r="AF1810" s="144" t="str">
        <f>IF(AE1810="","",SUM($AE$2:AE1810))</f>
        <v/>
      </c>
    </row>
    <row r="1811" spans="14:32" x14ac:dyDescent="0.35">
      <c r="N1811" s="134" t="str">
        <f t="shared" si="557"/>
        <v/>
      </c>
      <c r="O1811" s="82" t="str">
        <f t="shared" si="548"/>
        <v/>
      </c>
      <c r="P1811" s="81" t="str">
        <f t="shared" si="558"/>
        <v/>
      </c>
      <c r="Q1811" s="81" t="str">
        <f t="shared" si="549"/>
        <v/>
      </c>
      <c r="R1811" s="135" t="str">
        <f t="shared" ca="1" si="550"/>
        <v/>
      </c>
      <c r="S1811" s="134" t="str">
        <f t="shared" ca="1" si="551"/>
        <v/>
      </c>
      <c r="T1811" s="134" t="str">
        <f ca="1">IF(S1811=Dashboard!$D$12,S1811,"")</f>
        <v/>
      </c>
      <c r="U1811" s="134" t="str">
        <f t="shared" ca="1" si="552"/>
        <v/>
      </c>
      <c r="V1811" s="83" t="str">
        <f ca="1">IF(U1811="","",IFERROR((RANK(U1811,$U$2:$U$2028,1)+COUNTIF($U$2:U1811,U1811))-1,""))</f>
        <v/>
      </c>
      <c r="W1811" s="134" t="str">
        <f t="shared" si="556"/>
        <v/>
      </c>
      <c r="X1811" s="134" t="str">
        <f>IF(W1811="","",IFERROR((RANK(W1811,$W$2:$W$2028,1)+COUNTIF($W$2:W1811,W1811))-1,""))</f>
        <v/>
      </c>
      <c r="Y1811" s="134" t="str">
        <f t="shared" si="553"/>
        <v/>
      </c>
      <c r="Z1811" s="134" t="str">
        <f>IF(Y1811="","",IFERROR((RANK(Y1811,$Y$2:$Y$2028,1)+COUNTIF($Y$2:Y1811,Y1811))-1,""))</f>
        <v/>
      </c>
      <c r="AA1811" s="134" t="str">
        <f t="shared" si="554"/>
        <v/>
      </c>
      <c r="AB1811" s="134" t="str">
        <f>IF(AA1811="","",IFERROR((RANK(AA1811,$AA$2:$AA$2028,1)+COUNTIF($AA$2:AA1811,AA1811))-1,""))</f>
        <v/>
      </c>
      <c r="AC1811" s="134" t="str">
        <f t="shared" si="555"/>
        <v/>
      </c>
      <c r="AD1811" s="134" t="str">
        <f>IF(AC1811="","",IFERROR((RANK(AC1811,$AC$2:$AC$2028,1)+COUNTIF($AC$2:AC1811,AC1811))-1,""))</f>
        <v/>
      </c>
      <c r="AE1811" s="144" t="str">
        <f t="shared" si="559"/>
        <v/>
      </c>
      <c r="AF1811" s="144" t="str">
        <f>IF(AE1811="","",SUM($AE$2:AE1811))</f>
        <v/>
      </c>
    </row>
    <row r="1812" spans="14:32" x14ac:dyDescent="0.35">
      <c r="N1812" s="134" t="str">
        <f t="shared" si="557"/>
        <v/>
      </c>
      <c r="O1812" s="82" t="str">
        <f t="shared" si="548"/>
        <v/>
      </c>
      <c r="P1812" s="81" t="str">
        <f t="shared" si="558"/>
        <v/>
      </c>
      <c r="Q1812" s="81" t="str">
        <f t="shared" si="549"/>
        <v/>
      </c>
      <c r="R1812" s="135" t="str">
        <f t="shared" ca="1" si="550"/>
        <v/>
      </c>
      <c r="S1812" s="134" t="str">
        <f t="shared" ca="1" si="551"/>
        <v/>
      </c>
      <c r="T1812" s="134" t="str">
        <f ca="1">IF(S1812=Dashboard!$D$12,S1812,"")</f>
        <v/>
      </c>
      <c r="U1812" s="134" t="str">
        <f t="shared" ca="1" si="552"/>
        <v/>
      </c>
      <c r="V1812" s="83" t="str">
        <f ca="1">IF(U1812="","",IFERROR((RANK(U1812,$U$2:$U$2028,1)+COUNTIF($U$2:U1812,U1812))-1,""))</f>
        <v/>
      </c>
      <c r="W1812" s="134" t="str">
        <f t="shared" si="556"/>
        <v/>
      </c>
      <c r="X1812" s="134" t="str">
        <f>IF(W1812="","",IFERROR((RANK(W1812,$W$2:$W$2028,1)+COUNTIF($W$2:W1812,W1812))-1,""))</f>
        <v/>
      </c>
      <c r="Y1812" s="134" t="str">
        <f t="shared" si="553"/>
        <v/>
      </c>
      <c r="Z1812" s="134" t="str">
        <f>IF(Y1812="","",IFERROR((RANK(Y1812,$Y$2:$Y$2028,1)+COUNTIF($Y$2:Y1812,Y1812))-1,""))</f>
        <v/>
      </c>
      <c r="AA1812" s="134" t="str">
        <f t="shared" si="554"/>
        <v/>
      </c>
      <c r="AB1812" s="134" t="str">
        <f>IF(AA1812="","",IFERROR((RANK(AA1812,$AA$2:$AA$2028,1)+COUNTIF($AA$2:AA1812,AA1812))-1,""))</f>
        <v/>
      </c>
      <c r="AC1812" s="134" t="str">
        <f t="shared" si="555"/>
        <v/>
      </c>
      <c r="AD1812" s="134" t="str">
        <f>IF(AC1812="","",IFERROR((RANK(AC1812,$AC$2:$AC$2028,1)+COUNTIF($AC$2:AC1812,AC1812))-1,""))</f>
        <v/>
      </c>
      <c r="AE1812" s="144" t="str">
        <f t="shared" si="559"/>
        <v/>
      </c>
      <c r="AF1812" s="144" t="str">
        <f>IF(AE1812="","",SUM($AE$2:AE1812))</f>
        <v/>
      </c>
    </row>
    <row r="1813" spans="14:32" x14ac:dyDescent="0.35">
      <c r="N1813" s="134" t="str">
        <f t="shared" si="557"/>
        <v/>
      </c>
      <c r="O1813" s="82" t="str">
        <f t="shared" si="548"/>
        <v/>
      </c>
      <c r="P1813" s="81" t="str">
        <f t="shared" si="558"/>
        <v/>
      </c>
      <c r="Q1813" s="81" t="str">
        <f t="shared" si="549"/>
        <v/>
      </c>
      <c r="R1813" s="135" t="str">
        <f t="shared" ca="1" si="550"/>
        <v/>
      </c>
      <c r="S1813" s="134" t="str">
        <f t="shared" ca="1" si="551"/>
        <v/>
      </c>
      <c r="T1813" s="134" t="str">
        <f ca="1">IF(S1813=Dashboard!$D$12,S1813,"")</f>
        <v/>
      </c>
      <c r="U1813" s="134" t="str">
        <f t="shared" ca="1" si="552"/>
        <v/>
      </c>
      <c r="V1813" s="83" t="str">
        <f ca="1">IF(U1813="","",IFERROR((RANK(U1813,$U$2:$U$2028,1)+COUNTIF($U$2:U1813,U1813))-1,""))</f>
        <v/>
      </c>
      <c r="W1813" s="134" t="str">
        <f t="shared" si="556"/>
        <v/>
      </c>
      <c r="X1813" s="134" t="str">
        <f>IF(W1813="","",IFERROR((RANK(W1813,$W$2:$W$2028,1)+COUNTIF($W$2:W1813,W1813))-1,""))</f>
        <v/>
      </c>
      <c r="Y1813" s="134" t="str">
        <f t="shared" si="553"/>
        <v/>
      </c>
      <c r="Z1813" s="134" t="str">
        <f>IF(Y1813="","",IFERROR((RANK(Y1813,$Y$2:$Y$2028,1)+COUNTIF($Y$2:Y1813,Y1813))-1,""))</f>
        <v/>
      </c>
      <c r="AA1813" s="134" t="str">
        <f t="shared" si="554"/>
        <v/>
      </c>
      <c r="AB1813" s="134" t="str">
        <f>IF(AA1813="","",IFERROR((RANK(AA1813,$AA$2:$AA$2028,1)+COUNTIF($AA$2:AA1813,AA1813))-1,""))</f>
        <v/>
      </c>
      <c r="AC1813" s="134" t="str">
        <f t="shared" si="555"/>
        <v/>
      </c>
      <c r="AD1813" s="134" t="str">
        <f>IF(AC1813="","",IFERROR((RANK(AC1813,$AC$2:$AC$2028,1)+COUNTIF($AC$2:AC1813,AC1813))-1,""))</f>
        <v/>
      </c>
      <c r="AE1813" s="144" t="str">
        <f t="shared" si="559"/>
        <v/>
      </c>
      <c r="AF1813" s="144" t="str">
        <f>IF(AE1813="","",SUM($AE$2:AE1813))</f>
        <v/>
      </c>
    </row>
    <row r="1814" spans="14:32" x14ac:dyDescent="0.35">
      <c r="N1814" s="134" t="str">
        <f t="shared" si="557"/>
        <v/>
      </c>
      <c r="O1814" s="82" t="str">
        <f t="shared" si="548"/>
        <v/>
      </c>
      <c r="P1814" s="81" t="str">
        <f t="shared" si="558"/>
        <v/>
      </c>
      <c r="Q1814" s="81" t="str">
        <f t="shared" si="549"/>
        <v/>
      </c>
      <c r="R1814" s="135" t="str">
        <f t="shared" ca="1" si="550"/>
        <v/>
      </c>
      <c r="S1814" s="134" t="str">
        <f t="shared" ca="1" si="551"/>
        <v/>
      </c>
      <c r="T1814" s="134" t="str">
        <f ca="1">IF(S1814=Dashboard!$D$12,S1814,"")</f>
        <v/>
      </c>
      <c r="U1814" s="134" t="str">
        <f t="shared" ca="1" si="552"/>
        <v/>
      </c>
      <c r="V1814" s="83" t="str">
        <f ca="1">IF(U1814="","",IFERROR((RANK(U1814,$U$2:$U$2028,1)+COUNTIF($U$2:U1814,U1814))-1,""))</f>
        <v/>
      </c>
      <c r="W1814" s="134" t="str">
        <f t="shared" si="556"/>
        <v/>
      </c>
      <c r="X1814" s="134" t="str">
        <f>IF(W1814="","",IFERROR((RANK(W1814,$W$2:$W$2028,1)+COUNTIF($W$2:W1814,W1814))-1,""))</f>
        <v/>
      </c>
      <c r="Y1814" s="134" t="str">
        <f t="shared" si="553"/>
        <v/>
      </c>
      <c r="Z1814" s="134" t="str">
        <f>IF(Y1814="","",IFERROR((RANK(Y1814,$Y$2:$Y$2028,1)+COUNTIF($Y$2:Y1814,Y1814))-1,""))</f>
        <v/>
      </c>
      <c r="AA1814" s="134" t="str">
        <f t="shared" si="554"/>
        <v/>
      </c>
      <c r="AB1814" s="134" t="str">
        <f>IF(AA1814="","",IFERROR((RANK(AA1814,$AA$2:$AA$2028,1)+COUNTIF($AA$2:AA1814,AA1814))-1,""))</f>
        <v/>
      </c>
      <c r="AC1814" s="134" t="str">
        <f t="shared" si="555"/>
        <v/>
      </c>
      <c r="AD1814" s="134" t="str">
        <f>IF(AC1814="","",IFERROR((RANK(AC1814,$AC$2:$AC$2028,1)+COUNTIF($AC$2:AC1814,AC1814))-1,""))</f>
        <v/>
      </c>
      <c r="AE1814" s="144" t="str">
        <f t="shared" si="559"/>
        <v/>
      </c>
      <c r="AF1814" s="144" t="str">
        <f>IF(AE1814="","",SUM($AE$2:AE1814))</f>
        <v/>
      </c>
    </row>
    <row r="1815" spans="14:32" x14ac:dyDescent="0.35">
      <c r="N1815" s="134" t="str">
        <f t="shared" si="557"/>
        <v/>
      </c>
      <c r="O1815" s="82" t="str">
        <f t="shared" si="548"/>
        <v/>
      </c>
      <c r="P1815" s="81" t="str">
        <f t="shared" si="558"/>
        <v/>
      </c>
      <c r="Q1815" s="81" t="str">
        <f t="shared" si="549"/>
        <v/>
      </c>
      <c r="R1815" s="135" t="str">
        <f t="shared" ca="1" si="550"/>
        <v/>
      </c>
      <c r="S1815" s="134" t="str">
        <f t="shared" ca="1" si="551"/>
        <v/>
      </c>
      <c r="T1815" s="134" t="str">
        <f ca="1">IF(S1815=Dashboard!$D$12,S1815,"")</f>
        <v/>
      </c>
      <c r="U1815" s="134" t="str">
        <f t="shared" ca="1" si="552"/>
        <v/>
      </c>
      <c r="V1815" s="83" t="str">
        <f ca="1">IF(U1815="","",IFERROR((RANK(U1815,$U$2:$U$2028,1)+COUNTIF($U$2:U1815,U1815))-1,""))</f>
        <v/>
      </c>
      <c r="W1815" s="134" t="str">
        <f t="shared" si="556"/>
        <v/>
      </c>
      <c r="X1815" s="134" t="str">
        <f>IF(W1815="","",IFERROR((RANK(W1815,$W$2:$W$2028,1)+COUNTIF($W$2:W1815,W1815))-1,""))</f>
        <v/>
      </c>
      <c r="Y1815" s="134" t="str">
        <f t="shared" si="553"/>
        <v/>
      </c>
      <c r="Z1815" s="134" t="str">
        <f>IF(Y1815="","",IFERROR((RANK(Y1815,$Y$2:$Y$2028,1)+COUNTIF($Y$2:Y1815,Y1815))-1,""))</f>
        <v/>
      </c>
      <c r="AA1815" s="134" t="str">
        <f t="shared" si="554"/>
        <v/>
      </c>
      <c r="AB1815" s="134" t="str">
        <f>IF(AA1815="","",IFERROR((RANK(AA1815,$AA$2:$AA$2028,1)+COUNTIF($AA$2:AA1815,AA1815))-1,""))</f>
        <v/>
      </c>
      <c r="AC1815" s="134" t="str">
        <f t="shared" si="555"/>
        <v/>
      </c>
      <c r="AD1815" s="134" t="str">
        <f>IF(AC1815="","",IFERROR((RANK(AC1815,$AC$2:$AC$2028,1)+COUNTIF($AC$2:AC1815,AC1815))-1,""))</f>
        <v/>
      </c>
      <c r="AE1815" s="144" t="str">
        <f t="shared" si="559"/>
        <v/>
      </c>
      <c r="AF1815" s="144" t="str">
        <f>IF(AE1815="","",SUM($AE$2:AE1815))</f>
        <v/>
      </c>
    </row>
    <row r="1816" spans="14:32" x14ac:dyDescent="0.35">
      <c r="N1816" s="134" t="str">
        <f t="shared" si="557"/>
        <v/>
      </c>
      <c r="O1816" s="82" t="str">
        <f t="shared" si="548"/>
        <v/>
      </c>
      <c r="P1816" s="81" t="str">
        <f t="shared" si="558"/>
        <v/>
      </c>
      <c r="Q1816" s="81" t="str">
        <f t="shared" si="549"/>
        <v/>
      </c>
      <c r="R1816" s="135" t="str">
        <f t="shared" ca="1" si="550"/>
        <v/>
      </c>
      <c r="S1816" s="134" t="str">
        <f t="shared" ca="1" si="551"/>
        <v/>
      </c>
      <c r="T1816" s="134" t="str">
        <f ca="1">IF(S1816=Dashboard!$D$12,S1816,"")</f>
        <v/>
      </c>
      <c r="U1816" s="134" t="str">
        <f t="shared" ca="1" si="552"/>
        <v/>
      </c>
      <c r="V1816" s="83" t="str">
        <f ca="1">IF(U1816="","",IFERROR((RANK(U1816,$U$2:$U$2028,1)+COUNTIF($U$2:U1816,U1816))-1,""))</f>
        <v/>
      </c>
      <c r="W1816" s="134" t="str">
        <f t="shared" si="556"/>
        <v/>
      </c>
      <c r="X1816" s="134" t="str">
        <f>IF(W1816="","",IFERROR((RANK(W1816,$W$2:$W$2028,1)+COUNTIF($W$2:W1816,W1816))-1,""))</f>
        <v/>
      </c>
      <c r="Y1816" s="134" t="str">
        <f t="shared" si="553"/>
        <v/>
      </c>
      <c r="Z1816" s="134" t="str">
        <f>IF(Y1816="","",IFERROR((RANK(Y1816,$Y$2:$Y$2028,1)+COUNTIF($Y$2:Y1816,Y1816))-1,""))</f>
        <v/>
      </c>
      <c r="AA1816" s="134" t="str">
        <f t="shared" si="554"/>
        <v/>
      </c>
      <c r="AB1816" s="134" t="str">
        <f>IF(AA1816="","",IFERROR((RANK(AA1816,$AA$2:$AA$2028,1)+COUNTIF($AA$2:AA1816,AA1816))-1,""))</f>
        <v/>
      </c>
      <c r="AC1816" s="134" t="str">
        <f t="shared" si="555"/>
        <v/>
      </c>
      <c r="AD1816" s="134" t="str">
        <f>IF(AC1816="","",IFERROR((RANK(AC1816,$AC$2:$AC$2028,1)+COUNTIF($AC$2:AC1816,AC1816))-1,""))</f>
        <v/>
      </c>
      <c r="AE1816" s="144" t="str">
        <f t="shared" si="559"/>
        <v/>
      </c>
      <c r="AF1816" s="144" t="str">
        <f>IF(AE1816="","",SUM($AE$2:AE1816))</f>
        <v/>
      </c>
    </row>
    <row r="1817" spans="14:32" x14ac:dyDescent="0.35">
      <c r="N1817" s="134" t="str">
        <f t="shared" si="557"/>
        <v/>
      </c>
      <c r="O1817" s="82" t="str">
        <f t="shared" si="548"/>
        <v/>
      </c>
      <c r="P1817" s="81" t="str">
        <f t="shared" si="558"/>
        <v/>
      </c>
      <c r="Q1817" s="81" t="str">
        <f t="shared" si="549"/>
        <v/>
      </c>
      <c r="R1817" s="135" t="str">
        <f t="shared" ca="1" si="550"/>
        <v/>
      </c>
      <c r="S1817" s="134" t="str">
        <f t="shared" ca="1" si="551"/>
        <v/>
      </c>
      <c r="T1817" s="134" t="str">
        <f ca="1">IF(S1817=Dashboard!$D$12,S1817,"")</f>
        <v/>
      </c>
      <c r="U1817" s="134" t="str">
        <f t="shared" ca="1" si="552"/>
        <v/>
      </c>
      <c r="V1817" s="83" t="str">
        <f ca="1">IF(U1817="","",IFERROR((RANK(U1817,$U$2:$U$2028,1)+COUNTIF($U$2:U1817,U1817))-1,""))</f>
        <v/>
      </c>
      <c r="W1817" s="134" t="str">
        <f t="shared" si="556"/>
        <v/>
      </c>
      <c r="X1817" s="134" t="str">
        <f>IF(W1817="","",IFERROR((RANK(W1817,$W$2:$W$2028,1)+COUNTIF($W$2:W1817,W1817))-1,""))</f>
        <v/>
      </c>
      <c r="Y1817" s="134" t="str">
        <f t="shared" si="553"/>
        <v/>
      </c>
      <c r="Z1817" s="134" t="str">
        <f>IF(Y1817="","",IFERROR((RANK(Y1817,$Y$2:$Y$2028,1)+COUNTIF($Y$2:Y1817,Y1817))-1,""))</f>
        <v/>
      </c>
      <c r="AA1817" s="134" t="str">
        <f t="shared" si="554"/>
        <v/>
      </c>
      <c r="AB1817" s="134" t="str">
        <f>IF(AA1817="","",IFERROR((RANK(AA1817,$AA$2:$AA$2028,1)+COUNTIF($AA$2:AA1817,AA1817))-1,""))</f>
        <v/>
      </c>
      <c r="AC1817" s="134" t="str">
        <f t="shared" si="555"/>
        <v/>
      </c>
      <c r="AD1817" s="134" t="str">
        <f>IF(AC1817="","",IFERROR((RANK(AC1817,$AC$2:$AC$2028,1)+COUNTIF($AC$2:AC1817,AC1817))-1,""))</f>
        <v/>
      </c>
      <c r="AE1817" s="144" t="str">
        <f t="shared" si="559"/>
        <v/>
      </c>
      <c r="AF1817" s="144" t="str">
        <f>IF(AE1817="","",SUM($AE$2:AE1817))</f>
        <v/>
      </c>
    </row>
    <row r="1818" spans="14:32" x14ac:dyDescent="0.35">
      <c r="N1818" s="134" t="str">
        <f t="shared" si="557"/>
        <v/>
      </c>
      <c r="O1818" s="82" t="str">
        <f t="shared" si="548"/>
        <v/>
      </c>
      <c r="P1818" s="81" t="str">
        <f t="shared" si="558"/>
        <v/>
      </c>
      <c r="Q1818" s="81" t="str">
        <f t="shared" si="549"/>
        <v/>
      </c>
      <c r="R1818" s="135" t="str">
        <f t="shared" ca="1" si="550"/>
        <v/>
      </c>
      <c r="S1818" s="134" t="str">
        <f t="shared" ca="1" si="551"/>
        <v/>
      </c>
      <c r="T1818" s="134" t="str">
        <f ca="1">IF(S1818=Dashboard!$D$12,S1818,"")</f>
        <v/>
      </c>
      <c r="U1818" s="134" t="str">
        <f t="shared" ca="1" si="552"/>
        <v/>
      </c>
      <c r="V1818" s="83" t="str">
        <f ca="1">IF(U1818="","",IFERROR((RANK(U1818,$U$2:$U$2028,1)+COUNTIF($U$2:U1818,U1818))-1,""))</f>
        <v/>
      </c>
      <c r="W1818" s="134" t="str">
        <f t="shared" si="556"/>
        <v/>
      </c>
      <c r="X1818" s="134" t="str">
        <f>IF(W1818="","",IFERROR((RANK(W1818,$W$2:$W$2028,1)+COUNTIF($W$2:W1818,W1818))-1,""))</f>
        <v/>
      </c>
      <c r="Y1818" s="134" t="str">
        <f t="shared" si="553"/>
        <v/>
      </c>
      <c r="Z1818" s="134" t="str">
        <f>IF(Y1818="","",IFERROR((RANK(Y1818,$Y$2:$Y$2028,1)+COUNTIF($Y$2:Y1818,Y1818))-1,""))</f>
        <v/>
      </c>
      <c r="AA1818" s="134" t="str">
        <f t="shared" si="554"/>
        <v/>
      </c>
      <c r="AB1818" s="134" t="str">
        <f>IF(AA1818="","",IFERROR((RANK(AA1818,$AA$2:$AA$2028,1)+COUNTIF($AA$2:AA1818,AA1818))-1,""))</f>
        <v/>
      </c>
      <c r="AC1818" s="134" t="str">
        <f t="shared" si="555"/>
        <v/>
      </c>
      <c r="AD1818" s="134" t="str">
        <f>IF(AC1818="","",IFERROR((RANK(AC1818,$AC$2:$AC$2028,1)+COUNTIF($AC$2:AC1818,AC1818))-1,""))</f>
        <v/>
      </c>
      <c r="AE1818" s="144" t="str">
        <f t="shared" si="559"/>
        <v/>
      </c>
      <c r="AF1818" s="144" t="str">
        <f>IF(AE1818="","",SUM($AE$2:AE1818))</f>
        <v/>
      </c>
    </row>
    <row r="1819" spans="14:32" x14ac:dyDescent="0.35">
      <c r="N1819" s="134" t="str">
        <f t="shared" si="557"/>
        <v/>
      </c>
      <c r="O1819" s="82" t="str">
        <f t="shared" si="548"/>
        <v/>
      </c>
      <c r="P1819" s="81" t="str">
        <f t="shared" si="558"/>
        <v/>
      </c>
      <c r="Q1819" s="81" t="str">
        <f t="shared" si="549"/>
        <v/>
      </c>
      <c r="R1819" s="135" t="str">
        <f t="shared" ca="1" si="550"/>
        <v/>
      </c>
      <c r="S1819" s="134" t="str">
        <f t="shared" ca="1" si="551"/>
        <v/>
      </c>
      <c r="T1819" s="134" t="str">
        <f ca="1">IF(S1819=Dashboard!$D$12,S1819,"")</f>
        <v/>
      </c>
      <c r="U1819" s="134" t="str">
        <f t="shared" ca="1" si="552"/>
        <v/>
      </c>
      <c r="V1819" s="83" t="str">
        <f ca="1">IF(U1819="","",IFERROR((RANK(U1819,$U$2:$U$2028,1)+COUNTIF($U$2:U1819,U1819))-1,""))</f>
        <v/>
      </c>
      <c r="W1819" s="134" t="str">
        <f t="shared" si="556"/>
        <v/>
      </c>
      <c r="X1819" s="134" t="str">
        <f>IF(W1819="","",IFERROR((RANK(W1819,$W$2:$W$2028,1)+COUNTIF($W$2:W1819,W1819))-1,""))</f>
        <v/>
      </c>
      <c r="Y1819" s="134" t="str">
        <f t="shared" si="553"/>
        <v/>
      </c>
      <c r="Z1819" s="134" t="str">
        <f>IF(Y1819="","",IFERROR((RANK(Y1819,$Y$2:$Y$2028,1)+COUNTIF($Y$2:Y1819,Y1819))-1,""))</f>
        <v/>
      </c>
      <c r="AA1819" s="134" t="str">
        <f t="shared" si="554"/>
        <v/>
      </c>
      <c r="AB1819" s="134" t="str">
        <f>IF(AA1819="","",IFERROR((RANK(AA1819,$AA$2:$AA$2028,1)+COUNTIF($AA$2:AA1819,AA1819))-1,""))</f>
        <v/>
      </c>
      <c r="AC1819" s="134" t="str">
        <f t="shared" si="555"/>
        <v/>
      </c>
      <c r="AD1819" s="134" t="str">
        <f>IF(AC1819="","",IFERROR((RANK(AC1819,$AC$2:$AC$2028,1)+COUNTIF($AC$2:AC1819,AC1819))-1,""))</f>
        <v/>
      </c>
      <c r="AE1819" s="144" t="str">
        <f t="shared" si="559"/>
        <v/>
      </c>
      <c r="AF1819" s="144" t="str">
        <f>IF(AE1819="","",SUM($AE$2:AE1819))</f>
        <v/>
      </c>
    </row>
    <row r="1820" spans="14:32" x14ac:dyDescent="0.35">
      <c r="N1820" s="134" t="str">
        <f t="shared" si="557"/>
        <v/>
      </c>
      <c r="O1820" s="82" t="str">
        <f t="shared" si="548"/>
        <v/>
      </c>
      <c r="P1820" s="81" t="str">
        <f t="shared" si="558"/>
        <v/>
      </c>
      <c r="Q1820" s="81" t="str">
        <f t="shared" si="549"/>
        <v/>
      </c>
      <c r="R1820" s="135" t="str">
        <f t="shared" ca="1" si="550"/>
        <v/>
      </c>
      <c r="S1820" s="134" t="str">
        <f t="shared" ca="1" si="551"/>
        <v/>
      </c>
      <c r="T1820" s="134" t="str">
        <f ca="1">IF(S1820=Dashboard!$D$12,S1820,"")</f>
        <v/>
      </c>
      <c r="U1820" s="134" t="str">
        <f t="shared" ca="1" si="552"/>
        <v/>
      </c>
      <c r="V1820" s="83" t="str">
        <f ca="1">IF(U1820="","",IFERROR((RANK(U1820,$U$2:$U$2028,1)+COUNTIF($U$2:U1820,U1820))-1,""))</f>
        <v/>
      </c>
      <c r="W1820" s="134" t="str">
        <f t="shared" si="556"/>
        <v/>
      </c>
      <c r="X1820" s="134" t="str">
        <f>IF(W1820="","",IFERROR((RANK(W1820,$W$2:$W$2028,1)+COUNTIF($W$2:W1820,W1820))-1,""))</f>
        <v/>
      </c>
      <c r="Y1820" s="134" t="str">
        <f t="shared" si="553"/>
        <v/>
      </c>
      <c r="Z1820" s="134" t="str">
        <f>IF(Y1820="","",IFERROR((RANK(Y1820,$Y$2:$Y$2028,1)+COUNTIF($Y$2:Y1820,Y1820))-1,""))</f>
        <v/>
      </c>
      <c r="AA1820" s="134" t="str">
        <f t="shared" si="554"/>
        <v/>
      </c>
      <c r="AB1820" s="134" t="str">
        <f>IF(AA1820="","",IFERROR((RANK(AA1820,$AA$2:$AA$2028,1)+COUNTIF($AA$2:AA1820,AA1820))-1,""))</f>
        <v/>
      </c>
      <c r="AC1820" s="134" t="str">
        <f t="shared" si="555"/>
        <v/>
      </c>
      <c r="AD1820" s="134" t="str">
        <f>IF(AC1820="","",IFERROR((RANK(AC1820,$AC$2:$AC$2028,1)+COUNTIF($AC$2:AC1820,AC1820))-1,""))</f>
        <v/>
      </c>
      <c r="AE1820" s="144" t="str">
        <f t="shared" si="559"/>
        <v/>
      </c>
      <c r="AF1820" s="144" t="str">
        <f>IF(AE1820="","",SUM($AE$2:AE1820))</f>
        <v/>
      </c>
    </row>
    <row r="1821" spans="14:32" x14ac:dyDescent="0.35">
      <c r="N1821" s="134" t="str">
        <f t="shared" si="557"/>
        <v/>
      </c>
      <c r="O1821" s="82" t="str">
        <f t="shared" si="548"/>
        <v/>
      </c>
      <c r="P1821" s="81" t="str">
        <f t="shared" si="558"/>
        <v/>
      </c>
      <c r="Q1821" s="81" t="str">
        <f t="shared" si="549"/>
        <v/>
      </c>
      <c r="R1821" s="135" t="str">
        <f t="shared" ca="1" si="550"/>
        <v/>
      </c>
      <c r="S1821" s="134" t="str">
        <f t="shared" ca="1" si="551"/>
        <v/>
      </c>
      <c r="T1821" s="134" t="str">
        <f ca="1">IF(S1821=Dashboard!$D$12,S1821,"")</f>
        <v/>
      </c>
      <c r="U1821" s="134" t="str">
        <f t="shared" ca="1" si="552"/>
        <v/>
      </c>
      <c r="V1821" s="83" t="str">
        <f ca="1">IF(U1821="","",IFERROR((RANK(U1821,$U$2:$U$2028,1)+COUNTIF($U$2:U1821,U1821))-1,""))</f>
        <v/>
      </c>
      <c r="W1821" s="134" t="str">
        <f t="shared" si="556"/>
        <v/>
      </c>
      <c r="X1821" s="134" t="str">
        <f>IF(W1821="","",IFERROR((RANK(W1821,$W$2:$W$2028,1)+COUNTIF($W$2:W1821,W1821))-1,""))</f>
        <v/>
      </c>
      <c r="Y1821" s="134" t="str">
        <f t="shared" si="553"/>
        <v/>
      </c>
      <c r="Z1821" s="134" t="str">
        <f>IF(Y1821="","",IFERROR((RANK(Y1821,$Y$2:$Y$2028,1)+COUNTIF($Y$2:Y1821,Y1821))-1,""))</f>
        <v/>
      </c>
      <c r="AA1821" s="134" t="str">
        <f t="shared" si="554"/>
        <v/>
      </c>
      <c r="AB1821" s="134" t="str">
        <f>IF(AA1821="","",IFERROR((RANK(AA1821,$AA$2:$AA$2028,1)+COUNTIF($AA$2:AA1821,AA1821))-1,""))</f>
        <v/>
      </c>
      <c r="AC1821" s="134" t="str">
        <f t="shared" si="555"/>
        <v/>
      </c>
      <c r="AD1821" s="134" t="str">
        <f>IF(AC1821="","",IFERROR((RANK(AC1821,$AC$2:$AC$2028,1)+COUNTIF($AC$2:AC1821,AC1821))-1,""))</f>
        <v/>
      </c>
      <c r="AE1821" s="144" t="str">
        <f t="shared" si="559"/>
        <v/>
      </c>
      <c r="AF1821" s="144" t="str">
        <f>IF(AE1821="","",SUM($AE$2:AE1821))</f>
        <v/>
      </c>
    </row>
    <row r="1822" spans="14:32" x14ac:dyDescent="0.35">
      <c r="N1822" s="134" t="str">
        <f t="shared" si="557"/>
        <v/>
      </c>
      <c r="O1822" s="82" t="str">
        <f t="shared" ref="O1822:O1885" si="560">IF(A1822="","",N1822&amp;"-"&amp;M1822)</f>
        <v/>
      </c>
      <c r="P1822" s="81" t="str">
        <f t="shared" si="558"/>
        <v/>
      </c>
      <c r="Q1822" s="81" t="str">
        <f t="shared" ref="Q1822:Q1885" si="561">IF(A1822="","",IF(P1822=1,M1822,""))</f>
        <v/>
      </c>
      <c r="R1822" s="135" t="str">
        <f t="shared" ref="R1822:R1885" ca="1" si="562">IF(Q1822="","",I1822-TODAY())</f>
        <v/>
      </c>
      <c r="S1822" s="134" t="str">
        <f t="shared" ref="S1822:S1885" ca="1" si="563">IF(R1822="","",
IF(R1822&lt;-90,"Pass&gt;90",IF(R1822&lt;-60,"Pass 61-90",IF(R1822&lt;-30,"Pass 31-60",IF(R1822&lt;0,"Pass 0-30",IF(R1822&lt;31,"Run 0-30",IF(R1822&lt;61,"Run 31-60",IF(R1822&lt;91,"Run 60-90","Run &gt;90"))))))))</f>
        <v/>
      </c>
      <c r="T1822" s="134" t="str">
        <f ca="1">IF(S1822=Dashboard!$D$12,S1822,"")</f>
        <v/>
      </c>
      <c r="U1822" s="134" t="str">
        <f t="shared" ref="U1822:U1885" ca="1" si="564">IF(T1822="","",R1822)</f>
        <v/>
      </c>
      <c r="V1822" s="83" t="str">
        <f ca="1">IF(U1822="","",IFERROR((RANK(U1822,$U$2:$U$2028,1)+COUNTIF($U$2:U1822,U1822))-1,""))</f>
        <v/>
      </c>
      <c r="W1822" s="134" t="str">
        <f t="shared" si="556"/>
        <v/>
      </c>
      <c r="X1822" s="134" t="str">
        <f>IF(W1822="","",IFERROR((RANK(W1822,$W$2:$W$2028,1)+COUNTIF($W$2:W1822,W1822))-1,""))</f>
        <v/>
      </c>
      <c r="Y1822" s="134" t="str">
        <f t="shared" ref="Y1822:Y1885" si="565">IF($J1822=Y$1,$U1822,"")</f>
        <v/>
      </c>
      <c r="Z1822" s="134" t="str">
        <f>IF(Y1822="","",IFERROR((RANK(Y1822,$Y$2:$Y$2028,1)+COUNTIF($Y$2:Y1822,Y1822))-1,""))</f>
        <v/>
      </c>
      <c r="AA1822" s="134" t="str">
        <f t="shared" ref="AA1822:AA1885" si="566">IF($J1822=AA$1,$U1822,"")</f>
        <v/>
      </c>
      <c r="AB1822" s="134" t="str">
        <f>IF(AA1822="","",IFERROR((RANK(AA1822,$AA$2:$AA$2028,1)+COUNTIF($AA$2:AA1822,AA1822))-1,""))</f>
        <v/>
      </c>
      <c r="AC1822" s="134" t="str">
        <f t="shared" ref="AC1822:AC1885" si="567">IF($J1822=AC$1,$U1822,"")</f>
        <v/>
      </c>
      <c r="AD1822" s="134" t="str">
        <f>IF(AC1822="","",IFERROR((RANK(AC1822,$AC$2:$AC$2028,1)+COUNTIF($AC$2:AC1822,AC1822))-1,""))</f>
        <v/>
      </c>
      <c r="AE1822" s="144" t="str">
        <f t="shared" si="559"/>
        <v/>
      </c>
      <c r="AF1822" s="144" t="str">
        <f>IF(AE1822="","",SUM($AE$2:AE1822))</f>
        <v/>
      </c>
    </row>
    <row r="1823" spans="14:32" x14ac:dyDescent="0.35">
      <c r="N1823" s="134" t="str">
        <f t="shared" si="557"/>
        <v/>
      </c>
      <c r="O1823" s="82" t="str">
        <f t="shared" si="560"/>
        <v/>
      </c>
      <c r="P1823" s="81" t="str">
        <f t="shared" si="558"/>
        <v/>
      </c>
      <c r="Q1823" s="81" t="str">
        <f t="shared" si="561"/>
        <v/>
      </c>
      <c r="R1823" s="135" t="str">
        <f t="shared" ca="1" si="562"/>
        <v/>
      </c>
      <c r="S1823" s="134" t="str">
        <f t="shared" ca="1" si="563"/>
        <v/>
      </c>
      <c r="T1823" s="134" t="str">
        <f ca="1">IF(S1823=Dashboard!$D$12,S1823,"")</f>
        <v/>
      </c>
      <c r="U1823" s="134" t="str">
        <f t="shared" ca="1" si="564"/>
        <v/>
      </c>
      <c r="V1823" s="83" t="str">
        <f ca="1">IF(U1823="","",IFERROR((RANK(U1823,$U$2:$U$2028,1)+COUNTIF($U$2:U1823,U1823))-1,""))</f>
        <v/>
      </c>
      <c r="W1823" s="134" t="str">
        <f t="shared" ref="W1823:W1886" si="568">IF($J1823=$W$1,U1823,"")</f>
        <v/>
      </c>
      <c r="X1823" s="134" t="str">
        <f>IF(W1823="","",IFERROR((RANK(W1823,$W$2:$W$2028,1)+COUNTIF($W$2:W1823,W1823))-1,""))</f>
        <v/>
      </c>
      <c r="Y1823" s="134" t="str">
        <f t="shared" si="565"/>
        <v/>
      </c>
      <c r="Z1823" s="134" t="str">
        <f>IF(Y1823="","",IFERROR((RANK(Y1823,$Y$2:$Y$2028,1)+COUNTIF($Y$2:Y1823,Y1823))-1,""))</f>
        <v/>
      </c>
      <c r="AA1823" s="134" t="str">
        <f t="shared" si="566"/>
        <v/>
      </c>
      <c r="AB1823" s="134" t="str">
        <f>IF(AA1823="","",IFERROR((RANK(AA1823,$AA$2:$AA$2028,1)+COUNTIF($AA$2:AA1823,AA1823))-1,""))</f>
        <v/>
      </c>
      <c r="AC1823" s="134" t="str">
        <f t="shared" si="567"/>
        <v/>
      </c>
      <c r="AD1823" s="134" t="str">
        <f>IF(AC1823="","",IFERROR((RANK(AC1823,$AC$2:$AC$2028,1)+COUNTIF($AC$2:AC1823,AC1823))-1,""))</f>
        <v/>
      </c>
      <c r="AE1823" s="144" t="str">
        <f t="shared" si="559"/>
        <v/>
      </c>
      <c r="AF1823" s="144" t="str">
        <f>IF(AE1823="","",SUM($AE$2:AE1823))</f>
        <v/>
      </c>
    </row>
    <row r="1824" spans="14:32" x14ac:dyDescent="0.35">
      <c r="N1824" s="134" t="str">
        <f t="shared" si="557"/>
        <v/>
      </c>
      <c r="O1824" s="82" t="str">
        <f t="shared" si="560"/>
        <v/>
      </c>
      <c r="P1824" s="81" t="str">
        <f t="shared" si="558"/>
        <v/>
      </c>
      <c r="Q1824" s="81" t="str">
        <f t="shared" si="561"/>
        <v/>
      </c>
      <c r="R1824" s="135" t="str">
        <f t="shared" ca="1" si="562"/>
        <v/>
      </c>
      <c r="S1824" s="134" t="str">
        <f t="shared" ca="1" si="563"/>
        <v/>
      </c>
      <c r="T1824" s="134" t="str">
        <f ca="1">IF(S1824=Dashboard!$D$12,S1824,"")</f>
        <v/>
      </c>
      <c r="U1824" s="134" t="str">
        <f t="shared" ca="1" si="564"/>
        <v/>
      </c>
      <c r="V1824" s="83" t="str">
        <f ca="1">IF(U1824="","",IFERROR((RANK(U1824,$U$2:$U$2028,1)+COUNTIF($U$2:U1824,U1824))-1,""))</f>
        <v/>
      </c>
      <c r="W1824" s="134" t="str">
        <f t="shared" si="568"/>
        <v/>
      </c>
      <c r="X1824" s="134" t="str">
        <f>IF(W1824="","",IFERROR((RANK(W1824,$W$2:$W$2028,1)+COUNTIF($W$2:W1824,W1824))-1,""))</f>
        <v/>
      </c>
      <c r="Y1824" s="134" t="str">
        <f t="shared" si="565"/>
        <v/>
      </c>
      <c r="Z1824" s="134" t="str">
        <f>IF(Y1824="","",IFERROR((RANK(Y1824,$Y$2:$Y$2028,1)+COUNTIF($Y$2:Y1824,Y1824))-1,""))</f>
        <v/>
      </c>
      <c r="AA1824" s="134" t="str">
        <f t="shared" si="566"/>
        <v/>
      </c>
      <c r="AB1824" s="134" t="str">
        <f>IF(AA1824="","",IFERROR((RANK(AA1824,$AA$2:$AA$2028,1)+COUNTIF($AA$2:AA1824,AA1824))-1,""))</f>
        <v/>
      </c>
      <c r="AC1824" s="134" t="str">
        <f t="shared" si="567"/>
        <v/>
      </c>
      <c r="AD1824" s="134" t="str">
        <f>IF(AC1824="","",IFERROR((RANK(AC1824,$AC$2:$AC$2028,1)+COUNTIF($AC$2:AC1824,AC1824))-1,""))</f>
        <v/>
      </c>
      <c r="AE1824" s="144" t="str">
        <f t="shared" si="559"/>
        <v/>
      </c>
      <c r="AF1824" s="144" t="str">
        <f>IF(AE1824="","",SUM($AE$2:AE1824))</f>
        <v/>
      </c>
    </row>
    <row r="1825" spans="14:32" x14ac:dyDescent="0.35">
      <c r="N1825" s="134" t="str">
        <f t="shared" si="557"/>
        <v/>
      </c>
      <c r="O1825" s="82" t="str">
        <f t="shared" si="560"/>
        <v/>
      </c>
      <c r="P1825" s="81" t="str">
        <f t="shared" si="558"/>
        <v/>
      </c>
      <c r="Q1825" s="81" t="str">
        <f t="shared" si="561"/>
        <v/>
      </c>
      <c r="R1825" s="135" t="str">
        <f t="shared" ca="1" si="562"/>
        <v/>
      </c>
      <c r="S1825" s="134" t="str">
        <f t="shared" ca="1" si="563"/>
        <v/>
      </c>
      <c r="T1825" s="134" t="str">
        <f ca="1">IF(S1825=Dashboard!$D$12,S1825,"")</f>
        <v/>
      </c>
      <c r="U1825" s="134" t="str">
        <f t="shared" ca="1" si="564"/>
        <v/>
      </c>
      <c r="V1825" s="83" t="str">
        <f ca="1">IF(U1825="","",IFERROR((RANK(U1825,$U$2:$U$2028,1)+COUNTIF($U$2:U1825,U1825))-1,""))</f>
        <v/>
      </c>
      <c r="W1825" s="134" t="str">
        <f t="shared" si="568"/>
        <v/>
      </c>
      <c r="X1825" s="134" t="str">
        <f>IF(W1825="","",IFERROR((RANK(W1825,$W$2:$W$2028,1)+COUNTIF($W$2:W1825,W1825))-1,""))</f>
        <v/>
      </c>
      <c r="Y1825" s="134" t="str">
        <f t="shared" si="565"/>
        <v/>
      </c>
      <c r="Z1825" s="134" t="str">
        <f>IF(Y1825="","",IFERROR((RANK(Y1825,$Y$2:$Y$2028,1)+COUNTIF($Y$2:Y1825,Y1825))-1,""))</f>
        <v/>
      </c>
      <c r="AA1825" s="134" t="str">
        <f t="shared" si="566"/>
        <v/>
      </c>
      <c r="AB1825" s="134" t="str">
        <f>IF(AA1825="","",IFERROR((RANK(AA1825,$AA$2:$AA$2028,1)+COUNTIF($AA$2:AA1825,AA1825))-1,""))</f>
        <v/>
      </c>
      <c r="AC1825" s="134" t="str">
        <f t="shared" si="567"/>
        <v/>
      </c>
      <c r="AD1825" s="134" t="str">
        <f>IF(AC1825="","",IFERROR((RANK(AC1825,$AC$2:$AC$2028,1)+COUNTIF($AC$2:AC1825,AC1825))-1,""))</f>
        <v/>
      </c>
      <c r="AE1825" s="144" t="str">
        <f t="shared" si="559"/>
        <v/>
      </c>
      <c r="AF1825" s="144" t="str">
        <f>IF(AE1825="","",SUM($AE$2:AE1825))</f>
        <v/>
      </c>
    </row>
    <row r="1826" spans="14:32" x14ac:dyDescent="0.35">
      <c r="N1826" s="134" t="str">
        <f t="shared" si="557"/>
        <v/>
      </c>
      <c r="O1826" s="82" t="str">
        <f t="shared" si="560"/>
        <v/>
      </c>
      <c r="P1826" s="81" t="str">
        <f t="shared" si="558"/>
        <v/>
      </c>
      <c r="Q1826" s="81" t="str">
        <f t="shared" si="561"/>
        <v/>
      </c>
      <c r="R1826" s="135" t="str">
        <f t="shared" ca="1" si="562"/>
        <v/>
      </c>
      <c r="S1826" s="134" t="str">
        <f t="shared" ca="1" si="563"/>
        <v/>
      </c>
      <c r="T1826" s="134" t="str">
        <f ca="1">IF(S1826=Dashboard!$D$12,S1826,"")</f>
        <v/>
      </c>
      <c r="U1826" s="134" t="str">
        <f t="shared" ca="1" si="564"/>
        <v/>
      </c>
      <c r="V1826" s="83" t="str">
        <f ca="1">IF(U1826="","",IFERROR((RANK(U1826,$U$2:$U$2028,1)+COUNTIF($U$2:U1826,U1826))-1,""))</f>
        <v/>
      </c>
      <c r="W1826" s="134" t="str">
        <f t="shared" si="568"/>
        <v/>
      </c>
      <c r="X1826" s="134" t="str">
        <f>IF(W1826="","",IFERROR((RANK(W1826,$W$2:$W$2028,1)+COUNTIF($W$2:W1826,W1826))-1,""))</f>
        <v/>
      </c>
      <c r="Y1826" s="134" t="str">
        <f t="shared" si="565"/>
        <v/>
      </c>
      <c r="Z1826" s="134" t="str">
        <f>IF(Y1826="","",IFERROR((RANK(Y1826,$Y$2:$Y$2028,1)+COUNTIF($Y$2:Y1826,Y1826))-1,""))</f>
        <v/>
      </c>
      <c r="AA1826" s="134" t="str">
        <f t="shared" si="566"/>
        <v/>
      </c>
      <c r="AB1826" s="134" t="str">
        <f>IF(AA1826="","",IFERROR((RANK(AA1826,$AA$2:$AA$2028,1)+COUNTIF($AA$2:AA1826,AA1826))-1,""))</f>
        <v/>
      </c>
      <c r="AC1826" s="134" t="str">
        <f t="shared" si="567"/>
        <v/>
      </c>
      <c r="AD1826" s="134" t="str">
        <f>IF(AC1826="","",IFERROR((RANK(AC1826,$AC$2:$AC$2028,1)+COUNTIF($AC$2:AC1826,AC1826))-1,""))</f>
        <v/>
      </c>
      <c r="AE1826" s="144" t="str">
        <f t="shared" si="559"/>
        <v/>
      </c>
      <c r="AF1826" s="144" t="str">
        <f>IF(AE1826="","",SUM($AE$2:AE1826))</f>
        <v/>
      </c>
    </row>
    <row r="1827" spans="14:32" x14ac:dyDescent="0.35">
      <c r="N1827" s="134" t="str">
        <f t="shared" si="557"/>
        <v/>
      </c>
      <c r="O1827" s="82" t="str">
        <f t="shared" si="560"/>
        <v/>
      </c>
      <c r="P1827" s="81" t="str">
        <f t="shared" si="558"/>
        <v/>
      </c>
      <c r="Q1827" s="81" t="str">
        <f t="shared" si="561"/>
        <v/>
      </c>
      <c r="R1827" s="135" t="str">
        <f t="shared" ca="1" si="562"/>
        <v/>
      </c>
      <c r="S1827" s="134" t="str">
        <f t="shared" ca="1" si="563"/>
        <v/>
      </c>
      <c r="T1827" s="134" t="str">
        <f ca="1">IF(S1827=Dashboard!$D$12,S1827,"")</f>
        <v/>
      </c>
      <c r="U1827" s="134" t="str">
        <f t="shared" ca="1" si="564"/>
        <v/>
      </c>
      <c r="V1827" s="83" t="str">
        <f ca="1">IF(U1827="","",IFERROR((RANK(U1827,$U$2:$U$2028,1)+COUNTIF($U$2:U1827,U1827))-1,""))</f>
        <v/>
      </c>
      <c r="W1827" s="134" t="str">
        <f t="shared" si="568"/>
        <v/>
      </c>
      <c r="X1827" s="134" t="str">
        <f>IF(W1827="","",IFERROR((RANK(W1827,$W$2:$W$2028,1)+COUNTIF($W$2:W1827,W1827))-1,""))</f>
        <v/>
      </c>
      <c r="Y1827" s="134" t="str">
        <f t="shared" si="565"/>
        <v/>
      </c>
      <c r="Z1827" s="134" t="str">
        <f>IF(Y1827="","",IFERROR((RANK(Y1827,$Y$2:$Y$2028,1)+COUNTIF($Y$2:Y1827,Y1827))-1,""))</f>
        <v/>
      </c>
      <c r="AA1827" s="134" t="str">
        <f t="shared" si="566"/>
        <v/>
      </c>
      <c r="AB1827" s="134" t="str">
        <f>IF(AA1827="","",IFERROR((RANK(AA1827,$AA$2:$AA$2028,1)+COUNTIF($AA$2:AA1827,AA1827))-1,""))</f>
        <v/>
      </c>
      <c r="AC1827" s="134" t="str">
        <f t="shared" si="567"/>
        <v/>
      </c>
      <c r="AD1827" s="134" t="str">
        <f>IF(AC1827="","",IFERROR((RANK(AC1827,$AC$2:$AC$2028,1)+COUNTIF($AC$2:AC1827,AC1827))-1,""))</f>
        <v/>
      </c>
      <c r="AE1827" s="144" t="str">
        <f t="shared" si="559"/>
        <v/>
      </c>
      <c r="AF1827" s="144" t="str">
        <f>IF(AE1827="","",SUM($AE$2:AE1827))</f>
        <v/>
      </c>
    </row>
    <row r="1828" spans="14:32" x14ac:dyDescent="0.35">
      <c r="N1828" s="134" t="str">
        <f t="shared" si="557"/>
        <v/>
      </c>
      <c r="O1828" s="82" t="str">
        <f t="shared" si="560"/>
        <v/>
      </c>
      <c r="P1828" s="81" t="str">
        <f t="shared" si="558"/>
        <v/>
      </c>
      <c r="Q1828" s="81" t="str">
        <f t="shared" si="561"/>
        <v/>
      </c>
      <c r="R1828" s="135" t="str">
        <f t="shared" ca="1" si="562"/>
        <v/>
      </c>
      <c r="S1828" s="134" t="str">
        <f t="shared" ca="1" si="563"/>
        <v/>
      </c>
      <c r="T1828" s="134" t="str">
        <f ca="1">IF(S1828=Dashboard!$D$12,S1828,"")</f>
        <v/>
      </c>
      <c r="U1828" s="134" t="str">
        <f t="shared" ca="1" si="564"/>
        <v/>
      </c>
      <c r="V1828" s="83" t="str">
        <f ca="1">IF(U1828="","",IFERROR((RANK(U1828,$U$2:$U$2028,1)+COUNTIF($U$2:U1828,U1828))-1,""))</f>
        <v/>
      </c>
      <c r="W1828" s="134" t="str">
        <f t="shared" si="568"/>
        <v/>
      </c>
      <c r="X1828" s="134" t="str">
        <f>IF(W1828="","",IFERROR((RANK(W1828,$W$2:$W$2028,1)+COUNTIF($W$2:W1828,W1828))-1,""))</f>
        <v/>
      </c>
      <c r="Y1828" s="134" t="str">
        <f t="shared" si="565"/>
        <v/>
      </c>
      <c r="Z1828" s="134" t="str">
        <f>IF(Y1828="","",IFERROR((RANK(Y1828,$Y$2:$Y$2028,1)+COUNTIF($Y$2:Y1828,Y1828))-1,""))</f>
        <v/>
      </c>
      <c r="AA1828" s="134" t="str">
        <f t="shared" si="566"/>
        <v/>
      </c>
      <c r="AB1828" s="134" t="str">
        <f>IF(AA1828="","",IFERROR((RANK(AA1828,$AA$2:$AA$2028,1)+COUNTIF($AA$2:AA1828,AA1828))-1,""))</f>
        <v/>
      </c>
      <c r="AC1828" s="134" t="str">
        <f t="shared" si="567"/>
        <v/>
      </c>
      <c r="AD1828" s="134" t="str">
        <f>IF(AC1828="","",IFERROR((RANK(AC1828,$AC$2:$AC$2028,1)+COUNTIF($AC$2:AC1828,AC1828))-1,""))</f>
        <v/>
      </c>
      <c r="AE1828" s="144" t="str">
        <f t="shared" si="559"/>
        <v/>
      </c>
      <c r="AF1828" s="144" t="str">
        <f>IF(AE1828="","",SUM($AE$2:AE1828))</f>
        <v/>
      </c>
    </row>
    <row r="1829" spans="14:32" x14ac:dyDescent="0.35">
      <c r="N1829" s="134" t="str">
        <f t="shared" si="557"/>
        <v/>
      </c>
      <c r="O1829" s="82" t="str">
        <f t="shared" si="560"/>
        <v/>
      </c>
      <c r="P1829" s="81" t="str">
        <f t="shared" si="558"/>
        <v/>
      </c>
      <c r="Q1829" s="81" t="str">
        <f t="shared" si="561"/>
        <v/>
      </c>
      <c r="R1829" s="135" t="str">
        <f t="shared" ca="1" si="562"/>
        <v/>
      </c>
      <c r="S1829" s="134" t="str">
        <f t="shared" ca="1" si="563"/>
        <v/>
      </c>
      <c r="T1829" s="134" t="str">
        <f ca="1">IF(S1829=Dashboard!$D$12,S1829,"")</f>
        <v/>
      </c>
      <c r="U1829" s="134" t="str">
        <f t="shared" ca="1" si="564"/>
        <v/>
      </c>
      <c r="V1829" s="83" t="str">
        <f ca="1">IF(U1829="","",IFERROR((RANK(U1829,$U$2:$U$2028,1)+COUNTIF($U$2:U1829,U1829))-1,""))</f>
        <v/>
      </c>
      <c r="W1829" s="134" t="str">
        <f t="shared" si="568"/>
        <v/>
      </c>
      <c r="X1829" s="134" t="str">
        <f>IF(W1829="","",IFERROR((RANK(W1829,$W$2:$W$2028,1)+COUNTIF($W$2:W1829,W1829))-1,""))</f>
        <v/>
      </c>
      <c r="Y1829" s="134" t="str">
        <f t="shared" si="565"/>
        <v/>
      </c>
      <c r="Z1829" s="134" t="str">
        <f>IF(Y1829="","",IFERROR((RANK(Y1829,$Y$2:$Y$2028,1)+COUNTIF($Y$2:Y1829,Y1829))-1,""))</f>
        <v/>
      </c>
      <c r="AA1829" s="134" t="str">
        <f t="shared" si="566"/>
        <v/>
      </c>
      <c r="AB1829" s="134" t="str">
        <f>IF(AA1829="","",IFERROR((RANK(AA1829,$AA$2:$AA$2028,1)+COUNTIF($AA$2:AA1829,AA1829))-1,""))</f>
        <v/>
      </c>
      <c r="AC1829" s="134" t="str">
        <f t="shared" si="567"/>
        <v/>
      </c>
      <c r="AD1829" s="134" t="str">
        <f>IF(AC1829="","",IFERROR((RANK(AC1829,$AC$2:$AC$2028,1)+COUNTIF($AC$2:AC1829,AC1829))-1,""))</f>
        <v/>
      </c>
      <c r="AE1829" s="144" t="str">
        <f t="shared" si="559"/>
        <v/>
      </c>
      <c r="AF1829" s="144" t="str">
        <f>IF(AE1829="","",SUM($AE$2:AE1829))</f>
        <v/>
      </c>
    </row>
    <row r="1830" spans="14:32" x14ac:dyDescent="0.35">
      <c r="N1830" s="134" t="str">
        <f t="shared" si="557"/>
        <v/>
      </c>
      <c r="O1830" s="82" t="str">
        <f t="shared" si="560"/>
        <v/>
      </c>
      <c r="P1830" s="81" t="str">
        <f t="shared" si="558"/>
        <v/>
      </c>
      <c r="Q1830" s="81" t="str">
        <f t="shared" si="561"/>
        <v/>
      </c>
      <c r="R1830" s="135" t="str">
        <f t="shared" ca="1" si="562"/>
        <v/>
      </c>
      <c r="S1830" s="134" t="str">
        <f t="shared" ca="1" si="563"/>
        <v/>
      </c>
      <c r="T1830" s="134" t="str">
        <f ca="1">IF(S1830=Dashboard!$D$12,S1830,"")</f>
        <v/>
      </c>
      <c r="U1830" s="134" t="str">
        <f t="shared" ca="1" si="564"/>
        <v/>
      </c>
      <c r="V1830" s="83" t="str">
        <f ca="1">IF(U1830="","",IFERROR((RANK(U1830,$U$2:$U$2028,1)+COUNTIF($U$2:U1830,U1830))-1,""))</f>
        <v/>
      </c>
      <c r="W1830" s="134" t="str">
        <f t="shared" si="568"/>
        <v/>
      </c>
      <c r="X1830" s="134" t="str">
        <f>IF(W1830="","",IFERROR((RANK(W1830,$W$2:$W$2028,1)+COUNTIF($W$2:W1830,W1830))-1,""))</f>
        <v/>
      </c>
      <c r="Y1830" s="134" t="str">
        <f t="shared" si="565"/>
        <v/>
      </c>
      <c r="Z1830" s="134" t="str">
        <f>IF(Y1830="","",IFERROR((RANK(Y1830,$Y$2:$Y$2028,1)+COUNTIF($Y$2:Y1830,Y1830))-1,""))</f>
        <v/>
      </c>
      <c r="AA1830" s="134" t="str">
        <f t="shared" si="566"/>
        <v/>
      </c>
      <c r="AB1830" s="134" t="str">
        <f>IF(AA1830="","",IFERROR((RANK(AA1830,$AA$2:$AA$2028,1)+COUNTIF($AA$2:AA1830,AA1830))-1,""))</f>
        <v/>
      </c>
      <c r="AC1830" s="134" t="str">
        <f t="shared" si="567"/>
        <v/>
      </c>
      <c r="AD1830" s="134" t="str">
        <f>IF(AC1830="","",IFERROR((RANK(AC1830,$AC$2:$AC$2028,1)+COUNTIF($AC$2:AC1830,AC1830))-1,""))</f>
        <v/>
      </c>
      <c r="AE1830" s="144" t="str">
        <f t="shared" si="559"/>
        <v/>
      </c>
      <c r="AF1830" s="144" t="str">
        <f>IF(AE1830="","",SUM($AE$2:AE1830))</f>
        <v/>
      </c>
    </row>
    <row r="1831" spans="14:32" x14ac:dyDescent="0.35">
      <c r="N1831" s="134" t="str">
        <f t="shared" si="557"/>
        <v/>
      </c>
      <c r="O1831" s="82" t="str">
        <f t="shared" si="560"/>
        <v/>
      </c>
      <c r="P1831" s="81" t="str">
        <f t="shared" si="558"/>
        <v/>
      </c>
      <c r="Q1831" s="81" t="str">
        <f t="shared" si="561"/>
        <v/>
      </c>
      <c r="R1831" s="135" t="str">
        <f t="shared" ca="1" si="562"/>
        <v/>
      </c>
      <c r="S1831" s="134" t="str">
        <f t="shared" ca="1" si="563"/>
        <v/>
      </c>
      <c r="T1831" s="134" t="str">
        <f ca="1">IF(S1831=Dashboard!$D$12,S1831,"")</f>
        <v/>
      </c>
      <c r="U1831" s="134" t="str">
        <f t="shared" ca="1" si="564"/>
        <v/>
      </c>
      <c r="V1831" s="83" t="str">
        <f ca="1">IF(U1831="","",IFERROR((RANK(U1831,$U$2:$U$2028,1)+COUNTIF($U$2:U1831,U1831))-1,""))</f>
        <v/>
      </c>
      <c r="W1831" s="134" t="str">
        <f t="shared" si="568"/>
        <v/>
      </c>
      <c r="X1831" s="134" t="str">
        <f>IF(W1831="","",IFERROR((RANK(W1831,$W$2:$W$2028,1)+COUNTIF($W$2:W1831,W1831))-1,""))</f>
        <v/>
      </c>
      <c r="Y1831" s="134" t="str">
        <f t="shared" si="565"/>
        <v/>
      </c>
      <c r="Z1831" s="134" t="str">
        <f>IF(Y1831="","",IFERROR((RANK(Y1831,$Y$2:$Y$2028,1)+COUNTIF($Y$2:Y1831,Y1831))-1,""))</f>
        <v/>
      </c>
      <c r="AA1831" s="134" t="str">
        <f t="shared" si="566"/>
        <v/>
      </c>
      <c r="AB1831" s="134" t="str">
        <f>IF(AA1831="","",IFERROR((RANK(AA1831,$AA$2:$AA$2028,1)+COUNTIF($AA$2:AA1831,AA1831))-1,""))</f>
        <v/>
      </c>
      <c r="AC1831" s="134" t="str">
        <f t="shared" si="567"/>
        <v/>
      </c>
      <c r="AD1831" s="134" t="str">
        <f>IF(AC1831="","",IFERROR((RANK(AC1831,$AC$2:$AC$2028,1)+COUNTIF($AC$2:AC1831,AC1831))-1,""))</f>
        <v/>
      </c>
      <c r="AE1831" s="144" t="str">
        <f t="shared" si="559"/>
        <v/>
      </c>
      <c r="AF1831" s="144" t="str">
        <f>IF(AE1831="","",SUM($AE$2:AE1831))</f>
        <v/>
      </c>
    </row>
    <row r="1832" spans="14:32" x14ac:dyDescent="0.35">
      <c r="N1832" s="134" t="str">
        <f t="shared" si="557"/>
        <v/>
      </c>
      <c r="O1832" s="82" t="str">
        <f t="shared" si="560"/>
        <v/>
      </c>
      <c r="P1832" s="81" t="str">
        <f t="shared" si="558"/>
        <v/>
      </c>
      <c r="Q1832" s="81" t="str">
        <f t="shared" si="561"/>
        <v/>
      </c>
      <c r="R1832" s="135" t="str">
        <f t="shared" ca="1" si="562"/>
        <v/>
      </c>
      <c r="S1832" s="134" t="str">
        <f t="shared" ca="1" si="563"/>
        <v/>
      </c>
      <c r="T1832" s="134" t="str">
        <f ca="1">IF(S1832=Dashboard!$D$12,S1832,"")</f>
        <v/>
      </c>
      <c r="U1832" s="134" t="str">
        <f t="shared" ca="1" si="564"/>
        <v/>
      </c>
      <c r="V1832" s="83" t="str">
        <f ca="1">IF(U1832="","",IFERROR((RANK(U1832,$U$2:$U$2028,1)+COUNTIF($U$2:U1832,U1832))-1,""))</f>
        <v/>
      </c>
      <c r="W1832" s="134" t="str">
        <f t="shared" si="568"/>
        <v/>
      </c>
      <c r="X1832" s="134" t="str">
        <f>IF(W1832="","",IFERROR((RANK(W1832,$W$2:$W$2028,1)+COUNTIF($W$2:W1832,W1832))-1,""))</f>
        <v/>
      </c>
      <c r="Y1832" s="134" t="str">
        <f t="shared" si="565"/>
        <v/>
      </c>
      <c r="Z1832" s="134" t="str">
        <f>IF(Y1832="","",IFERROR((RANK(Y1832,$Y$2:$Y$2028,1)+COUNTIF($Y$2:Y1832,Y1832))-1,""))</f>
        <v/>
      </c>
      <c r="AA1832" s="134" t="str">
        <f t="shared" si="566"/>
        <v/>
      </c>
      <c r="AB1832" s="134" t="str">
        <f>IF(AA1832="","",IFERROR((RANK(AA1832,$AA$2:$AA$2028,1)+COUNTIF($AA$2:AA1832,AA1832))-1,""))</f>
        <v/>
      </c>
      <c r="AC1832" s="134" t="str">
        <f t="shared" si="567"/>
        <v/>
      </c>
      <c r="AD1832" s="134" t="str">
        <f>IF(AC1832="","",IFERROR((RANK(AC1832,$AC$2:$AC$2028,1)+COUNTIF($AC$2:AC1832,AC1832))-1,""))</f>
        <v/>
      </c>
      <c r="AE1832" s="144" t="str">
        <f t="shared" si="559"/>
        <v/>
      </c>
      <c r="AF1832" s="144" t="str">
        <f>IF(AE1832="","",SUM($AE$2:AE1832))</f>
        <v/>
      </c>
    </row>
    <row r="1833" spans="14:32" x14ac:dyDescent="0.35">
      <c r="N1833" s="134" t="str">
        <f t="shared" si="557"/>
        <v/>
      </c>
      <c r="O1833" s="82" t="str">
        <f t="shared" si="560"/>
        <v/>
      </c>
      <c r="P1833" s="81" t="str">
        <f t="shared" si="558"/>
        <v/>
      </c>
      <c r="Q1833" s="81" t="str">
        <f t="shared" si="561"/>
        <v/>
      </c>
      <c r="R1833" s="135" t="str">
        <f t="shared" ca="1" si="562"/>
        <v/>
      </c>
      <c r="S1833" s="134" t="str">
        <f t="shared" ca="1" si="563"/>
        <v/>
      </c>
      <c r="T1833" s="134" t="str">
        <f ca="1">IF(S1833=Dashboard!$D$12,S1833,"")</f>
        <v/>
      </c>
      <c r="U1833" s="134" t="str">
        <f t="shared" ca="1" si="564"/>
        <v/>
      </c>
      <c r="V1833" s="83" t="str">
        <f ca="1">IF(U1833="","",IFERROR((RANK(U1833,$U$2:$U$2028,1)+COUNTIF($U$2:U1833,U1833))-1,""))</f>
        <v/>
      </c>
      <c r="W1833" s="134" t="str">
        <f t="shared" si="568"/>
        <v/>
      </c>
      <c r="X1833" s="134" t="str">
        <f>IF(W1833="","",IFERROR((RANK(W1833,$W$2:$W$2028,1)+COUNTIF($W$2:W1833,W1833))-1,""))</f>
        <v/>
      </c>
      <c r="Y1833" s="134" t="str">
        <f t="shared" si="565"/>
        <v/>
      </c>
      <c r="Z1833" s="134" t="str">
        <f>IF(Y1833="","",IFERROR((RANK(Y1833,$Y$2:$Y$2028,1)+COUNTIF($Y$2:Y1833,Y1833))-1,""))</f>
        <v/>
      </c>
      <c r="AA1833" s="134" t="str">
        <f t="shared" si="566"/>
        <v/>
      </c>
      <c r="AB1833" s="134" t="str">
        <f>IF(AA1833="","",IFERROR((RANK(AA1833,$AA$2:$AA$2028,1)+COUNTIF($AA$2:AA1833,AA1833))-1,""))</f>
        <v/>
      </c>
      <c r="AC1833" s="134" t="str">
        <f t="shared" si="567"/>
        <v/>
      </c>
      <c r="AD1833" s="134" t="str">
        <f>IF(AC1833="","",IFERROR((RANK(AC1833,$AC$2:$AC$2028,1)+COUNTIF($AC$2:AC1833,AC1833))-1,""))</f>
        <v/>
      </c>
      <c r="AE1833" s="144" t="str">
        <f t="shared" si="559"/>
        <v/>
      </c>
      <c r="AF1833" s="144" t="str">
        <f>IF(AE1833="","",SUM($AE$2:AE1833))</f>
        <v/>
      </c>
    </row>
    <row r="1834" spans="14:32" x14ac:dyDescent="0.35">
      <c r="N1834" s="134" t="str">
        <f t="shared" si="557"/>
        <v/>
      </c>
      <c r="O1834" s="82" t="str">
        <f t="shared" si="560"/>
        <v/>
      </c>
      <c r="P1834" s="81" t="str">
        <f t="shared" si="558"/>
        <v/>
      </c>
      <c r="Q1834" s="81" t="str">
        <f t="shared" si="561"/>
        <v/>
      </c>
      <c r="R1834" s="135" t="str">
        <f t="shared" ca="1" si="562"/>
        <v/>
      </c>
      <c r="S1834" s="134" t="str">
        <f t="shared" ca="1" si="563"/>
        <v/>
      </c>
      <c r="T1834" s="134" t="str">
        <f ca="1">IF(S1834=Dashboard!$D$12,S1834,"")</f>
        <v/>
      </c>
      <c r="U1834" s="134" t="str">
        <f t="shared" ca="1" si="564"/>
        <v/>
      </c>
      <c r="V1834" s="83" t="str">
        <f ca="1">IF(U1834="","",IFERROR((RANK(U1834,$U$2:$U$2028,1)+COUNTIF($U$2:U1834,U1834))-1,""))</f>
        <v/>
      </c>
      <c r="W1834" s="134" t="str">
        <f t="shared" si="568"/>
        <v/>
      </c>
      <c r="X1834" s="134" t="str">
        <f>IF(W1834="","",IFERROR((RANK(W1834,$W$2:$W$2028,1)+COUNTIF($W$2:W1834,W1834))-1,""))</f>
        <v/>
      </c>
      <c r="Y1834" s="134" t="str">
        <f t="shared" si="565"/>
        <v/>
      </c>
      <c r="Z1834" s="134" t="str">
        <f>IF(Y1834="","",IFERROR((RANK(Y1834,$Y$2:$Y$2028,1)+COUNTIF($Y$2:Y1834,Y1834))-1,""))</f>
        <v/>
      </c>
      <c r="AA1834" s="134" t="str">
        <f t="shared" si="566"/>
        <v/>
      </c>
      <c r="AB1834" s="134" t="str">
        <f>IF(AA1834="","",IFERROR((RANK(AA1834,$AA$2:$AA$2028,1)+COUNTIF($AA$2:AA1834,AA1834))-1,""))</f>
        <v/>
      </c>
      <c r="AC1834" s="134" t="str">
        <f t="shared" si="567"/>
        <v/>
      </c>
      <c r="AD1834" s="134" t="str">
        <f>IF(AC1834="","",IFERROR((RANK(AC1834,$AC$2:$AC$2028,1)+COUNTIF($AC$2:AC1834,AC1834))-1,""))</f>
        <v/>
      </c>
      <c r="AE1834" s="144" t="str">
        <f t="shared" si="559"/>
        <v/>
      </c>
      <c r="AF1834" s="144" t="str">
        <f>IF(AE1834="","",SUM($AE$2:AE1834))</f>
        <v/>
      </c>
    </row>
    <row r="1835" spans="14:32" x14ac:dyDescent="0.35">
      <c r="N1835" s="134" t="str">
        <f t="shared" si="557"/>
        <v/>
      </c>
      <c r="O1835" s="82" t="str">
        <f t="shared" si="560"/>
        <v/>
      </c>
      <c r="P1835" s="81" t="str">
        <f t="shared" si="558"/>
        <v/>
      </c>
      <c r="Q1835" s="81" t="str">
        <f t="shared" si="561"/>
        <v/>
      </c>
      <c r="R1835" s="135" t="str">
        <f t="shared" ca="1" si="562"/>
        <v/>
      </c>
      <c r="S1835" s="134" t="str">
        <f t="shared" ca="1" si="563"/>
        <v/>
      </c>
      <c r="T1835" s="134" t="str">
        <f ca="1">IF(S1835=Dashboard!$D$12,S1835,"")</f>
        <v/>
      </c>
      <c r="U1835" s="134" t="str">
        <f t="shared" ca="1" si="564"/>
        <v/>
      </c>
      <c r="V1835" s="83" t="str">
        <f ca="1">IF(U1835="","",IFERROR((RANK(U1835,$U$2:$U$2028,1)+COUNTIF($U$2:U1835,U1835))-1,""))</f>
        <v/>
      </c>
      <c r="W1835" s="134" t="str">
        <f t="shared" si="568"/>
        <v/>
      </c>
      <c r="X1835" s="134" t="str">
        <f>IF(W1835="","",IFERROR((RANK(W1835,$W$2:$W$2028,1)+COUNTIF($W$2:W1835,W1835))-1,""))</f>
        <v/>
      </c>
      <c r="Y1835" s="134" t="str">
        <f t="shared" si="565"/>
        <v/>
      </c>
      <c r="Z1835" s="134" t="str">
        <f>IF(Y1835="","",IFERROR((RANK(Y1835,$Y$2:$Y$2028,1)+COUNTIF($Y$2:Y1835,Y1835))-1,""))</f>
        <v/>
      </c>
      <c r="AA1835" s="134" t="str">
        <f t="shared" si="566"/>
        <v/>
      </c>
      <c r="AB1835" s="134" t="str">
        <f>IF(AA1835="","",IFERROR((RANK(AA1835,$AA$2:$AA$2028,1)+COUNTIF($AA$2:AA1835,AA1835))-1,""))</f>
        <v/>
      </c>
      <c r="AC1835" s="134" t="str">
        <f t="shared" si="567"/>
        <v/>
      </c>
      <c r="AD1835" s="134" t="str">
        <f>IF(AC1835="","",IFERROR((RANK(AC1835,$AC$2:$AC$2028,1)+COUNTIF($AC$2:AC1835,AC1835))-1,""))</f>
        <v/>
      </c>
      <c r="AE1835" s="144" t="str">
        <f t="shared" si="559"/>
        <v/>
      </c>
      <c r="AF1835" s="144" t="str">
        <f>IF(AE1835="","",SUM($AE$2:AE1835))</f>
        <v/>
      </c>
    </row>
    <row r="1836" spans="14:32" x14ac:dyDescent="0.35">
      <c r="N1836" s="134" t="str">
        <f t="shared" si="557"/>
        <v/>
      </c>
      <c r="O1836" s="82" t="str">
        <f t="shared" si="560"/>
        <v/>
      </c>
      <c r="P1836" s="81" t="str">
        <f t="shared" si="558"/>
        <v/>
      </c>
      <c r="Q1836" s="81" t="str">
        <f t="shared" si="561"/>
        <v/>
      </c>
      <c r="R1836" s="135" t="str">
        <f t="shared" ca="1" si="562"/>
        <v/>
      </c>
      <c r="S1836" s="134" t="str">
        <f t="shared" ca="1" si="563"/>
        <v/>
      </c>
      <c r="T1836" s="134" t="str">
        <f ca="1">IF(S1836=Dashboard!$D$12,S1836,"")</f>
        <v/>
      </c>
      <c r="U1836" s="134" t="str">
        <f t="shared" ca="1" si="564"/>
        <v/>
      </c>
      <c r="V1836" s="83" t="str">
        <f ca="1">IF(U1836="","",IFERROR((RANK(U1836,$U$2:$U$2028,1)+COUNTIF($U$2:U1836,U1836))-1,""))</f>
        <v/>
      </c>
      <c r="W1836" s="134" t="str">
        <f t="shared" si="568"/>
        <v/>
      </c>
      <c r="X1836" s="134" t="str">
        <f>IF(W1836="","",IFERROR((RANK(W1836,$W$2:$W$2028,1)+COUNTIF($W$2:W1836,W1836))-1,""))</f>
        <v/>
      </c>
      <c r="Y1836" s="134" t="str">
        <f t="shared" si="565"/>
        <v/>
      </c>
      <c r="Z1836" s="134" t="str">
        <f>IF(Y1836="","",IFERROR((RANK(Y1836,$Y$2:$Y$2028,1)+COUNTIF($Y$2:Y1836,Y1836))-1,""))</f>
        <v/>
      </c>
      <c r="AA1836" s="134" t="str">
        <f t="shared" si="566"/>
        <v/>
      </c>
      <c r="AB1836" s="134" t="str">
        <f>IF(AA1836="","",IFERROR((RANK(AA1836,$AA$2:$AA$2028,1)+COUNTIF($AA$2:AA1836,AA1836))-1,""))</f>
        <v/>
      </c>
      <c r="AC1836" s="134" t="str">
        <f t="shared" si="567"/>
        <v/>
      </c>
      <c r="AD1836" s="134" t="str">
        <f>IF(AC1836="","",IFERROR((RANK(AC1836,$AC$2:$AC$2028,1)+COUNTIF($AC$2:AC1836,AC1836))-1,""))</f>
        <v/>
      </c>
      <c r="AE1836" s="144" t="str">
        <f t="shared" si="559"/>
        <v/>
      </c>
      <c r="AF1836" s="144" t="str">
        <f>IF(AE1836="","",SUM($AE$2:AE1836))</f>
        <v/>
      </c>
    </row>
    <row r="1837" spans="14:32" x14ac:dyDescent="0.35">
      <c r="N1837" s="134" t="str">
        <f t="shared" si="557"/>
        <v/>
      </c>
      <c r="O1837" s="82" t="str">
        <f t="shared" si="560"/>
        <v/>
      </c>
      <c r="P1837" s="81" t="str">
        <f t="shared" si="558"/>
        <v/>
      </c>
      <c r="Q1837" s="81" t="str">
        <f t="shared" si="561"/>
        <v/>
      </c>
      <c r="R1837" s="135" t="str">
        <f t="shared" ca="1" si="562"/>
        <v/>
      </c>
      <c r="S1837" s="134" t="str">
        <f t="shared" ca="1" si="563"/>
        <v/>
      </c>
      <c r="T1837" s="134" t="str">
        <f ca="1">IF(S1837=Dashboard!$D$12,S1837,"")</f>
        <v/>
      </c>
      <c r="U1837" s="134" t="str">
        <f t="shared" ca="1" si="564"/>
        <v/>
      </c>
      <c r="V1837" s="83" t="str">
        <f ca="1">IF(U1837="","",IFERROR((RANK(U1837,$U$2:$U$2028,1)+COUNTIF($U$2:U1837,U1837))-1,""))</f>
        <v/>
      </c>
      <c r="W1837" s="134" t="str">
        <f t="shared" si="568"/>
        <v/>
      </c>
      <c r="X1837" s="134" t="str">
        <f>IF(W1837="","",IFERROR((RANK(W1837,$W$2:$W$2028,1)+COUNTIF($W$2:W1837,W1837))-1,""))</f>
        <v/>
      </c>
      <c r="Y1837" s="134" t="str">
        <f t="shared" si="565"/>
        <v/>
      </c>
      <c r="Z1837" s="134" t="str">
        <f>IF(Y1837="","",IFERROR((RANK(Y1837,$Y$2:$Y$2028,1)+COUNTIF($Y$2:Y1837,Y1837))-1,""))</f>
        <v/>
      </c>
      <c r="AA1837" s="134" t="str">
        <f t="shared" si="566"/>
        <v/>
      </c>
      <c r="AB1837" s="134" t="str">
        <f>IF(AA1837="","",IFERROR((RANK(AA1837,$AA$2:$AA$2028,1)+COUNTIF($AA$2:AA1837,AA1837))-1,""))</f>
        <v/>
      </c>
      <c r="AC1837" s="134" t="str">
        <f t="shared" si="567"/>
        <v/>
      </c>
      <c r="AD1837" s="134" t="str">
        <f>IF(AC1837="","",IFERROR((RANK(AC1837,$AC$2:$AC$2028,1)+COUNTIF($AC$2:AC1837,AC1837))-1,""))</f>
        <v/>
      </c>
      <c r="AE1837" s="144" t="str">
        <f t="shared" si="559"/>
        <v/>
      </c>
      <c r="AF1837" s="144" t="str">
        <f>IF(AE1837="","",SUM($AE$2:AE1837))</f>
        <v/>
      </c>
    </row>
    <row r="1838" spans="14:32" x14ac:dyDescent="0.35">
      <c r="N1838" s="134" t="str">
        <f t="shared" si="557"/>
        <v/>
      </c>
      <c r="O1838" s="82" t="str">
        <f t="shared" si="560"/>
        <v/>
      </c>
      <c r="P1838" s="81" t="str">
        <f t="shared" si="558"/>
        <v/>
      </c>
      <c r="Q1838" s="81" t="str">
        <f t="shared" si="561"/>
        <v/>
      </c>
      <c r="R1838" s="135" t="str">
        <f t="shared" ca="1" si="562"/>
        <v/>
      </c>
      <c r="S1838" s="134" t="str">
        <f t="shared" ca="1" si="563"/>
        <v/>
      </c>
      <c r="T1838" s="134" t="str">
        <f ca="1">IF(S1838=Dashboard!$D$12,S1838,"")</f>
        <v/>
      </c>
      <c r="U1838" s="134" t="str">
        <f t="shared" ca="1" si="564"/>
        <v/>
      </c>
      <c r="V1838" s="83" t="str">
        <f ca="1">IF(U1838="","",IFERROR((RANK(U1838,$U$2:$U$2028,1)+COUNTIF($U$2:U1838,U1838))-1,""))</f>
        <v/>
      </c>
      <c r="W1838" s="134" t="str">
        <f t="shared" si="568"/>
        <v/>
      </c>
      <c r="X1838" s="134" t="str">
        <f>IF(W1838="","",IFERROR((RANK(W1838,$W$2:$W$2028,1)+COUNTIF($W$2:W1838,W1838))-1,""))</f>
        <v/>
      </c>
      <c r="Y1838" s="134" t="str">
        <f t="shared" si="565"/>
        <v/>
      </c>
      <c r="Z1838" s="134" t="str">
        <f>IF(Y1838="","",IFERROR((RANK(Y1838,$Y$2:$Y$2028,1)+COUNTIF($Y$2:Y1838,Y1838))-1,""))</f>
        <v/>
      </c>
      <c r="AA1838" s="134" t="str">
        <f t="shared" si="566"/>
        <v/>
      </c>
      <c r="AB1838" s="134" t="str">
        <f>IF(AA1838="","",IFERROR((RANK(AA1838,$AA$2:$AA$2028,1)+COUNTIF($AA$2:AA1838,AA1838))-1,""))</f>
        <v/>
      </c>
      <c r="AC1838" s="134" t="str">
        <f t="shared" si="567"/>
        <v/>
      </c>
      <c r="AD1838" s="134" t="str">
        <f>IF(AC1838="","",IFERROR((RANK(AC1838,$AC$2:$AC$2028,1)+COUNTIF($AC$2:AC1838,AC1838))-1,""))</f>
        <v/>
      </c>
      <c r="AE1838" s="144" t="str">
        <f t="shared" si="559"/>
        <v/>
      </c>
      <c r="AF1838" s="144" t="str">
        <f>IF(AE1838="","",SUM($AE$2:AE1838))</f>
        <v/>
      </c>
    </row>
    <row r="1839" spans="14:32" x14ac:dyDescent="0.35">
      <c r="N1839" s="134" t="str">
        <f t="shared" si="557"/>
        <v/>
      </c>
      <c r="O1839" s="82" t="str">
        <f t="shared" si="560"/>
        <v/>
      </c>
      <c r="P1839" s="81" t="str">
        <f t="shared" si="558"/>
        <v/>
      </c>
      <c r="Q1839" s="81" t="str">
        <f t="shared" si="561"/>
        <v/>
      </c>
      <c r="R1839" s="135" t="str">
        <f t="shared" ca="1" si="562"/>
        <v/>
      </c>
      <c r="S1839" s="134" t="str">
        <f t="shared" ca="1" si="563"/>
        <v/>
      </c>
      <c r="T1839" s="134" t="str">
        <f ca="1">IF(S1839=Dashboard!$D$12,S1839,"")</f>
        <v/>
      </c>
      <c r="U1839" s="134" t="str">
        <f t="shared" ca="1" si="564"/>
        <v/>
      </c>
      <c r="V1839" s="83" t="str">
        <f ca="1">IF(U1839="","",IFERROR((RANK(U1839,$U$2:$U$2028,1)+COUNTIF($U$2:U1839,U1839))-1,""))</f>
        <v/>
      </c>
      <c r="W1839" s="134" t="str">
        <f t="shared" si="568"/>
        <v/>
      </c>
      <c r="X1839" s="134" t="str">
        <f>IF(W1839="","",IFERROR((RANK(W1839,$W$2:$W$2028,1)+COUNTIF($W$2:W1839,W1839))-1,""))</f>
        <v/>
      </c>
      <c r="Y1839" s="134" t="str">
        <f t="shared" si="565"/>
        <v/>
      </c>
      <c r="Z1839" s="134" t="str">
        <f>IF(Y1839="","",IFERROR((RANK(Y1839,$Y$2:$Y$2028,1)+COUNTIF($Y$2:Y1839,Y1839))-1,""))</f>
        <v/>
      </c>
      <c r="AA1839" s="134" t="str">
        <f t="shared" si="566"/>
        <v/>
      </c>
      <c r="AB1839" s="134" t="str">
        <f>IF(AA1839="","",IFERROR((RANK(AA1839,$AA$2:$AA$2028,1)+COUNTIF($AA$2:AA1839,AA1839))-1,""))</f>
        <v/>
      </c>
      <c r="AC1839" s="134" t="str">
        <f t="shared" si="567"/>
        <v/>
      </c>
      <c r="AD1839" s="134" t="str">
        <f>IF(AC1839="","",IFERROR((RANK(AC1839,$AC$2:$AC$2028,1)+COUNTIF($AC$2:AC1839,AC1839))-1,""))</f>
        <v/>
      </c>
      <c r="AE1839" s="144" t="str">
        <f t="shared" si="559"/>
        <v/>
      </c>
      <c r="AF1839" s="144" t="str">
        <f>IF(AE1839="","",SUM($AE$2:AE1839))</f>
        <v/>
      </c>
    </row>
    <row r="1840" spans="14:32" x14ac:dyDescent="0.35">
      <c r="N1840" s="134" t="str">
        <f t="shared" si="557"/>
        <v/>
      </c>
      <c r="O1840" s="82" t="str">
        <f t="shared" si="560"/>
        <v/>
      </c>
      <c r="P1840" s="81" t="str">
        <f t="shared" si="558"/>
        <v/>
      </c>
      <c r="Q1840" s="81" t="str">
        <f t="shared" si="561"/>
        <v/>
      </c>
      <c r="R1840" s="135" t="str">
        <f t="shared" ca="1" si="562"/>
        <v/>
      </c>
      <c r="S1840" s="134" t="str">
        <f t="shared" ca="1" si="563"/>
        <v/>
      </c>
      <c r="T1840" s="134" t="str">
        <f ca="1">IF(S1840=Dashboard!$D$12,S1840,"")</f>
        <v/>
      </c>
      <c r="U1840" s="134" t="str">
        <f t="shared" ca="1" si="564"/>
        <v/>
      </c>
      <c r="V1840" s="83" t="str">
        <f ca="1">IF(U1840="","",IFERROR((RANK(U1840,$U$2:$U$2028,1)+COUNTIF($U$2:U1840,U1840))-1,""))</f>
        <v/>
      </c>
      <c r="W1840" s="134" t="str">
        <f t="shared" si="568"/>
        <v/>
      </c>
      <c r="X1840" s="134" t="str">
        <f>IF(W1840="","",IFERROR((RANK(W1840,$W$2:$W$2028,1)+COUNTIF($W$2:W1840,W1840))-1,""))</f>
        <v/>
      </c>
      <c r="Y1840" s="134" t="str">
        <f t="shared" si="565"/>
        <v/>
      </c>
      <c r="Z1840" s="134" t="str">
        <f>IF(Y1840="","",IFERROR((RANK(Y1840,$Y$2:$Y$2028,1)+COUNTIF($Y$2:Y1840,Y1840))-1,""))</f>
        <v/>
      </c>
      <c r="AA1840" s="134" t="str">
        <f t="shared" si="566"/>
        <v/>
      </c>
      <c r="AB1840" s="134" t="str">
        <f>IF(AA1840="","",IFERROR((RANK(AA1840,$AA$2:$AA$2028,1)+COUNTIF($AA$2:AA1840,AA1840))-1,""))</f>
        <v/>
      </c>
      <c r="AC1840" s="134" t="str">
        <f t="shared" si="567"/>
        <v/>
      </c>
      <c r="AD1840" s="134" t="str">
        <f>IF(AC1840="","",IFERROR((RANK(AC1840,$AC$2:$AC$2028,1)+COUNTIF($AC$2:AC1840,AC1840))-1,""))</f>
        <v/>
      </c>
      <c r="AE1840" s="144" t="str">
        <f t="shared" si="559"/>
        <v/>
      </c>
      <c r="AF1840" s="144" t="str">
        <f>IF(AE1840="","",SUM($AE$2:AE1840))</f>
        <v/>
      </c>
    </row>
    <row r="1841" spans="14:32" x14ac:dyDescent="0.35">
      <c r="N1841" s="134" t="str">
        <f t="shared" si="557"/>
        <v/>
      </c>
      <c r="O1841" s="82" t="str">
        <f t="shared" si="560"/>
        <v/>
      </c>
      <c r="P1841" s="81" t="str">
        <f t="shared" si="558"/>
        <v/>
      </c>
      <c r="Q1841" s="81" t="str">
        <f t="shared" si="561"/>
        <v/>
      </c>
      <c r="R1841" s="135" t="str">
        <f t="shared" ca="1" si="562"/>
        <v/>
      </c>
      <c r="S1841" s="134" t="str">
        <f t="shared" ca="1" si="563"/>
        <v/>
      </c>
      <c r="T1841" s="134" t="str">
        <f ca="1">IF(S1841=Dashboard!$D$12,S1841,"")</f>
        <v/>
      </c>
      <c r="U1841" s="134" t="str">
        <f t="shared" ca="1" si="564"/>
        <v/>
      </c>
      <c r="V1841" s="83" t="str">
        <f ca="1">IF(U1841="","",IFERROR((RANK(U1841,$U$2:$U$2028,1)+COUNTIF($U$2:U1841,U1841))-1,""))</f>
        <v/>
      </c>
      <c r="W1841" s="134" t="str">
        <f t="shared" si="568"/>
        <v/>
      </c>
      <c r="X1841" s="134" t="str">
        <f>IF(W1841="","",IFERROR((RANK(W1841,$W$2:$W$2028,1)+COUNTIF($W$2:W1841,W1841))-1,""))</f>
        <v/>
      </c>
      <c r="Y1841" s="134" t="str">
        <f t="shared" si="565"/>
        <v/>
      </c>
      <c r="Z1841" s="134" t="str">
        <f>IF(Y1841="","",IFERROR((RANK(Y1841,$Y$2:$Y$2028,1)+COUNTIF($Y$2:Y1841,Y1841))-1,""))</f>
        <v/>
      </c>
      <c r="AA1841" s="134" t="str">
        <f t="shared" si="566"/>
        <v/>
      </c>
      <c r="AB1841" s="134" t="str">
        <f>IF(AA1841="","",IFERROR((RANK(AA1841,$AA$2:$AA$2028,1)+COUNTIF($AA$2:AA1841,AA1841))-1,""))</f>
        <v/>
      </c>
      <c r="AC1841" s="134" t="str">
        <f t="shared" si="567"/>
        <v/>
      </c>
      <c r="AD1841" s="134" t="str">
        <f>IF(AC1841="","",IFERROR((RANK(AC1841,$AC$2:$AC$2028,1)+COUNTIF($AC$2:AC1841,AC1841))-1,""))</f>
        <v/>
      </c>
      <c r="AE1841" s="144" t="str">
        <f t="shared" si="559"/>
        <v/>
      </c>
      <c r="AF1841" s="144" t="str">
        <f>IF(AE1841="","",SUM($AE$2:AE1841))</f>
        <v/>
      </c>
    </row>
    <row r="1842" spans="14:32" x14ac:dyDescent="0.35">
      <c r="N1842" s="134" t="str">
        <f t="shared" si="557"/>
        <v/>
      </c>
      <c r="O1842" s="82" t="str">
        <f t="shared" si="560"/>
        <v/>
      </c>
      <c r="P1842" s="81" t="str">
        <f t="shared" si="558"/>
        <v/>
      </c>
      <c r="Q1842" s="81" t="str">
        <f t="shared" si="561"/>
        <v/>
      </c>
      <c r="R1842" s="135" t="str">
        <f t="shared" ca="1" si="562"/>
        <v/>
      </c>
      <c r="S1842" s="134" t="str">
        <f t="shared" ca="1" si="563"/>
        <v/>
      </c>
      <c r="T1842" s="134" t="str">
        <f ca="1">IF(S1842=Dashboard!$D$12,S1842,"")</f>
        <v/>
      </c>
      <c r="U1842" s="134" t="str">
        <f t="shared" ca="1" si="564"/>
        <v/>
      </c>
      <c r="V1842" s="83" t="str">
        <f ca="1">IF(U1842="","",IFERROR((RANK(U1842,$U$2:$U$2028,1)+COUNTIF($U$2:U1842,U1842))-1,""))</f>
        <v/>
      </c>
      <c r="W1842" s="134" t="str">
        <f t="shared" si="568"/>
        <v/>
      </c>
      <c r="X1842" s="134" t="str">
        <f>IF(W1842="","",IFERROR((RANK(W1842,$W$2:$W$2028,1)+COUNTIF($W$2:W1842,W1842))-1,""))</f>
        <v/>
      </c>
      <c r="Y1842" s="134" t="str">
        <f t="shared" si="565"/>
        <v/>
      </c>
      <c r="Z1842" s="134" t="str">
        <f>IF(Y1842="","",IFERROR((RANK(Y1842,$Y$2:$Y$2028,1)+COUNTIF($Y$2:Y1842,Y1842))-1,""))</f>
        <v/>
      </c>
      <c r="AA1842" s="134" t="str">
        <f t="shared" si="566"/>
        <v/>
      </c>
      <c r="AB1842" s="134" t="str">
        <f>IF(AA1842="","",IFERROR((RANK(AA1842,$AA$2:$AA$2028,1)+COUNTIF($AA$2:AA1842,AA1842))-1,""))</f>
        <v/>
      </c>
      <c r="AC1842" s="134" t="str">
        <f t="shared" si="567"/>
        <v/>
      </c>
      <c r="AD1842" s="134" t="str">
        <f>IF(AC1842="","",IFERROR((RANK(AC1842,$AC$2:$AC$2028,1)+COUNTIF($AC$2:AC1842,AC1842))-1,""))</f>
        <v/>
      </c>
      <c r="AE1842" s="144" t="str">
        <f t="shared" si="559"/>
        <v/>
      </c>
      <c r="AF1842" s="144" t="str">
        <f>IF(AE1842="","",SUM($AE$2:AE1842))</f>
        <v/>
      </c>
    </row>
    <row r="1843" spans="14:32" x14ac:dyDescent="0.35">
      <c r="N1843" s="134" t="str">
        <f t="shared" si="557"/>
        <v/>
      </c>
      <c r="O1843" s="82" t="str">
        <f t="shared" si="560"/>
        <v/>
      </c>
      <c r="P1843" s="81" t="str">
        <f t="shared" si="558"/>
        <v/>
      </c>
      <c r="Q1843" s="81" t="str">
        <f t="shared" si="561"/>
        <v/>
      </c>
      <c r="R1843" s="135" t="str">
        <f t="shared" ca="1" si="562"/>
        <v/>
      </c>
      <c r="S1843" s="134" t="str">
        <f t="shared" ca="1" si="563"/>
        <v/>
      </c>
      <c r="T1843" s="134" t="str">
        <f ca="1">IF(S1843=Dashboard!$D$12,S1843,"")</f>
        <v/>
      </c>
      <c r="U1843" s="134" t="str">
        <f t="shared" ca="1" si="564"/>
        <v/>
      </c>
      <c r="V1843" s="83" t="str">
        <f ca="1">IF(U1843="","",IFERROR((RANK(U1843,$U$2:$U$2028,1)+COUNTIF($U$2:U1843,U1843))-1,""))</f>
        <v/>
      </c>
      <c r="W1843" s="134" t="str">
        <f t="shared" si="568"/>
        <v/>
      </c>
      <c r="X1843" s="134" t="str">
        <f>IF(W1843="","",IFERROR((RANK(W1843,$W$2:$W$2028,1)+COUNTIF($W$2:W1843,W1843))-1,""))</f>
        <v/>
      </c>
      <c r="Y1843" s="134" t="str">
        <f t="shared" si="565"/>
        <v/>
      </c>
      <c r="Z1843" s="134" t="str">
        <f>IF(Y1843="","",IFERROR((RANK(Y1843,$Y$2:$Y$2028,1)+COUNTIF($Y$2:Y1843,Y1843))-1,""))</f>
        <v/>
      </c>
      <c r="AA1843" s="134" t="str">
        <f t="shared" si="566"/>
        <v/>
      </c>
      <c r="AB1843" s="134" t="str">
        <f>IF(AA1843="","",IFERROR((RANK(AA1843,$AA$2:$AA$2028,1)+COUNTIF($AA$2:AA1843,AA1843))-1,""))</f>
        <v/>
      </c>
      <c r="AC1843" s="134" t="str">
        <f t="shared" si="567"/>
        <v/>
      </c>
      <c r="AD1843" s="134" t="str">
        <f>IF(AC1843="","",IFERROR((RANK(AC1843,$AC$2:$AC$2028,1)+COUNTIF($AC$2:AC1843,AC1843))-1,""))</f>
        <v/>
      </c>
      <c r="AE1843" s="144" t="str">
        <f t="shared" si="559"/>
        <v/>
      </c>
      <c r="AF1843" s="144" t="str">
        <f>IF(AE1843="","",SUM($AE$2:AE1843))</f>
        <v/>
      </c>
    </row>
    <row r="1844" spans="14:32" x14ac:dyDescent="0.35">
      <c r="N1844" s="134" t="str">
        <f t="shared" si="557"/>
        <v/>
      </c>
      <c r="O1844" s="82" t="str">
        <f t="shared" si="560"/>
        <v/>
      </c>
      <c r="P1844" s="81" t="str">
        <f t="shared" si="558"/>
        <v/>
      </c>
      <c r="Q1844" s="81" t="str">
        <f t="shared" si="561"/>
        <v/>
      </c>
      <c r="R1844" s="135" t="str">
        <f t="shared" ca="1" si="562"/>
        <v/>
      </c>
      <c r="S1844" s="134" t="str">
        <f t="shared" ca="1" si="563"/>
        <v/>
      </c>
      <c r="T1844" s="134" t="str">
        <f ca="1">IF(S1844=Dashboard!$D$12,S1844,"")</f>
        <v/>
      </c>
      <c r="U1844" s="134" t="str">
        <f t="shared" ca="1" si="564"/>
        <v/>
      </c>
      <c r="V1844" s="83" t="str">
        <f ca="1">IF(U1844="","",IFERROR((RANK(U1844,$U$2:$U$2028,1)+COUNTIF($U$2:U1844,U1844))-1,""))</f>
        <v/>
      </c>
      <c r="W1844" s="134" t="str">
        <f t="shared" si="568"/>
        <v/>
      </c>
      <c r="X1844" s="134" t="str">
        <f>IF(W1844="","",IFERROR((RANK(W1844,$W$2:$W$2028,1)+COUNTIF($W$2:W1844,W1844))-1,""))</f>
        <v/>
      </c>
      <c r="Y1844" s="134" t="str">
        <f t="shared" si="565"/>
        <v/>
      </c>
      <c r="Z1844" s="134" t="str">
        <f>IF(Y1844="","",IFERROR((RANK(Y1844,$Y$2:$Y$2028,1)+COUNTIF($Y$2:Y1844,Y1844))-1,""))</f>
        <v/>
      </c>
      <c r="AA1844" s="134" t="str">
        <f t="shared" si="566"/>
        <v/>
      </c>
      <c r="AB1844" s="134" t="str">
        <f>IF(AA1844="","",IFERROR((RANK(AA1844,$AA$2:$AA$2028,1)+COUNTIF($AA$2:AA1844,AA1844))-1,""))</f>
        <v/>
      </c>
      <c r="AC1844" s="134" t="str">
        <f t="shared" si="567"/>
        <v/>
      </c>
      <c r="AD1844" s="134" t="str">
        <f>IF(AC1844="","",IFERROR((RANK(AC1844,$AC$2:$AC$2028,1)+COUNTIF($AC$2:AC1844,AC1844))-1,""))</f>
        <v/>
      </c>
      <c r="AE1844" s="144" t="str">
        <f t="shared" si="559"/>
        <v/>
      </c>
      <c r="AF1844" s="144" t="str">
        <f>IF(AE1844="","",SUM($AE$2:AE1844))</f>
        <v/>
      </c>
    </row>
    <row r="1845" spans="14:32" x14ac:dyDescent="0.35">
      <c r="N1845" s="134" t="str">
        <f t="shared" si="557"/>
        <v/>
      </c>
      <c r="O1845" s="82" t="str">
        <f t="shared" si="560"/>
        <v/>
      </c>
      <c r="P1845" s="81" t="str">
        <f t="shared" si="558"/>
        <v/>
      </c>
      <c r="Q1845" s="81" t="str">
        <f t="shared" si="561"/>
        <v/>
      </c>
      <c r="R1845" s="135" t="str">
        <f t="shared" ca="1" si="562"/>
        <v/>
      </c>
      <c r="S1845" s="134" t="str">
        <f t="shared" ca="1" si="563"/>
        <v/>
      </c>
      <c r="T1845" s="134" t="str">
        <f ca="1">IF(S1845=Dashboard!$D$12,S1845,"")</f>
        <v/>
      </c>
      <c r="U1845" s="134" t="str">
        <f t="shared" ca="1" si="564"/>
        <v/>
      </c>
      <c r="V1845" s="83" t="str">
        <f ca="1">IF(U1845="","",IFERROR((RANK(U1845,$U$2:$U$2028,1)+COUNTIF($U$2:U1845,U1845))-1,""))</f>
        <v/>
      </c>
      <c r="W1845" s="134" t="str">
        <f t="shared" si="568"/>
        <v/>
      </c>
      <c r="X1845" s="134" t="str">
        <f>IF(W1845="","",IFERROR((RANK(W1845,$W$2:$W$2028,1)+COUNTIF($W$2:W1845,W1845))-1,""))</f>
        <v/>
      </c>
      <c r="Y1845" s="134" t="str">
        <f t="shared" si="565"/>
        <v/>
      </c>
      <c r="Z1845" s="134" t="str">
        <f>IF(Y1845="","",IFERROR((RANK(Y1845,$Y$2:$Y$2028,1)+COUNTIF($Y$2:Y1845,Y1845))-1,""))</f>
        <v/>
      </c>
      <c r="AA1845" s="134" t="str">
        <f t="shared" si="566"/>
        <v/>
      </c>
      <c r="AB1845" s="134" t="str">
        <f>IF(AA1845="","",IFERROR((RANK(AA1845,$AA$2:$AA$2028,1)+COUNTIF($AA$2:AA1845,AA1845))-1,""))</f>
        <v/>
      </c>
      <c r="AC1845" s="134" t="str">
        <f t="shared" si="567"/>
        <v/>
      </c>
      <c r="AD1845" s="134" t="str">
        <f>IF(AC1845="","",IFERROR((RANK(AC1845,$AC$2:$AC$2028,1)+COUNTIF($AC$2:AC1845,AC1845))-1,""))</f>
        <v/>
      </c>
      <c r="AE1845" s="144" t="str">
        <f t="shared" si="559"/>
        <v/>
      </c>
      <c r="AF1845" s="144" t="str">
        <f>IF(AE1845="","",SUM($AE$2:AE1845))</f>
        <v/>
      </c>
    </row>
    <row r="1846" spans="14:32" x14ac:dyDescent="0.35">
      <c r="N1846" s="134" t="str">
        <f t="shared" si="557"/>
        <v/>
      </c>
      <c r="O1846" s="82" t="str">
        <f t="shared" si="560"/>
        <v/>
      </c>
      <c r="P1846" s="81" t="str">
        <f t="shared" si="558"/>
        <v/>
      </c>
      <c r="Q1846" s="81" t="str">
        <f t="shared" si="561"/>
        <v/>
      </c>
      <c r="R1846" s="135" t="str">
        <f t="shared" ca="1" si="562"/>
        <v/>
      </c>
      <c r="S1846" s="134" t="str">
        <f t="shared" ca="1" si="563"/>
        <v/>
      </c>
      <c r="T1846" s="134" t="str">
        <f ca="1">IF(S1846=Dashboard!$D$12,S1846,"")</f>
        <v/>
      </c>
      <c r="U1846" s="134" t="str">
        <f t="shared" ca="1" si="564"/>
        <v/>
      </c>
      <c r="V1846" s="83" t="str">
        <f ca="1">IF(U1846="","",IFERROR((RANK(U1846,$U$2:$U$2028,1)+COUNTIF($U$2:U1846,U1846))-1,""))</f>
        <v/>
      </c>
      <c r="W1846" s="134" t="str">
        <f t="shared" si="568"/>
        <v/>
      </c>
      <c r="X1846" s="134" t="str">
        <f>IF(W1846="","",IFERROR((RANK(W1846,$W$2:$W$2028,1)+COUNTIF($W$2:W1846,W1846))-1,""))</f>
        <v/>
      </c>
      <c r="Y1846" s="134" t="str">
        <f t="shared" si="565"/>
        <v/>
      </c>
      <c r="Z1846" s="134" t="str">
        <f>IF(Y1846="","",IFERROR((RANK(Y1846,$Y$2:$Y$2028,1)+COUNTIF($Y$2:Y1846,Y1846))-1,""))</f>
        <v/>
      </c>
      <c r="AA1846" s="134" t="str">
        <f t="shared" si="566"/>
        <v/>
      </c>
      <c r="AB1846" s="134" t="str">
        <f>IF(AA1846="","",IFERROR((RANK(AA1846,$AA$2:$AA$2028,1)+COUNTIF($AA$2:AA1846,AA1846))-1,""))</f>
        <v/>
      </c>
      <c r="AC1846" s="134" t="str">
        <f t="shared" si="567"/>
        <v/>
      </c>
      <c r="AD1846" s="134" t="str">
        <f>IF(AC1846="","",IFERROR((RANK(AC1846,$AC$2:$AC$2028,1)+COUNTIF($AC$2:AC1846,AC1846))-1,""))</f>
        <v/>
      </c>
      <c r="AE1846" s="144" t="str">
        <f t="shared" si="559"/>
        <v/>
      </c>
      <c r="AF1846" s="144" t="str">
        <f>IF(AE1846="","",SUM($AE$2:AE1846))</f>
        <v/>
      </c>
    </row>
    <row r="1847" spans="14:32" x14ac:dyDescent="0.35">
      <c r="N1847" s="134" t="str">
        <f t="shared" si="557"/>
        <v/>
      </c>
      <c r="O1847" s="82" t="str">
        <f t="shared" si="560"/>
        <v/>
      </c>
      <c r="P1847" s="81" t="str">
        <f t="shared" si="558"/>
        <v/>
      </c>
      <c r="Q1847" s="81" t="str">
        <f t="shared" si="561"/>
        <v/>
      </c>
      <c r="R1847" s="135" t="str">
        <f t="shared" ca="1" si="562"/>
        <v/>
      </c>
      <c r="S1847" s="134" t="str">
        <f t="shared" ca="1" si="563"/>
        <v/>
      </c>
      <c r="T1847" s="134" t="str">
        <f ca="1">IF(S1847=Dashboard!$D$12,S1847,"")</f>
        <v/>
      </c>
      <c r="U1847" s="134" t="str">
        <f t="shared" ca="1" si="564"/>
        <v/>
      </c>
      <c r="V1847" s="83" t="str">
        <f ca="1">IF(U1847="","",IFERROR((RANK(U1847,$U$2:$U$2028,1)+COUNTIF($U$2:U1847,U1847))-1,""))</f>
        <v/>
      </c>
      <c r="W1847" s="134" t="str">
        <f t="shared" si="568"/>
        <v/>
      </c>
      <c r="X1847" s="134" t="str">
        <f>IF(W1847="","",IFERROR((RANK(W1847,$W$2:$W$2028,1)+COUNTIF($W$2:W1847,W1847))-1,""))</f>
        <v/>
      </c>
      <c r="Y1847" s="134" t="str">
        <f t="shared" si="565"/>
        <v/>
      </c>
      <c r="Z1847" s="134" t="str">
        <f>IF(Y1847="","",IFERROR((RANK(Y1847,$Y$2:$Y$2028,1)+COUNTIF($Y$2:Y1847,Y1847))-1,""))</f>
        <v/>
      </c>
      <c r="AA1847" s="134" t="str">
        <f t="shared" si="566"/>
        <v/>
      </c>
      <c r="AB1847" s="134" t="str">
        <f>IF(AA1847="","",IFERROR((RANK(AA1847,$AA$2:$AA$2028,1)+COUNTIF($AA$2:AA1847,AA1847))-1,""))</f>
        <v/>
      </c>
      <c r="AC1847" s="134" t="str">
        <f t="shared" si="567"/>
        <v/>
      </c>
      <c r="AD1847" s="134" t="str">
        <f>IF(AC1847="","",IFERROR((RANK(AC1847,$AC$2:$AC$2028,1)+COUNTIF($AC$2:AC1847,AC1847))-1,""))</f>
        <v/>
      </c>
      <c r="AE1847" s="144" t="str">
        <f t="shared" si="559"/>
        <v/>
      </c>
      <c r="AF1847" s="144" t="str">
        <f>IF(AE1847="","",SUM($AE$2:AE1847))</f>
        <v/>
      </c>
    </row>
    <row r="1848" spans="14:32" x14ac:dyDescent="0.35">
      <c r="N1848" s="134" t="str">
        <f t="shared" si="557"/>
        <v/>
      </c>
      <c r="O1848" s="82" t="str">
        <f t="shared" si="560"/>
        <v/>
      </c>
      <c r="P1848" s="81" t="str">
        <f t="shared" si="558"/>
        <v/>
      </c>
      <c r="Q1848" s="81" t="str">
        <f t="shared" si="561"/>
        <v/>
      </c>
      <c r="R1848" s="135" t="str">
        <f t="shared" ca="1" si="562"/>
        <v/>
      </c>
      <c r="S1848" s="134" t="str">
        <f t="shared" ca="1" si="563"/>
        <v/>
      </c>
      <c r="T1848" s="134" t="str">
        <f ca="1">IF(S1848=Dashboard!$D$12,S1848,"")</f>
        <v/>
      </c>
      <c r="U1848" s="134" t="str">
        <f t="shared" ca="1" si="564"/>
        <v/>
      </c>
      <c r="V1848" s="83" t="str">
        <f ca="1">IF(U1848="","",IFERROR((RANK(U1848,$U$2:$U$2028,1)+COUNTIF($U$2:U1848,U1848))-1,""))</f>
        <v/>
      </c>
      <c r="W1848" s="134" t="str">
        <f t="shared" si="568"/>
        <v/>
      </c>
      <c r="X1848" s="134" t="str">
        <f>IF(W1848="","",IFERROR((RANK(W1848,$W$2:$W$2028,1)+COUNTIF($W$2:W1848,W1848))-1,""))</f>
        <v/>
      </c>
      <c r="Y1848" s="134" t="str">
        <f t="shared" si="565"/>
        <v/>
      </c>
      <c r="Z1848" s="134" t="str">
        <f>IF(Y1848="","",IFERROR((RANK(Y1848,$Y$2:$Y$2028,1)+COUNTIF($Y$2:Y1848,Y1848))-1,""))</f>
        <v/>
      </c>
      <c r="AA1848" s="134" t="str">
        <f t="shared" si="566"/>
        <v/>
      </c>
      <c r="AB1848" s="134" t="str">
        <f>IF(AA1848="","",IFERROR((RANK(AA1848,$AA$2:$AA$2028,1)+COUNTIF($AA$2:AA1848,AA1848))-1,""))</f>
        <v/>
      </c>
      <c r="AC1848" s="134" t="str">
        <f t="shared" si="567"/>
        <v/>
      </c>
      <c r="AD1848" s="134" t="str">
        <f>IF(AC1848="","",IFERROR((RANK(AC1848,$AC$2:$AC$2028,1)+COUNTIF($AC$2:AC1848,AC1848))-1,""))</f>
        <v/>
      </c>
      <c r="AE1848" s="144" t="str">
        <f t="shared" si="559"/>
        <v/>
      </c>
      <c r="AF1848" s="144" t="str">
        <f>IF(AE1848="","",SUM($AE$2:AE1848))</f>
        <v/>
      </c>
    </row>
    <row r="1849" spans="14:32" x14ac:dyDescent="0.35">
      <c r="N1849" s="134" t="str">
        <f t="shared" si="557"/>
        <v/>
      </c>
      <c r="O1849" s="82" t="str">
        <f t="shared" si="560"/>
        <v/>
      </c>
      <c r="P1849" s="81" t="str">
        <f t="shared" si="558"/>
        <v/>
      </c>
      <c r="Q1849" s="81" t="str">
        <f t="shared" si="561"/>
        <v/>
      </c>
      <c r="R1849" s="135" t="str">
        <f t="shared" ca="1" si="562"/>
        <v/>
      </c>
      <c r="S1849" s="134" t="str">
        <f t="shared" ca="1" si="563"/>
        <v/>
      </c>
      <c r="T1849" s="134" t="str">
        <f ca="1">IF(S1849=Dashboard!$D$12,S1849,"")</f>
        <v/>
      </c>
      <c r="U1849" s="134" t="str">
        <f t="shared" ca="1" si="564"/>
        <v/>
      </c>
      <c r="V1849" s="83" t="str">
        <f ca="1">IF(U1849="","",IFERROR((RANK(U1849,$U$2:$U$2028,1)+COUNTIF($U$2:U1849,U1849))-1,""))</f>
        <v/>
      </c>
      <c r="W1849" s="134" t="str">
        <f t="shared" si="568"/>
        <v/>
      </c>
      <c r="X1849" s="134" t="str">
        <f>IF(W1849="","",IFERROR((RANK(W1849,$W$2:$W$2028,1)+COUNTIF($W$2:W1849,W1849))-1,""))</f>
        <v/>
      </c>
      <c r="Y1849" s="134" t="str">
        <f t="shared" si="565"/>
        <v/>
      </c>
      <c r="Z1849" s="134" t="str">
        <f>IF(Y1849="","",IFERROR((RANK(Y1849,$Y$2:$Y$2028,1)+COUNTIF($Y$2:Y1849,Y1849))-1,""))</f>
        <v/>
      </c>
      <c r="AA1849" s="134" t="str">
        <f t="shared" si="566"/>
        <v/>
      </c>
      <c r="AB1849" s="134" t="str">
        <f>IF(AA1849="","",IFERROR((RANK(AA1849,$AA$2:$AA$2028,1)+COUNTIF($AA$2:AA1849,AA1849))-1,""))</f>
        <v/>
      </c>
      <c r="AC1849" s="134" t="str">
        <f t="shared" si="567"/>
        <v/>
      </c>
      <c r="AD1849" s="134" t="str">
        <f>IF(AC1849="","",IFERROR((RANK(AC1849,$AC$2:$AC$2028,1)+COUNTIF($AC$2:AC1849,AC1849))-1,""))</f>
        <v/>
      </c>
      <c r="AE1849" s="144" t="str">
        <f t="shared" si="559"/>
        <v/>
      </c>
      <c r="AF1849" s="144" t="str">
        <f>IF(AE1849="","",SUM($AE$2:AE1849))</f>
        <v/>
      </c>
    </row>
    <row r="1850" spans="14:32" x14ac:dyDescent="0.35">
      <c r="N1850" s="134" t="str">
        <f t="shared" si="557"/>
        <v/>
      </c>
      <c r="O1850" s="82" t="str">
        <f t="shared" si="560"/>
        <v/>
      </c>
      <c r="P1850" s="81" t="str">
        <f t="shared" si="558"/>
        <v/>
      </c>
      <c r="Q1850" s="81" t="str">
        <f t="shared" si="561"/>
        <v/>
      </c>
      <c r="R1850" s="135" t="str">
        <f t="shared" ca="1" si="562"/>
        <v/>
      </c>
      <c r="S1850" s="134" t="str">
        <f t="shared" ca="1" si="563"/>
        <v/>
      </c>
      <c r="T1850" s="134" t="str">
        <f ca="1">IF(S1850=Dashboard!$D$12,S1850,"")</f>
        <v/>
      </c>
      <c r="U1850" s="134" t="str">
        <f t="shared" ca="1" si="564"/>
        <v/>
      </c>
      <c r="V1850" s="83" t="str">
        <f ca="1">IF(U1850="","",IFERROR((RANK(U1850,$U$2:$U$2028,1)+COUNTIF($U$2:U1850,U1850))-1,""))</f>
        <v/>
      </c>
      <c r="W1850" s="134" t="str">
        <f t="shared" si="568"/>
        <v/>
      </c>
      <c r="X1850" s="134" t="str">
        <f>IF(W1850="","",IFERROR((RANK(W1850,$W$2:$W$2028,1)+COUNTIF($W$2:W1850,W1850))-1,""))</f>
        <v/>
      </c>
      <c r="Y1850" s="134" t="str">
        <f t="shared" si="565"/>
        <v/>
      </c>
      <c r="Z1850" s="134" t="str">
        <f>IF(Y1850="","",IFERROR((RANK(Y1850,$Y$2:$Y$2028,1)+COUNTIF($Y$2:Y1850,Y1850))-1,""))</f>
        <v/>
      </c>
      <c r="AA1850" s="134" t="str">
        <f t="shared" si="566"/>
        <v/>
      </c>
      <c r="AB1850" s="134" t="str">
        <f>IF(AA1850="","",IFERROR((RANK(AA1850,$AA$2:$AA$2028,1)+COUNTIF($AA$2:AA1850,AA1850))-1,""))</f>
        <v/>
      </c>
      <c r="AC1850" s="134" t="str">
        <f t="shared" si="567"/>
        <v/>
      </c>
      <c r="AD1850" s="134" t="str">
        <f>IF(AC1850="","",IFERROR((RANK(AC1850,$AC$2:$AC$2028,1)+COUNTIF($AC$2:AC1850,AC1850))-1,""))</f>
        <v/>
      </c>
      <c r="AE1850" s="144" t="str">
        <f t="shared" si="559"/>
        <v/>
      </c>
      <c r="AF1850" s="144" t="str">
        <f>IF(AE1850="","",SUM($AE$2:AE1850))</f>
        <v/>
      </c>
    </row>
    <row r="1851" spans="14:32" x14ac:dyDescent="0.35">
      <c r="N1851" s="134" t="str">
        <f t="shared" si="557"/>
        <v/>
      </c>
      <c r="O1851" s="82" t="str">
        <f t="shared" si="560"/>
        <v/>
      </c>
      <c r="P1851" s="81" t="str">
        <f t="shared" si="558"/>
        <v/>
      </c>
      <c r="Q1851" s="81" t="str">
        <f t="shared" si="561"/>
        <v/>
      </c>
      <c r="R1851" s="135" t="str">
        <f t="shared" ca="1" si="562"/>
        <v/>
      </c>
      <c r="S1851" s="134" t="str">
        <f t="shared" ca="1" si="563"/>
        <v/>
      </c>
      <c r="T1851" s="134" t="str">
        <f ca="1">IF(S1851=Dashboard!$D$12,S1851,"")</f>
        <v/>
      </c>
      <c r="U1851" s="134" t="str">
        <f t="shared" ca="1" si="564"/>
        <v/>
      </c>
      <c r="V1851" s="83" t="str">
        <f ca="1">IF(U1851="","",IFERROR((RANK(U1851,$U$2:$U$2028,1)+COUNTIF($U$2:U1851,U1851))-1,""))</f>
        <v/>
      </c>
      <c r="W1851" s="134" t="str">
        <f t="shared" si="568"/>
        <v/>
      </c>
      <c r="X1851" s="134" t="str">
        <f>IF(W1851="","",IFERROR((RANK(W1851,$W$2:$W$2028,1)+COUNTIF($W$2:W1851,W1851))-1,""))</f>
        <v/>
      </c>
      <c r="Y1851" s="134" t="str">
        <f t="shared" si="565"/>
        <v/>
      </c>
      <c r="Z1851" s="134" t="str">
        <f>IF(Y1851="","",IFERROR((RANK(Y1851,$Y$2:$Y$2028,1)+COUNTIF($Y$2:Y1851,Y1851))-1,""))</f>
        <v/>
      </c>
      <c r="AA1851" s="134" t="str">
        <f t="shared" si="566"/>
        <v/>
      </c>
      <c r="AB1851" s="134" t="str">
        <f>IF(AA1851="","",IFERROR((RANK(AA1851,$AA$2:$AA$2028,1)+COUNTIF($AA$2:AA1851,AA1851))-1,""))</f>
        <v/>
      </c>
      <c r="AC1851" s="134" t="str">
        <f t="shared" si="567"/>
        <v/>
      </c>
      <c r="AD1851" s="134" t="str">
        <f>IF(AC1851="","",IFERROR((RANK(AC1851,$AC$2:$AC$2028,1)+COUNTIF($AC$2:AC1851,AC1851))-1,""))</f>
        <v/>
      </c>
      <c r="AE1851" s="144" t="str">
        <f t="shared" si="559"/>
        <v/>
      </c>
      <c r="AF1851" s="144" t="str">
        <f>IF(AE1851="","",SUM($AE$2:AE1851))</f>
        <v/>
      </c>
    </row>
    <row r="1852" spans="14:32" x14ac:dyDescent="0.35">
      <c r="N1852" s="134" t="str">
        <f t="shared" si="557"/>
        <v/>
      </c>
      <c r="O1852" s="82" t="str">
        <f t="shared" si="560"/>
        <v/>
      </c>
      <c r="P1852" s="81" t="str">
        <f t="shared" si="558"/>
        <v/>
      </c>
      <c r="Q1852" s="81" t="str">
        <f t="shared" si="561"/>
        <v/>
      </c>
      <c r="R1852" s="135" t="str">
        <f t="shared" ca="1" si="562"/>
        <v/>
      </c>
      <c r="S1852" s="134" t="str">
        <f t="shared" ca="1" si="563"/>
        <v/>
      </c>
      <c r="T1852" s="134" t="str">
        <f ca="1">IF(S1852=Dashboard!$D$12,S1852,"")</f>
        <v/>
      </c>
      <c r="U1852" s="134" t="str">
        <f t="shared" ca="1" si="564"/>
        <v/>
      </c>
      <c r="V1852" s="83" t="str">
        <f ca="1">IF(U1852="","",IFERROR((RANK(U1852,$U$2:$U$2028,1)+COUNTIF($U$2:U1852,U1852))-1,""))</f>
        <v/>
      </c>
      <c r="W1852" s="134" t="str">
        <f t="shared" si="568"/>
        <v/>
      </c>
      <c r="X1852" s="134" t="str">
        <f>IF(W1852="","",IFERROR((RANK(W1852,$W$2:$W$2028,1)+COUNTIF($W$2:W1852,W1852))-1,""))</f>
        <v/>
      </c>
      <c r="Y1852" s="134" t="str">
        <f t="shared" si="565"/>
        <v/>
      </c>
      <c r="Z1852" s="134" t="str">
        <f>IF(Y1852="","",IFERROR((RANK(Y1852,$Y$2:$Y$2028,1)+COUNTIF($Y$2:Y1852,Y1852))-1,""))</f>
        <v/>
      </c>
      <c r="AA1852" s="134" t="str">
        <f t="shared" si="566"/>
        <v/>
      </c>
      <c r="AB1852" s="134" t="str">
        <f>IF(AA1852="","",IFERROR((RANK(AA1852,$AA$2:$AA$2028,1)+COUNTIF($AA$2:AA1852,AA1852))-1,""))</f>
        <v/>
      </c>
      <c r="AC1852" s="134" t="str">
        <f t="shared" si="567"/>
        <v/>
      </c>
      <c r="AD1852" s="134" t="str">
        <f>IF(AC1852="","",IFERROR((RANK(AC1852,$AC$2:$AC$2028,1)+COUNTIF($AC$2:AC1852,AC1852))-1,""))</f>
        <v/>
      </c>
      <c r="AE1852" s="144" t="str">
        <f t="shared" si="559"/>
        <v/>
      </c>
      <c r="AF1852" s="144" t="str">
        <f>IF(AE1852="","",SUM($AE$2:AE1852))</f>
        <v/>
      </c>
    </row>
    <row r="1853" spans="14:32" x14ac:dyDescent="0.35">
      <c r="N1853" s="134" t="str">
        <f t="shared" si="557"/>
        <v/>
      </c>
      <c r="O1853" s="82" t="str">
        <f t="shared" si="560"/>
        <v/>
      </c>
      <c r="P1853" s="81" t="str">
        <f t="shared" si="558"/>
        <v/>
      </c>
      <c r="Q1853" s="81" t="str">
        <f t="shared" si="561"/>
        <v/>
      </c>
      <c r="R1853" s="135" t="str">
        <f t="shared" ca="1" si="562"/>
        <v/>
      </c>
      <c r="S1853" s="134" t="str">
        <f t="shared" ca="1" si="563"/>
        <v/>
      </c>
      <c r="T1853" s="134" t="str">
        <f ca="1">IF(S1853=Dashboard!$D$12,S1853,"")</f>
        <v/>
      </c>
      <c r="U1853" s="134" t="str">
        <f t="shared" ca="1" si="564"/>
        <v/>
      </c>
      <c r="V1853" s="83" t="str">
        <f ca="1">IF(U1853="","",IFERROR((RANK(U1853,$U$2:$U$2028,1)+COUNTIF($U$2:U1853,U1853))-1,""))</f>
        <v/>
      </c>
      <c r="W1853" s="134" t="str">
        <f t="shared" si="568"/>
        <v/>
      </c>
      <c r="X1853" s="134" t="str">
        <f>IF(W1853="","",IFERROR((RANK(W1853,$W$2:$W$2028,1)+COUNTIF($W$2:W1853,W1853))-1,""))</f>
        <v/>
      </c>
      <c r="Y1853" s="134" t="str">
        <f t="shared" si="565"/>
        <v/>
      </c>
      <c r="Z1853" s="134" t="str">
        <f>IF(Y1853="","",IFERROR((RANK(Y1853,$Y$2:$Y$2028,1)+COUNTIF($Y$2:Y1853,Y1853))-1,""))</f>
        <v/>
      </c>
      <c r="AA1853" s="134" t="str">
        <f t="shared" si="566"/>
        <v/>
      </c>
      <c r="AB1853" s="134" t="str">
        <f>IF(AA1853="","",IFERROR((RANK(AA1853,$AA$2:$AA$2028,1)+COUNTIF($AA$2:AA1853,AA1853))-1,""))</f>
        <v/>
      </c>
      <c r="AC1853" s="134" t="str">
        <f t="shared" si="567"/>
        <v/>
      </c>
      <c r="AD1853" s="134" t="str">
        <f>IF(AC1853="","",IFERROR((RANK(AC1853,$AC$2:$AC$2028,1)+COUNTIF($AC$2:AC1853,AC1853))-1,""))</f>
        <v/>
      </c>
      <c r="AE1853" s="144" t="str">
        <f t="shared" si="559"/>
        <v/>
      </c>
      <c r="AF1853" s="144" t="str">
        <f>IF(AE1853="","",SUM($AE$2:AE1853))</f>
        <v/>
      </c>
    </row>
    <row r="1854" spans="14:32" x14ac:dyDescent="0.35">
      <c r="N1854" s="134" t="str">
        <f t="shared" si="557"/>
        <v/>
      </c>
      <c r="O1854" s="82" t="str">
        <f t="shared" si="560"/>
        <v/>
      </c>
      <c r="P1854" s="81" t="str">
        <f t="shared" si="558"/>
        <v/>
      </c>
      <c r="Q1854" s="81" t="str">
        <f t="shared" si="561"/>
        <v/>
      </c>
      <c r="R1854" s="135" t="str">
        <f t="shared" ca="1" si="562"/>
        <v/>
      </c>
      <c r="S1854" s="134" t="str">
        <f t="shared" ca="1" si="563"/>
        <v/>
      </c>
      <c r="T1854" s="134" t="str">
        <f ca="1">IF(S1854=Dashboard!$D$12,S1854,"")</f>
        <v/>
      </c>
      <c r="U1854" s="134" t="str">
        <f t="shared" ca="1" si="564"/>
        <v/>
      </c>
      <c r="V1854" s="83" t="str">
        <f ca="1">IF(U1854="","",IFERROR((RANK(U1854,$U$2:$U$2028,1)+COUNTIF($U$2:U1854,U1854))-1,""))</f>
        <v/>
      </c>
      <c r="W1854" s="134" t="str">
        <f t="shared" si="568"/>
        <v/>
      </c>
      <c r="X1854" s="134" t="str">
        <f>IF(W1854="","",IFERROR((RANK(W1854,$W$2:$W$2028,1)+COUNTIF($W$2:W1854,W1854))-1,""))</f>
        <v/>
      </c>
      <c r="Y1854" s="134" t="str">
        <f t="shared" si="565"/>
        <v/>
      </c>
      <c r="Z1854" s="134" t="str">
        <f>IF(Y1854="","",IFERROR((RANK(Y1854,$Y$2:$Y$2028,1)+COUNTIF($Y$2:Y1854,Y1854))-1,""))</f>
        <v/>
      </c>
      <c r="AA1854" s="134" t="str">
        <f t="shared" si="566"/>
        <v/>
      </c>
      <c r="AB1854" s="134" t="str">
        <f>IF(AA1854="","",IFERROR((RANK(AA1854,$AA$2:$AA$2028,1)+COUNTIF($AA$2:AA1854,AA1854))-1,""))</f>
        <v/>
      </c>
      <c r="AC1854" s="134" t="str">
        <f t="shared" si="567"/>
        <v/>
      </c>
      <c r="AD1854" s="134" t="str">
        <f>IF(AC1854="","",IFERROR((RANK(AC1854,$AC$2:$AC$2028,1)+COUNTIF($AC$2:AC1854,AC1854))-1,""))</f>
        <v/>
      </c>
      <c r="AE1854" s="144" t="str">
        <f t="shared" si="559"/>
        <v/>
      </c>
      <c r="AF1854" s="144" t="str">
        <f>IF(AE1854="","",SUM($AE$2:AE1854))</f>
        <v/>
      </c>
    </row>
    <row r="1855" spans="14:32" x14ac:dyDescent="0.35">
      <c r="N1855" s="134" t="str">
        <f t="shared" si="557"/>
        <v/>
      </c>
      <c r="O1855" s="82" t="str">
        <f t="shared" si="560"/>
        <v/>
      </c>
      <c r="P1855" s="81" t="str">
        <f t="shared" si="558"/>
        <v/>
      </c>
      <c r="Q1855" s="81" t="str">
        <f t="shared" si="561"/>
        <v/>
      </c>
      <c r="R1855" s="135" t="str">
        <f t="shared" ca="1" si="562"/>
        <v/>
      </c>
      <c r="S1855" s="134" t="str">
        <f t="shared" ca="1" si="563"/>
        <v/>
      </c>
      <c r="T1855" s="134" t="str">
        <f ca="1">IF(S1855=Dashboard!$D$12,S1855,"")</f>
        <v/>
      </c>
      <c r="U1855" s="134" t="str">
        <f t="shared" ca="1" si="564"/>
        <v/>
      </c>
      <c r="V1855" s="83" t="str">
        <f ca="1">IF(U1855="","",IFERROR((RANK(U1855,$U$2:$U$2028,1)+COUNTIF($U$2:U1855,U1855))-1,""))</f>
        <v/>
      </c>
      <c r="W1855" s="134" t="str">
        <f t="shared" si="568"/>
        <v/>
      </c>
      <c r="X1855" s="134" t="str">
        <f>IF(W1855="","",IFERROR((RANK(W1855,$W$2:$W$2028,1)+COUNTIF($W$2:W1855,W1855))-1,""))</f>
        <v/>
      </c>
      <c r="Y1855" s="134" t="str">
        <f t="shared" si="565"/>
        <v/>
      </c>
      <c r="Z1855" s="134" t="str">
        <f>IF(Y1855="","",IFERROR((RANK(Y1855,$Y$2:$Y$2028,1)+COUNTIF($Y$2:Y1855,Y1855))-1,""))</f>
        <v/>
      </c>
      <c r="AA1855" s="134" t="str">
        <f t="shared" si="566"/>
        <v/>
      </c>
      <c r="AB1855" s="134" t="str">
        <f>IF(AA1855="","",IFERROR((RANK(AA1855,$AA$2:$AA$2028,1)+COUNTIF($AA$2:AA1855,AA1855))-1,""))</f>
        <v/>
      </c>
      <c r="AC1855" s="134" t="str">
        <f t="shared" si="567"/>
        <v/>
      </c>
      <c r="AD1855" s="134" t="str">
        <f>IF(AC1855="","",IFERROR((RANK(AC1855,$AC$2:$AC$2028,1)+COUNTIF($AC$2:AC1855,AC1855))-1,""))</f>
        <v/>
      </c>
      <c r="AE1855" s="144" t="str">
        <f t="shared" si="559"/>
        <v/>
      </c>
      <c r="AF1855" s="144" t="str">
        <f>IF(AE1855="","",SUM($AE$2:AE1855))</f>
        <v/>
      </c>
    </row>
    <row r="1856" spans="14:32" x14ac:dyDescent="0.35">
      <c r="N1856" s="134" t="str">
        <f t="shared" si="557"/>
        <v/>
      </c>
      <c r="O1856" s="82" t="str">
        <f t="shared" si="560"/>
        <v/>
      </c>
      <c r="P1856" s="81" t="str">
        <f t="shared" si="558"/>
        <v/>
      </c>
      <c r="Q1856" s="81" t="str">
        <f t="shared" si="561"/>
        <v/>
      </c>
      <c r="R1856" s="135" t="str">
        <f t="shared" ca="1" si="562"/>
        <v/>
      </c>
      <c r="S1856" s="134" t="str">
        <f t="shared" ca="1" si="563"/>
        <v/>
      </c>
      <c r="T1856" s="134" t="str">
        <f ca="1">IF(S1856=Dashboard!$D$12,S1856,"")</f>
        <v/>
      </c>
      <c r="U1856" s="134" t="str">
        <f t="shared" ca="1" si="564"/>
        <v/>
      </c>
      <c r="V1856" s="83" t="str">
        <f ca="1">IF(U1856="","",IFERROR((RANK(U1856,$U$2:$U$2028,1)+COUNTIF($U$2:U1856,U1856))-1,""))</f>
        <v/>
      </c>
      <c r="W1856" s="134" t="str">
        <f t="shared" si="568"/>
        <v/>
      </c>
      <c r="X1856" s="134" t="str">
        <f>IF(W1856="","",IFERROR((RANK(W1856,$W$2:$W$2028,1)+COUNTIF($W$2:W1856,W1856))-1,""))</f>
        <v/>
      </c>
      <c r="Y1856" s="134" t="str">
        <f t="shared" si="565"/>
        <v/>
      </c>
      <c r="Z1856" s="134" t="str">
        <f>IF(Y1856="","",IFERROR((RANK(Y1856,$Y$2:$Y$2028,1)+COUNTIF($Y$2:Y1856,Y1856))-1,""))</f>
        <v/>
      </c>
      <c r="AA1856" s="134" t="str">
        <f t="shared" si="566"/>
        <v/>
      </c>
      <c r="AB1856" s="134" t="str">
        <f>IF(AA1856="","",IFERROR((RANK(AA1856,$AA$2:$AA$2028,1)+COUNTIF($AA$2:AA1856,AA1856))-1,""))</f>
        <v/>
      </c>
      <c r="AC1856" s="134" t="str">
        <f t="shared" si="567"/>
        <v/>
      </c>
      <c r="AD1856" s="134" t="str">
        <f>IF(AC1856="","",IFERROR((RANK(AC1856,$AC$2:$AC$2028,1)+COUNTIF($AC$2:AC1856,AC1856))-1,""))</f>
        <v/>
      </c>
      <c r="AE1856" s="144" t="str">
        <f t="shared" si="559"/>
        <v/>
      </c>
      <c r="AF1856" s="144" t="str">
        <f>IF(AE1856="","",SUM($AE$2:AE1856))</f>
        <v/>
      </c>
    </row>
    <row r="1857" spans="14:32" x14ac:dyDescent="0.35">
      <c r="N1857" s="134" t="str">
        <f t="shared" si="557"/>
        <v/>
      </c>
      <c r="O1857" s="82" t="str">
        <f t="shared" si="560"/>
        <v/>
      </c>
      <c r="P1857" s="81" t="str">
        <f t="shared" si="558"/>
        <v/>
      </c>
      <c r="Q1857" s="81" t="str">
        <f t="shared" si="561"/>
        <v/>
      </c>
      <c r="R1857" s="135" t="str">
        <f t="shared" ca="1" si="562"/>
        <v/>
      </c>
      <c r="S1857" s="134" t="str">
        <f t="shared" ca="1" si="563"/>
        <v/>
      </c>
      <c r="T1857" s="134" t="str">
        <f ca="1">IF(S1857=Dashboard!$D$12,S1857,"")</f>
        <v/>
      </c>
      <c r="U1857" s="134" t="str">
        <f t="shared" ca="1" si="564"/>
        <v/>
      </c>
      <c r="V1857" s="83" t="str">
        <f ca="1">IF(U1857="","",IFERROR((RANK(U1857,$U$2:$U$2028,1)+COUNTIF($U$2:U1857,U1857))-1,""))</f>
        <v/>
      </c>
      <c r="W1857" s="134" t="str">
        <f t="shared" si="568"/>
        <v/>
      </c>
      <c r="X1857" s="134" t="str">
        <f>IF(W1857="","",IFERROR((RANK(W1857,$W$2:$W$2028,1)+COUNTIF($W$2:W1857,W1857))-1,""))</f>
        <v/>
      </c>
      <c r="Y1857" s="134" t="str">
        <f t="shared" si="565"/>
        <v/>
      </c>
      <c r="Z1857" s="134" t="str">
        <f>IF(Y1857="","",IFERROR((RANK(Y1857,$Y$2:$Y$2028,1)+COUNTIF($Y$2:Y1857,Y1857))-1,""))</f>
        <v/>
      </c>
      <c r="AA1857" s="134" t="str">
        <f t="shared" si="566"/>
        <v/>
      </c>
      <c r="AB1857" s="134" t="str">
        <f>IF(AA1857="","",IFERROR((RANK(AA1857,$AA$2:$AA$2028,1)+COUNTIF($AA$2:AA1857,AA1857))-1,""))</f>
        <v/>
      </c>
      <c r="AC1857" s="134" t="str">
        <f t="shared" si="567"/>
        <v/>
      </c>
      <c r="AD1857" s="134" t="str">
        <f>IF(AC1857="","",IFERROR((RANK(AC1857,$AC$2:$AC$2028,1)+COUNTIF($AC$2:AC1857,AC1857))-1,""))</f>
        <v/>
      </c>
      <c r="AE1857" s="144" t="str">
        <f t="shared" si="559"/>
        <v/>
      </c>
      <c r="AF1857" s="144" t="str">
        <f>IF(AE1857="","",SUM($AE$2:AE1857))</f>
        <v/>
      </c>
    </row>
    <row r="1858" spans="14:32" x14ac:dyDescent="0.35">
      <c r="N1858" s="134" t="str">
        <f t="shared" ref="N1858:N1921" si="569">IF(A1858="","",COUNTIFS(M:M,M1858,H:H,"&lt;"&amp;H1858)+1)</f>
        <v/>
      </c>
      <c r="O1858" s="82" t="str">
        <f t="shared" si="560"/>
        <v/>
      </c>
      <c r="P1858" s="81" t="str">
        <f t="shared" ref="P1858:P1921" si="570">IF(A1858="","",COUNTIFS(M:M,M1858,H:H,"&gt;"&amp;H1858)+1)</f>
        <v/>
      </c>
      <c r="Q1858" s="81" t="str">
        <f t="shared" si="561"/>
        <v/>
      </c>
      <c r="R1858" s="135" t="str">
        <f t="shared" ca="1" si="562"/>
        <v/>
      </c>
      <c r="S1858" s="134" t="str">
        <f t="shared" ca="1" si="563"/>
        <v/>
      </c>
      <c r="T1858" s="134" t="str">
        <f ca="1">IF(S1858=Dashboard!$D$12,S1858,"")</f>
        <v/>
      </c>
      <c r="U1858" s="134" t="str">
        <f t="shared" ca="1" si="564"/>
        <v/>
      </c>
      <c r="V1858" s="83" t="str">
        <f ca="1">IF(U1858="","",IFERROR((RANK(U1858,$U$2:$U$2028,1)+COUNTIF($U$2:U1858,U1858))-1,""))</f>
        <v/>
      </c>
      <c r="W1858" s="134" t="str">
        <f t="shared" si="568"/>
        <v/>
      </c>
      <c r="X1858" s="134" t="str">
        <f>IF(W1858="","",IFERROR((RANK(W1858,$W$2:$W$2028,1)+COUNTIF($W$2:W1858,W1858))-1,""))</f>
        <v/>
      </c>
      <c r="Y1858" s="134" t="str">
        <f t="shared" si="565"/>
        <v/>
      </c>
      <c r="Z1858" s="134" t="str">
        <f>IF(Y1858="","",IFERROR((RANK(Y1858,$Y$2:$Y$2028,1)+COUNTIF($Y$2:Y1858,Y1858))-1,""))</f>
        <v/>
      </c>
      <c r="AA1858" s="134" t="str">
        <f t="shared" si="566"/>
        <v/>
      </c>
      <c r="AB1858" s="134" t="str">
        <f>IF(AA1858="","",IFERROR((RANK(AA1858,$AA$2:$AA$2028,1)+COUNTIF($AA$2:AA1858,AA1858))-1,""))</f>
        <v/>
      </c>
      <c r="AC1858" s="134" t="str">
        <f t="shared" si="567"/>
        <v/>
      </c>
      <c r="AD1858" s="134" t="str">
        <f>IF(AC1858="","",IFERROR((RANK(AC1858,$AC$2:$AC$2028,1)+COUNTIF($AC$2:AC1858,AC1858))-1,""))</f>
        <v/>
      </c>
      <c r="AE1858" s="144" t="str">
        <f t="shared" si="559"/>
        <v/>
      </c>
      <c r="AF1858" s="144" t="str">
        <f>IF(AE1858="","",SUM($AE$2:AE1858))</f>
        <v/>
      </c>
    </row>
    <row r="1859" spans="14:32" x14ac:dyDescent="0.35">
      <c r="N1859" s="134" t="str">
        <f t="shared" si="569"/>
        <v/>
      </c>
      <c r="O1859" s="82" t="str">
        <f t="shared" si="560"/>
        <v/>
      </c>
      <c r="P1859" s="81" t="str">
        <f t="shared" si="570"/>
        <v/>
      </c>
      <c r="Q1859" s="81" t="str">
        <f t="shared" si="561"/>
        <v/>
      </c>
      <c r="R1859" s="135" t="str">
        <f t="shared" ca="1" si="562"/>
        <v/>
      </c>
      <c r="S1859" s="134" t="str">
        <f t="shared" ca="1" si="563"/>
        <v/>
      </c>
      <c r="T1859" s="134" t="str">
        <f ca="1">IF(S1859=Dashboard!$D$12,S1859,"")</f>
        <v/>
      </c>
      <c r="U1859" s="134" t="str">
        <f t="shared" ca="1" si="564"/>
        <v/>
      </c>
      <c r="V1859" s="83" t="str">
        <f ca="1">IF(U1859="","",IFERROR((RANK(U1859,$U$2:$U$2028,1)+COUNTIF($U$2:U1859,U1859))-1,""))</f>
        <v/>
      </c>
      <c r="W1859" s="134" t="str">
        <f t="shared" si="568"/>
        <v/>
      </c>
      <c r="X1859" s="134" t="str">
        <f>IF(W1859="","",IFERROR((RANK(W1859,$W$2:$W$2028,1)+COUNTIF($W$2:W1859,W1859))-1,""))</f>
        <v/>
      </c>
      <c r="Y1859" s="134" t="str">
        <f t="shared" si="565"/>
        <v/>
      </c>
      <c r="Z1859" s="134" t="str">
        <f>IF(Y1859="","",IFERROR((RANK(Y1859,$Y$2:$Y$2028,1)+COUNTIF($Y$2:Y1859,Y1859))-1,""))</f>
        <v/>
      </c>
      <c r="AA1859" s="134" t="str">
        <f t="shared" si="566"/>
        <v/>
      </c>
      <c r="AB1859" s="134" t="str">
        <f>IF(AA1859="","",IFERROR((RANK(AA1859,$AA$2:$AA$2028,1)+COUNTIF($AA$2:AA1859,AA1859))-1,""))</f>
        <v/>
      </c>
      <c r="AC1859" s="134" t="str">
        <f t="shared" si="567"/>
        <v/>
      </c>
      <c r="AD1859" s="134" t="str">
        <f>IF(AC1859="","",IFERROR((RANK(AC1859,$AC$2:$AC$2028,1)+COUNTIF($AC$2:AC1859,AC1859))-1,""))</f>
        <v/>
      </c>
      <c r="AE1859" s="144" t="str">
        <f t="shared" si="559"/>
        <v/>
      </c>
      <c r="AF1859" s="144" t="str">
        <f>IF(AE1859="","",SUM($AE$2:AE1859))</f>
        <v/>
      </c>
    </row>
    <row r="1860" spans="14:32" x14ac:dyDescent="0.35">
      <c r="N1860" s="134" t="str">
        <f t="shared" si="569"/>
        <v/>
      </c>
      <c r="O1860" s="82" t="str">
        <f t="shared" si="560"/>
        <v/>
      </c>
      <c r="P1860" s="81" t="str">
        <f t="shared" si="570"/>
        <v/>
      </c>
      <c r="Q1860" s="81" t="str">
        <f t="shared" si="561"/>
        <v/>
      </c>
      <c r="R1860" s="135" t="str">
        <f t="shared" ca="1" si="562"/>
        <v/>
      </c>
      <c r="S1860" s="134" t="str">
        <f t="shared" ca="1" si="563"/>
        <v/>
      </c>
      <c r="T1860" s="134" t="str">
        <f ca="1">IF(S1860=Dashboard!$D$12,S1860,"")</f>
        <v/>
      </c>
      <c r="U1860" s="134" t="str">
        <f t="shared" ca="1" si="564"/>
        <v/>
      </c>
      <c r="V1860" s="83" t="str">
        <f ca="1">IF(U1860="","",IFERROR((RANK(U1860,$U$2:$U$2028,1)+COUNTIF($U$2:U1860,U1860))-1,""))</f>
        <v/>
      </c>
      <c r="W1860" s="134" t="str">
        <f t="shared" si="568"/>
        <v/>
      </c>
      <c r="X1860" s="134" t="str">
        <f>IF(W1860="","",IFERROR((RANK(W1860,$W$2:$W$2028,1)+COUNTIF($W$2:W1860,W1860))-1,""))</f>
        <v/>
      </c>
      <c r="Y1860" s="134" t="str">
        <f t="shared" si="565"/>
        <v/>
      </c>
      <c r="Z1860" s="134" t="str">
        <f>IF(Y1860="","",IFERROR((RANK(Y1860,$Y$2:$Y$2028,1)+COUNTIF($Y$2:Y1860,Y1860))-1,""))</f>
        <v/>
      </c>
      <c r="AA1860" s="134" t="str">
        <f t="shared" si="566"/>
        <v/>
      </c>
      <c r="AB1860" s="134" t="str">
        <f>IF(AA1860="","",IFERROR((RANK(AA1860,$AA$2:$AA$2028,1)+COUNTIF($AA$2:AA1860,AA1860))-1,""))</f>
        <v/>
      </c>
      <c r="AC1860" s="134" t="str">
        <f t="shared" si="567"/>
        <v/>
      </c>
      <c r="AD1860" s="134" t="str">
        <f>IF(AC1860="","",IFERROR((RANK(AC1860,$AC$2:$AC$2028,1)+COUNTIF($AC$2:AC1860,AC1860))-1,""))</f>
        <v/>
      </c>
      <c r="AE1860" s="144" t="str">
        <f t="shared" si="559"/>
        <v/>
      </c>
      <c r="AF1860" s="144" t="str">
        <f>IF(AE1860="","",SUM($AE$2:AE1860))</f>
        <v/>
      </c>
    </row>
    <row r="1861" spans="14:32" x14ac:dyDescent="0.35">
      <c r="N1861" s="134" t="str">
        <f t="shared" si="569"/>
        <v/>
      </c>
      <c r="O1861" s="82" t="str">
        <f t="shared" si="560"/>
        <v/>
      </c>
      <c r="P1861" s="81" t="str">
        <f t="shared" si="570"/>
        <v/>
      </c>
      <c r="Q1861" s="81" t="str">
        <f t="shared" si="561"/>
        <v/>
      </c>
      <c r="R1861" s="135" t="str">
        <f t="shared" ca="1" si="562"/>
        <v/>
      </c>
      <c r="S1861" s="134" t="str">
        <f t="shared" ca="1" si="563"/>
        <v/>
      </c>
      <c r="T1861" s="134" t="str">
        <f ca="1">IF(S1861=Dashboard!$D$12,S1861,"")</f>
        <v/>
      </c>
      <c r="U1861" s="134" t="str">
        <f t="shared" ca="1" si="564"/>
        <v/>
      </c>
      <c r="V1861" s="83" t="str">
        <f ca="1">IF(U1861="","",IFERROR((RANK(U1861,$U$2:$U$2028,1)+COUNTIF($U$2:U1861,U1861))-1,""))</f>
        <v/>
      </c>
      <c r="W1861" s="134" t="str">
        <f t="shared" si="568"/>
        <v/>
      </c>
      <c r="X1861" s="134" t="str">
        <f>IF(W1861="","",IFERROR((RANK(W1861,$W$2:$W$2028,1)+COUNTIF($W$2:W1861,W1861))-1,""))</f>
        <v/>
      </c>
      <c r="Y1861" s="134" t="str">
        <f t="shared" si="565"/>
        <v/>
      </c>
      <c r="Z1861" s="134" t="str">
        <f>IF(Y1861="","",IFERROR((RANK(Y1861,$Y$2:$Y$2028,1)+COUNTIF($Y$2:Y1861,Y1861))-1,""))</f>
        <v/>
      </c>
      <c r="AA1861" s="134" t="str">
        <f t="shared" si="566"/>
        <v/>
      </c>
      <c r="AB1861" s="134" t="str">
        <f>IF(AA1861="","",IFERROR((RANK(AA1861,$AA$2:$AA$2028,1)+COUNTIF($AA$2:AA1861,AA1861))-1,""))</f>
        <v/>
      </c>
      <c r="AC1861" s="134" t="str">
        <f t="shared" si="567"/>
        <v/>
      </c>
      <c r="AD1861" s="134" t="str">
        <f>IF(AC1861="","",IFERROR((RANK(AC1861,$AC$2:$AC$2028,1)+COUNTIF($AC$2:AC1861,AC1861))-1,""))</f>
        <v/>
      </c>
      <c r="AE1861" s="144" t="str">
        <f t="shared" si="559"/>
        <v/>
      </c>
      <c r="AF1861" s="144" t="str">
        <f>IF(AE1861="","",SUM($AE$2:AE1861))</f>
        <v/>
      </c>
    </row>
    <row r="1862" spans="14:32" x14ac:dyDescent="0.35">
      <c r="N1862" s="134" t="str">
        <f t="shared" si="569"/>
        <v/>
      </c>
      <c r="O1862" s="82" t="str">
        <f t="shared" si="560"/>
        <v/>
      </c>
      <c r="P1862" s="81" t="str">
        <f t="shared" si="570"/>
        <v/>
      </c>
      <c r="Q1862" s="81" t="str">
        <f t="shared" si="561"/>
        <v/>
      </c>
      <c r="R1862" s="135" t="str">
        <f t="shared" ca="1" si="562"/>
        <v/>
      </c>
      <c r="S1862" s="134" t="str">
        <f t="shared" ca="1" si="563"/>
        <v/>
      </c>
      <c r="T1862" s="134" t="str">
        <f ca="1">IF(S1862=Dashboard!$D$12,S1862,"")</f>
        <v/>
      </c>
      <c r="U1862" s="134" t="str">
        <f t="shared" ca="1" si="564"/>
        <v/>
      </c>
      <c r="V1862" s="83" t="str">
        <f ca="1">IF(U1862="","",IFERROR((RANK(U1862,$U$2:$U$2028,1)+COUNTIF($U$2:U1862,U1862))-1,""))</f>
        <v/>
      </c>
      <c r="W1862" s="134" t="str">
        <f t="shared" si="568"/>
        <v/>
      </c>
      <c r="X1862" s="134" t="str">
        <f>IF(W1862="","",IFERROR((RANK(W1862,$W$2:$W$2028,1)+COUNTIF($W$2:W1862,W1862))-1,""))</f>
        <v/>
      </c>
      <c r="Y1862" s="134" t="str">
        <f t="shared" si="565"/>
        <v/>
      </c>
      <c r="Z1862" s="134" t="str">
        <f>IF(Y1862="","",IFERROR((RANK(Y1862,$Y$2:$Y$2028,1)+COUNTIF($Y$2:Y1862,Y1862))-1,""))</f>
        <v/>
      </c>
      <c r="AA1862" s="134" t="str">
        <f t="shared" si="566"/>
        <v/>
      </c>
      <c r="AB1862" s="134" t="str">
        <f>IF(AA1862="","",IFERROR((RANK(AA1862,$AA$2:$AA$2028,1)+COUNTIF($AA$2:AA1862,AA1862))-1,""))</f>
        <v/>
      </c>
      <c r="AC1862" s="134" t="str">
        <f t="shared" si="567"/>
        <v/>
      </c>
      <c r="AD1862" s="134" t="str">
        <f>IF(AC1862="","",IFERROR((RANK(AC1862,$AC$2:$AC$2028,1)+COUNTIF($AC$2:AC1862,AC1862))-1,""))</f>
        <v/>
      </c>
      <c r="AE1862" s="144" t="str">
        <f t="shared" si="559"/>
        <v/>
      </c>
      <c r="AF1862" s="144" t="str">
        <f>IF(AE1862="","",SUM($AE$2:AE1862))</f>
        <v/>
      </c>
    </row>
    <row r="1863" spans="14:32" x14ac:dyDescent="0.35">
      <c r="N1863" s="134" t="str">
        <f t="shared" si="569"/>
        <v/>
      </c>
      <c r="O1863" s="82" t="str">
        <f t="shared" si="560"/>
        <v/>
      </c>
      <c r="P1863" s="81" t="str">
        <f t="shared" si="570"/>
        <v/>
      </c>
      <c r="Q1863" s="81" t="str">
        <f t="shared" si="561"/>
        <v/>
      </c>
      <c r="R1863" s="135" t="str">
        <f t="shared" ca="1" si="562"/>
        <v/>
      </c>
      <c r="S1863" s="134" t="str">
        <f t="shared" ca="1" si="563"/>
        <v/>
      </c>
      <c r="T1863" s="134" t="str">
        <f ca="1">IF(S1863=Dashboard!$D$12,S1863,"")</f>
        <v/>
      </c>
      <c r="U1863" s="134" t="str">
        <f t="shared" ca="1" si="564"/>
        <v/>
      </c>
      <c r="V1863" s="83" t="str">
        <f ca="1">IF(U1863="","",IFERROR((RANK(U1863,$U$2:$U$2028,1)+COUNTIF($U$2:U1863,U1863))-1,""))</f>
        <v/>
      </c>
      <c r="W1863" s="134" t="str">
        <f t="shared" si="568"/>
        <v/>
      </c>
      <c r="X1863" s="134" t="str">
        <f>IF(W1863="","",IFERROR((RANK(W1863,$W$2:$W$2028,1)+COUNTIF($W$2:W1863,W1863))-1,""))</f>
        <v/>
      </c>
      <c r="Y1863" s="134" t="str">
        <f t="shared" si="565"/>
        <v/>
      </c>
      <c r="Z1863" s="134" t="str">
        <f>IF(Y1863="","",IFERROR((RANK(Y1863,$Y$2:$Y$2028,1)+COUNTIF($Y$2:Y1863,Y1863))-1,""))</f>
        <v/>
      </c>
      <c r="AA1863" s="134" t="str">
        <f t="shared" si="566"/>
        <v/>
      </c>
      <c r="AB1863" s="134" t="str">
        <f>IF(AA1863="","",IFERROR((RANK(AA1863,$AA$2:$AA$2028,1)+COUNTIF($AA$2:AA1863,AA1863))-1,""))</f>
        <v/>
      </c>
      <c r="AC1863" s="134" t="str">
        <f t="shared" si="567"/>
        <v/>
      </c>
      <c r="AD1863" s="134" t="str">
        <f>IF(AC1863="","",IFERROR((RANK(AC1863,$AC$2:$AC$2028,1)+COUNTIF($AC$2:AC1863,AC1863))-1,""))</f>
        <v/>
      </c>
      <c r="AE1863" s="144" t="str">
        <f t="shared" ref="AE1863:AE1926" si="571">IF(P1863=1,P1863,"")</f>
        <v/>
      </c>
      <c r="AF1863" s="144" t="str">
        <f>IF(AE1863="","",SUM($AE$2:AE1863))</f>
        <v/>
      </c>
    </row>
    <row r="1864" spans="14:32" x14ac:dyDescent="0.35">
      <c r="N1864" s="134" t="str">
        <f t="shared" si="569"/>
        <v/>
      </c>
      <c r="O1864" s="82" t="str">
        <f t="shared" si="560"/>
        <v/>
      </c>
      <c r="P1864" s="81" t="str">
        <f t="shared" si="570"/>
        <v/>
      </c>
      <c r="Q1864" s="81" t="str">
        <f t="shared" si="561"/>
        <v/>
      </c>
      <c r="R1864" s="135" t="str">
        <f t="shared" ca="1" si="562"/>
        <v/>
      </c>
      <c r="S1864" s="134" t="str">
        <f t="shared" ca="1" si="563"/>
        <v/>
      </c>
      <c r="T1864" s="134" t="str">
        <f ca="1">IF(S1864=Dashboard!$D$12,S1864,"")</f>
        <v/>
      </c>
      <c r="U1864" s="134" t="str">
        <f t="shared" ca="1" si="564"/>
        <v/>
      </c>
      <c r="V1864" s="83" t="str">
        <f ca="1">IF(U1864="","",IFERROR((RANK(U1864,$U$2:$U$2028,1)+COUNTIF($U$2:U1864,U1864))-1,""))</f>
        <v/>
      </c>
      <c r="W1864" s="134" t="str">
        <f t="shared" si="568"/>
        <v/>
      </c>
      <c r="X1864" s="134" t="str">
        <f>IF(W1864="","",IFERROR((RANK(W1864,$W$2:$W$2028,1)+COUNTIF($W$2:W1864,W1864))-1,""))</f>
        <v/>
      </c>
      <c r="Y1864" s="134" t="str">
        <f t="shared" si="565"/>
        <v/>
      </c>
      <c r="Z1864" s="134" t="str">
        <f>IF(Y1864="","",IFERROR((RANK(Y1864,$Y$2:$Y$2028,1)+COUNTIF($Y$2:Y1864,Y1864))-1,""))</f>
        <v/>
      </c>
      <c r="AA1864" s="134" t="str">
        <f t="shared" si="566"/>
        <v/>
      </c>
      <c r="AB1864" s="134" t="str">
        <f>IF(AA1864="","",IFERROR((RANK(AA1864,$AA$2:$AA$2028,1)+COUNTIF($AA$2:AA1864,AA1864))-1,""))</f>
        <v/>
      </c>
      <c r="AC1864" s="134" t="str">
        <f t="shared" si="567"/>
        <v/>
      </c>
      <c r="AD1864" s="134" t="str">
        <f>IF(AC1864="","",IFERROR((RANK(AC1864,$AC$2:$AC$2028,1)+COUNTIF($AC$2:AC1864,AC1864))-1,""))</f>
        <v/>
      </c>
      <c r="AE1864" s="144" t="str">
        <f t="shared" si="571"/>
        <v/>
      </c>
      <c r="AF1864" s="144" t="str">
        <f>IF(AE1864="","",SUM($AE$2:AE1864))</f>
        <v/>
      </c>
    </row>
    <row r="1865" spans="14:32" x14ac:dyDescent="0.35">
      <c r="N1865" s="134" t="str">
        <f t="shared" si="569"/>
        <v/>
      </c>
      <c r="O1865" s="82" t="str">
        <f t="shared" si="560"/>
        <v/>
      </c>
      <c r="P1865" s="81" t="str">
        <f t="shared" si="570"/>
        <v/>
      </c>
      <c r="Q1865" s="81" t="str">
        <f t="shared" si="561"/>
        <v/>
      </c>
      <c r="R1865" s="135" t="str">
        <f t="shared" ca="1" si="562"/>
        <v/>
      </c>
      <c r="S1865" s="134" t="str">
        <f t="shared" ca="1" si="563"/>
        <v/>
      </c>
      <c r="T1865" s="134" t="str">
        <f ca="1">IF(S1865=Dashboard!$D$12,S1865,"")</f>
        <v/>
      </c>
      <c r="U1865" s="134" t="str">
        <f t="shared" ca="1" si="564"/>
        <v/>
      </c>
      <c r="V1865" s="83" t="str">
        <f ca="1">IF(U1865="","",IFERROR((RANK(U1865,$U$2:$U$2028,1)+COUNTIF($U$2:U1865,U1865))-1,""))</f>
        <v/>
      </c>
      <c r="W1865" s="134" t="str">
        <f t="shared" si="568"/>
        <v/>
      </c>
      <c r="X1865" s="134" t="str">
        <f>IF(W1865="","",IFERROR((RANK(W1865,$W$2:$W$2028,1)+COUNTIF($W$2:W1865,W1865))-1,""))</f>
        <v/>
      </c>
      <c r="Y1865" s="134" t="str">
        <f t="shared" si="565"/>
        <v/>
      </c>
      <c r="Z1865" s="134" t="str">
        <f>IF(Y1865="","",IFERROR((RANK(Y1865,$Y$2:$Y$2028,1)+COUNTIF($Y$2:Y1865,Y1865))-1,""))</f>
        <v/>
      </c>
      <c r="AA1865" s="134" t="str">
        <f t="shared" si="566"/>
        <v/>
      </c>
      <c r="AB1865" s="134" t="str">
        <f>IF(AA1865="","",IFERROR((RANK(AA1865,$AA$2:$AA$2028,1)+COUNTIF($AA$2:AA1865,AA1865))-1,""))</f>
        <v/>
      </c>
      <c r="AC1865" s="134" t="str">
        <f t="shared" si="567"/>
        <v/>
      </c>
      <c r="AD1865" s="134" t="str">
        <f>IF(AC1865="","",IFERROR((RANK(AC1865,$AC$2:$AC$2028,1)+COUNTIF($AC$2:AC1865,AC1865))-1,""))</f>
        <v/>
      </c>
      <c r="AE1865" s="144" t="str">
        <f t="shared" si="571"/>
        <v/>
      </c>
      <c r="AF1865" s="144" t="str">
        <f>IF(AE1865="","",SUM($AE$2:AE1865))</f>
        <v/>
      </c>
    </row>
    <row r="1866" spans="14:32" x14ac:dyDescent="0.35">
      <c r="N1866" s="134" t="str">
        <f t="shared" si="569"/>
        <v/>
      </c>
      <c r="O1866" s="82" t="str">
        <f t="shared" si="560"/>
        <v/>
      </c>
      <c r="P1866" s="81" t="str">
        <f t="shared" si="570"/>
        <v/>
      </c>
      <c r="Q1866" s="81" t="str">
        <f t="shared" si="561"/>
        <v/>
      </c>
      <c r="R1866" s="135" t="str">
        <f t="shared" ca="1" si="562"/>
        <v/>
      </c>
      <c r="S1866" s="134" t="str">
        <f t="shared" ca="1" si="563"/>
        <v/>
      </c>
      <c r="T1866" s="134" t="str">
        <f ca="1">IF(S1866=Dashboard!$D$12,S1866,"")</f>
        <v/>
      </c>
      <c r="U1866" s="134" t="str">
        <f t="shared" ca="1" si="564"/>
        <v/>
      </c>
      <c r="V1866" s="83" t="str">
        <f ca="1">IF(U1866="","",IFERROR((RANK(U1866,$U$2:$U$2028,1)+COUNTIF($U$2:U1866,U1866))-1,""))</f>
        <v/>
      </c>
      <c r="W1866" s="134" t="str">
        <f t="shared" si="568"/>
        <v/>
      </c>
      <c r="X1866" s="134" t="str">
        <f>IF(W1866="","",IFERROR((RANK(W1866,$W$2:$W$2028,1)+COUNTIF($W$2:W1866,W1866))-1,""))</f>
        <v/>
      </c>
      <c r="Y1866" s="134" t="str">
        <f t="shared" si="565"/>
        <v/>
      </c>
      <c r="Z1866" s="134" t="str">
        <f>IF(Y1866="","",IFERROR((RANK(Y1866,$Y$2:$Y$2028,1)+COUNTIF($Y$2:Y1866,Y1866))-1,""))</f>
        <v/>
      </c>
      <c r="AA1866" s="134" t="str">
        <f t="shared" si="566"/>
        <v/>
      </c>
      <c r="AB1866" s="134" t="str">
        <f>IF(AA1866="","",IFERROR((RANK(AA1866,$AA$2:$AA$2028,1)+COUNTIF($AA$2:AA1866,AA1866))-1,""))</f>
        <v/>
      </c>
      <c r="AC1866" s="134" t="str">
        <f t="shared" si="567"/>
        <v/>
      </c>
      <c r="AD1866" s="134" t="str">
        <f>IF(AC1866="","",IFERROR((RANK(AC1866,$AC$2:$AC$2028,1)+COUNTIF($AC$2:AC1866,AC1866))-1,""))</f>
        <v/>
      </c>
      <c r="AE1866" s="144" t="str">
        <f t="shared" si="571"/>
        <v/>
      </c>
      <c r="AF1866" s="144" t="str">
        <f>IF(AE1866="","",SUM($AE$2:AE1866))</f>
        <v/>
      </c>
    </row>
    <row r="1867" spans="14:32" x14ac:dyDescent="0.35">
      <c r="N1867" s="134" t="str">
        <f t="shared" si="569"/>
        <v/>
      </c>
      <c r="O1867" s="82" t="str">
        <f t="shared" si="560"/>
        <v/>
      </c>
      <c r="P1867" s="81" t="str">
        <f t="shared" si="570"/>
        <v/>
      </c>
      <c r="Q1867" s="81" t="str">
        <f t="shared" si="561"/>
        <v/>
      </c>
      <c r="R1867" s="135" t="str">
        <f t="shared" ca="1" si="562"/>
        <v/>
      </c>
      <c r="S1867" s="134" t="str">
        <f t="shared" ca="1" si="563"/>
        <v/>
      </c>
      <c r="T1867" s="134" t="str">
        <f ca="1">IF(S1867=Dashboard!$D$12,S1867,"")</f>
        <v/>
      </c>
      <c r="U1867" s="134" t="str">
        <f t="shared" ca="1" si="564"/>
        <v/>
      </c>
      <c r="V1867" s="83" t="str">
        <f ca="1">IF(U1867="","",IFERROR((RANK(U1867,$U$2:$U$2028,1)+COUNTIF($U$2:U1867,U1867))-1,""))</f>
        <v/>
      </c>
      <c r="W1867" s="134" t="str">
        <f t="shared" si="568"/>
        <v/>
      </c>
      <c r="X1867" s="134" t="str">
        <f>IF(W1867="","",IFERROR((RANK(W1867,$W$2:$W$2028,1)+COUNTIF($W$2:W1867,W1867))-1,""))</f>
        <v/>
      </c>
      <c r="Y1867" s="134" t="str">
        <f t="shared" si="565"/>
        <v/>
      </c>
      <c r="Z1867" s="134" t="str">
        <f>IF(Y1867="","",IFERROR((RANK(Y1867,$Y$2:$Y$2028,1)+COUNTIF($Y$2:Y1867,Y1867))-1,""))</f>
        <v/>
      </c>
      <c r="AA1867" s="134" t="str">
        <f t="shared" si="566"/>
        <v/>
      </c>
      <c r="AB1867" s="134" t="str">
        <f>IF(AA1867="","",IFERROR((RANK(AA1867,$AA$2:$AA$2028,1)+COUNTIF($AA$2:AA1867,AA1867))-1,""))</f>
        <v/>
      </c>
      <c r="AC1867" s="134" t="str">
        <f t="shared" si="567"/>
        <v/>
      </c>
      <c r="AD1867" s="134" t="str">
        <f>IF(AC1867="","",IFERROR((RANK(AC1867,$AC$2:$AC$2028,1)+COUNTIF($AC$2:AC1867,AC1867))-1,""))</f>
        <v/>
      </c>
      <c r="AE1867" s="144" t="str">
        <f t="shared" si="571"/>
        <v/>
      </c>
      <c r="AF1867" s="144" t="str">
        <f>IF(AE1867="","",SUM($AE$2:AE1867))</f>
        <v/>
      </c>
    </row>
    <row r="1868" spans="14:32" x14ac:dyDescent="0.35">
      <c r="N1868" s="134" t="str">
        <f t="shared" si="569"/>
        <v/>
      </c>
      <c r="O1868" s="82" t="str">
        <f t="shared" si="560"/>
        <v/>
      </c>
      <c r="P1868" s="81" t="str">
        <f t="shared" si="570"/>
        <v/>
      </c>
      <c r="Q1868" s="81" t="str">
        <f t="shared" si="561"/>
        <v/>
      </c>
      <c r="R1868" s="135" t="str">
        <f t="shared" ca="1" si="562"/>
        <v/>
      </c>
      <c r="S1868" s="134" t="str">
        <f t="shared" ca="1" si="563"/>
        <v/>
      </c>
      <c r="T1868" s="134" t="str">
        <f ca="1">IF(S1868=Dashboard!$D$12,S1868,"")</f>
        <v/>
      </c>
      <c r="U1868" s="134" t="str">
        <f t="shared" ca="1" si="564"/>
        <v/>
      </c>
      <c r="V1868" s="83" t="str">
        <f ca="1">IF(U1868="","",IFERROR((RANK(U1868,$U$2:$U$2028,1)+COUNTIF($U$2:U1868,U1868))-1,""))</f>
        <v/>
      </c>
      <c r="W1868" s="134" t="str">
        <f t="shared" si="568"/>
        <v/>
      </c>
      <c r="X1868" s="134" t="str">
        <f>IF(W1868="","",IFERROR((RANK(W1868,$W$2:$W$2028,1)+COUNTIF($W$2:W1868,W1868))-1,""))</f>
        <v/>
      </c>
      <c r="Y1868" s="134" t="str">
        <f t="shared" si="565"/>
        <v/>
      </c>
      <c r="Z1868" s="134" t="str">
        <f>IF(Y1868="","",IFERROR((RANK(Y1868,$Y$2:$Y$2028,1)+COUNTIF($Y$2:Y1868,Y1868))-1,""))</f>
        <v/>
      </c>
      <c r="AA1868" s="134" t="str">
        <f t="shared" si="566"/>
        <v/>
      </c>
      <c r="AB1868" s="134" t="str">
        <f>IF(AA1868="","",IFERROR((RANK(AA1868,$AA$2:$AA$2028,1)+COUNTIF($AA$2:AA1868,AA1868))-1,""))</f>
        <v/>
      </c>
      <c r="AC1868" s="134" t="str">
        <f t="shared" si="567"/>
        <v/>
      </c>
      <c r="AD1868" s="134" t="str">
        <f>IF(AC1868="","",IFERROR((RANK(AC1868,$AC$2:$AC$2028,1)+COUNTIF($AC$2:AC1868,AC1868))-1,""))</f>
        <v/>
      </c>
      <c r="AE1868" s="144" t="str">
        <f t="shared" si="571"/>
        <v/>
      </c>
      <c r="AF1868" s="144" t="str">
        <f>IF(AE1868="","",SUM($AE$2:AE1868))</f>
        <v/>
      </c>
    </row>
    <row r="1869" spans="14:32" x14ac:dyDescent="0.35">
      <c r="N1869" s="134" t="str">
        <f t="shared" si="569"/>
        <v/>
      </c>
      <c r="O1869" s="82" t="str">
        <f t="shared" si="560"/>
        <v/>
      </c>
      <c r="P1869" s="81" t="str">
        <f t="shared" si="570"/>
        <v/>
      </c>
      <c r="Q1869" s="81" t="str">
        <f t="shared" si="561"/>
        <v/>
      </c>
      <c r="R1869" s="135" t="str">
        <f t="shared" ca="1" si="562"/>
        <v/>
      </c>
      <c r="S1869" s="134" t="str">
        <f t="shared" ca="1" si="563"/>
        <v/>
      </c>
      <c r="T1869" s="134" t="str">
        <f ca="1">IF(S1869=Dashboard!$D$12,S1869,"")</f>
        <v/>
      </c>
      <c r="U1869" s="134" t="str">
        <f t="shared" ca="1" si="564"/>
        <v/>
      </c>
      <c r="V1869" s="83" t="str">
        <f ca="1">IF(U1869="","",IFERROR((RANK(U1869,$U$2:$U$2028,1)+COUNTIF($U$2:U1869,U1869))-1,""))</f>
        <v/>
      </c>
      <c r="W1869" s="134" t="str">
        <f t="shared" si="568"/>
        <v/>
      </c>
      <c r="X1869" s="134" t="str">
        <f>IF(W1869="","",IFERROR((RANK(W1869,$W$2:$W$2028,1)+COUNTIF($W$2:W1869,W1869))-1,""))</f>
        <v/>
      </c>
      <c r="Y1869" s="134" t="str">
        <f t="shared" si="565"/>
        <v/>
      </c>
      <c r="Z1869" s="134" t="str">
        <f>IF(Y1869="","",IFERROR((RANK(Y1869,$Y$2:$Y$2028,1)+COUNTIF($Y$2:Y1869,Y1869))-1,""))</f>
        <v/>
      </c>
      <c r="AA1869" s="134" t="str">
        <f t="shared" si="566"/>
        <v/>
      </c>
      <c r="AB1869" s="134" t="str">
        <f>IF(AA1869="","",IFERROR((RANK(AA1869,$AA$2:$AA$2028,1)+COUNTIF($AA$2:AA1869,AA1869))-1,""))</f>
        <v/>
      </c>
      <c r="AC1869" s="134" t="str">
        <f t="shared" si="567"/>
        <v/>
      </c>
      <c r="AD1869" s="134" t="str">
        <f>IF(AC1869="","",IFERROR((RANK(AC1869,$AC$2:$AC$2028,1)+COUNTIF($AC$2:AC1869,AC1869))-1,""))</f>
        <v/>
      </c>
      <c r="AE1869" s="144" t="str">
        <f t="shared" si="571"/>
        <v/>
      </c>
      <c r="AF1869" s="144" t="str">
        <f>IF(AE1869="","",SUM($AE$2:AE1869))</f>
        <v/>
      </c>
    </row>
    <row r="1870" spans="14:32" x14ac:dyDescent="0.35">
      <c r="N1870" s="134" t="str">
        <f t="shared" si="569"/>
        <v/>
      </c>
      <c r="O1870" s="82" t="str">
        <f t="shared" si="560"/>
        <v/>
      </c>
      <c r="P1870" s="81" t="str">
        <f t="shared" si="570"/>
        <v/>
      </c>
      <c r="Q1870" s="81" t="str">
        <f t="shared" si="561"/>
        <v/>
      </c>
      <c r="R1870" s="135" t="str">
        <f t="shared" ca="1" si="562"/>
        <v/>
      </c>
      <c r="S1870" s="134" t="str">
        <f t="shared" ca="1" si="563"/>
        <v/>
      </c>
      <c r="T1870" s="134" t="str">
        <f ca="1">IF(S1870=Dashboard!$D$12,S1870,"")</f>
        <v/>
      </c>
      <c r="U1870" s="134" t="str">
        <f t="shared" ca="1" si="564"/>
        <v/>
      </c>
      <c r="V1870" s="83" t="str">
        <f ca="1">IF(U1870="","",IFERROR((RANK(U1870,$U$2:$U$2028,1)+COUNTIF($U$2:U1870,U1870))-1,""))</f>
        <v/>
      </c>
      <c r="W1870" s="134" t="str">
        <f t="shared" si="568"/>
        <v/>
      </c>
      <c r="X1870" s="134" t="str">
        <f>IF(W1870="","",IFERROR((RANK(W1870,$W$2:$W$2028,1)+COUNTIF($W$2:W1870,W1870))-1,""))</f>
        <v/>
      </c>
      <c r="Y1870" s="134" t="str">
        <f t="shared" si="565"/>
        <v/>
      </c>
      <c r="Z1870" s="134" t="str">
        <f>IF(Y1870="","",IFERROR((RANK(Y1870,$Y$2:$Y$2028,1)+COUNTIF($Y$2:Y1870,Y1870))-1,""))</f>
        <v/>
      </c>
      <c r="AA1870" s="134" t="str">
        <f t="shared" si="566"/>
        <v/>
      </c>
      <c r="AB1870" s="134" t="str">
        <f>IF(AA1870="","",IFERROR((RANK(AA1870,$AA$2:$AA$2028,1)+COUNTIF($AA$2:AA1870,AA1870))-1,""))</f>
        <v/>
      </c>
      <c r="AC1870" s="134" t="str">
        <f t="shared" si="567"/>
        <v/>
      </c>
      <c r="AD1870" s="134" t="str">
        <f>IF(AC1870="","",IFERROR((RANK(AC1870,$AC$2:$AC$2028,1)+COUNTIF($AC$2:AC1870,AC1870))-1,""))</f>
        <v/>
      </c>
      <c r="AE1870" s="144" t="str">
        <f t="shared" si="571"/>
        <v/>
      </c>
      <c r="AF1870" s="144" t="str">
        <f>IF(AE1870="","",SUM($AE$2:AE1870))</f>
        <v/>
      </c>
    </row>
    <row r="1871" spans="14:32" x14ac:dyDescent="0.35">
      <c r="N1871" s="134" t="str">
        <f t="shared" si="569"/>
        <v/>
      </c>
      <c r="O1871" s="82" t="str">
        <f t="shared" si="560"/>
        <v/>
      </c>
      <c r="P1871" s="81" t="str">
        <f t="shared" si="570"/>
        <v/>
      </c>
      <c r="Q1871" s="81" t="str">
        <f t="shared" si="561"/>
        <v/>
      </c>
      <c r="R1871" s="135" t="str">
        <f t="shared" ca="1" si="562"/>
        <v/>
      </c>
      <c r="S1871" s="134" t="str">
        <f t="shared" ca="1" si="563"/>
        <v/>
      </c>
      <c r="T1871" s="134" t="str">
        <f ca="1">IF(S1871=Dashboard!$D$12,S1871,"")</f>
        <v/>
      </c>
      <c r="U1871" s="134" t="str">
        <f t="shared" ca="1" si="564"/>
        <v/>
      </c>
      <c r="V1871" s="83" t="str">
        <f ca="1">IF(U1871="","",IFERROR((RANK(U1871,$U$2:$U$2028,1)+COUNTIF($U$2:U1871,U1871))-1,""))</f>
        <v/>
      </c>
      <c r="W1871" s="134" t="str">
        <f t="shared" si="568"/>
        <v/>
      </c>
      <c r="X1871" s="134" t="str">
        <f>IF(W1871="","",IFERROR((RANK(W1871,$W$2:$W$2028,1)+COUNTIF($W$2:W1871,W1871))-1,""))</f>
        <v/>
      </c>
      <c r="Y1871" s="134" t="str">
        <f t="shared" si="565"/>
        <v/>
      </c>
      <c r="Z1871" s="134" t="str">
        <f>IF(Y1871="","",IFERROR((RANK(Y1871,$Y$2:$Y$2028,1)+COUNTIF($Y$2:Y1871,Y1871))-1,""))</f>
        <v/>
      </c>
      <c r="AA1871" s="134" t="str">
        <f t="shared" si="566"/>
        <v/>
      </c>
      <c r="AB1871" s="134" t="str">
        <f>IF(AA1871="","",IFERROR((RANK(AA1871,$AA$2:$AA$2028,1)+COUNTIF($AA$2:AA1871,AA1871))-1,""))</f>
        <v/>
      </c>
      <c r="AC1871" s="134" t="str">
        <f t="shared" si="567"/>
        <v/>
      </c>
      <c r="AD1871" s="134" t="str">
        <f>IF(AC1871="","",IFERROR((RANK(AC1871,$AC$2:$AC$2028,1)+COUNTIF($AC$2:AC1871,AC1871))-1,""))</f>
        <v/>
      </c>
      <c r="AE1871" s="144" t="str">
        <f t="shared" si="571"/>
        <v/>
      </c>
      <c r="AF1871" s="144" t="str">
        <f>IF(AE1871="","",SUM($AE$2:AE1871))</f>
        <v/>
      </c>
    </row>
    <row r="1872" spans="14:32" x14ac:dyDescent="0.35">
      <c r="N1872" s="134" t="str">
        <f t="shared" si="569"/>
        <v/>
      </c>
      <c r="O1872" s="82" t="str">
        <f t="shared" si="560"/>
        <v/>
      </c>
      <c r="P1872" s="81" t="str">
        <f t="shared" si="570"/>
        <v/>
      </c>
      <c r="Q1872" s="81" t="str">
        <f t="shared" si="561"/>
        <v/>
      </c>
      <c r="R1872" s="135" t="str">
        <f t="shared" ca="1" si="562"/>
        <v/>
      </c>
      <c r="S1872" s="134" t="str">
        <f t="shared" ca="1" si="563"/>
        <v/>
      </c>
      <c r="T1872" s="134" t="str">
        <f ca="1">IF(S1872=Dashboard!$D$12,S1872,"")</f>
        <v/>
      </c>
      <c r="U1872" s="134" t="str">
        <f t="shared" ca="1" si="564"/>
        <v/>
      </c>
      <c r="V1872" s="83" t="str">
        <f ca="1">IF(U1872="","",IFERROR((RANK(U1872,$U$2:$U$2028,1)+COUNTIF($U$2:U1872,U1872))-1,""))</f>
        <v/>
      </c>
      <c r="W1872" s="134" t="str">
        <f t="shared" si="568"/>
        <v/>
      </c>
      <c r="X1872" s="134" t="str">
        <f>IF(W1872="","",IFERROR((RANK(W1872,$W$2:$W$2028,1)+COUNTIF($W$2:W1872,W1872))-1,""))</f>
        <v/>
      </c>
      <c r="Y1872" s="134" t="str">
        <f t="shared" si="565"/>
        <v/>
      </c>
      <c r="Z1872" s="134" t="str">
        <f>IF(Y1872="","",IFERROR((RANK(Y1872,$Y$2:$Y$2028,1)+COUNTIF($Y$2:Y1872,Y1872))-1,""))</f>
        <v/>
      </c>
      <c r="AA1872" s="134" t="str">
        <f t="shared" si="566"/>
        <v/>
      </c>
      <c r="AB1872" s="134" t="str">
        <f>IF(AA1872="","",IFERROR((RANK(AA1872,$AA$2:$AA$2028,1)+COUNTIF($AA$2:AA1872,AA1872))-1,""))</f>
        <v/>
      </c>
      <c r="AC1872" s="134" t="str">
        <f t="shared" si="567"/>
        <v/>
      </c>
      <c r="AD1872" s="134" t="str">
        <f>IF(AC1872="","",IFERROR((RANK(AC1872,$AC$2:$AC$2028,1)+COUNTIF($AC$2:AC1872,AC1872))-1,""))</f>
        <v/>
      </c>
      <c r="AE1872" s="144" t="str">
        <f t="shared" si="571"/>
        <v/>
      </c>
      <c r="AF1872" s="144" t="str">
        <f>IF(AE1872="","",SUM($AE$2:AE1872))</f>
        <v/>
      </c>
    </row>
    <row r="1873" spans="14:32" x14ac:dyDescent="0.35">
      <c r="N1873" s="134" t="str">
        <f t="shared" si="569"/>
        <v/>
      </c>
      <c r="O1873" s="82" t="str">
        <f t="shared" si="560"/>
        <v/>
      </c>
      <c r="P1873" s="81" t="str">
        <f t="shared" si="570"/>
        <v/>
      </c>
      <c r="Q1873" s="81" t="str">
        <f t="shared" si="561"/>
        <v/>
      </c>
      <c r="R1873" s="135" t="str">
        <f t="shared" ca="1" si="562"/>
        <v/>
      </c>
      <c r="S1873" s="134" t="str">
        <f t="shared" ca="1" si="563"/>
        <v/>
      </c>
      <c r="T1873" s="134" t="str">
        <f ca="1">IF(S1873=Dashboard!$D$12,S1873,"")</f>
        <v/>
      </c>
      <c r="U1873" s="134" t="str">
        <f t="shared" ca="1" si="564"/>
        <v/>
      </c>
      <c r="V1873" s="83" t="str">
        <f ca="1">IF(U1873="","",IFERROR((RANK(U1873,$U$2:$U$2028,1)+COUNTIF($U$2:U1873,U1873))-1,""))</f>
        <v/>
      </c>
      <c r="W1873" s="134" t="str">
        <f t="shared" si="568"/>
        <v/>
      </c>
      <c r="X1873" s="134" t="str">
        <f>IF(W1873="","",IFERROR((RANK(W1873,$W$2:$W$2028,1)+COUNTIF($W$2:W1873,W1873))-1,""))</f>
        <v/>
      </c>
      <c r="Y1873" s="134" t="str">
        <f t="shared" si="565"/>
        <v/>
      </c>
      <c r="Z1873" s="134" t="str">
        <f>IF(Y1873="","",IFERROR((RANK(Y1873,$Y$2:$Y$2028,1)+COUNTIF($Y$2:Y1873,Y1873))-1,""))</f>
        <v/>
      </c>
      <c r="AA1873" s="134" t="str">
        <f t="shared" si="566"/>
        <v/>
      </c>
      <c r="AB1873" s="134" t="str">
        <f>IF(AA1873="","",IFERROR((RANK(AA1873,$AA$2:$AA$2028,1)+COUNTIF($AA$2:AA1873,AA1873))-1,""))</f>
        <v/>
      </c>
      <c r="AC1873" s="134" t="str">
        <f t="shared" si="567"/>
        <v/>
      </c>
      <c r="AD1873" s="134" t="str">
        <f>IF(AC1873="","",IFERROR((RANK(AC1873,$AC$2:$AC$2028,1)+COUNTIF($AC$2:AC1873,AC1873))-1,""))</f>
        <v/>
      </c>
      <c r="AE1873" s="144" t="str">
        <f t="shared" si="571"/>
        <v/>
      </c>
      <c r="AF1873" s="144" t="str">
        <f>IF(AE1873="","",SUM($AE$2:AE1873))</f>
        <v/>
      </c>
    </row>
    <row r="1874" spans="14:32" x14ac:dyDescent="0.35">
      <c r="N1874" s="134" t="str">
        <f t="shared" si="569"/>
        <v/>
      </c>
      <c r="O1874" s="82" t="str">
        <f t="shared" si="560"/>
        <v/>
      </c>
      <c r="P1874" s="81" t="str">
        <f t="shared" si="570"/>
        <v/>
      </c>
      <c r="Q1874" s="81" t="str">
        <f t="shared" si="561"/>
        <v/>
      </c>
      <c r="R1874" s="135" t="str">
        <f t="shared" ca="1" si="562"/>
        <v/>
      </c>
      <c r="S1874" s="134" t="str">
        <f t="shared" ca="1" si="563"/>
        <v/>
      </c>
      <c r="T1874" s="134" t="str">
        <f ca="1">IF(S1874=Dashboard!$D$12,S1874,"")</f>
        <v/>
      </c>
      <c r="U1874" s="134" t="str">
        <f t="shared" ca="1" si="564"/>
        <v/>
      </c>
      <c r="V1874" s="83" t="str">
        <f ca="1">IF(U1874="","",IFERROR((RANK(U1874,$U$2:$U$2028,1)+COUNTIF($U$2:U1874,U1874))-1,""))</f>
        <v/>
      </c>
      <c r="W1874" s="134" t="str">
        <f t="shared" si="568"/>
        <v/>
      </c>
      <c r="X1874" s="134" t="str">
        <f>IF(W1874="","",IFERROR((RANK(W1874,$W$2:$W$2028,1)+COUNTIF($W$2:W1874,W1874))-1,""))</f>
        <v/>
      </c>
      <c r="Y1874" s="134" t="str">
        <f t="shared" si="565"/>
        <v/>
      </c>
      <c r="Z1874" s="134" t="str">
        <f>IF(Y1874="","",IFERROR((RANK(Y1874,$Y$2:$Y$2028,1)+COUNTIF($Y$2:Y1874,Y1874))-1,""))</f>
        <v/>
      </c>
      <c r="AA1874" s="134" t="str">
        <f t="shared" si="566"/>
        <v/>
      </c>
      <c r="AB1874" s="134" t="str">
        <f>IF(AA1874="","",IFERROR((RANK(AA1874,$AA$2:$AA$2028,1)+COUNTIF($AA$2:AA1874,AA1874))-1,""))</f>
        <v/>
      </c>
      <c r="AC1874" s="134" t="str">
        <f t="shared" si="567"/>
        <v/>
      </c>
      <c r="AD1874" s="134" t="str">
        <f>IF(AC1874="","",IFERROR((RANK(AC1874,$AC$2:$AC$2028,1)+COUNTIF($AC$2:AC1874,AC1874))-1,""))</f>
        <v/>
      </c>
      <c r="AE1874" s="144" t="str">
        <f t="shared" si="571"/>
        <v/>
      </c>
      <c r="AF1874" s="144" t="str">
        <f>IF(AE1874="","",SUM($AE$2:AE1874))</f>
        <v/>
      </c>
    </row>
    <row r="1875" spans="14:32" x14ac:dyDescent="0.35">
      <c r="N1875" s="134" t="str">
        <f t="shared" si="569"/>
        <v/>
      </c>
      <c r="O1875" s="82" t="str">
        <f t="shared" si="560"/>
        <v/>
      </c>
      <c r="P1875" s="81" t="str">
        <f t="shared" si="570"/>
        <v/>
      </c>
      <c r="Q1875" s="81" t="str">
        <f t="shared" si="561"/>
        <v/>
      </c>
      <c r="R1875" s="135" t="str">
        <f t="shared" ca="1" si="562"/>
        <v/>
      </c>
      <c r="S1875" s="134" t="str">
        <f t="shared" ca="1" si="563"/>
        <v/>
      </c>
      <c r="T1875" s="134" t="str">
        <f ca="1">IF(S1875=Dashboard!$D$12,S1875,"")</f>
        <v/>
      </c>
      <c r="U1875" s="134" t="str">
        <f t="shared" ca="1" si="564"/>
        <v/>
      </c>
      <c r="V1875" s="83" t="str">
        <f ca="1">IF(U1875="","",IFERROR((RANK(U1875,$U$2:$U$2028,1)+COUNTIF($U$2:U1875,U1875))-1,""))</f>
        <v/>
      </c>
      <c r="W1875" s="134" t="str">
        <f t="shared" si="568"/>
        <v/>
      </c>
      <c r="X1875" s="134" t="str">
        <f>IF(W1875="","",IFERROR((RANK(W1875,$W$2:$W$2028,1)+COUNTIF($W$2:W1875,W1875))-1,""))</f>
        <v/>
      </c>
      <c r="Y1875" s="134" t="str">
        <f t="shared" si="565"/>
        <v/>
      </c>
      <c r="Z1875" s="134" t="str">
        <f>IF(Y1875="","",IFERROR((RANK(Y1875,$Y$2:$Y$2028,1)+COUNTIF($Y$2:Y1875,Y1875))-1,""))</f>
        <v/>
      </c>
      <c r="AA1875" s="134" t="str">
        <f t="shared" si="566"/>
        <v/>
      </c>
      <c r="AB1875" s="134" t="str">
        <f>IF(AA1875="","",IFERROR((RANK(AA1875,$AA$2:$AA$2028,1)+COUNTIF($AA$2:AA1875,AA1875))-1,""))</f>
        <v/>
      </c>
      <c r="AC1875" s="134" t="str">
        <f t="shared" si="567"/>
        <v/>
      </c>
      <c r="AD1875" s="134" t="str">
        <f>IF(AC1875="","",IFERROR((RANK(AC1875,$AC$2:$AC$2028,1)+COUNTIF($AC$2:AC1875,AC1875))-1,""))</f>
        <v/>
      </c>
      <c r="AE1875" s="144" t="str">
        <f t="shared" si="571"/>
        <v/>
      </c>
      <c r="AF1875" s="144" t="str">
        <f>IF(AE1875="","",SUM($AE$2:AE1875))</f>
        <v/>
      </c>
    </row>
    <row r="1876" spans="14:32" x14ac:dyDescent="0.35">
      <c r="N1876" s="134" t="str">
        <f t="shared" si="569"/>
        <v/>
      </c>
      <c r="O1876" s="82" t="str">
        <f t="shared" si="560"/>
        <v/>
      </c>
      <c r="P1876" s="81" t="str">
        <f t="shared" si="570"/>
        <v/>
      </c>
      <c r="Q1876" s="81" t="str">
        <f t="shared" si="561"/>
        <v/>
      </c>
      <c r="R1876" s="135" t="str">
        <f t="shared" ca="1" si="562"/>
        <v/>
      </c>
      <c r="S1876" s="134" t="str">
        <f t="shared" ca="1" si="563"/>
        <v/>
      </c>
      <c r="T1876" s="134" t="str">
        <f ca="1">IF(S1876=Dashboard!$D$12,S1876,"")</f>
        <v/>
      </c>
      <c r="U1876" s="134" t="str">
        <f t="shared" ca="1" si="564"/>
        <v/>
      </c>
      <c r="V1876" s="83" t="str">
        <f ca="1">IF(U1876="","",IFERROR((RANK(U1876,$U$2:$U$2028,1)+COUNTIF($U$2:U1876,U1876))-1,""))</f>
        <v/>
      </c>
      <c r="W1876" s="134" t="str">
        <f t="shared" si="568"/>
        <v/>
      </c>
      <c r="X1876" s="134" t="str">
        <f>IF(W1876="","",IFERROR((RANK(W1876,$W$2:$W$2028,1)+COUNTIF($W$2:W1876,W1876))-1,""))</f>
        <v/>
      </c>
      <c r="Y1876" s="134" t="str">
        <f t="shared" si="565"/>
        <v/>
      </c>
      <c r="Z1876" s="134" t="str">
        <f>IF(Y1876="","",IFERROR((RANK(Y1876,$Y$2:$Y$2028,1)+COUNTIF($Y$2:Y1876,Y1876))-1,""))</f>
        <v/>
      </c>
      <c r="AA1876" s="134" t="str">
        <f t="shared" si="566"/>
        <v/>
      </c>
      <c r="AB1876" s="134" t="str">
        <f>IF(AA1876="","",IFERROR((RANK(AA1876,$AA$2:$AA$2028,1)+COUNTIF($AA$2:AA1876,AA1876))-1,""))</f>
        <v/>
      </c>
      <c r="AC1876" s="134" t="str">
        <f t="shared" si="567"/>
        <v/>
      </c>
      <c r="AD1876" s="134" t="str">
        <f>IF(AC1876="","",IFERROR((RANK(AC1876,$AC$2:$AC$2028,1)+COUNTIF($AC$2:AC1876,AC1876))-1,""))</f>
        <v/>
      </c>
      <c r="AE1876" s="144" t="str">
        <f t="shared" si="571"/>
        <v/>
      </c>
      <c r="AF1876" s="144" t="str">
        <f>IF(AE1876="","",SUM($AE$2:AE1876))</f>
        <v/>
      </c>
    </row>
    <row r="1877" spans="14:32" x14ac:dyDescent="0.35">
      <c r="N1877" s="134" t="str">
        <f t="shared" si="569"/>
        <v/>
      </c>
      <c r="O1877" s="82" t="str">
        <f t="shared" si="560"/>
        <v/>
      </c>
      <c r="P1877" s="81" t="str">
        <f t="shared" si="570"/>
        <v/>
      </c>
      <c r="Q1877" s="81" t="str">
        <f t="shared" si="561"/>
        <v/>
      </c>
      <c r="R1877" s="135" t="str">
        <f t="shared" ca="1" si="562"/>
        <v/>
      </c>
      <c r="S1877" s="134" t="str">
        <f t="shared" ca="1" si="563"/>
        <v/>
      </c>
      <c r="T1877" s="134" t="str">
        <f ca="1">IF(S1877=Dashboard!$D$12,S1877,"")</f>
        <v/>
      </c>
      <c r="U1877" s="134" t="str">
        <f t="shared" ca="1" si="564"/>
        <v/>
      </c>
      <c r="V1877" s="83" t="str">
        <f ca="1">IF(U1877="","",IFERROR((RANK(U1877,$U$2:$U$2028,1)+COUNTIF($U$2:U1877,U1877))-1,""))</f>
        <v/>
      </c>
      <c r="W1877" s="134" t="str">
        <f t="shared" si="568"/>
        <v/>
      </c>
      <c r="X1877" s="134" t="str">
        <f>IF(W1877="","",IFERROR((RANK(W1877,$W$2:$W$2028,1)+COUNTIF($W$2:W1877,W1877))-1,""))</f>
        <v/>
      </c>
      <c r="Y1877" s="134" t="str">
        <f t="shared" si="565"/>
        <v/>
      </c>
      <c r="Z1877" s="134" t="str">
        <f>IF(Y1877="","",IFERROR((RANK(Y1877,$Y$2:$Y$2028,1)+COUNTIF($Y$2:Y1877,Y1877))-1,""))</f>
        <v/>
      </c>
      <c r="AA1877" s="134" t="str">
        <f t="shared" si="566"/>
        <v/>
      </c>
      <c r="AB1877" s="134" t="str">
        <f>IF(AA1877="","",IFERROR((RANK(AA1877,$AA$2:$AA$2028,1)+COUNTIF($AA$2:AA1877,AA1877))-1,""))</f>
        <v/>
      </c>
      <c r="AC1877" s="134" t="str">
        <f t="shared" si="567"/>
        <v/>
      </c>
      <c r="AD1877" s="134" t="str">
        <f>IF(AC1877="","",IFERROR((RANK(AC1877,$AC$2:$AC$2028,1)+COUNTIF($AC$2:AC1877,AC1877))-1,""))</f>
        <v/>
      </c>
      <c r="AE1877" s="144" t="str">
        <f t="shared" si="571"/>
        <v/>
      </c>
      <c r="AF1877" s="144" t="str">
        <f>IF(AE1877="","",SUM($AE$2:AE1877))</f>
        <v/>
      </c>
    </row>
    <row r="1878" spans="14:32" x14ac:dyDescent="0.35">
      <c r="N1878" s="134" t="str">
        <f t="shared" si="569"/>
        <v/>
      </c>
      <c r="O1878" s="82" t="str">
        <f t="shared" si="560"/>
        <v/>
      </c>
      <c r="P1878" s="81" t="str">
        <f t="shared" si="570"/>
        <v/>
      </c>
      <c r="Q1878" s="81" t="str">
        <f t="shared" si="561"/>
        <v/>
      </c>
      <c r="R1878" s="135" t="str">
        <f t="shared" ca="1" si="562"/>
        <v/>
      </c>
      <c r="S1878" s="134" t="str">
        <f t="shared" ca="1" si="563"/>
        <v/>
      </c>
      <c r="T1878" s="134" t="str">
        <f ca="1">IF(S1878=Dashboard!$D$12,S1878,"")</f>
        <v/>
      </c>
      <c r="U1878" s="134" t="str">
        <f t="shared" ca="1" si="564"/>
        <v/>
      </c>
      <c r="V1878" s="83" t="str">
        <f ca="1">IF(U1878="","",IFERROR((RANK(U1878,$U$2:$U$2028,1)+COUNTIF($U$2:U1878,U1878))-1,""))</f>
        <v/>
      </c>
      <c r="W1878" s="134" t="str">
        <f t="shared" si="568"/>
        <v/>
      </c>
      <c r="X1878" s="134" t="str">
        <f>IF(W1878="","",IFERROR((RANK(W1878,$W$2:$W$2028,1)+COUNTIF($W$2:W1878,W1878))-1,""))</f>
        <v/>
      </c>
      <c r="Y1878" s="134" t="str">
        <f t="shared" si="565"/>
        <v/>
      </c>
      <c r="Z1878" s="134" t="str">
        <f>IF(Y1878="","",IFERROR((RANK(Y1878,$Y$2:$Y$2028,1)+COUNTIF($Y$2:Y1878,Y1878))-1,""))</f>
        <v/>
      </c>
      <c r="AA1878" s="134" t="str">
        <f t="shared" si="566"/>
        <v/>
      </c>
      <c r="AB1878" s="134" t="str">
        <f>IF(AA1878="","",IFERROR((RANK(AA1878,$AA$2:$AA$2028,1)+COUNTIF($AA$2:AA1878,AA1878))-1,""))</f>
        <v/>
      </c>
      <c r="AC1878" s="134" t="str">
        <f t="shared" si="567"/>
        <v/>
      </c>
      <c r="AD1878" s="134" t="str">
        <f>IF(AC1878="","",IFERROR((RANK(AC1878,$AC$2:$AC$2028,1)+COUNTIF($AC$2:AC1878,AC1878))-1,""))</f>
        <v/>
      </c>
      <c r="AE1878" s="144" t="str">
        <f t="shared" si="571"/>
        <v/>
      </c>
      <c r="AF1878" s="144" t="str">
        <f>IF(AE1878="","",SUM($AE$2:AE1878))</f>
        <v/>
      </c>
    </row>
    <row r="1879" spans="14:32" x14ac:dyDescent="0.35">
      <c r="N1879" s="134" t="str">
        <f t="shared" si="569"/>
        <v/>
      </c>
      <c r="O1879" s="82" t="str">
        <f t="shared" si="560"/>
        <v/>
      </c>
      <c r="P1879" s="81" t="str">
        <f t="shared" si="570"/>
        <v/>
      </c>
      <c r="Q1879" s="81" t="str">
        <f t="shared" si="561"/>
        <v/>
      </c>
      <c r="R1879" s="135" t="str">
        <f t="shared" ca="1" si="562"/>
        <v/>
      </c>
      <c r="S1879" s="134" t="str">
        <f t="shared" ca="1" si="563"/>
        <v/>
      </c>
      <c r="T1879" s="134" t="str">
        <f ca="1">IF(S1879=Dashboard!$D$12,S1879,"")</f>
        <v/>
      </c>
      <c r="U1879" s="134" t="str">
        <f t="shared" ca="1" si="564"/>
        <v/>
      </c>
      <c r="V1879" s="83" t="str">
        <f ca="1">IF(U1879="","",IFERROR((RANK(U1879,$U$2:$U$2028,1)+COUNTIF($U$2:U1879,U1879))-1,""))</f>
        <v/>
      </c>
      <c r="W1879" s="134" t="str">
        <f t="shared" si="568"/>
        <v/>
      </c>
      <c r="X1879" s="134" t="str">
        <f>IF(W1879="","",IFERROR((RANK(W1879,$W$2:$W$2028,1)+COUNTIF($W$2:W1879,W1879))-1,""))</f>
        <v/>
      </c>
      <c r="Y1879" s="134" t="str">
        <f t="shared" si="565"/>
        <v/>
      </c>
      <c r="Z1879" s="134" t="str">
        <f>IF(Y1879="","",IFERROR((RANK(Y1879,$Y$2:$Y$2028,1)+COUNTIF($Y$2:Y1879,Y1879))-1,""))</f>
        <v/>
      </c>
      <c r="AA1879" s="134" t="str">
        <f t="shared" si="566"/>
        <v/>
      </c>
      <c r="AB1879" s="134" t="str">
        <f>IF(AA1879="","",IFERROR((RANK(AA1879,$AA$2:$AA$2028,1)+COUNTIF($AA$2:AA1879,AA1879))-1,""))</f>
        <v/>
      </c>
      <c r="AC1879" s="134" t="str">
        <f t="shared" si="567"/>
        <v/>
      </c>
      <c r="AD1879" s="134" t="str">
        <f>IF(AC1879="","",IFERROR((RANK(AC1879,$AC$2:$AC$2028,1)+COUNTIF($AC$2:AC1879,AC1879))-1,""))</f>
        <v/>
      </c>
      <c r="AE1879" s="144" t="str">
        <f t="shared" si="571"/>
        <v/>
      </c>
      <c r="AF1879" s="144" t="str">
        <f>IF(AE1879="","",SUM($AE$2:AE1879))</f>
        <v/>
      </c>
    </row>
    <row r="1880" spans="14:32" x14ac:dyDescent="0.35">
      <c r="N1880" s="134" t="str">
        <f t="shared" si="569"/>
        <v/>
      </c>
      <c r="O1880" s="82" t="str">
        <f t="shared" si="560"/>
        <v/>
      </c>
      <c r="P1880" s="81" t="str">
        <f t="shared" si="570"/>
        <v/>
      </c>
      <c r="Q1880" s="81" t="str">
        <f t="shared" si="561"/>
        <v/>
      </c>
      <c r="R1880" s="135" t="str">
        <f t="shared" ca="1" si="562"/>
        <v/>
      </c>
      <c r="S1880" s="134" t="str">
        <f t="shared" ca="1" si="563"/>
        <v/>
      </c>
      <c r="T1880" s="134" t="str">
        <f ca="1">IF(S1880=Dashboard!$D$12,S1880,"")</f>
        <v/>
      </c>
      <c r="U1880" s="134" t="str">
        <f t="shared" ca="1" si="564"/>
        <v/>
      </c>
      <c r="V1880" s="83" t="str">
        <f ca="1">IF(U1880="","",IFERROR((RANK(U1880,$U$2:$U$2028,1)+COUNTIF($U$2:U1880,U1880))-1,""))</f>
        <v/>
      </c>
      <c r="W1880" s="134" t="str">
        <f t="shared" si="568"/>
        <v/>
      </c>
      <c r="X1880" s="134" t="str">
        <f>IF(W1880="","",IFERROR((RANK(W1880,$W$2:$W$2028,1)+COUNTIF($W$2:W1880,W1880))-1,""))</f>
        <v/>
      </c>
      <c r="Y1880" s="134" t="str">
        <f t="shared" si="565"/>
        <v/>
      </c>
      <c r="Z1880" s="134" t="str">
        <f>IF(Y1880="","",IFERROR((RANK(Y1880,$Y$2:$Y$2028,1)+COUNTIF($Y$2:Y1880,Y1880))-1,""))</f>
        <v/>
      </c>
      <c r="AA1880" s="134" t="str">
        <f t="shared" si="566"/>
        <v/>
      </c>
      <c r="AB1880" s="134" t="str">
        <f>IF(AA1880="","",IFERROR((RANK(AA1880,$AA$2:$AA$2028,1)+COUNTIF($AA$2:AA1880,AA1880))-1,""))</f>
        <v/>
      </c>
      <c r="AC1880" s="134" t="str">
        <f t="shared" si="567"/>
        <v/>
      </c>
      <c r="AD1880" s="134" t="str">
        <f>IF(AC1880="","",IFERROR((RANK(AC1880,$AC$2:$AC$2028,1)+COUNTIF($AC$2:AC1880,AC1880))-1,""))</f>
        <v/>
      </c>
      <c r="AE1880" s="144" t="str">
        <f t="shared" si="571"/>
        <v/>
      </c>
      <c r="AF1880" s="144" t="str">
        <f>IF(AE1880="","",SUM($AE$2:AE1880))</f>
        <v/>
      </c>
    </row>
    <row r="1881" spans="14:32" x14ac:dyDescent="0.35">
      <c r="N1881" s="134" t="str">
        <f t="shared" si="569"/>
        <v/>
      </c>
      <c r="O1881" s="82" t="str">
        <f t="shared" si="560"/>
        <v/>
      </c>
      <c r="P1881" s="81" t="str">
        <f t="shared" si="570"/>
        <v/>
      </c>
      <c r="Q1881" s="81" t="str">
        <f t="shared" si="561"/>
        <v/>
      </c>
      <c r="R1881" s="135" t="str">
        <f t="shared" ca="1" si="562"/>
        <v/>
      </c>
      <c r="S1881" s="134" t="str">
        <f t="shared" ca="1" si="563"/>
        <v/>
      </c>
      <c r="T1881" s="134" t="str">
        <f ca="1">IF(S1881=Dashboard!$D$12,S1881,"")</f>
        <v/>
      </c>
      <c r="U1881" s="134" t="str">
        <f t="shared" ca="1" si="564"/>
        <v/>
      </c>
      <c r="V1881" s="83" t="str">
        <f ca="1">IF(U1881="","",IFERROR((RANK(U1881,$U$2:$U$2028,1)+COUNTIF($U$2:U1881,U1881))-1,""))</f>
        <v/>
      </c>
      <c r="W1881" s="134" t="str">
        <f t="shared" si="568"/>
        <v/>
      </c>
      <c r="X1881" s="134" t="str">
        <f>IF(W1881="","",IFERROR((RANK(W1881,$W$2:$W$2028,1)+COUNTIF($W$2:W1881,W1881))-1,""))</f>
        <v/>
      </c>
      <c r="Y1881" s="134" t="str">
        <f t="shared" si="565"/>
        <v/>
      </c>
      <c r="Z1881" s="134" t="str">
        <f>IF(Y1881="","",IFERROR((RANK(Y1881,$Y$2:$Y$2028,1)+COUNTIF($Y$2:Y1881,Y1881))-1,""))</f>
        <v/>
      </c>
      <c r="AA1881" s="134" t="str">
        <f t="shared" si="566"/>
        <v/>
      </c>
      <c r="AB1881" s="134" t="str">
        <f>IF(AA1881="","",IFERROR((RANK(AA1881,$AA$2:$AA$2028,1)+COUNTIF($AA$2:AA1881,AA1881))-1,""))</f>
        <v/>
      </c>
      <c r="AC1881" s="134" t="str">
        <f t="shared" si="567"/>
        <v/>
      </c>
      <c r="AD1881" s="134" t="str">
        <f>IF(AC1881="","",IFERROR((RANK(AC1881,$AC$2:$AC$2028,1)+COUNTIF($AC$2:AC1881,AC1881))-1,""))</f>
        <v/>
      </c>
      <c r="AE1881" s="144" t="str">
        <f t="shared" si="571"/>
        <v/>
      </c>
      <c r="AF1881" s="144" t="str">
        <f>IF(AE1881="","",SUM($AE$2:AE1881))</f>
        <v/>
      </c>
    </row>
    <row r="1882" spans="14:32" x14ac:dyDescent="0.35">
      <c r="N1882" s="134" t="str">
        <f t="shared" si="569"/>
        <v/>
      </c>
      <c r="O1882" s="82" t="str">
        <f t="shared" si="560"/>
        <v/>
      </c>
      <c r="P1882" s="81" t="str">
        <f t="shared" si="570"/>
        <v/>
      </c>
      <c r="Q1882" s="81" t="str">
        <f t="shared" si="561"/>
        <v/>
      </c>
      <c r="R1882" s="135" t="str">
        <f t="shared" ca="1" si="562"/>
        <v/>
      </c>
      <c r="S1882" s="134" t="str">
        <f t="shared" ca="1" si="563"/>
        <v/>
      </c>
      <c r="T1882" s="134" t="str">
        <f ca="1">IF(S1882=Dashboard!$D$12,S1882,"")</f>
        <v/>
      </c>
      <c r="U1882" s="134" t="str">
        <f t="shared" ca="1" si="564"/>
        <v/>
      </c>
      <c r="V1882" s="83" t="str">
        <f ca="1">IF(U1882="","",IFERROR((RANK(U1882,$U$2:$U$2028,1)+COUNTIF($U$2:U1882,U1882))-1,""))</f>
        <v/>
      </c>
      <c r="W1882" s="134" t="str">
        <f t="shared" si="568"/>
        <v/>
      </c>
      <c r="X1882" s="134" t="str">
        <f>IF(W1882="","",IFERROR((RANK(W1882,$W$2:$W$2028,1)+COUNTIF($W$2:W1882,W1882))-1,""))</f>
        <v/>
      </c>
      <c r="Y1882" s="134" t="str">
        <f t="shared" si="565"/>
        <v/>
      </c>
      <c r="Z1882" s="134" t="str">
        <f>IF(Y1882="","",IFERROR((RANK(Y1882,$Y$2:$Y$2028,1)+COUNTIF($Y$2:Y1882,Y1882))-1,""))</f>
        <v/>
      </c>
      <c r="AA1882" s="134" t="str">
        <f t="shared" si="566"/>
        <v/>
      </c>
      <c r="AB1882" s="134" t="str">
        <f>IF(AA1882="","",IFERROR((RANK(AA1882,$AA$2:$AA$2028,1)+COUNTIF($AA$2:AA1882,AA1882))-1,""))</f>
        <v/>
      </c>
      <c r="AC1882" s="134" t="str">
        <f t="shared" si="567"/>
        <v/>
      </c>
      <c r="AD1882" s="134" t="str">
        <f>IF(AC1882="","",IFERROR((RANK(AC1882,$AC$2:$AC$2028,1)+COUNTIF($AC$2:AC1882,AC1882))-1,""))</f>
        <v/>
      </c>
      <c r="AE1882" s="144" t="str">
        <f t="shared" si="571"/>
        <v/>
      </c>
      <c r="AF1882" s="144" t="str">
        <f>IF(AE1882="","",SUM($AE$2:AE1882))</f>
        <v/>
      </c>
    </row>
    <row r="1883" spans="14:32" x14ac:dyDescent="0.35">
      <c r="N1883" s="134" t="str">
        <f t="shared" si="569"/>
        <v/>
      </c>
      <c r="O1883" s="82" t="str">
        <f t="shared" si="560"/>
        <v/>
      </c>
      <c r="P1883" s="81" t="str">
        <f t="shared" si="570"/>
        <v/>
      </c>
      <c r="Q1883" s="81" t="str">
        <f t="shared" si="561"/>
        <v/>
      </c>
      <c r="R1883" s="135" t="str">
        <f t="shared" ca="1" si="562"/>
        <v/>
      </c>
      <c r="S1883" s="134" t="str">
        <f t="shared" ca="1" si="563"/>
        <v/>
      </c>
      <c r="T1883" s="134" t="str">
        <f ca="1">IF(S1883=Dashboard!$D$12,S1883,"")</f>
        <v/>
      </c>
      <c r="U1883" s="134" t="str">
        <f t="shared" ca="1" si="564"/>
        <v/>
      </c>
      <c r="V1883" s="83" t="str">
        <f ca="1">IF(U1883="","",IFERROR((RANK(U1883,$U$2:$U$2028,1)+COUNTIF($U$2:U1883,U1883))-1,""))</f>
        <v/>
      </c>
      <c r="W1883" s="134" t="str">
        <f t="shared" si="568"/>
        <v/>
      </c>
      <c r="X1883" s="134" t="str">
        <f>IF(W1883="","",IFERROR((RANK(W1883,$W$2:$W$2028,1)+COUNTIF($W$2:W1883,W1883))-1,""))</f>
        <v/>
      </c>
      <c r="Y1883" s="134" t="str">
        <f t="shared" si="565"/>
        <v/>
      </c>
      <c r="Z1883" s="134" t="str">
        <f>IF(Y1883="","",IFERROR((RANK(Y1883,$Y$2:$Y$2028,1)+COUNTIF($Y$2:Y1883,Y1883))-1,""))</f>
        <v/>
      </c>
      <c r="AA1883" s="134" t="str">
        <f t="shared" si="566"/>
        <v/>
      </c>
      <c r="AB1883" s="134" t="str">
        <f>IF(AA1883="","",IFERROR((RANK(AA1883,$AA$2:$AA$2028,1)+COUNTIF($AA$2:AA1883,AA1883))-1,""))</f>
        <v/>
      </c>
      <c r="AC1883" s="134" t="str">
        <f t="shared" si="567"/>
        <v/>
      </c>
      <c r="AD1883" s="134" t="str">
        <f>IF(AC1883="","",IFERROR((RANK(AC1883,$AC$2:$AC$2028,1)+COUNTIF($AC$2:AC1883,AC1883))-1,""))</f>
        <v/>
      </c>
      <c r="AE1883" s="144" t="str">
        <f t="shared" si="571"/>
        <v/>
      </c>
      <c r="AF1883" s="144" t="str">
        <f>IF(AE1883="","",SUM($AE$2:AE1883))</f>
        <v/>
      </c>
    </row>
    <row r="1884" spans="14:32" x14ac:dyDescent="0.35">
      <c r="N1884" s="134" t="str">
        <f t="shared" si="569"/>
        <v/>
      </c>
      <c r="O1884" s="82" t="str">
        <f t="shared" si="560"/>
        <v/>
      </c>
      <c r="P1884" s="81" t="str">
        <f t="shared" si="570"/>
        <v/>
      </c>
      <c r="Q1884" s="81" t="str">
        <f t="shared" si="561"/>
        <v/>
      </c>
      <c r="R1884" s="135" t="str">
        <f t="shared" ca="1" si="562"/>
        <v/>
      </c>
      <c r="S1884" s="134" t="str">
        <f t="shared" ca="1" si="563"/>
        <v/>
      </c>
      <c r="T1884" s="134" t="str">
        <f ca="1">IF(S1884=Dashboard!$D$12,S1884,"")</f>
        <v/>
      </c>
      <c r="U1884" s="134" t="str">
        <f t="shared" ca="1" si="564"/>
        <v/>
      </c>
      <c r="V1884" s="83" t="str">
        <f ca="1">IF(U1884="","",IFERROR((RANK(U1884,$U$2:$U$2028,1)+COUNTIF($U$2:U1884,U1884))-1,""))</f>
        <v/>
      </c>
      <c r="W1884" s="134" t="str">
        <f t="shared" si="568"/>
        <v/>
      </c>
      <c r="X1884" s="134" t="str">
        <f>IF(W1884="","",IFERROR((RANK(W1884,$W$2:$W$2028,1)+COUNTIF($W$2:W1884,W1884))-1,""))</f>
        <v/>
      </c>
      <c r="Y1884" s="134" t="str">
        <f t="shared" si="565"/>
        <v/>
      </c>
      <c r="Z1884" s="134" t="str">
        <f>IF(Y1884="","",IFERROR((RANK(Y1884,$Y$2:$Y$2028,1)+COUNTIF($Y$2:Y1884,Y1884))-1,""))</f>
        <v/>
      </c>
      <c r="AA1884" s="134" t="str">
        <f t="shared" si="566"/>
        <v/>
      </c>
      <c r="AB1884" s="134" t="str">
        <f>IF(AA1884="","",IFERROR((RANK(AA1884,$AA$2:$AA$2028,1)+COUNTIF($AA$2:AA1884,AA1884))-1,""))</f>
        <v/>
      </c>
      <c r="AC1884" s="134" t="str">
        <f t="shared" si="567"/>
        <v/>
      </c>
      <c r="AD1884" s="134" t="str">
        <f>IF(AC1884="","",IFERROR((RANK(AC1884,$AC$2:$AC$2028,1)+COUNTIF($AC$2:AC1884,AC1884))-1,""))</f>
        <v/>
      </c>
      <c r="AE1884" s="144" t="str">
        <f t="shared" si="571"/>
        <v/>
      </c>
      <c r="AF1884" s="144" t="str">
        <f>IF(AE1884="","",SUM($AE$2:AE1884))</f>
        <v/>
      </c>
    </row>
    <row r="1885" spans="14:32" x14ac:dyDescent="0.35">
      <c r="N1885" s="134" t="str">
        <f t="shared" si="569"/>
        <v/>
      </c>
      <c r="O1885" s="82" t="str">
        <f t="shared" si="560"/>
        <v/>
      </c>
      <c r="P1885" s="81" t="str">
        <f t="shared" si="570"/>
        <v/>
      </c>
      <c r="Q1885" s="81" t="str">
        <f t="shared" si="561"/>
        <v/>
      </c>
      <c r="R1885" s="135" t="str">
        <f t="shared" ca="1" si="562"/>
        <v/>
      </c>
      <c r="S1885" s="134" t="str">
        <f t="shared" ca="1" si="563"/>
        <v/>
      </c>
      <c r="T1885" s="134" t="str">
        <f ca="1">IF(S1885=Dashboard!$D$12,S1885,"")</f>
        <v/>
      </c>
      <c r="U1885" s="134" t="str">
        <f t="shared" ca="1" si="564"/>
        <v/>
      </c>
      <c r="V1885" s="83" t="str">
        <f ca="1">IF(U1885="","",IFERROR((RANK(U1885,$U$2:$U$2028,1)+COUNTIF($U$2:U1885,U1885))-1,""))</f>
        <v/>
      </c>
      <c r="W1885" s="134" t="str">
        <f t="shared" si="568"/>
        <v/>
      </c>
      <c r="X1885" s="134" t="str">
        <f>IF(W1885="","",IFERROR((RANK(W1885,$W$2:$W$2028,1)+COUNTIF($W$2:W1885,W1885))-1,""))</f>
        <v/>
      </c>
      <c r="Y1885" s="134" t="str">
        <f t="shared" si="565"/>
        <v/>
      </c>
      <c r="Z1885" s="134" t="str">
        <f>IF(Y1885="","",IFERROR((RANK(Y1885,$Y$2:$Y$2028,1)+COUNTIF($Y$2:Y1885,Y1885))-1,""))</f>
        <v/>
      </c>
      <c r="AA1885" s="134" t="str">
        <f t="shared" si="566"/>
        <v/>
      </c>
      <c r="AB1885" s="134" t="str">
        <f>IF(AA1885="","",IFERROR((RANK(AA1885,$AA$2:$AA$2028,1)+COUNTIF($AA$2:AA1885,AA1885))-1,""))</f>
        <v/>
      </c>
      <c r="AC1885" s="134" t="str">
        <f t="shared" si="567"/>
        <v/>
      </c>
      <c r="AD1885" s="134" t="str">
        <f>IF(AC1885="","",IFERROR((RANK(AC1885,$AC$2:$AC$2028,1)+COUNTIF($AC$2:AC1885,AC1885))-1,""))</f>
        <v/>
      </c>
      <c r="AE1885" s="144" t="str">
        <f t="shared" si="571"/>
        <v/>
      </c>
      <c r="AF1885" s="144" t="str">
        <f>IF(AE1885="","",SUM($AE$2:AE1885))</f>
        <v/>
      </c>
    </row>
    <row r="1886" spans="14:32" x14ac:dyDescent="0.35">
      <c r="N1886" s="134" t="str">
        <f t="shared" si="569"/>
        <v/>
      </c>
      <c r="O1886" s="82" t="str">
        <f t="shared" ref="O1886:O1949" si="572">IF(A1886="","",N1886&amp;"-"&amp;M1886)</f>
        <v/>
      </c>
      <c r="P1886" s="81" t="str">
        <f t="shared" si="570"/>
        <v/>
      </c>
      <c r="Q1886" s="81" t="str">
        <f t="shared" ref="Q1886:Q1949" si="573">IF(A1886="","",IF(P1886=1,M1886,""))</f>
        <v/>
      </c>
      <c r="R1886" s="135" t="str">
        <f t="shared" ref="R1886:R1949" ca="1" si="574">IF(Q1886="","",I1886-TODAY())</f>
        <v/>
      </c>
      <c r="S1886" s="134" t="str">
        <f t="shared" ref="S1886:S1949" ca="1" si="575">IF(R1886="","",
IF(R1886&lt;-90,"Pass&gt;90",IF(R1886&lt;-60,"Pass 61-90",IF(R1886&lt;-30,"Pass 31-60",IF(R1886&lt;0,"Pass 0-30",IF(R1886&lt;31,"Run 0-30",IF(R1886&lt;61,"Run 31-60",IF(R1886&lt;91,"Run 60-90","Run &gt;90"))))))))</f>
        <v/>
      </c>
      <c r="T1886" s="134" t="str">
        <f ca="1">IF(S1886=Dashboard!$D$12,S1886,"")</f>
        <v/>
      </c>
      <c r="U1886" s="134" t="str">
        <f t="shared" ref="U1886:U1949" ca="1" si="576">IF(T1886="","",R1886)</f>
        <v/>
      </c>
      <c r="V1886" s="83" t="str">
        <f ca="1">IF(U1886="","",IFERROR((RANK(U1886,$U$2:$U$2028,1)+COUNTIF($U$2:U1886,U1886))-1,""))</f>
        <v/>
      </c>
      <c r="W1886" s="134" t="str">
        <f t="shared" si="568"/>
        <v/>
      </c>
      <c r="X1886" s="134" t="str">
        <f>IF(W1886="","",IFERROR((RANK(W1886,$W$2:$W$2028,1)+COUNTIF($W$2:W1886,W1886))-1,""))</f>
        <v/>
      </c>
      <c r="Y1886" s="134" t="str">
        <f t="shared" ref="Y1886:Y1949" si="577">IF($J1886=Y$1,$U1886,"")</f>
        <v/>
      </c>
      <c r="Z1886" s="134" t="str">
        <f>IF(Y1886="","",IFERROR((RANK(Y1886,$Y$2:$Y$2028,1)+COUNTIF($Y$2:Y1886,Y1886))-1,""))</f>
        <v/>
      </c>
      <c r="AA1886" s="134" t="str">
        <f t="shared" ref="AA1886:AA1949" si="578">IF($J1886=AA$1,$U1886,"")</f>
        <v/>
      </c>
      <c r="AB1886" s="134" t="str">
        <f>IF(AA1886="","",IFERROR((RANK(AA1886,$AA$2:$AA$2028,1)+COUNTIF($AA$2:AA1886,AA1886))-1,""))</f>
        <v/>
      </c>
      <c r="AC1886" s="134" t="str">
        <f t="shared" ref="AC1886:AC1949" si="579">IF($J1886=AC$1,$U1886,"")</f>
        <v/>
      </c>
      <c r="AD1886" s="134" t="str">
        <f>IF(AC1886="","",IFERROR((RANK(AC1886,$AC$2:$AC$2028,1)+COUNTIF($AC$2:AC1886,AC1886))-1,""))</f>
        <v/>
      </c>
      <c r="AE1886" s="144" t="str">
        <f t="shared" si="571"/>
        <v/>
      </c>
      <c r="AF1886" s="144" t="str">
        <f>IF(AE1886="","",SUM($AE$2:AE1886))</f>
        <v/>
      </c>
    </row>
    <row r="1887" spans="14:32" x14ac:dyDescent="0.35">
      <c r="N1887" s="134" t="str">
        <f t="shared" si="569"/>
        <v/>
      </c>
      <c r="O1887" s="82" t="str">
        <f t="shared" si="572"/>
        <v/>
      </c>
      <c r="P1887" s="81" t="str">
        <f t="shared" si="570"/>
        <v/>
      </c>
      <c r="Q1887" s="81" t="str">
        <f t="shared" si="573"/>
        <v/>
      </c>
      <c r="R1887" s="135" t="str">
        <f t="shared" ca="1" si="574"/>
        <v/>
      </c>
      <c r="S1887" s="134" t="str">
        <f t="shared" ca="1" si="575"/>
        <v/>
      </c>
      <c r="T1887" s="134" t="str">
        <f ca="1">IF(S1887=Dashboard!$D$12,S1887,"")</f>
        <v/>
      </c>
      <c r="U1887" s="134" t="str">
        <f t="shared" ca="1" si="576"/>
        <v/>
      </c>
      <c r="V1887" s="83" t="str">
        <f ca="1">IF(U1887="","",IFERROR((RANK(U1887,$U$2:$U$2028,1)+COUNTIF($U$2:U1887,U1887))-1,""))</f>
        <v/>
      </c>
      <c r="W1887" s="134" t="str">
        <f t="shared" ref="W1887:W1950" si="580">IF($J1887=$W$1,U1887,"")</f>
        <v/>
      </c>
      <c r="X1887" s="134" t="str">
        <f>IF(W1887="","",IFERROR((RANK(W1887,$W$2:$W$2028,1)+COUNTIF($W$2:W1887,W1887))-1,""))</f>
        <v/>
      </c>
      <c r="Y1887" s="134" t="str">
        <f t="shared" si="577"/>
        <v/>
      </c>
      <c r="Z1887" s="134" t="str">
        <f>IF(Y1887="","",IFERROR((RANK(Y1887,$Y$2:$Y$2028,1)+COUNTIF($Y$2:Y1887,Y1887))-1,""))</f>
        <v/>
      </c>
      <c r="AA1887" s="134" t="str">
        <f t="shared" si="578"/>
        <v/>
      </c>
      <c r="AB1887" s="134" t="str">
        <f>IF(AA1887="","",IFERROR((RANK(AA1887,$AA$2:$AA$2028,1)+COUNTIF($AA$2:AA1887,AA1887))-1,""))</f>
        <v/>
      </c>
      <c r="AC1887" s="134" t="str">
        <f t="shared" si="579"/>
        <v/>
      </c>
      <c r="AD1887" s="134" t="str">
        <f>IF(AC1887="","",IFERROR((RANK(AC1887,$AC$2:$AC$2028,1)+COUNTIF($AC$2:AC1887,AC1887))-1,""))</f>
        <v/>
      </c>
      <c r="AE1887" s="144" t="str">
        <f t="shared" si="571"/>
        <v/>
      </c>
      <c r="AF1887" s="144" t="str">
        <f>IF(AE1887="","",SUM($AE$2:AE1887))</f>
        <v/>
      </c>
    </row>
    <row r="1888" spans="14:32" x14ac:dyDescent="0.35">
      <c r="N1888" s="134" t="str">
        <f t="shared" si="569"/>
        <v/>
      </c>
      <c r="O1888" s="82" t="str">
        <f t="shared" si="572"/>
        <v/>
      </c>
      <c r="P1888" s="81" t="str">
        <f t="shared" si="570"/>
        <v/>
      </c>
      <c r="Q1888" s="81" t="str">
        <f t="shared" si="573"/>
        <v/>
      </c>
      <c r="R1888" s="135" t="str">
        <f t="shared" ca="1" si="574"/>
        <v/>
      </c>
      <c r="S1888" s="134" t="str">
        <f t="shared" ca="1" si="575"/>
        <v/>
      </c>
      <c r="T1888" s="134" t="str">
        <f ca="1">IF(S1888=Dashboard!$D$12,S1888,"")</f>
        <v/>
      </c>
      <c r="U1888" s="134" t="str">
        <f t="shared" ca="1" si="576"/>
        <v/>
      </c>
      <c r="V1888" s="83" t="str">
        <f ca="1">IF(U1888="","",IFERROR((RANK(U1888,$U$2:$U$2028,1)+COUNTIF($U$2:U1888,U1888))-1,""))</f>
        <v/>
      </c>
      <c r="W1888" s="134" t="str">
        <f t="shared" si="580"/>
        <v/>
      </c>
      <c r="X1888" s="134" t="str">
        <f>IF(W1888="","",IFERROR((RANK(W1888,$W$2:$W$2028,1)+COUNTIF($W$2:W1888,W1888))-1,""))</f>
        <v/>
      </c>
      <c r="Y1888" s="134" t="str">
        <f t="shared" si="577"/>
        <v/>
      </c>
      <c r="Z1888" s="134" t="str">
        <f>IF(Y1888="","",IFERROR((RANK(Y1888,$Y$2:$Y$2028,1)+COUNTIF($Y$2:Y1888,Y1888))-1,""))</f>
        <v/>
      </c>
      <c r="AA1888" s="134" t="str">
        <f t="shared" si="578"/>
        <v/>
      </c>
      <c r="AB1888" s="134" t="str">
        <f>IF(AA1888="","",IFERROR((RANK(AA1888,$AA$2:$AA$2028,1)+COUNTIF($AA$2:AA1888,AA1888))-1,""))</f>
        <v/>
      </c>
      <c r="AC1888" s="134" t="str">
        <f t="shared" si="579"/>
        <v/>
      </c>
      <c r="AD1888" s="134" t="str">
        <f>IF(AC1888="","",IFERROR((RANK(AC1888,$AC$2:$AC$2028,1)+COUNTIF($AC$2:AC1888,AC1888))-1,""))</f>
        <v/>
      </c>
      <c r="AE1888" s="144" t="str">
        <f t="shared" si="571"/>
        <v/>
      </c>
      <c r="AF1888" s="144" t="str">
        <f>IF(AE1888="","",SUM($AE$2:AE1888))</f>
        <v/>
      </c>
    </row>
    <row r="1889" spans="14:32" x14ac:dyDescent="0.35">
      <c r="N1889" s="134" t="str">
        <f t="shared" si="569"/>
        <v/>
      </c>
      <c r="O1889" s="82" t="str">
        <f t="shared" si="572"/>
        <v/>
      </c>
      <c r="P1889" s="81" t="str">
        <f t="shared" si="570"/>
        <v/>
      </c>
      <c r="Q1889" s="81" t="str">
        <f t="shared" si="573"/>
        <v/>
      </c>
      <c r="R1889" s="135" t="str">
        <f t="shared" ca="1" si="574"/>
        <v/>
      </c>
      <c r="S1889" s="134" t="str">
        <f t="shared" ca="1" si="575"/>
        <v/>
      </c>
      <c r="T1889" s="134" t="str">
        <f ca="1">IF(S1889=Dashboard!$D$12,S1889,"")</f>
        <v/>
      </c>
      <c r="U1889" s="134" t="str">
        <f t="shared" ca="1" si="576"/>
        <v/>
      </c>
      <c r="V1889" s="83" t="str">
        <f ca="1">IF(U1889="","",IFERROR((RANK(U1889,$U$2:$U$2028,1)+COUNTIF($U$2:U1889,U1889))-1,""))</f>
        <v/>
      </c>
      <c r="W1889" s="134" t="str">
        <f t="shared" si="580"/>
        <v/>
      </c>
      <c r="X1889" s="134" t="str">
        <f>IF(W1889="","",IFERROR((RANK(W1889,$W$2:$W$2028,1)+COUNTIF($W$2:W1889,W1889))-1,""))</f>
        <v/>
      </c>
      <c r="Y1889" s="134" t="str">
        <f t="shared" si="577"/>
        <v/>
      </c>
      <c r="Z1889" s="134" t="str">
        <f>IF(Y1889="","",IFERROR((RANK(Y1889,$Y$2:$Y$2028,1)+COUNTIF($Y$2:Y1889,Y1889))-1,""))</f>
        <v/>
      </c>
      <c r="AA1889" s="134" t="str">
        <f t="shared" si="578"/>
        <v/>
      </c>
      <c r="AB1889" s="134" t="str">
        <f>IF(AA1889="","",IFERROR((RANK(AA1889,$AA$2:$AA$2028,1)+COUNTIF($AA$2:AA1889,AA1889))-1,""))</f>
        <v/>
      </c>
      <c r="AC1889" s="134" t="str">
        <f t="shared" si="579"/>
        <v/>
      </c>
      <c r="AD1889" s="134" t="str">
        <f>IF(AC1889="","",IFERROR((RANK(AC1889,$AC$2:$AC$2028,1)+COUNTIF($AC$2:AC1889,AC1889))-1,""))</f>
        <v/>
      </c>
      <c r="AE1889" s="144" t="str">
        <f t="shared" si="571"/>
        <v/>
      </c>
      <c r="AF1889" s="144" t="str">
        <f>IF(AE1889="","",SUM($AE$2:AE1889))</f>
        <v/>
      </c>
    </row>
    <row r="1890" spans="14:32" x14ac:dyDescent="0.35">
      <c r="N1890" s="134" t="str">
        <f t="shared" si="569"/>
        <v/>
      </c>
      <c r="O1890" s="82" t="str">
        <f t="shared" si="572"/>
        <v/>
      </c>
      <c r="P1890" s="81" t="str">
        <f t="shared" si="570"/>
        <v/>
      </c>
      <c r="Q1890" s="81" t="str">
        <f t="shared" si="573"/>
        <v/>
      </c>
      <c r="R1890" s="135" t="str">
        <f t="shared" ca="1" si="574"/>
        <v/>
      </c>
      <c r="S1890" s="134" t="str">
        <f t="shared" ca="1" si="575"/>
        <v/>
      </c>
      <c r="T1890" s="134" t="str">
        <f ca="1">IF(S1890=Dashboard!$D$12,S1890,"")</f>
        <v/>
      </c>
      <c r="U1890" s="134" t="str">
        <f t="shared" ca="1" si="576"/>
        <v/>
      </c>
      <c r="V1890" s="83" t="str">
        <f ca="1">IF(U1890="","",IFERROR((RANK(U1890,$U$2:$U$2028,1)+COUNTIF($U$2:U1890,U1890))-1,""))</f>
        <v/>
      </c>
      <c r="W1890" s="134" t="str">
        <f t="shared" si="580"/>
        <v/>
      </c>
      <c r="X1890" s="134" t="str">
        <f>IF(W1890="","",IFERROR((RANK(W1890,$W$2:$W$2028,1)+COUNTIF($W$2:W1890,W1890))-1,""))</f>
        <v/>
      </c>
      <c r="Y1890" s="134" t="str">
        <f t="shared" si="577"/>
        <v/>
      </c>
      <c r="Z1890" s="134" t="str">
        <f>IF(Y1890="","",IFERROR((RANK(Y1890,$Y$2:$Y$2028,1)+COUNTIF($Y$2:Y1890,Y1890))-1,""))</f>
        <v/>
      </c>
      <c r="AA1890" s="134" t="str">
        <f t="shared" si="578"/>
        <v/>
      </c>
      <c r="AB1890" s="134" t="str">
        <f>IF(AA1890="","",IFERROR((RANK(AA1890,$AA$2:$AA$2028,1)+COUNTIF($AA$2:AA1890,AA1890))-1,""))</f>
        <v/>
      </c>
      <c r="AC1890" s="134" t="str">
        <f t="shared" si="579"/>
        <v/>
      </c>
      <c r="AD1890" s="134" t="str">
        <f>IF(AC1890="","",IFERROR((RANK(AC1890,$AC$2:$AC$2028,1)+COUNTIF($AC$2:AC1890,AC1890))-1,""))</f>
        <v/>
      </c>
      <c r="AE1890" s="144" t="str">
        <f t="shared" si="571"/>
        <v/>
      </c>
      <c r="AF1890" s="144" t="str">
        <f>IF(AE1890="","",SUM($AE$2:AE1890))</f>
        <v/>
      </c>
    </row>
    <row r="1891" spans="14:32" x14ac:dyDescent="0.35">
      <c r="N1891" s="134" t="str">
        <f t="shared" si="569"/>
        <v/>
      </c>
      <c r="O1891" s="82" t="str">
        <f t="shared" si="572"/>
        <v/>
      </c>
      <c r="P1891" s="81" t="str">
        <f t="shared" si="570"/>
        <v/>
      </c>
      <c r="Q1891" s="81" t="str">
        <f t="shared" si="573"/>
        <v/>
      </c>
      <c r="R1891" s="135" t="str">
        <f t="shared" ca="1" si="574"/>
        <v/>
      </c>
      <c r="S1891" s="134" t="str">
        <f t="shared" ca="1" si="575"/>
        <v/>
      </c>
      <c r="T1891" s="134" t="str">
        <f ca="1">IF(S1891=Dashboard!$D$12,S1891,"")</f>
        <v/>
      </c>
      <c r="U1891" s="134" t="str">
        <f t="shared" ca="1" si="576"/>
        <v/>
      </c>
      <c r="V1891" s="83" t="str">
        <f ca="1">IF(U1891="","",IFERROR((RANK(U1891,$U$2:$U$2028,1)+COUNTIF($U$2:U1891,U1891))-1,""))</f>
        <v/>
      </c>
      <c r="W1891" s="134" t="str">
        <f t="shared" si="580"/>
        <v/>
      </c>
      <c r="X1891" s="134" t="str">
        <f>IF(W1891="","",IFERROR((RANK(W1891,$W$2:$W$2028,1)+COUNTIF($W$2:W1891,W1891))-1,""))</f>
        <v/>
      </c>
      <c r="Y1891" s="134" t="str">
        <f t="shared" si="577"/>
        <v/>
      </c>
      <c r="Z1891" s="134" t="str">
        <f>IF(Y1891="","",IFERROR((RANK(Y1891,$Y$2:$Y$2028,1)+COUNTIF($Y$2:Y1891,Y1891))-1,""))</f>
        <v/>
      </c>
      <c r="AA1891" s="134" t="str">
        <f t="shared" si="578"/>
        <v/>
      </c>
      <c r="AB1891" s="134" t="str">
        <f>IF(AA1891="","",IFERROR((RANK(AA1891,$AA$2:$AA$2028,1)+COUNTIF($AA$2:AA1891,AA1891))-1,""))</f>
        <v/>
      </c>
      <c r="AC1891" s="134" t="str">
        <f t="shared" si="579"/>
        <v/>
      </c>
      <c r="AD1891" s="134" t="str">
        <f>IF(AC1891="","",IFERROR((RANK(AC1891,$AC$2:$AC$2028,1)+COUNTIF($AC$2:AC1891,AC1891))-1,""))</f>
        <v/>
      </c>
      <c r="AE1891" s="144" t="str">
        <f t="shared" si="571"/>
        <v/>
      </c>
      <c r="AF1891" s="144" t="str">
        <f>IF(AE1891="","",SUM($AE$2:AE1891))</f>
        <v/>
      </c>
    </row>
    <row r="1892" spans="14:32" x14ac:dyDescent="0.35">
      <c r="N1892" s="134" t="str">
        <f t="shared" si="569"/>
        <v/>
      </c>
      <c r="O1892" s="82" t="str">
        <f t="shared" si="572"/>
        <v/>
      </c>
      <c r="P1892" s="81" t="str">
        <f t="shared" si="570"/>
        <v/>
      </c>
      <c r="Q1892" s="81" t="str">
        <f t="shared" si="573"/>
        <v/>
      </c>
      <c r="R1892" s="135" t="str">
        <f t="shared" ca="1" si="574"/>
        <v/>
      </c>
      <c r="S1892" s="134" t="str">
        <f t="shared" ca="1" si="575"/>
        <v/>
      </c>
      <c r="T1892" s="134" t="str">
        <f ca="1">IF(S1892=Dashboard!$D$12,S1892,"")</f>
        <v/>
      </c>
      <c r="U1892" s="134" t="str">
        <f t="shared" ca="1" si="576"/>
        <v/>
      </c>
      <c r="V1892" s="83" t="str">
        <f ca="1">IF(U1892="","",IFERROR((RANK(U1892,$U$2:$U$2028,1)+COUNTIF($U$2:U1892,U1892))-1,""))</f>
        <v/>
      </c>
      <c r="W1892" s="134" t="str">
        <f t="shared" si="580"/>
        <v/>
      </c>
      <c r="X1892" s="134" t="str">
        <f>IF(W1892="","",IFERROR((RANK(W1892,$W$2:$W$2028,1)+COUNTIF($W$2:W1892,W1892))-1,""))</f>
        <v/>
      </c>
      <c r="Y1892" s="134" t="str">
        <f t="shared" si="577"/>
        <v/>
      </c>
      <c r="Z1892" s="134" t="str">
        <f>IF(Y1892="","",IFERROR((RANK(Y1892,$Y$2:$Y$2028,1)+COUNTIF($Y$2:Y1892,Y1892))-1,""))</f>
        <v/>
      </c>
      <c r="AA1892" s="134" t="str">
        <f t="shared" si="578"/>
        <v/>
      </c>
      <c r="AB1892" s="134" t="str">
        <f>IF(AA1892="","",IFERROR((RANK(AA1892,$AA$2:$AA$2028,1)+COUNTIF($AA$2:AA1892,AA1892))-1,""))</f>
        <v/>
      </c>
      <c r="AC1892" s="134" t="str">
        <f t="shared" si="579"/>
        <v/>
      </c>
      <c r="AD1892" s="134" t="str">
        <f>IF(AC1892="","",IFERROR((RANK(AC1892,$AC$2:$AC$2028,1)+COUNTIF($AC$2:AC1892,AC1892))-1,""))</f>
        <v/>
      </c>
      <c r="AE1892" s="144" t="str">
        <f t="shared" si="571"/>
        <v/>
      </c>
      <c r="AF1892" s="144" t="str">
        <f>IF(AE1892="","",SUM($AE$2:AE1892))</f>
        <v/>
      </c>
    </row>
    <row r="1893" spans="14:32" x14ac:dyDescent="0.35">
      <c r="N1893" s="134" t="str">
        <f t="shared" si="569"/>
        <v/>
      </c>
      <c r="O1893" s="82" t="str">
        <f t="shared" si="572"/>
        <v/>
      </c>
      <c r="P1893" s="81" t="str">
        <f t="shared" si="570"/>
        <v/>
      </c>
      <c r="Q1893" s="81" t="str">
        <f t="shared" si="573"/>
        <v/>
      </c>
      <c r="R1893" s="135" t="str">
        <f t="shared" ca="1" si="574"/>
        <v/>
      </c>
      <c r="S1893" s="134" t="str">
        <f t="shared" ca="1" si="575"/>
        <v/>
      </c>
      <c r="T1893" s="134" t="str">
        <f ca="1">IF(S1893=Dashboard!$D$12,S1893,"")</f>
        <v/>
      </c>
      <c r="U1893" s="134" t="str">
        <f t="shared" ca="1" si="576"/>
        <v/>
      </c>
      <c r="V1893" s="83" t="str">
        <f ca="1">IF(U1893="","",IFERROR((RANK(U1893,$U$2:$U$2028,1)+COUNTIF($U$2:U1893,U1893))-1,""))</f>
        <v/>
      </c>
      <c r="W1893" s="134" t="str">
        <f t="shared" si="580"/>
        <v/>
      </c>
      <c r="X1893" s="134" t="str">
        <f>IF(W1893="","",IFERROR((RANK(W1893,$W$2:$W$2028,1)+COUNTIF($W$2:W1893,W1893))-1,""))</f>
        <v/>
      </c>
      <c r="Y1893" s="134" t="str">
        <f t="shared" si="577"/>
        <v/>
      </c>
      <c r="Z1893" s="134" t="str">
        <f>IF(Y1893="","",IFERROR((RANK(Y1893,$Y$2:$Y$2028,1)+COUNTIF($Y$2:Y1893,Y1893))-1,""))</f>
        <v/>
      </c>
      <c r="AA1893" s="134" t="str">
        <f t="shared" si="578"/>
        <v/>
      </c>
      <c r="AB1893" s="134" t="str">
        <f>IF(AA1893="","",IFERROR((RANK(AA1893,$AA$2:$AA$2028,1)+COUNTIF($AA$2:AA1893,AA1893))-1,""))</f>
        <v/>
      </c>
      <c r="AC1893" s="134" t="str">
        <f t="shared" si="579"/>
        <v/>
      </c>
      <c r="AD1893" s="134" t="str">
        <f>IF(AC1893="","",IFERROR((RANK(AC1893,$AC$2:$AC$2028,1)+COUNTIF($AC$2:AC1893,AC1893))-1,""))</f>
        <v/>
      </c>
      <c r="AE1893" s="144" t="str">
        <f t="shared" si="571"/>
        <v/>
      </c>
      <c r="AF1893" s="144" t="str">
        <f>IF(AE1893="","",SUM($AE$2:AE1893))</f>
        <v/>
      </c>
    </row>
    <row r="1894" spans="14:32" x14ac:dyDescent="0.35">
      <c r="N1894" s="134" t="str">
        <f t="shared" si="569"/>
        <v/>
      </c>
      <c r="O1894" s="82" t="str">
        <f t="shared" si="572"/>
        <v/>
      </c>
      <c r="P1894" s="81" t="str">
        <f t="shared" si="570"/>
        <v/>
      </c>
      <c r="Q1894" s="81" t="str">
        <f t="shared" si="573"/>
        <v/>
      </c>
      <c r="R1894" s="135" t="str">
        <f t="shared" ca="1" si="574"/>
        <v/>
      </c>
      <c r="S1894" s="134" t="str">
        <f t="shared" ca="1" si="575"/>
        <v/>
      </c>
      <c r="T1894" s="134" t="str">
        <f ca="1">IF(S1894=Dashboard!$D$12,S1894,"")</f>
        <v/>
      </c>
      <c r="U1894" s="134" t="str">
        <f t="shared" ca="1" si="576"/>
        <v/>
      </c>
      <c r="V1894" s="83" t="str">
        <f ca="1">IF(U1894="","",IFERROR((RANK(U1894,$U$2:$U$2028,1)+COUNTIF($U$2:U1894,U1894))-1,""))</f>
        <v/>
      </c>
      <c r="W1894" s="134" t="str">
        <f t="shared" si="580"/>
        <v/>
      </c>
      <c r="X1894" s="134" t="str">
        <f>IF(W1894="","",IFERROR((RANK(W1894,$W$2:$W$2028,1)+COUNTIF($W$2:W1894,W1894))-1,""))</f>
        <v/>
      </c>
      <c r="Y1894" s="134" t="str">
        <f t="shared" si="577"/>
        <v/>
      </c>
      <c r="Z1894" s="134" t="str">
        <f>IF(Y1894="","",IFERROR((RANK(Y1894,$Y$2:$Y$2028,1)+COUNTIF($Y$2:Y1894,Y1894))-1,""))</f>
        <v/>
      </c>
      <c r="AA1894" s="134" t="str">
        <f t="shared" si="578"/>
        <v/>
      </c>
      <c r="AB1894" s="134" t="str">
        <f>IF(AA1894="","",IFERROR((RANK(AA1894,$AA$2:$AA$2028,1)+COUNTIF($AA$2:AA1894,AA1894))-1,""))</f>
        <v/>
      </c>
      <c r="AC1894" s="134" t="str">
        <f t="shared" si="579"/>
        <v/>
      </c>
      <c r="AD1894" s="134" t="str">
        <f>IF(AC1894="","",IFERROR((RANK(AC1894,$AC$2:$AC$2028,1)+COUNTIF($AC$2:AC1894,AC1894))-1,""))</f>
        <v/>
      </c>
      <c r="AE1894" s="144" t="str">
        <f t="shared" si="571"/>
        <v/>
      </c>
      <c r="AF1894" s="144" t="str">
        <f>IF(AE1894="","",SUM($AE$2:AE1894))</f>
        <v/>
      </c>
    </row>
    <row r="1895" spans="14:32" x14ac:dyDescent="0.35">
      <c r="N1895" s="134" t="str">
        <f t="shared" si="569"/>
        <v/>
      </c>
      <c r="O1895" s="82" t="str">
        <f t="shared" si="572"/>
        <v/>
      </c>
      <c r="P1895" s="81" t="str">
        <f t="shared" si="570"/>
        <v/>
      </c>
      <c r="Q1895" s="81" t="str">
        <f t="shared" si="573"/>
        <v/>
      </c>
      <c r="R1895" s="135" t="str">
        <f t="shared" ca="1" si="574"/>
        <v/>
      </c>
      <c r="S1895" s="134" t="str">
        <f t="shared" ca="1" si="575"/>
        <v/>
      </c>
      <c r="T1895" s="134" t="str">
        <f ca="1">IF(S1895=Dashboard!$D$12,S1895,"")</f>
        <v/>
      </c>
      <c r="U1895" s="134" t="str">
        <f t="shared" ca="1" si="576"/>
        <v/>
      </c>
      <c r="V1895" s="83" t="str">
        <f ca="1">IF(U1895="","",IFERROR((RANK(U1895,$U$2:$U$2028,1)+COUNTIF($U$2:U1895,U1895))-1,""))</f>
        <v/>
      </c>
      <c r="W1895" s="134" t="str">
        <f t="shared" si="580"/>
        <v/>
      </c>
      <c r="X1895" s="134" t="str">
        <f>IF(W1895="","",IFERROR((RANK(W1895,$W$2:$W$2028,1)+COUNTIF($W$2:W1895,W1895))-1,""))</f>
        <v/>
      </c>
      <c r="Y1895" s="134" t="str">
        <f t="shared" si="577"/>
        <v/>
      </c>
      <c r="Z1895" s="134" t="str">
        <f>IF(Y1895="","",IFERROR((RANK(Y1895,$Y$2:$Y$2028,1)+COUNTIF($Y$2:Y1895,Y1895))-1,""))</f>
        <v/>
      </c>
      <c r="AA1895" s="134" t="str">
        <f t="shared" si="578"/>
        <v/>
      </c>
      <c r="AB1895" s="134" t="str">
        <f>IF(AA1895="","",IFERROR((RANK(AA1895,$AA$2:$AA$2028,1)+COUNTIF($AA$2:AA1895,AA1895))-1,""))</f>
        <v/>
      </c>
      <c r="AC1895" s="134" t="str">
        <f t="shared" si="579"/>
        <v/>
      </c>
      <c r="AD1895" s="134" t="str">
        <f>IF(AC1895="","",IFERROR((RANK(AC1895,$AC$2:$AC$2028,1)+COUNTIF($AC$2:AC1895,AC1895))-1,""))</f>
        <v/>
      </c>
      <c r="AE1895" s="144" t="str">
        <f t="shared" si="571"/>
        <v/>
      </c>
      <c r="AF1895" s="144" t="str">
        <f>IF(AE1895="","",SUM($AE$2:AE1895))</f>
        <v/>
      </c>
    </row>
    <row r="1896" spans="14:32" x14ac:dyDescent="0.35">
      <c r="N1896" s="134" t="str">
        <f t="shared" si="569"/>
        <v/>
      </c>
      <c r="O1896" s="82" t="str">
        <f t="shared" si="572"/>
        <v/>
      </c>
      <c r="P1896" s="81" t="str">
        <f t="shared" si="570"/>
        <v/>
      </c>
      <c r="Q1896" s="81" t="str">
        <f t="shared" si="573"/>
        <v/>
      </c>
      <c r="R1896" s="135" t="str">
        <f t="shared" ca="1" si="574"/>
        <v/>
      </c>
      <c r="S1896" s="134" t="str">
        <f t="shared" ca="1" si="575"/>
        <v/>
      </c>
      <c r="T1896" s="134" t="str">
        <f ca="1">IF(S1896=Dashboard!$D$12,S1896,"")</f>
        <v/>
      </c>
      <c r="U1896" s="134" t="str">
        <f t="shared" ca="1" si="576"/>
        <v/>
      </c>
      <c r="V1896" s="83" t="str">
        <f ca="1">IF(U1896="","",IFERROR((RANK(U1896,$U$2:$U$2028,1)+COUNTIF($U$2:U1896,U1896))-1,""))</f>
        <v/>
      </c>
      <c r="W1896" s="134" t="str">
        <f t="shared" si="580"/>
        <v/>
      </c>
      <c r="X1896" s="134" t="str">
        <f>IF(W1896="","",IFERROR((RANK(W1896,$W$2:$W$2028,1)+COUNTIF($W$2:W1896,W1896))-1,""))</f>
        <v/>
      </c>
      <c r="Y1896" s="134" t="str">
        <f t="shared" si="577"/>
        <v/>
      </c>
      <c r="Z1896" s="134" t="str">
        <f>IF(Y1896="","",IFERROR((RANK(Y1896,$Y$2:$Y$2028,1)+COUNTIF($Y$2:Y1896,Y1896))-1,""))</f>
        <v/>
      </c>
      <c r="AA1896" s="134" t="str">
        <f t="shared" si="578"/>
        <v/>
      </c>
      <c r="AB1896" s="134" t="str">
        <f>IF(AA1896="","",IFERROR((RANK(AA1896,$AA$2:$AA$2028,1)+COUNTIF($AA$2:AA1896,AA1896))-1,""))</f>
        <v/>
      </c>
      <c r="AC1896" s="134" t="str">
        <f t="shared" si="579"/>
        <v/>
      </c>
      <c r="AD1896" s="134" t="str">
        <f>IF(AC1896="","",IFERROR((RANK(AC1896,$AC$2:$AC$2028,1)+COUNTIF($AC$2:AC1896,AC1896))-1,""))</f>
        <v/>
      </c>
      <c r="AE1896" s="144" t="str">
        <f t="shared" si="571"/>
        <v/>
      </c>
      <c r="AF1896" s="144" t="str">
        <f>IF(AE1896="","",SUM($AE$2:AE1896))</f>
        <v/>
      </c>
    </row>
    <row r="1897" spans="14:32" x14ac:dyDescent="0.35">
      <c r="N1897" s="134" t="str">
        <f t="shared" si="569"/>
        <v/>
      </c>
      <c r="O1897" s="82" t="str">
        <f t="shared" si="572"/>
        <v/>
      </c>
      <c r="P1897" s="81" t="str">
        <f t="shared" si="570"/>
        <v/>
      </c>
      <c r="Q1897" s="81" t="str">
        <f t="shared" si="573"/>
        <v/>
      </c>
      <c r="R1897" s="135" t="str">
        <f t="shared" ca="1" si="574"/>
        <v/>
      </c>
      <c r="S1897" s="134" t="str">
        <f t="shared" ca="1" si="575"/>
        <v/>
      </c>
      <c r="T1897" s="134" t="str">
        <f ca="1">IF(S1897=Dashboard!$D$12,S1897,"")</f>
        <v/>
      </c>
      <c r="U1897" s="134" t="str">
        <f t="shared" ca="1" si="576"/>
        <v/>
      </c>
      <c r="V1897" s="83" t="str">
        <f ca="1">IF(U1897="","",IFERROR((RANK(U1897,$U$2:$U$2028,1)+COUNTIF($U$2:U1897,U1897))-1,""))</f>
        <v/>
      </c>
      <c r="W1897" s="134" t="str">
        <f t="shared" si="580"/>
        <v/>
      </c>
      <c r="X1897" s="134" t="str">
        <f>IF(W1897="","",IFERROR((RANK(W1897,$W$2:$W$2028,1)+COUNTIF($W$2:W1897,W1897))-1,""))</f>
        <v/>
      </c>
      <c r="Y1897" s="134" t="str">
        <f t="shared" si="577"/>
        <v/>
      </c>
      <c r="Z1897" s="134" t="str">
        <f>IF(Y1897="","",IFERROR((RANK(Y1897,$Y$2:$Y$2028,1)+COUNTIF($Y$2:Y1897,Y1897))-1,""))</f>
        <v/>
      </c>
      <c r="AA1897" s="134" t="str">
        <f t="shared" si="578"/>
        <v/>
      </c>
      <c r="AB1897" s="134" t="str">
        <f>IF(AA1897="","",IFERROR((RANK(AA1897,$AA$2:$AA$2028,1)+COUNTIF($AA$2:AA1897,AA1897))-1,""))</f>
        <v/>
      </c>
      <c r="AC1897" s="134" t="str">
        <f t="shared" si="579"/>
        <v/>
      </c>
      <c r="AD1897" s="134" t="str">
        <f>IF(AC1897="","",IFERROR((RANK(AC1897,$AC$2:$AC$2028,1)+COUNTIF($AC$2:AC1897,AC1897))-1,""))</f>
        <v/>
      </c>
      <c r="AE1897" s="144" t="str">
        <f t="shared" si="571"/>
        <v/>
      </c>
      <c r="AF1897" s="144" t="str">
        <f>IF(AE1897="","",SUM($AE$2:AE1897))</f>
        <v/>
      </c>
    </row>
    <row r="1898" spans="14:32" x14ac:dyDescent="0.35">
      <c r="N1898" s="134" t="str">
        <f t="shared" si="569"/>
        <v/>
      </c>
      <c r="O1898" s="82" t="str">
        <f t="shared" si="572"/>
        <v/>
      </c>
      <c r="P1898" s="81" t="str">
        <f t="shared" si="570"/>
        <v/>
      </c>
      <c r="Q1898" s="81" t="str">
        <f t="shared" si="573"/>
        <v/>
      </c>
      <c r="R1898" s="135" t="str">
        <f t="shared" ca="1" si="574"/>
        <v/>
      </c>
      <c r="S1898" s="134" t="str">
        <f t="shared" ca="1" si="575"/>
        <v/>
      </c>
      <c r="T1898" s="134" t="str">
        <f ca="1">IF(S1898=Dashboard!$D$12,S1898,"")</f>
        <v/>
      </c>
      <c r="U1898" s="134" t="str">
        <f t="shared" ca="1" si="576"/>
        <v/>
      </c>
      <c r="V1898" s="83" t="str">
        <f ca="1">IF(U1898="","",IFERROR((RANK(U1898,$U$2:$U$2028,1)+COUNTIF($U$2:U1898,U1898))-1,""))</f>
        <v/>
      </c>
      <c r="W1898" s="134" t="str">
        <f t="shared" si="580"/>
        <v/>
      </c>
      <c r="X1898" s="134" t="str">
        <f>IF(W1898="","",IFERROR((RANK(W1898,$W$2:$W$2028,1)+COUNTIF($W$2:W1898,W1898))-1,""))</f>
        <v/>
      </c>
      <c r="Y1898" s="134" t="str">
        <f t="shared" si="577"/>
        <v/>
      </c>
      <c r="Z1898" s="134" t="str">
        <f>IF(Y1898="","",IFERROR((RANK(Y1898,$Y$2:$Y$2028,1)+COUNTIF($Y$2:Y1898,Y1898))-1,""))</f>
        <v/>
      </c>
      <c r="AA1898" s="134" t="str">
        <f t="shared" si="578"/>
        <v/>
      </c>
      <c r="AB1898" s="134" t="str">
        <f>IF(AA1898="","",IFERROR((RANK(AA1898,$AA$2:$AA$2028,1)+COUNTIF($AA$2:AA1898,AA1898))-1,""))</f>
        <v/>
      </c>
      <c r="AC1898" s="134" t="str">
        <f t="shared" si="579"/>
        <v/>
      </c>
      <c r="AD1898" s="134" t="str">
        <f>IF(AC1898="","",IFERROR((RANK(AC1898,$AC$2:$AC$2028,1)+COUNTIF($AC$2:AC1898,AC1898))-1,""))</f>
        <v/>
      </c>
      <c r="AE1898" s="144" t="str">
        <f t="shared" si="571"/>
        <v/>
      </c>
      <c r="AF1898" s="144" t="str">
        <f>IF(AE1898="","",SUM($AE$2:AE1898))</f>
        <v/>
      </c>
    </row>
    <row r="1899" spans="14:32" x14ac:dyDescent="0.35">
      <c r="N1899" s="134" t="str">
        <f t="shared" si="569"/>
        <v/>
      </c>
      <c r="O1899" s="82" t="str">
        <f t="shared" si="572"/>
        <v/>
      </c>
      <c r="P1899" s="81" t="str">
        <f t="shared" si="570"/>
        <v/>
      </c>
      <c r="Q1899" s="81" t="str">
        <f t="shared" si="573"/>
        <v/>
      </c>
      <c r="R1899" s="135" t="str">
        <f t="shared" ca="1" si="574"/>
        <v/>
      </c>
      <c r="S1899" s="134" t="str">
        <f t="shared" ca="1" si="575"/>
        <v/>
      </c>
      <c r="T1899" s="134" t="str">
        <f ca="1">IF(S1899=Dashboard!$D$12,S1899,"")</f>
        <v/>
      </c>
      <c r="U1899" s="134" t="str">
        <f t="shared" ca="1" si="576"/>
        <v/>
      </c>
      <c r="V1899" s="83" t="str">
        <f ca="1">IF(U1899="","",IFERROR((RANK(U1899,$U$2:$U$2028,1)+COUNTIF($U$2:U1899,U1899))-1,""))</f>
        <v/>
      </c>
      <c r="W1899" s="134" t="str">
        <f t="shared" si="580"/>
        <v/>
      </c>
      <c r="X1899" s="134" t="str">
        <f>IF(W1899="","",IFERROR((RANK(W1899,$W$2:$W$2028,1)+COUNTIF($W$2:W1899,W1899))-1,""))</f>
        <v/>
      </c>
      <c r="Y1899" s="134" t="str">
        <f t="shared" si="577"/>
        <v/>
      </c>
      <c r="Z1899" s="134" t="str">
        <f>IF(Y1899="","",IFERROR((RANK(Y1899,$Y$2:$Y$2028,1)+COUNTIF($Y$2:Y1899,Y1899))-1,""))</f>
        <v/>
      </c>
      <c r="AA1899" s="134" t="str">
        <f t="shared" si="578"/>
        <v/>
      </c>
      <c r="AB1899" s="134" t="str">
        <f>IF(AA1899="","",IFERROR((RANK(AA1899,$AA$2:$AA$2028,1)+COUNTIF($AA$2:AA1899,AA1899))-1,""))</f>
        <v/>
      </c>
      <c r="AC1899" s="134" t="str">
        <f t="shared" si="579"/>
        <v/>
      </c>
      <c r="AD1899" s="134" t="str">
        <f>IF(AC1899="","",IFERROR((RANK(AC1899,$AC$2:$AC$2028,1)+COUNTIF($AC$2:AC1899,AC1899))-1,""))</f>
        <v/>
      </c>
      <c r="AE1899" s="144" t="str">
        <f t="shared" si="571"/>
        <v/>
      </c>
      <c r="AF1899" s="144" t="str">
        <f>IF(AE1899="","",SUM($AE$2:AE1899))</f>
        <v/>
      </c>
    </row>
    <row r="1900" spans="14:32" x14ac:dyDescent="0.35">
      <c r="N1900" s="134" t="str">
        <f t="shared" si="569"/>
        <v/>
      </c>
      <c r="O1900" s="82" t="str">
        <f t="shared" si="572"/>
        <v/>
      </c>
      <c r="P1900" s="81" t="str">
        <f t="shared" si="570"/>
        <v/>
      </c>
      <c r="Q1900" s="81" t="str">
        <f t="shared" si="573"/>
        <v/>
      </c>
      <c r="R1900" s="135" t="str">
        <f t="shared" ca="1" si="574"/>
        <v/>
      </c>
      <c r="S1900" s="134" t="str">
        <f t="shared" ca="1" si="575"/>
        <v/>
      </c>
      <c r="T1900" s="134" t="str">
        <f ca="1">IF(S1900=Dashboard!$D$12,S1900,"")</f>
        <v/>
      </c>
      <c r="U1900" s="134" t="str">
        <f t="shared" ca="1" si="576"/>
        <v/>
      </c>
      <c r="V1900" s="83" t="str">
        <f ca="1">IF(U1900="","",IFERROR((RANK(U1900,$U$2:$U$2028,1)+COUNTIF($U$2:U1900,U1900))-1,""))</f>
        <v/>
      </c>
      <c r="W1900" s="134" t="str">
        <f t="shared" si="580"/>
        <v/>
      </c>
      <c r="X1900" s="134" t="str">
        <f>IF(W1900="","",IFERROR((RANK(W1900,$W$2:$W$2028,1)+COUNTIF($W$2:W1900,W1900))-1,""))</f>
        <v/>
      </c>
      <c r="Y1900" s="134" t="str">
        <f t="shared" si="577"/>
        <v/>
      </c>
      <c r="Z1900" s="134" t="str">
        <f>IF(Y1900="","",IFERROR((RANK(Y1900,$Y$2:$Y$2028,1)+COUNTIF($Y$2:Y1900,Y1900))-1,""))</f>
        <v/>
      </c>
      <c r="AA1900" s="134" t="str">
        <f t="shared" si="578"/>
        <v/>
      </c>
      <c r="AB1900" s="134" t="str">
        <f>IF(AA1900="","",IFERROR((RANK(AA1900,$AA$2:$AA$2028,1)+COUNTIF($AA$2:AA1900,AA1900))-1,""))</f>
        <v/>
      </c>
      <c r="AC1900" s="134" t="str">
        <f t="shared" si="579"/>
        <v/>
      </c>
      <c r="AD1900" s="134" t="str">
        <f>IF(AC1900="","",IFERROR((RANK(AC1900,$AC$2:$AC$2028,1)+COUNTIF($AC$2:AC1900,AC1900))-1,""))</f>
        <v/>
      </c>
      <c r="AE1900" s="144" t="str">
        <f t="shared" si="571"/>
        <v/>
      </c>
      <c r="AF1900" s="144" t="str">
        <f>IF(AE1900="","",SUM($AE$2:AE1900))</f>
        <v/>
      </c>
    </row>
    <row r="1901" spans="14:32" x14ac:dyDescent="0.35">
      <c r="N1901" s="134" t="str">
        <f t="shared" si="569"/>
        <v/>
      </c>
      <c r="O1901" s="82" t="str">
        <f t="shared" si="572"/>
        <v/>
      </c>
      <c r="P1901" s="81" t="str">
        <f t="shared" si="570"/>
        <v/>
      </c>
      <c r="Q1901" s="81" t="str">
        <f t="shared" si="573"/>
        <v/>
      </c>
      <c r="R1901" s="135" t="str">
        <f t="shared" ca="1" si="574"/>
        <v/>
      </c>
      <c r="S1901" s="134" t="str">
        <f t="shared" ca="1" si="575"/>
        <v/>
      </c>
      <c r="T1901" s="134" t="str">
        <f ca="1">IF(S1901=Dashboard!$D$12,S1901,"")</f>
        <v/>
      </c>
      <c r="U1901" s="134" t="str">
        <f t="shared" ca="1" si="576"/>
        <v/>
      </c>
      <c r="V1901" s="83" t="str">
        <f ca="1">IF(U1901="","",IFERROR((RANK(U1901,$U$2:$U$2028,1)+COUNTIF($U$2:U1901,U1901))-1,""))</f>
        <v/>
      </c>
      <c r="W1901" s="134" t="str">
        <f t="shared" si="580"/>
        <v/>
      </c>
      <c r="X1901" s="134" t="str">
        <f>IF(W1901="","",IFERROR((RANK(W1901,$W$2:$W$2028,1)+COUNTIF($W$2:W1901,W1901))-1,""))</f>
        <v/>
      </c>
      <c r="Y1901" s="134" t="str">
        <f t="shared" si="577"/>
        <v/>
      </c>
      <c r="Z1901" s="134" t="str">
        <f>IF(Y1901="","",IFERROR((RANK(Y1901,$Y$2:$Y$2028,1)+COUNTIF($Y$2:Y1901,Y1901))-1,""))</f>
        <v/>
      </c>
      <c r="AA1901" s="134" t="str">
        <f t="shared" si="578"/>
        <v/>
      </c>
      <c r="AB1901" s="134" t="str">
        <f>IF(AA1901="","",IFERROR((RANK(AA1901,$AA$2:$AA$2028,1)+COUNTIF($AA$2:AA1901,AA1901))-1,""))</f>
        <v/>
      </c>
      <c r="AC1901" s="134" t="str">
        <f t="shared" si="579"/>
        <v/>
      </c>
      <c r="AD1901" s="134" t="str">
        <f>IF(AC1901="","",IFERROR((RANK(AC1901,$AC$2:$AC$2028,1)+COUNTIF($AC$2:AC1901,AC1901))-1,""))</f>
        <v/>
      </c>
      <c r="AE1901" s="144" t="str">
        <f t="shared" si="571"/>
        <v/>
      </c>
      <c r="AF1901" s="144" t="str">
        <f>IF(AE1901="","",SUM($AE$2:AE1901))</f>
        <v/>
      </c>
    </row>
    <row r="1902" spans="14:32" x14ac:dyDescent="0.35">
      <c r="N1902" s="134" t="str">
        <f t="shared" si="569"/>
        <v/>
      </c>
      <c r="O1902" s="82" t="str">
        <f t="shared" si="572"/>
        <v/>
      </c>
      <c r="P1902" s="81" t="str">
        <f t="shared" si="570"/>
        <v/>
      </c>
      <c r="Q1902" s="81" t="str">
        <f t="shared" si="573"/>
        <v/>
      </c>
      <c r="R1902" s="135" t="str">
        <f t="shared" ca="1" si="574"/>
        <v/>
      </c>
      <c r="S1902" s="134" t="str">
        <f t="shared" ca="1" si="575"/>
        <v/>
      </c>
      <c r="T1902" s="134" t="str">
        <f ca="1">IF(S1902=Dashboard!$D$12,S1902,"")</f>
        <v/>
      </c>
      <c r="U1902" s="134" t="str">
        <f t="shared" ca="1" si="576"/>
        <v/>
      </c>
      <c r="V1902" s="83" t="str">
        <f ca="1">IF(U1902="","",IFERROR((RANK(U1902,$U$2:$U$2028,1)+COUNTIF($U$2:U1902,U1902))-1,""))</f>
        <v/>
      </c>
      <c r="W1902" s="134" t="str">
        <f t="shared" si="580"/>
        <v/>
      </c>
      <c r="X1902" s="134" t="str">
        <f>IF(W1902="","",IFERROR((RANK(W1902,$W$2:$W$2028,1)+COUNTIF($W$2:W1902,W1902))-1,""))</f>
        <v/>
      </c>
      <c r="Y1902" s="134" t="str">
        <f t="shared" si="577"/>
        <v/>
      </c>
      <c r="Z1902" s="134" t="str">
        <f>IF(Y1902="","",IFERROR((RANK(Y1902,$Y$2:$Y$2028,1)+COUNTIF($Y$2:Y1902,Y1902))-1,""))</f>
        <v/>
      </c>
      <c r="AA1902" s="134" t="str">
        <f t="shared" si="578"/>
        <v/>
      </c>
      <c r="AB1902" s="134" t="str">
        <f>IF(AA1902="","",IFERROR((RANK(AA1902,$AA$2:$AA$2028,1)+COUNTIF($AA$2:AA1902,AA1902))-1,""))</f>
        <v/>
      </c>
      <c r="AC1902" s="134" t="str">
        <f t="shared" si="579"/>
        <v/>
      </c>
      <c r="AD1902" s="134" t="str">
        <f>IF(AC1902="","",IFERROR((RANK(AC1902,$AC$2:$AC$2028,1)+COUNTIF($AC$2:AC1902,AC1902))-1,""))</f>
        <v/>
      </c>
      <c r="AE1902" s="144" t="str">
        <f t="shared" si="571"/>
        <v/>
      </c>
      <c r="AF1902" s="144" t="str">
        <f>IF(AE1902="","",SUM($AE$2:AE1902))</f>
        <v/>
      </c>
    </row>
    <row r="1903" spans="14:32" x14ac:dyDescent="0.35">
      <c r="N1903" s="134" t="str">
        <f t="shared" si="569"/>
        <v/>
      </c>
      <c r="O1903" s="82" t="str">
        <f t="shared" si="572"/>
        <v/>
      </c>
      <c r="P1903" s="81" t="str">
        <f t="shared" si="570"/>
        <v/>
      </c>
      <c r="Q1903" s="81" t="str">
        <f t="shared" si="573"/>
        <v/>
      </c>
      <c r="R1903" s="135" t="str">
        <f t="shared" ca="1" si="574"/>
        <v/>
      </c>
      <c r="S1903" s="134" t="str">
        <f t="shared" ca="1" si="575"/>
        <v/>
      </c>
      <c r="T1903" s="134" t="str">
        <f ca="1">IF(S1903=Dashboard!$D$12,S1903,"")</f>
        <v/>
      </c>
      <c r="U1903" s="134" t="str">
        <f t="shared" ca="1" si="576"/>
        <v/>
      </c>
      <c r="V1903" s="83" t="str">
        <f ca="1">IF(U1903="","",IFERROR((RANK(U1903,$U$2:$U$2028,1)+COUNTIF($U$2:U1903,U1903))-1,""))</f>
        <v/>
      </c>
      <c r="W1903" s="134" t="str">
        <f t="shared" si="580"/>
        <v/>
      </c>
      <c r="X1903" s="134" t="str">
        <f>IF(W1903="","",IFERROR((RANK(W1903,$W$2:$W$2028,1)+COUNTIF($W$2:W1903,W1903))-1,""))</f>
        <v/>
      </c>
      <c r="Y1903" s="134" t="str">
        <f t="shared" si="577"/>
        <v/>
      </c>
      <c r="Z1903" s="134" t="str">
        <f>IF(Y1903="","",IFERROR((RANK(Y1903,$Y$2:$Y$2028,1)+COUNTIF($Y$2:Y1903,Y1903))-1,""))</f>
        <v/>
      </c>
      <c r="AA1903" s="134" t="str">
        <f t="shared" si="578"/>
        <v/>
      </c>
      <c r="AB1903" s="134" t="str">
        <f>IF(AA1903="","",IFERROR((RANK(AA1903,$AA$2:$AA$2028,1)+COUNTIF($AA$2:AA1903,AA1903))-1,""))</f>
        <v/>
      </c>
      <c r="AC1903" s="134" t="str">
        <f t="shared" si="579"/>
        <v/>
      </c>
      <c r="AD1903" s="134" t="str">
        <f>IF(AC1903="","",IFERROR((RANK(AC1903,$AC$2:$AC$2028,1)+COUNTIF($AC$2:AC1903,AC1903))-1,""))</f>
        <v/>
      </c>
      <c r="AE1903" s="144" t="str">
        <f t="shared" si="571"/>
        <v/>
      </c>
      <c r="AF1903" s="144" t="str">
        <f>IF(AE1903="","",SUM($AE$2:AE1903))</f>
        <v/>
      </c>
    </row>
    <row r="1904" spans="14:32" x14ac:dyDescent="0.35">
      <c r="N1904" s="134" t="str">
        <f t="shared" si="569"/>
        <v/>
      </c>
      <c r="O1904" s="82" t="str">
        <f t="shared" si="572"/>
        <v/>
      </c>
      <c r="P1904" s="81" t="str">
        <f t="shared" si="570"/>
        <v/>
      </c>
      <c r="Q1904" s="81" t="str">
        <f t="shared" si="573"/>
        <v/>
      </c>
      <c r="R1904" s="135" t="str">
        <f t="shared" ca="1" si="574"/>
        <v/>
      </c>
      <c r="S1904" s="134" t="str">
        <f t="shared" ca="1" si="575"/>
        <v/>
      </c>
      <c r="T1904" s="134" t="str">
        <f ca="1">IF(S1904=Dashboard!$D$12,S1904,"")</f>
        <v/>
      </c>
      <c r="U1904" s="134" t="str">
        <f t="shared" ca="1" si="576"/>
        <v/>
      </c>
      <c r="V1904" s="83" t="str">
        <f ca="1">IF(U1904="","",IFERROR((RANK(U1904,$U$2:$U$2028,1)+COUNTIF($U$2:U1904,U1904))-1,""))</f>
        <v/>
      </c>
      <c r="W1904" s="134" t="str">
        <f t="shared" si="580"/>
        <v/>
      </c>
      <c r="X1904" s="134" t="str">
        <f>IF(W1904="","",IFERROR((RANK(W1904,$W$2:$W$2028,1)+COUNTIF($W$2:W1904,W1904))-1,""))</f>
        <v/>
      </c>
      <c r="Y1904" s="134" t="str">
        <f t="shared" si="577"/>
        <v/>
      </c>
      <c r="Z1904" s="134" t="str">
        <f>IF(Y1904="","",IFERROR((RANK(Y1904,$Y$2:$Y$2028,1)+COUNTIF($Y$2:Y1904,Y1904))-1,""))</f>
        <v/>
      </c>
      <c r="AA1904" s="134" t="str">
        <f t="shared" si="578"/>
        <v/>
      </c>
      <c r="AB1904" s="134" t="str">
        <f>IF(AA1904="","",IFERROR((RANK(AA1904,$AA$2:$AA$2028,1)+COUNTIF($AA$2:AA1904,AA1904))-1,""))</f>
        <v/>
      </c>
      <c r="AC1904" s="134" t="str">
        <f t="shared" si="579"/>
        <v/>
      </c>
      <c r="AD1904" s="134" t="str">
        <f>IF(AC1904="","",IFERROR((RANK(AC1904,$AC$2:$AC$2028,1)+COUNTIF($AC$2:AC1904,AC1904))-1,""))</f>
        <v/>
      </c>
      <c r="AE1904" s="144" t="str">
        <f t="shared" si="571"/>
        <v/>
      </c>
      <c r="AF1904" s="144" t="str">
        <f>IF(AE1904="","",SUM($AE$2:AE1904))</f>
        <v/>
      </c>
    </row>
    <row r="1905" spans="14:32" x14ac:dyDescent="0.35">
      <c r="N1905" s="134" t="str">
        <f t="shared" si="569"/>
        <v/>
      </c>
      <c r="O1905" s="82" t="str">
        <f t="shared" si="572"/>
        <v/>
      </c>
      <c r="P1905" s="81" t="str">
        <f t="shared" si="570"/>
        <v/>
      </c>
      <c r="Q1905" s="81" t="str">
        <f t="shared" si="573"/>
        <v/>
      </c>
      <c r="R1905" s="135" t="str">
        <f t="shared" ca="1" si="574"/>
        <v/>
      </c>
      <c r="S1905" s="134" t="str">
        <f t="shared" ca="1" si="575"/>
        <v/>
      </c>
      <c r="T1905" s="134" t="str">
        <f ca="1">IF(S1905=Dashboard!$D$12,S1905,"")</f>
        <v/>
      </c>
      <c r="U1905" s="134" t="str">
        <f t="shared" ca="1" si="576"/>
        <v/>
      </c>
      <c r="V1905" s="83" t="str">
        <f ca="1">IF(U1905="","",IFERROR((RANK(U1905,$U$2:$U$2028,1)+COUNTIF($U$2:U1905,U1905))-1,""))</f>
        <v/>
      </c>
      <c r="W1905" s="134" t="str">
        <f t="shared" si="580"/>
        <v/>
      </c>
      <c r="X1905" s="134" t="str">
        <f>IF(W1905="","",IFERROR((RANK(W1905,$W$2:$W$2028,1)+COUNTIF($W$2:W1905,W1905))-1,""))</f>
        <v/>
      </c>
      <c r="Y1905" s="134" t="str">
        <f t="shared" si="577"/>
        <v/>
      </c>
      <c r="Z1905" s="134" t="str">
        <f>IF(Y1905="","",IFERROR((RANK(Y1905,$Y$2:$Y$2028,1)+COUNTIF($Y$2:Y1905,Y1905))-1,""))</f>
        <v/>
      </c>
      <c r="AA1905" s="134" t="str">
        <f t="shared" si="578"/>
        <v/>
      </c>
      <c r="AB1905" s="134" t="str">
        <f>IF(AA1905="","",IFERROR((RANK(AA1905,$AA$2:$AA$2028,1)+COUNTIF($AA$2:AA1905,AA1905))-1,""))</f>
        <v/>
      </c>
      <c r="AC1905" s="134" t="str">
        <f t="shared" si="579"/>
        <v/>
      </c>
      <c r="AD1905" s="134" t="str">
        <f>IF(AC1905="","",IFERROR((RANK(AC1905,$AC$2:$AC$2028,1)+COUNTIF($AC$2:AC1905,AC1905))-1,""))</f>
        <v/>
      </c>
      <c r="AE1905" s="144" t="str">
        <f t="shared" si="571"/>
        <v/>
      </c>
      <c r="AF1905" s="144" t="str">
        <f>IF(AE1905="","",SUM($AE$2:AE1905))</f>
        <v/>
      </c>
    </row>
    <row r="1906" spans="14:32" x14ac:dyDescent="0.35">
      <c r="N1906" s="134" t="str">
        <f t="shared" si="569"/>
        <v/>
      </c>
      <c r="O1906" s="82" t="str">
        <f t="shared" si="572"/>
        <v/>
      </c>
      <c r="P1906" s="81" t="str">
        <f t="shared" si="570"/>
        <v/>
      </c>
      <c r="Q1906" s="81" t="str">
        <f t="shared" si="573"/>
        <v/>
      </c>
      <c r="R1906" s="135" t="str">
        <f t="shared" ca="1" si="574"/>
        <v/>
      </c>
      <c r="S1906" s="134" t="str">
        <f t="shared" ca="1" si="575"/>
        <v/>
      </c>
      <c r="T1906" s="134" t="str">
        <f ca="1">IF(S1906=Dashboard!$D$12,S1906,"")</f>
        <v/>
      </c>
      <c r="U1906" s="134" t="str">
        <f t="shared" ca="1" si="576"/>
        <v/>
      </c>
      <c r="V1906" s="83" t="str">
        <f ca="1">IF(U1906="","",IFERROR((RANK(U1906,$U$2:$U$2028,1)+COUNTIF($U$2:U1906,U1906))-1,""))</f>
        <v/>
      </c>
      <c r="W1906" s="134" t="str">
        <f t="shared" si="580"/>
        <v/>
      </c>
      <c r="X1906" s="134" t="str">
        <f>IF(W1906="","",IFERROR((RANK(W1906,$W$2:$W$2028,1)+COUNTIF($W$2:W1906,W1906))-1,""))</f>
        <v/>
      </c>
      <c r="Y1906" s="134" t="str">
        <f t="shared" si="577"/>
        <v/>
      </c>
      <c r="Z1906" s="134" t="str">
        <f>IF(Y1906="","",IFERROR((RANK(Y1906,$Y$2:$Y$2028,1)+COUNTIF($Y$2:Y1906,Y1906))-1,""))</f>
        <v/>
      </c>
      <c r="AA1906" s="134" t="str">
        <f t="shared" si="578"/>
        <v/>
      </c>
      <c r="AB1906" s="134" t="str">
        <f>IF(AA1906="","",IFERROR((RANK(AA1906,$AA$2:$AA$2028,1)+COUNTIF($AA$2:AA1906,AA1906))-1,""))</f>
        <v/>
      </c>
      <c r="AC1906" s="134" t="str">
        <f t="shared" si="579"/>
        <v/>
      </c>
      <c r="AD1906" s="134" t="str">
        <f>IF(AC1906="","",IFERROR((RANK(AC1906,$AC$2:$AC$2028,1)+COUNTIF($AC$2:AC1906,AC1906))-1,""))</f>
        <v/>
      </c>
      <c r="AE1906" s="144" t="str">
        <f t="shared" si="571"/>
        <v/>
      </c>
      <c r="AF1906" s="144" t="str">
        <f>IF(AE1906="","",SUM($AE$2:AE1906))</f>
        <v/>
      </c>
    </row>
    <row r="1907" spans="14:32" x14ac:dyDescent="0.35">
      <c r="N1907" s="134" t="str">
        <f t="shared" si="569"/>
        <v/>
      </c>
      <c r="O1907" s="82" t="str">
        <f t="shared" si="572"/>
        <v/>
      </c>
      <c r="P1907" s="81" t="str">
        <f t="shared" si="570"/>
        <v/>
      </c>
      <c r="Q1907" s="81" t="str">
        <f t="shared" si="573"/>
        <v/>
      </c>
      <c r="R1907" s="135" t="str">
        <f t="shared" ca="1" si="574"/>
        <v/>
      </c>
      <c r="S1907" s="134" t="str">
        <f t="shared" ca="1" si="575"/>
        <v/>
      </c>
      <c r="T1907" s="134" t="str">
        <f ca="1">IF(S1907=Dashboard!$D$12,S1907,"")</f>
        <v/>
      </c>
      <c r="U1907" s="134" t="str">
        <f t="shared" ca="1" si="576"/>
        <v/>
      </c>
      <c r="V1907" s="83" t="str">
        <f ca="1">IF(U1907="","",IFERROR((RANK(U1907,$U$2:$U$2028,1)+COUNTIF($U$2:U1907,U1907))-1,""))</f>
        <v/>
      </c>
      <c r="W1907" s="134" t="str">
        <f t="shared" si="580"/>
        <v/>
      </c>
      <c r="X1907" s="134" t="str">
        <f>IF(W1907="","",IFERROR((RANK(W1907,$W$2:$W$2028,1)+COUNTIF($W$2:W1907,W1907))-1,""))</f>
        <v/>
      </c>
      <c r="Y1907" s="134" t="str">
        <f t="shared" si="577"/>
        <v/>
      </c>
      <c r="Z1907" s="134" t="str">
        <f>IF(Y1907="","",IFERROR((RANK(Y1907,$Y$2:$Y$2028,1)+COUNTIF($Y$2:Y1907,Y1907))-1,""))</f>
        <v/>
      </c>
      <c r="AA1907" s="134" t="str">
        <f t="shared" si="578"/>
        <v/>
      </c>
      <c r="AB1907" s="134" t="str">
        <f>IF(AA1907="","",IFERROR((RANK(AA1907,$AA$2:$AA$2028,1)+COUNTIF($AA$2:AA1907,AA1907))-1,""))</f>
        <v/>
      </c>
      <c r="AC1907" s="134" t="str">
        <f t="shared" si="579"/>
        <v/>
      </c>
      <c r="AD1907" s="134" t="str">
        <f>IF(AC1907="","",IFERROR((RANK(AC1907,$AC$2:$AC$2028,1)+COUNTIF($AC$2:AC1907,AC1907))-1,""))</f>
        <v/>
      </c>
      <c r="AE1907" s="144" t="str">
        <f t="shared" si="571"/>
        <v/>
      </c>
      <c r="AF1907" s="144" t="str">
        <f>IF(AE1907="","",SUM($AE$2:AE1907))</f>
        <v/>
      </c>
    </row>
    <row r="1908" spans="14:32" x14ac:dyDescent="0.35">
      <c r="N1908" s="134" t="str">
        <f t="shared" si="569"/>
        <v/>
      </c>
      <c r="O1908" s="82" t="str">
        <f t="shared" si="572"/>
        <v/>
      </c>
      <c r="P1908" s="81" t="str">
        <f t="shared" si="570"/>
        <v/>
      </c>
      <c r="Q1908" s="81" t="str">
        <f t="shared" si="573"/>
        <v/>
      </c>
      <c r="R1908" s="135" t="str">
        <f t="shared" ca="1" si="574"/>
        <v/>
      </c>
      <c r="S1908" s="134" t="str">
        <f t="shared" ca="1" si="575"/>
        <v/>
      </c>
      <c r="T1908" s="134" t="str">
        <f ca="1">IF(S1908=Dashboard!$D$12,S1908,"")</f>
        <v/>
      </c>
      <c r="U1908" s="134" t="str">
        <f t="shared" ca="1" si="576"/>
        <v/>
      </c>
      <c r="V1908" s="83" t="str">
        <f ca="1">IF(U1908="","",IFERROR((RANK(U1908,$U$2:$U$2028,1)+COUNTIF($U$2:U1908,U1908))-1,""))</f>
        <v/>
      </c>
      <c r="W1908" s="134" t="str">
        <f t="shared" si="580"/>
        <v/>
      </c>
      <c r="X1908" s="134" t="str">
        <f>IF(W1908="","",IFERROR((RANK(W1908,$W$2:$W$2028,1)+COUNTIF($W$2:W1908,W1908))-1,""))</f>
        <v/>
      </c>
      <c r="Y1908" s="134" t="str">
        <f t="shared" si="577"/>
        <v/>
      </c>
      <c r="Z1908" s="134" t="str">
        <f>IF(Y1908="","",IFERROR((RANK(Y1908,$Y$2:$Y$2028,1)+COUNTIF($Y$2:Y1908,Y1908))-1,""))</f>
        <v/>
      </c>
      <c r="AA1908" s="134" t="str">
        <f t="shared" si="578"/>
        <v/>
      </c>
      <c r="AB1908" s="134" t="str">
        <f>IF(AA1908="","",IFERROR((RANK(AA1908,$AA$2:$AA$2028,1)+COUNTIF($AA$2:AA1908,AA1908))-1,""))</f>
        <v/>
      </c>
      <c r="AC1908" s="134" t="str">
        <f t="shared" si="579"/>
        <v/>
      </c>
      <c r="AD1908" s="134" t="str">
        <f>IF(AC1908="","",IFERROR((RANK(AC1908,$AC$2:$AC$2028,1)+COUNTIF($AC$2:AC1908,AC1908))-1,""))</f>
        <v/>
      </c>
      <c r="AE1908" s="144" t="str">
        <f t="shared" si="571"/>
        <v/>
      </c>
      <c r="AF1908" s="144" t="str">
        <f>IF(AE1908="","",SUM($AE$2:AE1908))</f>
        <v/>
      </c>
    </row>
    <row r="1909" spans="14:32" x14ac:dyDescent="0.35">
      <c r="N1909" s="134" t="str">
        <f t="shared" si="569"/>
        <v/>
      </c>
      <c r="O1909" s="82" t="str">
        <f t="shared" si="572"/>
        <v/>
      </c>
      <c r="P1909" s="81" t="str">
        <f t="shared" si="570"/>
        <v/>
      </c>
      <c r="Q1909" s="81" t="str">
        <f t="shared" si="573"/>
        <v/>
      </c>
      <c r="R1909" s="135" t="str">
        <f t="shared" ca="1" si="574"/>
        <v/>
      </c>
      <c r="S1909" s="134" t="str">
        <f t="shared" ca="1" si="575"/>
        <v/>
      </c>
      <c r="T1909" s="134" t="str">
        <f ca="1">IF(S1909=Dashboard!$D$12,S1909,"")</f>
        <v/>
      </c>
      <c r="U1909" s="134" t="str">
        <f t="shared" ca="1" si="576"/>
        <v/>
      </c>
      <c r="V1909" s="83" t="str">
        <f ca="1">IF(U1909="","",IFERROR((RANK(U1909,$U$2:$U$2028,1)+COUNTIF($U$2:U1909,U1909))-1,""))</f>
        <v/>
      </c>
      <c r="W1909" s="134" t="str">
        <f t="shared" si="580"/>
        <v/>
      </c>
      <c r="X1909" s="134" t="str">
        <f>IF(W1909="","",IFERROR((RANK(W1909,$W$2:$W$2028,1)+COUNTIF($W$2:W1909,W1909))-1,""))</f>
        <v/>
      </c>
      <c r="Y1909" s="134" t="str">
        <f t="shared" si="577"/>
        <v/>
      </c>
      <c r="Z1909" s="134" t="str">
        <f>IF(Y1909="","",IFERROR((RANK(Y1909,$Y$2:$Y$2028,1)+COUNTIF($Y$2:Y1909,Y1909))-1,""))</f>
        <v/>
      </c>
      <c r="AA1909" s="134" t="str">
        <f t="shared" si="578"/>
        <v/>
      </c>
      <c r="AB1909" s="134" t="str">
        <f>IF(AA1909="","",IFERROR((RANK(AA1909,$AA$2:$AA$2028,1)+COUNTIF($AA$2:AA1909,AA1909))-1,""))</f>
        <v/>
      </c>
      <c r="AC1909" s="134" t="str">
        <f t="shared" si="579"/>
        <v/>
      </c>
      <c r="AD1909" s="134" t="str">
        <f>IF(AC1909="","",IFERROR((RANK(AC1909,$AC$2:$AC$2028,1)+COUNTIF($AC$2:AC1909,AC1909))-1,""))</f>
        <v/>
      </c>
      <c r="AE1909" s="144" t="str">
        <f t="shared" si="571"/>
        <v/>
      </c>
      <c r="AF1909" s="144" t="str">
        <f>IF(AE1909="","",SUM($AE$2:AE1909))</f>
        <v/>
      </c>
    </row>
    <row r="1910" spans="14:32" x14ac:dyDescent="0.35">
      <c r="N1910" s="134" t="str">
        <f t="shared" si="569"/>
        <v/>
      </c>
      <c r="O1910" s="82" t="str">
        <f t="shared" si="572"/>
        <v/>
      </c>
      <c r="P1910" s="81" t="str">
        <f t="shared" si="570"/>
        <v/>
      </c>
      <c r="Q1910" s="81" t="str">
        <f t="shared" si="573"/>
        <v/>
      </c>
      <c r="R1910" s="135" t="str">
        <f t="shared" ca="1" si="574"/>
        <v/>
      </c>
      <c r="S1910" s="134" t="str">
        <f t="shared" ca="1" si="575"/>
        <v/>
      </c>
      <c r="T1910" s="134" t="str">
        <f ca="1">IF(S1910=Dashboard!$D$12,S1910,"")</f>
        <v/>
      </c>
      <c r="U1910" s="134" t="str">
        <f t="shared" ca="1" si="576"/>
        <v/>
      </c>
      <c r="V1910" s="83" t="str">
        <f ca="1">IF(U1910="","",IFERROR((RANK(U1910,$U$2:$U$2028,1)+COUNTIF($U$2:U1910,U1910))-1,""))</f>
        <v/>
      </c>
      <c r="W1910" s="134" t="str">
        <f t="shared" si="580"/>
        <v/>
      </c>
      <c r="X1910" s="134" t="str">
        <f>IF(W1910="","",IFERROR((RANK(W1910,$W$2:$W$2028,1)+COUNTIF($W$2:W1910,W1910))-1,""))</f>
        <v/>
      </c>
      <c r="Y1910" s="134" t="str">
        <f t="shared" si="577"/>
        <v/>
      </c>
      <c r="Z1910" s="134" t="str">
        <f>IF(Y1910="","",IFERROR((RANK(Y1910,$Y$2:$Y$2028,1)+COUNTIF($Y$2:Y1910,Y1910))-1,""))</f>
        <v/>
      </c>
      <c r="AA1910" s="134" t="str">
        <f t="shared" si="578"/>
        <v/>
      </c>
      <c r="AB1910" s="134" t="str">
        <f>IF(AA1910="","",IFERROR((RANK(AA1910,$AA$2:$AA$2028,1)+COUNTIF($AA$2:AA1910,AA1910))-1,""))</f>
        <v/>
      </c>
      <c r="AC1910" s="134" t="str">
        <f t="shared" si="579"/>
        <v/>
      </c>
      <c r="AD1910" s="134" t="str">
        <f>IF(AC1910="","",IFERROR((RANK(AC1910,$AC$2:$AC$2028,1)+COUNTIF($AC$2:AC1910,AC1910))-1,""))</f>
        <v/>
      </c>
      <c r="AE1910" s="144" t="str">
        <f t="shared" si="571"/>
        <v/>
      </c>
      <c r="AF1910" s="144" t="str">
        <f>IF(AE1910="","",SUM($AE$2:AE1910))</f>
        <v/>
      </c>
    </row>
    <row r="1911" spans="14:32" x14ac:dyDescent="0.35">
      <c r="N1911" s="134" t="str">
        <f t="shared" si="569"/>
        <v/>
      </c>
      <c r="O1911" s="82" t="str">
        <f t="shared" si="572"/>
        <v/>
      </c>
      <c r="P1911" s="81" t="str">
        <f t="shared" si="570"/>
        <v/>
      </c>
      <c r="Q1911" s="81" t="str">
        <f t="shared" si="573"/>
        <v/>
      </c>
      <c r="R1911" s="135" t="str">
        <f t="shared" ca="1" si="574"/>
        <v/>
      </c>
      <c r="S1911" s="134" t="str">
        <f t="shared" ca="1" si="575"/>
        <v/>
      </c>
      <c r="T1911" s="134" t="str">
        <f ca="1">IF(S1911=Dashboard!$D$12,S1911,"")</f>
        <v/>
      </c>
      <c r="U1911" s="134" t="str">
        <f t="shared" ca="1" si="576"/>
        <v/>
      </c>
      <c r="V1911" s="83" t="str">
        <f ca="1">IF(U1911="","",IFERROR((RANK(U1911,$U$2:$U$2028,1)+COUNTIF($U$2:U1911,U1911))-1,""))</f>
        <v/>
      </c>
      <c r="W1911" s="134" t="str">
        <f t="shared" si="580"/>
        <v/>
      </c>
      <c r="X1911" s="134" t="str">
        <f>IF(W1911="","",IFERROR((RANK(W1911,$W$2:$W$2028,1)+COUNTIF($W$2:W1911,W1911))-1,""))</f>
        <v/>
      </c>
      <c r="Y1911" s="134" t="str">
        <f t="shared" si="577"/>
        <v/>
      </c>
      <c r="Z1911" s="134" t="str">
        <f>IF(Y1911="","",IFERROR((RANK(Y1911,$Y$2:$Y$2028,1)+COUNTIF($Y$2:Y1911,Y1911))-1,""))</f>
        <v/>
      </c>
      <c r="AA1911" s="134" t="str">
        <f t="shared" si="578"/>
        <v/>
      </c>
      <c r="AB1911" s="134" t="str">
        <f>IF(AA1911="","",IFERROR((RANK(AA1911,$AA$2:$AA$2028,1)+COUNTIF($AA$2:AA1911,AA1911))-1,""))</f>
        <v/>
      </c>
      <c r="AC1911" s="134" t="str">
        <f t="shared" si="579"/>
        <v/>
      </c>
      <c r="AD1911" s="134" t="str">
        <f>IF(AC1911="","",IFERROR((RANK(AC1911,$AC$2:$AC$2028,1)+COUNTIF($AC$2:AC1911,AC1911))-1,""))</f>
        <v/>
      </c>
      <c r="AE1911" s="144" t="str">
        <f t="shared" si="571"/>
        <v/>
      </c>
      <c r="AF1911" s="144" t="str">
        <f>IF(AE1911="","",SUM($AE$2:AE1911))</f>
        <v/>
      </c>
    </row>
    <row r="1912" spans="14:32" x14ac:dyDescent="0.35">
      <c r="N1912" s="134" t="str">
        <f t="shared" si="569"/>
        <v/>
      </c>
      <c r="O1912" s="82" t="str">
        <f t="shared" si="572"/>
        <v/>
      </c>
      <c r="P1912" s="81" t="str">
        <f t="shared" si="570"/>
        <v/>
      </c>
      <c r="Q1912" s="81" t="str">
        <f t="shared" si="573"/>
        <v/>
      </c>
      <c r="R1912" s="135" t="str">
        <f t="shared" ca="1" si="574"/>
        <v/>
      </c>
      <c r="S1912" s="134" t="str">
        <f t="shared" ca="1" si="575"/>
        <v/>
      </c>
      <c r="T1912" s="134" t="str">
        <f ca="1">IF(S1912=Dashboard!$D$12,S1912,"")</f>
        <v/>
      </c>
      <c r="U1912" s="134" t="str">
        <f t="shared" ca="1" si="576"/>
        <v/>
      </c>
      <c r="V1912" s="83" t="str">
        <f ca="1">IF(U1912="","",IFERROR((RANK(U1912,$U$2:$U$2028,1)+COUNTIF($U$2:U1912,U1912))-1,""))</f>
        <v/>
      </c>
      <c r="W1912" s="134" t="str">
        <f t="shared" si="580"/>
        <v/>
      </c>
      <c r="X1912" s="134" t="str">
        <f>IF(W1912="","",IFERROR((RANK(W1912,$W$2:$W$2028,1)+COUNTIF($W$2:W1912,W1912))-1,""))</f>
        <v/>
      </c>
      <c r="Y1912" s="134" t="str">
        <f t="shared" si="577"/>
        <v/>
      </c>
      <c r="Z1912" s="134" t="str">
        <f>IF(Y1912="","",IFERROR((RANK(Y1912,$Y$2:$Y$2028,1)+COUNTIF($Y$2:Y1912,Y1912))-1,""))</f>
        <v/>
      </c>
      <c r="AA1912" s="134" t="str">
        <f t="shared" si="578"/>
        <v/>
      </c>
      <c r="AB1912" s="134" t="str">
        <f>IF(AA1912="","",IFERROR((RANK(AA1912,$AA$2:$AA$2028,1)+COUNTIF($AA$2:AA1912,AA1912))-1,""))</f>
        <v/>
      </c>
      <c r="AC1912" s="134" t="str">
        <f t="shared" si="579"/>
        <v/>
      </c>
      <c r="AD1912" s="134" t="str">
        <f>IF(AC1912="","",IFERROR((RANK(AC1912,$AC$2:$AC$2028,1)+COUNTIF($AC$2:AC1912,AC1912))-1,""))</f>
        <v/>
      </c>
      <c r="AE1912" s="144" t="str">
        <f t="shared" si="571"/>
        <v/>
      </c>
      <c r="AF1912" s="144" t="str">
        <f>IF(AE1912="","",SUM($AE$2:AE1912))</f>
        <v/>
      </c>
    </row>
    <row r="1913" spans="14:32" x14ac:dyDescent="0.35">
      <c r="N1913" s="134" t="str">
        <f t="shared" si="569"/>
        <v/>
      </c>
      <c r="O1913" s="82" t="str">
        <f t="shared" si="572"/>
        <v/>
      </c>
      <c r="P1913" s="81" t="str">
        <f t="shared" si="570"/>
        <v/>
      </c>
      <c r="Q1913" s="81" t="str">
        <f t="shared" si="573"/>
        <v/>
      </c>
      <c r="R1913" s="135" t="str">
        <f t="shared" ca="1" si="574"/>
        <v/>
      </c>
      <c r="S1913" s="134" t="str">
        <f t="shared" ca="1" si="575"/>
        <v/>
      </c>
      <c r="T1913" s="134" t="str">
        <f ca="1">IF(S1913=Dashboard!$D$12,S1913,"")</f>
        <v/>
      </c>
      <c r="U1913" s="134" t="str">
        <f t="shared" ca="1" si="576"/>
        <v/>
      </c>
      <c r="V1913" s="83" t="str">
        <f ca="1">IF(U1913="","",IFERROR((RANK(U1913,$U$2:$U$2028,1)+COUNTIF($U$2:U1913,U1913))-1,""))</f>
        <v/>
      </c>
      <c r="W1913" s="134" t="str">
        <f t="shared" si="580"/>
        <v/>
      </c>
      <c r="X1913" s="134" t="str">
        <f>IF(W1913="","",IFERROR((RANK(W1913,$W$2:$W$2028,1)+COUNTIF($W$2:W1913,W1913))-1,""))</f>
        <v/>
      </c>
      <c r="Y1913" s="134" t="str">
        <f t="shared" si="577"/>
        <v/>
      </c>
      <c r="Z1913" s="134" t="str">
        <f>IF(Y1913="","",IFERROR((RANK(Y1913,$Y$2:$Y$2028,1)+COUNTIF($Y$2:Y1913,Y1913))-1,""))</f>
        <v/>
      </c>
      <c r="AA1913" s="134" t="str">
        <f t="shared" si="578"/>
        <v/>
      </c>
      <c r="AB1913" s="134" t="str">
        <f>IF(AA1913="","",IFERROR((RANK(AA1913,$AA$2:$AA$2028,1)+COUNTIF($AA$2:AA1913,AA1913))-1,""))</f>
        <v/>
      </c>
      <c r="AC1913" s="134" t="str">
        <f t="shared" si="579"/>
        <v/>
      </c>
      <c r="AD1913" s="134" t="str">
        <f>IF(AC1913="","",IFERROR((RANK(AC1913,$AC$2:$AC$2028,1)+COUNTIF($AC$2:AC1913,AC1913))-1,""))</f>
        <v/>
      </c>
      <c r="AE1913" s="144" t="str">
        <f t="shared" si="571"/>
        <v/>
      </c>
      <c r="AF1913" s="144" t="str">
        <f>IF(AE1913="","",SUM($AE$2:AE1913))</f>
        <v/>
      </c>
    </row>
    <row r="1914" spans="14:32" x14ac:dyDescent="0.35">
      <c r="N1914" s="134" t="str">
        <f t="shared" si="569"/>
        <v/>
      </c>
      <c r="O1914" s="82" t="str">
        <f t="shared" si="572"/>
        <v/>
      </c>
      <c r="P1914" s="81" t="str">
        <f t="shared" si="570"/>
        <v/>
      </c>
      <c r="Q1914" s="81" t="str">
        <f t="shared" si="573"/>
        <v/>
      </c>
      <c r="R1914" s="135" t="str">
        <f t="shared" ca="1" si="574"/>
        <v/>
      </c>
      <c r="S1914" s="134" t="str">
        <f t="shared" ca="1" si="575"/>
        <v/>
      </c>
      <c r="T1914" s="134" t="str">
        <f ca="1">IF(S1914=Dashboard!$D$12,S1914,"")</f>
        <v/>
      </c>
      <c r="U1914" s="134" t="str">
        <f t="shared" ca="1" si="576"/>
        <v/>
      </c>
      <c r="V1914" s="83" t="str">
        <f ca="1">IF(U1914="","",IFERROR((RANK(U1914,$U$2:$U$2028,1)+COUNTIF($U$2:U1914,U1914))-1,""))</f>
        <v/>
      </c>
      <c r="W1914" s="134" t="str">
        <f t="shared" si="580"/>
        <v/>
      </c>
      <c r="X1914" s="134" t="str">
        <f>IF(W1914="","",IFERROR((RANK(W1914,$W$2:$W$2028,1)+COUNTIF($W$2:W1914,W1914))-1,""))</f>
        <v/>
      </c>
      <c r="Y1914" s="134" t="str">
        <f t="shared" si="577"/>
        <v/>
      </c>
      <c r="Z1914" s="134" t="str">
        <f>IF(Y1914="","",IFERROR((RANK(Y1914,$Y$2:$Y$2028,1)+COUNTIF($Y$2:Y1914,Y1914))-1,""))</f>
        <v/>
      </c>
      <c r="AA1914" s="134" t="str">
        <f t="shared" si="578"/>
        <v/>
      </c>
      <c r="AB1914" s="134" t="str">
        <f>IF(AA1914="","",IFERROR((RANK(AA1914,$AA$2:$AA$2028,1)+COUNTIF($AA$2:AA1914,AA1914))-1,""))</f>
        <v/>
      </c>
      <c r="AC1914" s="134" t="str">
        <f t="shared" si="579"/>
        <v/>
      </c>
      <c r="AD1914" s="134" t="str">
        <f>IF(AC1914="","",IFERROR((RANK(AC1914,$AC$2:$AC$2028,1)+COUNTIF($AC$2:AC1914,AC1914))-1,""))</f>
        <v/>
      </c>
      <c r="AE1914" s="144" t="str">
        <f t="shared" si="571"/>
        <v/>
      </c>
      <c r="AF1914" s="144" t="str">
        <f>IF(AE1914="","",SUM($AE$2:AE1914))</f>
        <v/>
      </c>
    </row>
    <row r="1915" spans="14:32" x14ac:dyDescent="0.35">
      <c r="N1915" s="134" t="str">
        <f t="shared" si="569"/>
        <v/>
      </c>
      <c r="O1915" s="82" t="str">
        <f t="shared" si="572"/>
        <v/>
      </c>
      <c r="P1915" s="81" t="str">
        <f t="shared" si="570"/>
        <v/>
      </c>
      <c r="Q1915" s="81" t="str">
        <f t="shared" si="573"/>
        <v/>
      </c>
      <c r="R1915" s="135" t="str">
        <f t="shared" ca="1" si="574"/>
        <v/>
      </c>
      <c r="S1915" s="134" t="str">
        <f t="shared" ca="1" si="575"/>
        <v/>
      </c>
      <c r="T1915" s="134" t="str">
        <f ca="1">IF(S1915=Dashboard!$D$12,S1915,"")</f>
        <v/>
      </c>
      <c r="U1915" s="134" t="str">
        <f t="shared" ca="1" si="576"/>
        <v/>
      </c>
      <c r="V1915" s="83" t="str">
        <f ca="1">IF(U1915="","",IFERROR((RANK(U1915,$U$2:$U$2028,1)+COUNTIF($U$2:U1915,U1915))-1,""))</f>
        <v/>
      </c>
      <c r="W1915" s="134" t="str">
        <f t="shared" si="580"/>
        <v/>
      </c>
      <c r="X1915" s="134" t="str">
        <f>IF(W1915="","",IFERROR((RANK(W1915,$W$2:$W$2028,1)+COUNTIF($W$2:W1915,W1915))-1,""))</f>
        <v/>
      </c>
      <c r="Y1915" s="134" t="str">
        <f t="shared" si="577"/>
        <v/>
      </c>
      <c r="Z1915" s="134" t="str">
        <f>IF(Y1915="","",IFERROR((RANK(Y1915,$Y$2:$Y$2028,1)+COUNTIF($Y$2:Y1915,Y1915))-1,""))</f>
        <v/>
      </c>
      <c r="AA1915" s="134" t="str">
        <f t="shared" si="578"/>
        <v/>
      </c>
      <c r="AB1915" s="134" t="str">
        <f>IF(AA1915="","",IFERROR((RANK(AA1915,$AA$2:$AA$2028,1)+COUNTIF($AA$2:AA1915,AA1915))-1,""))</f>
        <v/>
      </c>
      <c r="AC1915" s="134" t="str">
        <f t="shared" si="579"/>
        <v/>
      </c>
      <c r="AD1915" s="134" t="str">
        <f>IF(AC1915="","",IFERROR((RANK(AC1915,$AC$2:$AC$2028,1)+COUNTIF($AC$2:AC1915,AC1915))-1,""))</f>
        <v/>
      </c>
      <c r="AE1915" s="144" t="str">
        <f t="shared" si="571"/>
        <v/>
      </c>
      <c r="AF1915" s="144" t="str">
        <f>IF(AE1915="","",SUM($AE$2:AE1915))</f>
        <v/>
      </c>
    </row>
    <row r="1916" spans="14:32" x14ac:dyDescent="0.35">
      <c r="N1916" s="134" t="str">
        <f t="shared" si="569"/>
        <v/>
      </c>
      <c r="O1916" s="82" t="str">
        <f t="shared" si="572"/>
        <v/>
      </c>
      <c r="P1916" s="81" t="str">
        <f t="shared" si="570"/>
        <v/>
      </c>
      <c r="Q1916" s="81" t="str">
        <f t="shared" si="573"/>
        <v/>
      </c>
      <c r="R1916" s="135" t="str">
        <f t="shared" ca="1" si="574"/>
        <v/>
      </c>
      <c r="S1916" s="134" t="str">
        <f t="shared" ca="1" si="575"/>
        <v/>
      </c>
      <c r="T1916" s="134" t="str">
        <f ca="1">IF(S1916=Dashboard!$D$12,S1916,"")</f>
        <v/>
      </c>
      <c r="U1916" s="134" t="str">
        <f t="shared" ca="1" si="576"/>
        <v/>
      </c>
      <c r="V1916" s="83" t="str">
        <f ca="1">IF(U1916="","",IFERROR((RANK(U1916,$U$2:$U$2028,1)+COUNTIF($U$2:U1916,U1916))-1,""))</f>
        <v/>
      </c>
      <c r="W1916" s="134" t="str">
        <f t="shared" si="580"/>
        <v/>
      </c>
      <c r="X1916" s="134" t="str">
        <f>IF(W1916="","",IFERROR((RANK(W1916,$W$2:$W$2028,1)+COUNTIF($W$2:W1916,W1916))-1,""))</f>
        <v/>
      </c>
      <c r="Y1916" s="134" t="str">
        <f t="shared" si="577"/>
        <v/>
      </c>
      <c r="Z1916" s="134" t="str">
        <f>IF(Y1916="","",IFERROR((RANK(Y1916,$Y$2:$Y$2028,1)+COUNTIF($Y$2:Y1916,Y1916))-1,""))</f>
        <v/>
      </c>
      <c r="AA1916" s="134" t="str">
        <f t="shared" si="578"/>
        <v/>
      </c>
      <c r="AB1916" s="134" t="str">
        <f>IF(AA1916="","",IFERROR((RANK(AA1916,$AA$2:$AA$2028,1)+COUNTIF($AA$2:AA1916,AA1916))-1,""))</f>
        <v/>
      </c>
      <c r="AC1916" s="134" t="str">
        <f t="shared" si="579"/>
        <v/>
      </c>
      <c r="AD1916" s="134" t="str">
        <f>IF(AC1916="","",IFERROR((RANK(AC1916,$AC$2:$AC$2028,1)+COUNTIF($AC$2:AC1916,AC1916))-1,""))</f>
        <v/>
      </c>
      <c r="AE1916" s="144" t="str">
        <f t="shared" si="571"/>
        <v/>
      </c>
      <c r="AF1916" s="144" t="str">
        <f>IF(AE1916="","",SUM($AE$2:AE1916))</f>
        <v/>
      </c>
    </row>
    <row r="1917" spans="14:32" x14ac:dyDescent="0.35">
      <c r="N1917" s="134" t="str">
        <f t="shared" si="569"/>
        <v/>
      </c>
      <c r="O1917" s="82" t="str">
        <f t="shared" si="572"/>
        <v/>
      </c>
      <c r="P1917" s="81" t="str">
        <f t="shared" si="570"/>
        <v/>
      </c>
      <c r="Q1917" s="81" t="str">
        <f t="shared" si="573"/>
        <v/>
      </c>
      <c r="R1917" s="135" t="str">
        <f t="shared" ca="1" si="574"/>
        <v/>
      </c>
      <c r="S1917" s="134" t="str">
        <f t="shared" ca="1" si="575"/>
        <v/>
      </c>
      <c r="T1917" s="134" t="str">
        <f ca="1">IF(S1917=Dashboard!$D$12,S1917,"")</f>
        <v/>
      </c>
      <c r="U1917" s="134" t="str">
        <f t="shared" ca="1" si="576"/>
        <v/>
      </c>
      <c r="V1917" s="83" t="str">
        <f ca="1">IF(U1917="","",IFERROR((RANK(U1917,$U$2:$U$2028,1)+COUNTIF($U$2:U1917,U1917))-1,""))</f>
        <v/>
      </c>
      <c r="W1917" s="134" t="str">
        <f t="shared" si="580"/>
        <v/>
      </c>
      <c r="X1917" s="134" t="str">
        <f>IF(W1917="","",IFERROR((RANK(W1917,$W$2:$W$2028,1)+COUNTIF($W$2:W1917,W1917))-1,""))</f>
        <v/>
      </c>
      <c r="Y1917" s="134" t="str">
        <f t="shared" si="577"/>
        <v/>
      </c>
      <c r="Z1917" s="134" t="str">
        <f>IF(Y1917="","",IFERROR((RANK(Y1917,$Y$2:$Y$2028,1)+COUNTIF($Y$2:Y1917,Y1917))-1,""))</f>
        <v/>
      </c>
      <c r="AA1917" s="134" t="str">
        <f t="shared" si="578"/>
        <v/>
      </c>
      <c r="AB1917" s="134" t="str">
        <f>IF(AA1917="","",IFERROR((RANK(AA1917,$AA$2:$AA$2028,1)+COUNTIF($AA$2:AA1917,AA1917))-1,""))</f>
        <v/>
      </c>
      <c r="AC1917" s="134" t="str">
        <f t="shared" si="579"/>
        <v/>
      </c>
      <c r="AD1917" s="134" t="str">
        <f>IF(AC1917="","",IFERROR((RANK(AC1917,$AC$2:$AC$2028,1)+COUNTIF($AC$2:AC1917,AC1917))-1,""))</f>
        <v/>
      </c>
      <c r="AE1917" s="144" t="str">
        <f t="shared" si="571"/>
        <v/>
      </c>
      <c r="AF1917" s="144" t="str">
        <f>IF(AE1917="","",SUM($AE$2:AE1917))</f>
        <v/>
      </c>
    </row>
    <row r="1918" spans="14:32" x14ac:dyDescent="0.35">
      <c r="N1918" s="134" t="str">
        <f t="shared" si="569"/>
        <v/>
      </c>
      <c r="O1918" s="82" t="str">
        <f t="shared" si="572"/>
        <v/>
      </c>
      <c r="P1918" s="81" t="str">
        <f t="shared" si="570"/>
        <v/>
      </c>
      <c r="Q1918" s="81" t="str">
        <f t="shared" si="573"/>
        <v/>
      </c>
      <c r="R1918" s="135" t="str">
        <f t="shared" ca="1" si="574"/>
        <v/>
      </c>
      <c r="S1918" s="134" t="str">
        <f t="shared" ca="1" si="575"/>
        <v/>
      </c>
      <c r="T1918" s="134" t="str">
        <f ca="1">IF(S1918=Dashboard!$D$12,S1918,"")</f>
        <v/>
      </c>
      <c r="U1918" s="134" t="str">
        <f t="shared" ca="1" si="576"/>
        <v/>
      </c>
      <c r="V1918" s="83" t="str">
        <f ca="1">IF(U1918="","",IFERROR((RANK(U1918,$U$2:$U$2028,1)+COUNTIF($U$2:U1918,U1918))-1,""))</f>
        <v/>
      </c>
      <c r="W1918" s="134" t="str">
        <f t="shared" si="580"/>
        <v/>
      </c>
      <c r="X1918" s="134" t="str">
        <f>IF(W1918="","",IFERROR((RANK(W1918,$W$2:$W$2028,1)+COUNTIF($W$2:W1918,W1918))-1,""))</f>
        <v/>
      </c>
      <c r="Y1918" s="134" t="str">
        <f t="shared" si="577"/>
        <v/>
      </c>
      <c r="Z1918" s="134" t="str">
        <f>IF(Y1918="","",IFERROR((RANK(Y1918,$Y$2:$Y$2028,1)+COUNTIF($Y$2:Y1918,Y1918))-1,""))</f>
        <v/>
      </c>
      <c r="AA1918" s="134" t="str">
        <f t="shared" si="578"/>
        <v/>
      </c>
      <c r="AB1918" s="134" t="str">
        <f>IF(AA1918="","",IFERROR((RANK(AA1918,$AA$2:$AA$2028,1)+COUNTIF($AA$2:AA1918,AA1918))-1,""))</f>
        <v/>
      </c>
      <c r="AC1918" s="134" t="str">
        <f t="shared" si="579"/>
        <v/>
      </c>
      <c r="AD1918" s="134" t="str">
        <f>IF(AC1918="","",IFERROR((RANK(AC1918,$AC$2:$AC$2028,1)+COUNTIF($AC$2:AC1918,AC1918))-1,""))</f>
        <v/>
      </c>
      <c r="AE1918" s="144" t="str">
        <f t="shared" si="571"/>
        <v/>
      </c>
      <c r="AF1918" s="144" t="str">
        <f>IF(AE1918="","",SUM($AE$2:AE1918))</f>
        <v/>
      </c>
    </row>
    <row r="1919" spans="14:32" x14ac:dyDescent="0.35">
      <c r="N1919" s="134" t="str">
        <f t="shared" si="569"/>
        <v/>
      </c>
      <c r="O1919" s="82" t="str">
        <f t="shared" si="572"/>
        <v/>
      </c>
      <c r="P1919" s="81" t="str">
        <f t="shared" si="570"/>
        <v/>
      </c>
      <c r="Q1919" s="81" t="str">
        <f t="shared" si="573"/>
        <v/>
      </c>
      <c r="R1919" s="135" t="str">
        <f t="shared" ca="1" si="574"/>
        <v/>
      </c>
      <c r="S1919" s="134" t="str">
        <f t="shared" ca="1" si="575"/>
        <v/>
      </c>
      <c r="T1919" s="134" t="str">
        <f ca="1">IF(S1919=Dashboard!$D$12,S1919,"")</f>
        <v/>
      </c>
      <c r="U1919" s="134" t="str">
        <f t="shared" ca="1" si="576"/>
        <v/>
      </c>
      <c r="V1919" s="83" t="str">
        <f ca="1">IF(U1919="","",IFERROR((RANK(U1919,$U$2:$U$2028,1)+COUNTIF($U$2:U1919,U1919))-1,""))</f>
        <v/>
      </c>
      <c r="W1919" s="134" t="str">
        <f t="shared" si="580"/>
        <v/>
      </c>
      <c r="X1919" s="134" t="str">
        <f>IF(W1919="","",IFERROR((RANK(W1919,$W$2:$W$2028,1)+COUNTIF($W$2:W1919,W1919))-1,""))</f>
        <v/>
      </c>
      <c r="Y1919" s="134" t="str">
        <f t="shared" si="577"/>
        <v/>
      </c>
      <c r="Z1919" s="134" t="str">
        <f>IF(Y1919="","",IFERROR((RANK(Y1919,$Y$2:$Y$2028,1)+COUNTIF($Y$2:Y1919,Y1919))-1,""))</f>
        <v/>
      </c>
      <c r="AA1919" s="134" t="str">
        <f t="shared" si="578"/>
        <v/>
      </c>
      <c r="AB1919" s="134" t="str">
        <f>IF(AA1919="","",IFERROR((RANK(AA1919,$AA$2:$AA$2028,1)+COUNTIF($AA$2:AA1919,AA1919))-1,""))</f>
        <v/>
      </c>
      <c r="AC1919" s="134" t="str">
        <f t="shared" si="579"/>
        <v/>
      </c>
      <c r="AD1919" s="134" t="str">
        <f>IF(AC1919="","",IFERROR((RANK(AC1919,$AC$2:$AC$2028,1)+COUNTIF($AC$2:AC1919,AC1919))-1,""))</f>
        <v/>
      </c>
      <c r="AE1919" s="144" t="str">
        <f t="shared" si="571"/>
        <v/>
      </c>
      <c r="AF1919" s="144" t="str">
        <f>IF(AE1919="","",SUM($AE$2:AE1919))</f>
        <v/>
      </c>
    </row>
    <row r="1920" spans="14:32" x14ac:dyDescent="0.35">
      <c r="N1920" s="134" t="str">
        <f t="shared" si="569"/>
        <v/>
      </c>
      <c r="O1920" s="82" t="str">
        <f t="shared" si="572"/>
        <v/>
      </c>
      <c r="P1920" s="81" t="str">
        <f t="shared" si="570"/>
        <v/>
      </c>
      <c r="Q1920" s="81" t="str">
        <f t="shared" si="573"/>
        <v/>
      </c>
      <c r="R1920" s="135" t="str">
        <f t="shared" ca="1" si="574"/>
        <v/>
      </c>
      <c r="S1920" s="134" t="str">
        <f t="shared" ca="1" si="575"/>
        <v/>
      </c>
      <c r="T1920" s="134" t="str">
        <f ca="1">IF(S1920=Dashboard!$D$12,S1920,"")</f>
        <v/>
      </c>
      <c r="U1920" s="134" t="str">
        <f t="shared" ca="1" si="576"/>
        <v/>
      </c>
      <c r="V1920" s="83" t="str">
        <f ca="1">IF(U1920="","",IFERROR((RANK(U1920,$U$2:$U$2028,1)+COUNTIF($U$2:U1920,U1920))-1,""))</f>
        <v/>
      </c>
      <c r="W1920" s="134" t="str">
        <f t="shared" si="580"/>
        <v/>
      </c>
      <c r="X1920" s="134" t="str">
        <f>IF(W1920="","",IFERROR((RANK(W1920,$W$2:$W$2028,1)+COUNTIF($W$2:W1920,W1920))-1,""))</f>
        <v/>
      </c>
      <c r="Y1920" s="134" t="str">
        <f t="shared" si="577"/>
        <v/>
      </c>
      <c r="Z1920" s="134" t="str">
        <f>IF(Y1920="","",IFERROR((RANK(Y1920,$Y$2:$Y$2028,1)+COUNTIF($Y$2:Y1920,Y1920))-1,""))</f>
        <v/>
      </c>
      <c r="AA1920" s="134" t="str">
        <f t="shared" si="578"/>
        <v/>
      </c>
      <c r="AB1920" s="134" t="str">
        <f>IF(AA1920="","",IFERROR((RANK(AA1920,$AA$2:$AA$2028,1)+COUNTIF($AA$2:AA1920,AA1920))-1,""))</f>
        <v/>
      </c>
      <c r="AC1920" s="134" t="str">
        <f t="shared" si="579"/>
        <v/>
      </c>
      <c r="AD1920" s="134" t="str">
        <f>IF(AC1920="","",IFERROR((RANK(AC1920,$AC$2:$AC$2028,1)+COUNTIF($AC$2:AC1920,AC1920))-1,""))</f>
        <v/>
      </c>
      <c r="AE1920" s="144" t="str">
        <f t="shared" si="571"/>
        <v/>
      </c>
      <c r="AF1920" s="144" t="str">
        <f>IF(AE1920="","",SUM($AE$2:AE1920))</f>
        <v/>
      </c>
    </row>
    <row r="1921" spans="14:32" x14ac:dyDescent="0.35">
      <c r="N1921" s="134" t="str">
        <f t="shared" si="569"/>
        <v/>
      </c>
      <c r="O1921" s="82" t="str">
        <f t="shared" si="572"/>
        <v/>
      </c>
      <c r="P1921" s="81" t="str">
        <f t="shared" si="570"/>
        <v/>
      </c>
      <c r="Q1921" s="81" t="str">
        <f t="shared" si="573"/>
        <v/>
      </c>
      <c r="R1921" s="135" t="str">
        <f t="shared" ca="1" si="574"/>
        <v/>
      </c>
      <c r="S1921" s="134" t="str">
        <f t="shared" ca="1" si="575"/>
        <v/>
      </c>
      <c r="T1921" s="134" t="str">
        <f ca="1">IF(S1921=Dashboard!$D$12,S1921,"")</f>
        <v/>
      </c>
      <c r="U1921" s="134" t="str">
        <f t="shared" ca="1" si="576"/>
        <v/>
      </c>
      <c r="V1921" s="83" t="str">
        <f ca="1">IF(U1921="","",IFERROR((RANK(U1921,$U$2:$U$2028,1)+COUNTIF($U$2:U1921,U1921))-1,""))</f>
        <v/>
      </c>
      <c r="W1921" s="134" t="str">
        <f t="shared" si="580"/>
        <v/>
      </c>
      <c r="X1921" s="134" t="str">
        <f>IF(W1921="","",IFERROR((RANK(W1921,$W$2:$W$2028,1)+COUNTIF($W$2:W1921,W1921))-1,""))</f>
        <v/>
      </c>
      <c r="Y1921" s="134" t="str">
        <f t="shared" si="577"/>
        <v/>
      </c>
      <c r="Z1921" s="134" t="str">
        <f>IF(Y1921="","",IFERROR((RANK(Y1921,$Y$2:$Y$2028,1)+COUNTIF($Y$2:Y1921,Y1921))-1,""))</f>
        <v/>
      </c>
      <c r="AA1921" s="134" t="str">
        <f t="shared" si="578"/>
        <v/>
      </c>
      <c r="AB1921" s="134" t="str">
        <f>IF(AA1921="","",IFERROR((RANK(AA1921,$AA$2:$AA$2028,1)+COUNTIF($AA$2:AA1921,AA1921))-1,""))</f>
        <v/>
      </c>
      <c r="AC1921" s="134" t="str">
        <f t="shared" si="579"/>
        <v/>
      </c>
      <c r="AD1921" s="134" t="str">
        <f>IF(AC1921="","",IFERROR((RANK(AC1921,$AC$2:$AC$2028,1)+COUNTIF($AC$2:AC1921,AC1921))-1,""))</f>
        <v/>
      </c>
      <c r="AE1921" s="144" t="str">
        <f t="shared" si="571"/>
        <v/>
      </c>
      <c r="AF1921" s="144" t="str">
        <f>IF(AE1921="","",SUM($AE$2:AE1921))</f>
        <v/>
      </c>
    </row>
    <row r="1922" spans="14:32" x14ac:dyDescent="0.35">
      <c r="N1922" s="134" t="str">
        <f t="shared" ref="N1922:N1985" si="581">IF(A1922="","",COUNTIFS(M:M,M1922,H:H,"&lt;"&amp;H1922)+1)</f>
        <v/>
      </c>
      <c r="O1922" s="82" t="str">
        <f t="shared" si="572"/>
        <v/>
      </c>
      <c r="P1922" s="81" t="str">
        <f t="shared" ref="P1922:P1985" si="582">IF(A1922="","",COUNTIFS(M:M,M1922,H:H,"&gt;"&amp;H1922)+1)</f>
        <v/>
      </c>
      <c r="Q1922" s="81" t="str">
        <f t="shared" si="573"/>
        <v/>
      </c>
      <c r="R1922" s="135" t="str">
        <f t="shared" ca="1" si="574"/>
        <v/>
      </c>
      <c r="S1922" s="134" t="str">
        <f t="shared" ca="1" si="575"/>
        <v/>
      </c>
      <c r="T1922" s="134" t="str">
        <f ca="1">IF(S1922=Dashboard!$D$12,S1922,"")</f>
        <v/>
      </c>
      <c r="U1922" s="134" t="str">
        <f t="shared" ca="1" si="576"/>
        <v/>
      </c>
      <c r="V1922" s="83" t="str">
        <f ca="1">IF(U1922="","",IFERROR((RANK(U1922,$U$2:$U$2028,1)+COUNTIF($U$2:U1922,U1922))-1,""))</f>
        <v/>
      </c>
      <c r="W1922" s="134" t="str">
        <f t="shared" si="580"/>
        <v/>
      </c>
      <c r="X1922" s="134" t="str">
        <f>IF(W1922="","",IFERROR((RANK(W1922,$W$2:$W$2028,1)+COUNTIF($W$2:W1922,W1922))-1,""))</f>
        <v/>
      </c>
      <c r="Y1922" s="134" t="str">
        <f t="shared" si="577"/>
        <v/>
      </c>
      <c r="Z1922" s="134" t="str">
        <f>IF(Y1922="","",IFERROR((RANK(Y1922,$Y$2:$Y$2028,1)+COUNTIF($Y$2:Y1922,Y1922))-1,""))</f>
        <v/>
      </c>
      <c r="AA1922" s="134" t="str">
        <f t="shared" si="578"/>
        <v/>
      </c>
      <c r="AB1922" s="134" t="str">
        <f>IF(AA1922="","",IFERROR((RANK(AA1922,$AA$2:$AA$2028,1)+COUNTIF($AA$2:AA1922,AA1922))-1,""))</f>
        <v/>
      </c>
      <c r="AC1922" s="134" t="str">
        <f t="shared" si="579"/>
        <v/>
      </c>
      <c r="AD1922" s="134" t="str">
        <f>IF(AC1922="","",IFERROR((RANK(AC1922,$AC$2:$AC$2028,1)+COUNTIF($AC$2:AC1922,AC1922))-1,""))</f>
        <v/>
      </c>
      <c r="AE1922" s="144" t="str">
        <f t="shared" si="571"/>
        <v/>
      </c>
      <c r="AF1922" s="144" t="str">
        <f>IF(AE1922="","",SUM($AE$2:AE1922))</f>
        <v/>
      </c>
    </row>
    <row r="1923" spans="14:32" x14ac:dyDescent="0.35">
      <c r="N1923" s="134" t="str">
        <f t="shared" si="581"/>
        <v/>
      </c>
      <c r="O1923" s="82" t="str">
        <f t="shared" si="572"/>
        <v/>
      </c>
      <c r="P1923" s="81" t="str">
        <f t="shared" si="582"/>
        <v/>
      </c>
      <c r="Q1923" s="81" t="str">
        <f t="shared" si="573"/>
        <v/>
      </c>
      <c r="R1923" s="135" t="str">
        <f t="shared" ca="1" si="574"/>
        <v/>
      </c>
      <c r="S1923" s="134" t="str">
        <f t="shared" ca="1" si="575"/>
        <v/>
      </c>
      <c r="T1923" s="134" t="str">
        <f ca="1">IF(S1923=Dashboard!$D$12,S1923,"")</f>
        <v/>
      </c>
      <c r="U1923" s="134" t="str">
        <f t="shared" ca="1" si="576"/>
        <v/>
      </c>
      <c r="V1923" s="83" t="str">
        <f ca="1">IF(U1923="","",IFERROR((RANK(U1923,$U$2:$U$2028,1)+COUNTIF($U$2:U1923,U1923))-1,""))</f>
        <v/>
      </c>
      <c r="W1923" s="134" t="str">
        <f t="shared" si="580"/>
        <v/>
      </c>
      <c r="X1923" s="134" t="str">
        <f>IF(W1923="","",IFERROR((RANK(W1923,$W$2:$W$2028,1)+COUNTIF($W$2:W1923,W1923))-1,""))</f>
        <v/>
      </c>
      <c r="Y1923" s="134" t="str">
        <f t="shared" si="577"/>
        <v/>
      </c>
      <c r="Z1923" s="134" t="str">
        <f>IF(Y1923="","",IFERROR((RANK(Y1923,$Y$2:$Y$2028,1)+COUNTIF($Y$2:Y1923,Y1923))-1,""))</f>
        <v/>
      </c>
      <c r="AA1923" s="134" t="str">
        <f t="shared" si="578"/>
        <v/>
      </c>
      <c r="AB1923" s="134" t="str">
        <f>IF(AA1923="","",IFERROR((RANK(AA1923,$AA$2:$AA$2028,1)+COUNTIF($AA$2:AA1923,AA1923))-1,""))</f>
        <v/>
      </c>
      <c r="AC1923" s="134" t="str">
        <f t="shared" si="579"/>
        <v/>
      </c>
      <c r="AD1923" s="134" t="str">
        <f>IF(AC1923="","",IFERROR((RANK(AC1923,$AC$2:$AC$2028,1)+COUNTIF($AC$2:AC1923,AC1923))-1,""))</f>
        <v/>
      </c>
      <c r="AE1923" s="144" t="str">
        <f t="shared" si="571"/>
        <v/>
      </c>
      <c r="AF1923" s="144" t="str">
        <f>IF(AE1923="","",SUM($AE$2:AE1923))</f>
        <v/>
      </c>
    </row>
    <row r="1924" spans="14:32" x14ac:dyDescent="0.35">
      <c r="N1924" s="134" t="str">
        <f t="shared" si="581"/>
        <v/>
      </c>
      <c r="O1924" s="82" t="str">
        <f t="shared" si="572"/>
        <v/>
      </c>
      <c r="P1924" s="81" t="str">
        <f t="shared" si="582"/>
        <v/>
      </c>
      <c r="Q1924" s="81" t="str">
        <f t="shared" si="573"/>
        <v/>
      </c>
      <c r="R1924" s="135" t="str">
        <f t="shared" ca="1" si="574"/>
        <v/>
      </c>
      <c r="S1924" s="134" t="str">
        <f t="shared" ca="1" si="575"/>
        <v/>
      </c>
      <c r="T1924" s="134" t="str">
        <f ca="1">IF(S1924=Dashboard!$D$12,S1924,"")</f>
        <v/>
      </c>
      <c r="U1924" s="134" t="str">
        <f t="shared" ca="1" si="576"/>
        <v/>
      </c>
      <c r="V1924" s="83" t="str">
        <f ca="1">IF(U1924="","",IFERROR((RANK(U1924,$U$2:$U$2028,1)+COUNTIF($U$2:U1924,U1924))-1,""))</f>
        <v/>
      </c>
      <c r="W1924" s="134" t="str">
        <f t="shared" si="580"/>
        <v/>
      </c>
      <c r="X1924" s="134" t="str">
        <f>IF(W1924="","",IFERROR((RANK(W1924,$W$2:$W$2028,1)+COUNTIF($W$2:W1924,W1924))-1,""))</f>
        <v/>
      </c>
      <c r="Y1924" s="134" t="str">
        <f t="shared" si="577"/>
        <v/>
      </c>
      <c r="Z1924" s="134" t="str">
        <f>IF(Y1924="","",IFERROR((RANK(Y1924,$Y$2:$Y$2028,1)+COUNTIF($Y$2:Y1924,Y1924))-1,""))</f>
        <v/>
      </c>
      <c r="AA1924" s="134" t="str">
        <f t="shared" si="578"/>
        <v/>
      </c>
      <c r="AB1924" s="134" t="str">
        <f>IF(AA1924="","",IFERROR((RANK(AA1924,$AA$2:$AA$2028,1)+COUNTIF($AA$2:AA1924,AA1924))-1,""))</f>
        <v/>
      </c>
      <c r="AC1924" s="134" t="str">
        <f t="shared" si="579"/>
        <v/>
      </c>
      <c r="AD1924" s="134" t="str">
        <f>IF(AC1924="","",IFERROR((RANK(AC1924,$AC$2:$AC$2028,1)+COUNTIF($AC$2:AC1924,AC1924))-1,""))</f>
        <v/>
      </c>
      <c r="AE1924" s="144" t="str">
        <f t="shared" si="571"/>
        <v/>
      </c>
      <c r="AF1924" s="144" t="str">
        <f>IF(AE1924="","",SUM($AE$2:AE1924))</f>
        <v/>
      </c>
    </row>
    <row r="1925" spans="14:32" x14ac:dyDescent="0.35">
      <c r="N1925" s="134" t="str">
        <f t="shared" si="581"/>
        <v/>
      </c>
      <c r="O1925" s="82" t="str">
        <f t="shared" si="572"/>
        <v/>
      </c>
      <c r="P1925" s="81" t="str">
        <f t="shared" si="582"/>
        <v/>
      </c>
      <c r="Q1925" s="81" t="str">
        <f t="shared" si="573"/>
        <v/>
      </c>
      <c r="R1925" s="135" t="str">
        <f t="shared" ca="1" si="574"/>
        <v/>
      </c>
      <c r="S1925" s="134" t="str">
        <f t="shared" ca="1" si="575"/>
        <v/>
      </c>
      <c r="T1925" s="134" t="str">
        <f ca="1">IF(S1925=Dashboard!$D$12,S1925,"")</f>
        <v/>
      </c>
      <c r="U1925" s="134" t="str">
        <f t="shared" ca="1" si="576"/>
        <v/>
      </c>
      <c r="V1925" s="83" t="str">
        <f ca="1">IF(U1925="","",IFERROR((RANK(U1925,$U$2:$U$2028,1)+COUNTIF($U$2:U1925,U1925))-1,""))</f>
        <v/>
      </c>
      <c r="W1925" s="134" t="str">
        <f t="shared" si="580"/>
        <v/>
      </c>
      <c r="X1925" s="134" t="str">
        <f>IF(W1925="","",IFERROR((RANK(W1925,$W$2:$W$2028,1)+COUNTIF($W$2:W1925,W1925))-1,""))</f>
        <v/>
      </c>
      <c r="Y1925" s="134" t="str">
        <f t="shared" si="577"/>
        <v/>
      </c>
      <c r="Z1925" s="134" t="str">
        <f>IF(Y1925="","",IFERROR((RANK(Y1925,$Y$2:$Y$2028,1)+COUNTIF($Y$2:Y1925,Y1925))-1,""))</f>
        <v/>
      </c>
      <c r="AA1925" s="134" t="str">
        <f t="shared" si="578"/>
        <v/>
      </c>
      <c r="AB1925" s="134" t="str">
        <f>IF(AA1925="","",IFERROR((RANK(AA1925,$AA$2:$AA$2028,1)+COUNTIF($AA$2:AA1925,AA1925))-1,""))</f>
        <v/>
      </c>
      <c r="AC1925" s="134" t="str">
        <f t="shared" si="579"/>
        <v/>
      </c>
      <c r="AD1925" s="134" t="str">
        <f>IF(AC1925="","",IFERROR((RANK(AC1925,$AC$2:$AC$2028,1)+COUNTIF($AC$2:AC1925,AC1925))-1,""))</f>
        <v/>
      </c>
      <c r="AE1925" s="144" t="str">
        <f t="shared" si="571"/>
        <v/>
      </c>
      <c r="AF1925" s="144" t="str">
        <f>IF(AE1925="","",SUM($AE$2:AE1925))</f>
        <v/>
      </c>
    </row>
    <row r="1926" spans="14:32" x14ac:dyDescent="0.35">
      <c r="N1926" s="134" t="str">
        <f t="shared" si="581"/>
        <v/>
      </c>
      <c r="O1926" s="82" t="str">
        <f t="shared" si="572"/>
        <v/>
      </c>
      <c r="P1926" s="81" t="str">
        <f t="shared" si="582"/>
        <v/>
      </c>
      <c r="Q1926" s="81" t="str">
        <f t="shared" si="573"/>
        <v/>
      </c>
      <c r="R1926" s="135" t="str">
        <f t="shared" ca="1" si="574"/>
        <v/>
      </c>
      <c r="S1926" s="134" t="str">
        <f t="shared" ca="1" si="575"/>
        <v/>
      </c>
      <c r="T1926" s="134" t="str">
        <f ca="1">IF(S1926=Dashboard!$D$12,S1926,"")</f>
        <v/>
      </c>
      <c r="U1926" s="134" t="str">
        <f t="shared" ca="1" si="576"/>
        <v/>
      </c>
      <c r="V1926" s="83" t="str">
        <f ca="1">IF(U1926="","",IFERROR((RANK(U1926,$U$2:$U$2028,1)+COUNTIF($U$2:U1926,U1926))-1,""))</f>
        <v/>
      </c>
      <c r="W1926" s="134" t="str">
        <f t="shared" si="580"/>
        <v/>
      </c>
      <c r="X1926" s="134" t="str">
        <f>IF(W1926="","",IFERROR((RANK(W1926,$W$2:$W$2028,1)+COUNTIF($W$2:W1926,W1926))-1,""))</f>
        <v/>
      </c>
      <c r="Y1926" s="134" t="str">
        <f t="shared" si="577"/>
        <v/>
      </c>
      <c r="Z1926" s="134" t="str">
        <f>IF(Y1926="","",IFERROR((RANK(Y1926,$Y$2:$Y$2028,1)+COUNTIF($Y$2:Y1926,Y1926))-1,""))</f>
        <v/>
      </c>
      <c r="AA1926" s="134" t="str">
        <f t="shared" si="578"/>
        <v/>
      </c>
      <c r="AB1926" s="134" t="str">
        <f>IF(AA1926="","",IFERROR((RANK(AA1926,$AA$2:$AA$2028,1)+COUNTIF($AA$2:AA1926,AA1926))-1,""))</f>
        <v/>
      </c>
      <c r="AC1926" s="134" t="str">
        <f t="shared" si="579"/>
        <v/>
      </c>
      <c r="AD1926" s="134" t="str">
        <f>IF(AC1926="","",IFERROR((RANK(AC1926,$AC$2:$AC$2028,1)+COUNTIF($AC$2:AC1926,AC1926))-1,""))</f>
        <v/>
      </c>
      <c r="AE1926" s="144" t="str">
        <f t="shared" si="571"/>
        <v/>
      </c>
      <c r="AF1926" s="144" t="str">
        <f>IF(AE1926="","",SUM($AE$2:AE1926))</f>
        <v/>
      </c>
    </row>
    <row r="1927" spans="14:32" x14ac:dyDescent="0.35">
      <c r="N1927" s="134" t="str">
        <f t="shared" si="581"/>
        <v/>
      </c>
      <c r="O1927" s="82" t="str">
        <f t="shared" si="572"/>
        <v/>
      </c>
      <c r="P1927" s="81" t="str">
        <f t="shared" si="582"/>
        <v/>
      </c>
      <c r="Q1927" s="81" t="str">
        <f t="shared" si="573"/>
        <v/>
      </c>
      <c r="R1927" s="135" t="str">
        <f t="shared" ca="1" si="574"/>
        <v/>
      </c>
      <c r="S1927" s="134" t="str">
        <f t="shared" ca="1" si="575"/>
        <v/>
      </c>
      <c r="T1927" s="134" t="str">
        <f ca="1">IF(S1927=Dashboard!$D$12,S1927,"")</f>
        <v/>
      </c>
      <c r="U1927" s="134" t="str">
        <f t="shared" ca="1" si="576"/>
        <v/>
      </c>
      <c r="V1927" s="83" t="str">
        <f ca="1">IF(U1927="","",IFERROR((RANK(U1927,$U$2:$U$2028,1)+COUNTIF($U$2:U1927,U1927))-1,""))</f>
        <v/>
      </c>
      <c r="W1927" s="134" t="str">
        <f t="shared" si="580"/>
        <v/>
      </c>
      <c r="X1927" s="134" t="str">
        <f>IF(W1927="","",IFERROR((RANK(W1927,$W$2:$W$2028,1)+COUNTIF($W$2:W1927,W1927))-1,""))</f>
        <v/>
      </c>
      <c r="Y1927" s="134" t="str">
        <f t="shared" si="577"/>
        <v/>
      </c>
      <c r="Z1927" s="134" t="str">
        <f>IF(Y1927="","",IFERROR((RANK(Y1927,$Y$2:$Y$2028,1)+COUNTIF($Y$2:Y1927,Y1927))-1,""))</f>
        <v/>
      </c>
      <c r="AA1927" s="134" t="str">
        <f t="shared" si="578"/>
        <v/>
      </c>
      <c r="AB1927" s="134" t="str">
        <f>IF(AA1927="","",IFERROR((RANK(AA1927,$AA$2:$AA$2028,1)+COUNTIF($AA$2:AA1927,AA1927))-1,""))</f>
        <v/>
      </c>
      <c r="AC1927" s="134" t="str">
        <f t="shared" si="579"/>
        <v/>
      </c>
      <c r="AD1927" s="134" t="str">
        <f>IF(AC1927="","",IFERROR((RANK(AC1927,$AC$2:$AC$2028,1)+COUNTIF($AC$2:AC1927,AC1927))-1,""))</f>
        <v/>
      </c>
      <c r="AE1927" s="144" t="str">
        <f t="shared" ref="AE1927:AE1990" si="583">IF(P1927=1,P1927,"")</f>
        <v/>
      </c>
      <c r="AF1927" s="144" t="str">
        <f>IF(AE1927="","",SUM($AE$2:AE1927))</f>
        <v/>
      </c>
    </row>
    <row r="1928" spans="14:32" x14ac:dyDescent="0.35">
      <c r="N1928" s="134" t="str">
        <f t="shared" si="581"/>
        <v/>
      </c>
      <c r="O1928" s="82" t="str">
        <f t="shared" si="572"/>
        <v/>
      </c>
      <c r="P1928" s="81" t="str">
        <f t="shared" si="582"/>
        <v/>
      </c>
      <c r="Q1928" s="81" t="str">
        <f t="shared" si="573"/>
        <v/>
      </c>
      <c r="R1928" s="135" t="str">
        <f t="shared" ca="1" si="574"/>
        <v/>
      </c>
      <c r="S1928" s="134" t="str">
        <f t="shared" ca="1" si="575"/>
        <v/>
      </c>
      <c r="T1928" s="134" t="str">
        <f ca="1">IF(S1928=Dashboard!$D$12,S1928,"")</f>
        <v/>
      </c>
      <c r="U1928" s="134" t="str">
        <f t="shared" ca="1" si="576"/>
        <v/>
      </c>
      <c r="V1928" s="83" t="str">
        <f ca="1">IF(U1928="","",IFERROR((RANK(U1928,$U$2:$U$2028,1)+COUNTIF($U$2:U1928,U1928))-1,""))</f>
        <v/>
      </c>
      <c r="W1928" s="134" t="str">
        <f t="shared" si="580"/>
        <v/>
      </c>
      <c r="X1928" s="134" t="str">
        <f>IF(W1928="","",IFERROR((RANK(W1928,$W$2:$W$2028,1)+COUNTIF($W$2:W1928,W1928))-1,""))</f>
        <v/>
      </c>
      <c r="Y1928" s="134" t="str">
        <f t="shared" si="577"/>
        <v/>
      </c>
      <c r="Z1928" s="134" t="str">
        <f>IF(Y1928="","",IFERROR((RANK(Y1928,$Y$2:$Y$2028,1)+COUNTIF($Y$2:Y1928,Y1928))-1,""))</f>
        <v/>
      </c>
      <c r="AA1928" s="134" t="str">
        <f t="shared" si="578"/>
        <v/>
      </c>
      <c r="AB1928" s="134" t="str">
        <f>IF(AA1928="","",IFERROR((RANK(AA1928,$AA$2:$AA$2028,1)+COUNTIF($AA$2:AA1928,AA1928))-1,""))</f>
        <v/>
      </c>
      <c r="AC1928" s="134" t="str">
        <f t="shared" si="579"/>
        <v/>
      </c>
      <c r="AD1928" s="134" t="str">
        <f>IF(AC1928="","",IFERROR((RANK(AC1928,$AC$2:$AC$2028,1)+COUNTIF($AC$2:AC1928,AC1928))-1,""))</f>
        <v/>
      </c>
      <c r="AE1928" s="144" t="str">
        <f t="shared" si="583"/>
        <v/>
      </c>
      <c r="AF1928" s="144" t="str">
        <f>IF(AE1928="","",SUM($AE$2:AE1928))</f>
        <v/>
      </c>
    </row>
    <row r="1929" spans="14:32" x14ac:dyDescent="0.35">
      <c r="N1929" s="134" t="str">
        <f t="shared" si="581"/>
        <v/>
      </c>
      <c r="O1929" s="82" t="str">
        <f t="shared" si="572"/>
        <v/>
      </c>
      <c r="P1929" s="81" t="str">
        <f t="shared" si="582"/>
        <v/>
      </c>
      <c r="Q1929" s="81" t="str">
        <f t="shared" si="573"/>
        <v/>
      </c>
      <c r="R1929" s="135" t="str">
        <f t="shared" ca="1" si="574"/>
        <v/>
      </c>
      <c r="S1929" s="134" t="str">
        <f t="shared" ca="1" si="575"/>
        <v/>
      </c>
      <c r="T1929" s="134" t="str">
        <f ca="1">IF(S1929=Dashboard!$D$12,S1929,"")</f>
        <v/>
      </c>
      <c r="U1929" s="134" t="str">
        <f t="shared" ca="1" si="576"/>
        <v/>
      </c>
      <c r="V1929" s="83" t="str">
        <f ca="1">IF(U1929="","",IFERROR((RANK(U1929,$U$2:$U$2028,1)+COUNTIF($U$2:U1929,U1929))-1,""))</f>
        <v/>
      </c>
      <c r="W1929" s="134" t="str">
        <f t="shared" si="580"/>
        <v/>
      </c>
      <c r="X1929" s="134" t="str">
        <f>IF(W1929="","",IFERROR((RANK(W1929,$W$2:$W$2028,1)+COUNTIF($W$2:W1929,W1929))-1,""))</f>
        <v/>
      </c>
      <c r="Y1929" s="134" t="str">
        <f t="shared" si="577"/>
        <v/>
      </c>
      <c r="Z1929" s="134" t="str">
        <f>IF(Y1929="","",IFERROR((RANK(Y1929,$Y$2:$Y$2028,1)+COUNTIF($Y$2:Y1929,Y1929))-1,""))</f>
        <v/>
      </c>
      <c r="AA1929" s="134" t="str">
        <f t="shared" si="578"/>
        <v/>
      </c>
      <c r="AB1929" s="134" t="str">
        <f>IF(AA1929="","",IFERROR((RANK(AA1929,$AA$2:$AA$2028,1)+COUNTIF($AA$2:AA1929,AA1929))-1,""))</f>
        <v/>
      </c>
      <c r="AC1929" s="134" t="str">
        <f t="shared" si="579"/>
        <v/>
      </c>
      <c r="AD1929" s="134" t="str">
        <f>IF(AC1929="","",IFERROR((RANK(AC1929,$AC$2:$AC$2028,1)+COUNTIF($AC$2:AC1929,AC1929))-1,""))</f>
        <v/>
      </c>
      <c r="AE1929" s="144" t="str">
        <f t="shared" si="583"/>
        <v/>
      </c>
      <c r="AF1929" s="144" t="str">
        <f>IF(AE1929="","",SUM($AE$2:AE1929))</f>
        <v/>
      </c>
    </row>
    <row r="1930" spans="14:32" x14ac:dyDescent="0.35">
      <c r="N1930" s="134" t="str">
        <f t="shared" si="581"/>
        <v/>
      </c>
      <c r="O1930" s="82" t="str">
        <f t="shared" si="572"/>
        <v/>
      </c>
      <c r="P1930" s="81" t="str">
        <f t="shared" si="582"/>
        <v/>
      </c>
      <c r="Q1930" s="81" t="str">
        <f t="shared" si="573"/>
        <v/>
      </c>
      <c r="R1930" s="135" t="str">
        <f t="shared" ca="1" si="574"/>
        <v/>
      </c>
      <c r="S1930" s="134" t="str">
        <f t="shared" ca="1" si="575"/>
        <v/>
      </c>
      <c r="T1930" s="134" t="str">
        <f ca="1">IF(S1930=Dashboard!$D$12,S1930,"")</f>
        <v/>
      </c>
      <c r="U1930" s="134" t="str">
        <f t="shared" ca="1" si="576"/>
        <v/>
      </c>
      <c r="V1930" s="83" t="str">
        <f ca="1">IF(U1930="","",IFERROR((RANK(U1930,$U$2:$U$2028,1)+COUNTIF($U$2:U1930,U1930))-1,""))</f>
        <v/>
      </c>
      <c r="W1930" s="134" t="str">
        <f t="shared" si="580"/>
        <v/>
      </c>
      <c r="X1930" s="134" t="str">
        <f>IF(W1930="","",IFERROR((RANK(W1930,$W$2:$W$2028,1)+COUNTIF($W$2:W1930,W1930))-1,""))</f>
        <v/>
      </c>
      <c r="Y1930" s="134" t="str">
        <f t="shared" si="577"/>
        <v/>
      </c>
      <c r="Z1930" s="134" t="str">
        <f>IF(Y1930="","",IFERROR((RANK(Y1930,$Y$2:$Y$2028,1)+COUNTIF($Y$2:Y1930,Y1930))-1,""))</f>
        <v/>
      </c>
      <c r="AA1930" s="134" t="str">
        <f t="shared" si="578"/>
        <v/>
      </c>
      <c r="AB1930" s="134" t="str">
        <f>IF(AA1930="","",IFERROR((RANK(AA1930,$AA$2:$AA$2028,1)+COUNTIF($AA$2:AA1930,AA1930))-1,""))</f>
        <v/>
      </c>
      <c r="AC1930" s="134" t="str">
        <f t="shared" si="579"/>
        <v/>
      </c>
      <c r="AD1930" s="134" t="str">
        <f>IF(AC1930="","",IFERROR((RANK(AC1930,$AC$2:$AC$2028,1)+COUNTIF($AC$2:AC1930,AC1930))-1,""))</f>
        <v/>
      </c>
      <c r="AE1930" s="144" t="str">
        <f t="shared" si="583"/>
        <v/>
      </c>
      <c r="AF1930" s="144" t="str">
        <f>IF(AE1930="","",SUM($AE$2:AE1930))</f>
        <v/>
      </c>
    </row>
    <row r="1931" spans="14:32" x14ac:dyDescent="0.35">
      <c r="N1931" s="134" t="str">
        <f t="shared" si="581"/>
        <v/>
      </c>
      <c r="O1931" s="82" t="str">
        <f t="shared" si="572"/>
        <v/>
      </c>
      <c r="P1931" s="81" t="str">
        <f t="shared" si="582"/>
        <v/>
      </c>
      <c r="Q1931" s="81" t="str">
        <f t="shared" si="573"/>
        <v/>
      </c>
      <c r="R1931" s="135" t="str">
        <f t="shared" ca="1" si="574"/>
        <v/>
      </c>
      <c r="S1931" s="134" t="str">
        <f t="shared" ca="1" si="575"/>
        <v/>
      </c>
      <c r="T1931" s="134" t="str">
        <f ca="1">IF(S1931=Dashboard!$D$12,S1931,"")</f>
        <v/>
      </c>
      <c r="U1931" s="134" t="str">
        <f t="shared" ca="1" si="576"/>
        <v/>
      </c>
      <c r="V1931" s="83" t="str">
        <f ca="1">IF(U1931="","",IFERROR((RANK(U1931,$U$2:$U$2028,1)+COUNTIF($U$2:U1931,U1931))-1,""))</f>
        <v/>
      </c>
      <c r="W1931" s="134" t="str">
        <f t="shared" si="580"/>
        <v/>
      </c>
      <c r="X1931" s="134" t="str">
        <f>IF(W1931="","",IFERROR((RANK(W1931,$W$2:$W$2028,1)+COUNTIF($W$2:W1931,W1931))-1,""))</f>
        <v/>
      </c>
      <c r="Y1931" s="134" t="str">
        <f t="shared" si="577"/>
        <v/>
      </c>
      <c r="Z1931" s="134" t="str">
        <f>IF(Y1931="","",IFERROR((RANK(Y1931,$Y$2:$Y$2028,1)+COUNTIF($Y$2:Y1931,Y1931))-1,""))</f>
        <v/>
      </c>
      <c r="AA1931" s="134" t="str">
        <f t="shared" si="578"/>
        <v/>
      </c>
      <c r="AB1931" s="134" t="str">
        <f>IF(AA1931="","",IFERROR((RANK(AA1931,$AA$2:$AA$2028,1)+COUNTIF($AA$2:AA1931,AA1931))-1,""))</f>
        <v/>
      </c>
      <c r="AC1931" s="134" t="str">
        <f t="shared" si="579"/>
        <v/>
      </c>
      <c r="AD1931" s="134" t="str">
        <f>IF(AC1931="","",IFERROR((RANK(AC1931,$AC$2:$AC$2028,1)+COUNTIF($AC$2:AC1931,AC1931))-1,""))</f>
        <v/>
      </c>
      <c r="AE1931" s="144" t="str">
        <f t="shared" si="583"/>
        <v/>
      </c>
      <c r="AF1931" s="144" t="str">
        <f>IF(AE1931="","",SUM($AE$2:AE1931))</f>
        <v/>
      </c>
    </row>
    <row r="1932" spans="14:32" x14ac:dyDescent="0.35">
      <c r="N1932" s="134" t="str">
        <f t="shared" si="581"/>
        <v/>
      </c>
      <c r="O1932" s="82" t="str">
        <f t="shared" si="572"/>
        <v/>
      </c>
      <c r="P1932" s="81" t="str">
        <f t="shared" si="582"/>
        <v/>
      </c>
      <c r="Q1932" s="81" t="str">
        <f t="shared" si="573"/>
        <v/>
      </c>
      <c r="R1932" s="135" t="str">
        <f t="shared" ca="1" si="574"/>
        <v/>
      </c>
      <c r="S1932" s="134" t="str">
        <f t="shared" ca="1" si="575"/>
        <v/>
      </c>
      <c r="T1932" s="134" t="str">
        <f ca="1">IF(S1932=Dashboard!$D$12,S1932,"")</f>
        <v/>
      </c>
      <c r="U1932" s="134" t="str">
        <f t="shared" ca="1" si="576"/>
        <v/>
      </c>
      <c r="V1932" s="83" t="str">
        <f ca="1">IF(U1932="","",IFERROR((RANK(U1932,$U$2:$U$2028,1)+COUNTIF($U$2:U1932,U1932))-1,""))</f>
        <v/>
      </c>
      <c r="W1932" s="134" t="str">
        <f t="shared" si="580"/>
        <v/>
      </c>
      <c r="X1932" s="134" t="str">
        <f>IF(W1932="","",IFERROR((RANK(W1932,$W$2:$W$2028,1)+COUNTIF($W$2:W1932,W1932))-1,""))</f>
        <v/>
      </c>
      <c r="Y1932" s="134" t="str">
        <f t="shared" si="577"/>
        <v/>
      </c>
      <c r="Z1932" s="134" t="str">
        <f>IF(Y1932="","",IFERROR((RANK(Y1932,$Y$2:$Y$2028,1)+COUNTIF($Y$2:Y1932,Y1932))-1,""))</f>
        <v/>
      </c>
      <c r="AA1932" s="134" t="str">
        <f t="shared" si="578"/>
        <v/>
      </c>
      <c r="AB1932" s="134" t="str">
        <f>IF(AA1932="","",IFERROR((RANK(AA1932,$AA$2:$AA$2028,1)+COUNTIF($AA$2:AA1932,AA1932))-1,""))</f>
        <v/>
      </c>
      <c r="AC1932" s="134" t="str">
        <f t="shared" si="579"/>
        <v/>
      </c>
      <c r="AD1932" s="134" t="str">
        <f>IF(AC1932="","",IFERROR((RANK(AC1932,$AC$2:$AC$2028,1)+COUNTIF($AC$2:AC1932,AC1932))-1,""))</f>
        <v/>
      </c>
      <c r="AE1932" s="144" t="str">
        <f t="shared" si="583"/>
        <v/>
      </c>
      <c r="AF1932" s="144" t="str">
        <f>IF(AE1932="","",SUM($AE$2:AE1932))</f>
        <v/>
      </c>
    </row>
    <row r="1933" spans="14:32" x14ac:dyDescent="0.35">
      <c r="N1933" s="134" t="str">
        <f t="shared" si="581"/>
        <v/>
      </c>
      <c r="O1933" s="82" t="str">
        <f t="shared" si="572"/>
        <v/>
      </c>
      <c r="P1933" s="81" t="str">
        <f t="shared" si="582"/>
        <v/>
      </c>
      <c r="Q1933" s="81" t="str">
        <f t="shared" si="573"/>
        <v/>
      </c>
      <c r="R1933" s="135" t="str">
        <f t="shared" ca="1" si="574"/>
        <v/>
      </c>
      <c r="S1933" s="134" t="str">
        <f t="shared" ca="1" si="575"/>
        <v/>
      </c>
      <c r="T1933" s="134" t="str">
        <f ca="1">IF(S1933=Dashboard!$D$12,S1933,"")</f>
        <v/>
      </c>
      <c r="U1933" s="134" t="str">
        <f t="shared" ca="1" si="576"/>
        <v/>
      </c>
      <c r="V1933" s="83" t="str">
        <f ca="1">IF(U1933="","",IFERROR((RANK(U1933,$U$2:$U$2028,1)+COUNTIF($U$2:U1933,U1933))-1,""))</f>
        <v/>
      </c>
      <c r="W1933" s="134" t="str">
        <f t="shared" si="580"/>
        <v/>
      </c>
      <c r="X1933" s="134" t="str">
        <f>IF(W1933="","",IFERROR((RANK(W1933,$W$2:$W$2028,1)+COUNTIF($W$2:W1933,W1933))-1,""))</f>
        <v/>
      </c>
      <c r="Y1933" s="134" t="str">
        <f t="shared" si="577"/>
        <v/>
      </c>
      <c r="Z1933" s="134" t="str">
        <f>IF(Y1933="","",IFERROR((RANK(Y1933,$Y$2:$Y$2028,1)+COUNTIF($Y$2:Y1933,Y1933))-1,""))</f>
        <v/>
      </c>
      <c r="AA1933" s="134" t="str">
        <f t="shared" si="578"/>
        <v/>
      </c>
      <c r="AB1933" s="134" t="str">
        <f>IF(AA1933="","",IFERROR((RANK(AA1933,$AA$2:$AA$2028,1)+COUNTIF($AA$2:AA1933,AA1933))-1,""))</f>
        <v/>
      </c>
      <c r="AC1933" s="134" t="str">
        <f t="shared" si="579"/>
        <v/>
      </c>
      <c r="AD1933" s="134" t="str">
        <f>IF(AC1933="","",IFERROR((RANK(AC1933,$AC$2:$AC$2028,1)+COUNTIF($AC$2:AC1933,AC1933))-1,""))</f>
        <v/>
      </c>
      <c r="AE1933" s="144" t="str">
        <f t="shared" si="583"/>
        <v/>
      </c>
      <c r="AF1933" s="144" t="str">
        <f>IF(AE1933="","",SUM($AE$2:AE1933))</f>
        <v/>
      </c>
    </row>
    <row r="1934" spans="14:32" x14ac:dyDescent="0.35">
      <c r="N1934" s="134" t="str">
        <f t="shared" si="581"/>
        <v/>
      </c>
      <c r="O1934" s="82" t="str">
        <f t="shared" si="572"/>
        <v/>
      </c>
      <c r="P1934" s="81" t="str">
        <f t="shared" si="582"/>
        <v/>
      </c>
      <c r="Q1934" s="81" t="str">
        <f t="shared" si="573"/>
        <v/>
      </c>
      <c r="R1934" s="135" t="str">
        <f t="shared" ca="1" si="574"/>
        <v/>
      </c>
      <c r="S1934" s="134" t="str">
        <f t="shared" ca="1" si="575"/>
        <v/>
      </c>
      <c r="T1934" s="134" t="str">
        <f ca="1">IF(S1934=Dashboard!$D$12,S1934,"")</f>
        <v/>
      </c>
      <c r="U1934" s="134" t="str">
        <f t="shared" ca="1" si="576"/>
        <v/>
      </c>
      <c r="V1934" s="83" t="str">
        <f ca="1">IF(U1934="","",IFERROR((RANK(U1934,$U$2:$U$2028,1)+COUNTIF($U$2:U1934,U1934))-1,""))</f>
        <v/>
      </c>
      <c r="W1934" s="134" t="str">
        <f t="shared" si="580"/>
        <v/>
      </c>
      <c r="X1934" s="134" t="str">
        <f>IF(W1934="","",IFERROR((RANK(W1934,$W$2:$W$2028,1)+COUNTIF($W$2:W1934,W1934))-1,""))</f>
        <v/>
      </c>
      <c r="Y1934" s="134" t="str">
        <f t="shared" si="577"/>
        <v/>
      </c>
      <c r="Z1934" s="134" t="str">
        <f>IF(Y1934="","",IFERROR((RANK(Y1934,$Y$2:$Y$2028,1)+COUNTIF($Y$2:Y1934,Y1934))-1,""))</f>
        <v/>
      </c>
      <c r="AA1934" s="134" t="str">
        <f t="shared" si="578"/>
        <v/>
      </c>
      <c r="AB1934" s="134" t="str">
        <f>IF(AA1934="","",IFERROR((RANK(AA1934,$AA$2:$AA$2028,1)+COUNTIF($AA$2:AA1934,AA1934))-1,""))</f>
        <v/>
      </c>
      <c r="AC1934" s="134" t="str">
        <f t="shared" si="579"/>
        <v/>
      </c>
      <c r="AD1934" s="134" t="str">
        <f>IF(AC1934="","",IFERROR((RANK(AC1934,$AC$2:$AC$2028,1)+COUNTIF($AC$2:AC1934,AC1934))-1,""))</f>
        <v/>
      </c>
      <c r="AE1934" s="144" t="str">
        <f t="shared" si="583"/>
        <v/>
      </c>
      <c r="AF1934" s="144" t="str">
        <f>IF(AE1934="","",SUM($AE$2:AE1934))</f>
        <v/>
      </c>
    </row>
    <row r="1935" spans="14:32" x14ac:dyDescent="0.35">
      <c r="N1935" s="134" t="str">
        <f t="shared" si="581"/>
        <v/>
      </c>
      <c r="O1935" s="82" t="str">
        <f t="shared" si="572"/>
        <v/>
      </c>
      <c r="P1935" s="81" t="str">
        <f t="shared" si="582"/>
        <v/>
      </c>
      <c r="Q1935" s="81" t="str">
        <f t="shared" si="573"/>
        <v/>
      </c>
      <c r="R1935" s="135" t="str">
        <f t="shared" ca="1" si="574"/>
        <v/>
      </c>
      <c r="S1935" s="134" t="str">
        <f t="shared" ca="1" si="575"/>
        <v/>
      </c>
      <c r="T1935" s="134" t="str">
        <f ca="1">IF(S1935=Dashboard!$D$12,S1935,"")</f>
        <v/>
      </c>
      <c r="U1935" s="134" t="str">
        <f t="shared" ca="1" si="576"/>
        <v/>
      </c>
      <c r="V1935" s="83" t="str">
        <f ca="1">IF(U1935="","",IFERROR((RANK(U1935,$U$2:$U$2028,1)+COUNTIF($U$2:U1935,U1935))-1,""))</f>
        <v/>
      </c>
      <c r="W1935" s="134" t="str">
        <f t="shared" si="580"/>
        <v/>
      </c>
      <c r="X1935" s="134" t="str">
        <f>IF(W1935="","",IFERROR((RANK(W1935,$W$2:$W$2028,1)+COUNTIF($W$2:W1935,W1935))-1,""))</f>
        <v/>
      </c>
      <c r="Y1935" s="134" t="str">
        <f t="shared" si="577"/>
        <v/>
      </c>
      <c r="Z1935" s="134" t="str">
        <f>IF(Y1935="","",IFERROR((RANK(Y1935,$Y$2:$Y$2028,1)+COUNTIF($Y$2:Y1935,Y1935))-1,""))</f>
        <v/>
      </c>
      <c r="AA1935" s="134" t="str">
        <f t="shared" si="578"/>
        <v/>
      </c>
      <c r="AB1935" s="134" t="str">
        <f>IF(AA1935="","",IFERROR((RANK(AA1935,$AA$2:$AA$2028,1)+COUNTIF($AA$2:AA1935,AA1935))-1,""))</f>
        <v/>
      </c>
      <c r="AC1935" s="134" t="str">
        <f t="shared" si="579"/>
        <v/>
      </c>
      <c r="AD1935" s="134" t="str">
        <f>IF(AC1935="","",IFERROR((RANK(AC1935,$AC$2:$AC$2028,1)+COUNTIF($AC$2:AC1935,AC1935))-1,""))</f>
        <v/>
      </c>
      <c r="AE1935" s="144" t="str">
        <f t="shared" si="583"/>
        <v/>
      </c>
      <c r="AF1935" s="144" t="str">
        <f>IF(AE1935="","",SUM($AE$2:AE1935))</f>
        <v/>
      </c>
    </row>
    <row r="1936" spans="14:32" x14ac:dyDescent="0.35">
      <c r="N1936" s="134" t="str">
        <f t="shared" si="581"/>
        <v/>
      </c>
      <c r="O1936" s="82" t="str">
        <f t="shared" si="572"/>
        <v/>
      </c>
      <c r="P1936" s="81" t="str">
        <f t="shared" si="582"/>
        <v/>
      </c>
      <c r="Q1936" s="81" t="str">
        <f t="shared" si="573"/>
        <v/>
      </c>
      <c r="R1936" s="135" t="str">
        <f t="shared" ca="1" si="574"/>
        <v/>
      </c>
      <c r="S1936" s="134" t="str">
        <f t="shared" ca="1" si="575"/>
        <v/>
      </c>
      <c r="T1936" s="134" t="str">
        <f ca="1">IF(S1936=Dashboard!$D$12,S1936,"")</f>
        <v/>
      </c>
      <c r="U1936" s="134" t="str">
        <f t="shared" ca="1" si="576"/>
        <v/>
      </c>
      <c r="V1936" s="83" t="str">
        <f ca="1">IF(U1936="","",IFERROR((RANK(U1936,$U$2:$U$2028,1)+COUNTIF($U$2:U1936,U1936))-1,""))</f>
        <v/>
      </c>
      <c r="W1936" s="134" t="str">
        <f t="shared" si="580"/>
        <v/>
      </c>
      <c r="X1936" s="134" t="str">
        <f>IF(W1936="","",IFERROR((RANK(W1936,$W$2:$W$2028,1)+COUNTIF($W$2:W1936,W1936))-1,""))</f>
        <v/>
      </c>
      <c r="Y1936" s="134" t="str">
        <f t="shared" si="577"/>
        <v/>
      </c>
      <c r="Z1936" s="134" t="str">
        <f>IF(Y1936="","",IFERROR((RANK(Y1936,$Y$2:$Y$2028,1)+COUNTIF($Y$2:Y1936,Y1936))-1,""))</f>
        <v/>
      </c>
      <c r="AA1936" s="134" t="str">
        <f t="shared" si="578"/>
        <v/>
      </c>
      <c r="AB1936" s="134" t="str">
        <f>IF(AA1936="","",IFERROR((RANK(AA1936,$AA$2:$AA$2028,1)+COUNTIF($AA$2:AA1936,AA1936))-1,""))</f>
        <v/>
      </c>
      <c r="AC1936" s="134" t="str">
        <f t="shared" si="579"/>
        <v/>
      </c>
      <c r="AD1936" s="134" t="str">
        <f>IF(AC1936="","",IFERROR((RANK(AC1936,$AC$2:$AC$2028,1)+COUNTIF($AC$2:AC1936,AC1936))-1,""))</f>
        <v/>
      </c>
      <c r="AE1936" s="144" t="str">
        <f t="shared" si="583"/>
        <v/>
      </c>
      <c r="AF1936" s="144" t="str">
        <f>IF(AE1936="","",SUM($AE$2:AE1936))</f>
        <v/>
      </c>
    </row>
    <row r="1937" spans="14:32" x14ac:dyDescent="0.35">
      <c r="N1937" s="134" t="str">
        <f t="shared" si="581"/>
        <v/>
      </c>
      <c r="O1937" s="82" t="str">
        <f t="shared" si="572"/>
        <v/>
      </c>
      <c r="P1937" s="81" t="str">
        <f t="shared" si="582"/>
        <v/>
      </c>
      <c r="Q1937" s="81" t="str">
        <f t="shared" si="573"/>
        <v/>
      </c>
      <c r="R1937" s="135" t="str">
        <f t="shared" ca="1" si="574"/>
        <v/>
      </c>
      <c r="S1937" s="134" t="str">
        <f t="shared" ca="1" si="575"/>
        <v/>
      </c>
      <c r="T1937" s="134" t="str">
        <f ca="1">IF(S1937=Dashboard!$D$12,S1937,"")</f>
        <v/>
      </c>
      <c r="U1937" s="134" t="str">
        <f t="shared" ca="1" si="576"/>
        <v/>
      </c>
      <c r="V1937" s="83" t="str">
        <f ca="1">IF(U1937="","",IFERROR((RANK(U1937,$U$2:$U$2028,1)+COUNTIF($U$2:U1937,U1937))-1,""))</f>
        <v/>
      </c>
      <c r="W1937" s="134" t="str">
        <f t="shared" si="580"/>
        <v/>
      </c>
      <c r="X1937" s="134" t="str">
        <f>IF(W1937="","",IFERROR((RANK(W1937,$W$2:$W$2028,1)+COUNTIF($W$2:W1937,W1937))-1,""))</f>
        <v/>
      </c>
      <c r="Y1937" s="134" t="str">
        <f t="shared" si="577"/>
        <v/>
      </c>
      <c r="Z1937" s="134" t="str">
        <f>IF(Y1937="","",IFERROR((RANK(Y1937,$Y$2:$Y$2028,1)+COUNTIF($Y$2:Y1937,Y1937))-1,""))</f>
        <v/>
      </c>
      <c r="AA1937" s="134" t="str">
        <f t="shared" si="578"/>
        <v/>
      </c>
      <c r="AB1937" s="134" t="str">
        <f>IF(AA1937="","",IFERROR((RANK(AA1937,$AA$2:$AA$2028,1)+COUNTIF($AA$2:AA1937,AA1937))-1,""))</f>
        <v/>
      </c>
      <c r="AC1937" s="134" t="str">
        <f t="shared" si="579"/>
        <v/>
      </c>
      <c r="AD1937" s="134" t="str">
        <f>IF(AC1937="","",IFERROR((RANK(AC1937,$AC$2:$AC$2028,1)+COUNTIF($AC$2:AC1937,AC1937))-1,""))</f>
        <v/>
      </c>
      <c r="AE1937" s="144" t="str">
        <f t="shared" si="583"/>
        <v/>
      </c>
      <c r="AF1937" s="144" t="str">
        <f>IF(AE1937="","",SUM($AE$2:AE1937))</f>
        <v/>
      </c>
    </row>
    <row r="1938" spans="14:32" x14ac:dyDescent="0.35">
      <c r="N1938" s="134" t="str">
        <f t="shared" si="581"/>
        <v/>
      </c>
      <c r="O1938" s="82" t="str">
        <f t="shared" si="572"/>
        <v/>
      </c>
      <c r="P1938" s="81" t="str">
        <f t="shared" si="582"/>
        <v/>
      </c>
      <c r="Q1938" s="81" t="str">
        <f t="shared" si="573"/>
        <v/>
      </c>
      <c r="R1938" s="135" t="str">
        <f t="shared" ca="1" si="574"/>
        <v/>
      </c>
      <c r="S1938" s="134" t="str">
        <f t="shared" ca="1" si="575"/>
        <v/>
      </c>
      <c r="T1938" s="134" t="str">
        <f ca="1">IF(S1938=Dashboard!$D$12,S1938,"")</f>
        <v/>
      </c>
      <c r="U1938" s="134" t="str">
        <f t="shared" ca="1" si="576"/>
        <v/>
      </c>
      <c r="V1938" s="83" t="str">
        <f ca="1">IF(U1938="","",IFERROR((RANK(U1938,$U$2:$U$2028,1)+COUNTIF($U$2:U1938,U1938))-1,""))</f>
        <v/>
      </c>
      <c r="W1938" s="134" t="str">
        <f t="shared" si="580"/>
        <v/>
      </c>
      <c r="X1938" s="134" t="str">
        <f>IF(W1938="","",IFERROR((RANK(W1938,$W$2:$W$2028,1)+COUNTIF($W$2:W1938,W1938))-1,""))</f>
        <v/>
      </c>
      <c r="Y1938" s="134" t="str">
        <f t="shared" si="577"/>
        <v/>
      </c>
      <c r="Z1938" s="134" t="str">
        <f>IF(Y1938="","",IFERROR((RANK(Y1938,$Y$2:$Y$2028,1)+COUNTIF($Y$2:Y1938,Y1938))-1,""))</f>
        <v/>
      </c>
      <c r="AA1938" s="134" t="str">
        <f t="shared" si="578"/>
        <v/>
      </c>
      <c r="AB1938" s="134" t="str">
        <f>IF(AA1938="","",IFERROR((RANK(AA1938,$AA$2:$AA$2028,1)+COUNTIF($AA$2:AA1938,AA1938))-1,""))</f>
        <v/>
      </c>
      <c r="AC1938" s="134" t="str">
        <f t="shared" si="579"/>
        <v/>
      </c>
      <c r="AD1938" s="134" t="str">
        <f>IF(AC1938="","",IFERROR((RANK(AC1938,$AC$2:$AC$2028,1)+COUNTIF($AC$2:AC1938,AC1938))-1,""))</f>
        <v/>
      </c>
      <c r="AE1938" s="144" t="str">
        <f t="shared" si="583"/>
        <v/>
      </c>
      <c r="AF1938" s="144" t="str">
        <f>IF(AE1938="","",SUM($AE$2:AE1938))</f>
        <v/>
      </c>
    </row>
    <row r="1939" spans="14:32" x14ac:dyDescent="0.35">
      <c r="N1939" s="134" t="str">
        <f t="shared" si="581"/>
        <v/>
      </c>
      <c r="O1939" s="82" t="str">
        <f t="shared" si="572"/>
        <v/>
      </c>
      <c r="P1939" s="81" t="str">
        <f t="shared" si="582"/>
        <v/>
      </c>
      <c r="Q1939" s="81" t="str">
        <f t="shared" si="573"/>
        <v/>
      </c>
      <c r="R1939" s="135" t="str">
        <f t="shared" ca="1" si="574"/>
        <v/>
      </c>
      <c r="S1939" s="134" t="str">
        <f t="shared" ca="1" si="575"/>
        <v/>
      </c>
      <c r="T1939" s="134" t="str">
        <f ca="1">IF(S1939=Dashboard!$D$12,S1939,"")</f>
        <v/>
      </c>
      <c r="U1939" s="134" t="str">
        <f t="shared" ca="1" si="576"/>
        <v/>
      </c>
      <c r="V1939" s="83" t="str">
        <f ca="1">IF(U1939="","",IFERROR((RANK(U1939,$U$2:$U$2028,1)+COUNTIF($U$2:U1939,U1939))-1,""))</f>
        <v/>
      </c>
      <c r="W1939" s="134" t="str">
        <f t="shared" si="580"/>
        <v/>
      </c>
      <c r="X1939" s="134" t="str">
        <f>IF(W1939="","",IFERROR((RANK(W1939,$W$2:$W$2028,1)+COUNTIF($W$2:W1939,W1939))-1,""))</f>
        <v/>
      </c>
      <c r="Y1939" s="134" t="str">
        <f t="shared" si="577"/>
        <v/>
      </c>
      <c r="Z1939" s="134" t="str">
        <f>IF(Y1939="","",IFERROR((RANK(Y1939,$Y$2:$Y$2028,1)+COUNTIF($Y$2:Y1939,Y1939))-1,""))</f>
        <v/>
      </c>
      <c r="AA1939" s="134" t="str">
        <f t="shared" si="578"/>
        <v/>
      </c>
      <c r="AB1939" s="134" t="str">
        <f>IF(AA1939="","",IFERROR((RANK(AA1939,$AA$2:$AA$2028,1)+COUNTIF($AA$2:AA1939,AA1939))-1,""))</f>
        <v/>
      </c>
      <c r="AC1939" s="134" t="str">
        <f t="shared" si="579"/>
        <v/>
      </c>
      <c r="AD1939" s="134" t="str">
        <f>IF(AC1939="","",IFERROR((RANK(AC1939,$AC$2:$AC$2028,1)+COUNTIF($AC$2:AC1939,AC1939))-1,""))</f>
        <v/>
      </c>
      <c r="AE1939" s="144" t="str">
        <f t="shared" si="583"/>
        <v/>
      </c>
      <c r="AF1939" s="144" t="str">
        <f>IF(AE1939="","",SUM($AE$2:AE1939))</f>
        <v/>
      </c>
    </row>
    <row r="1940" spans="14:32" x14ac:dyDescent="0.35">
      <c r="N1940" s="134" t="str">
        <f t="shared" si="581"/>
        <v/>
      </c>
      <c r="O1940" s="82" t="str">
        <f t="shared" si="572"/>
        <v/>
      </c>
      <c r="P1940" s="81" t="str">
        <f t="shared" si="582"/>
        <v/>
      </c>
      <c r="Q1940" s="81" t="str">
        <f t="shared" si="573"/>
        <v/>
      </c>
      <c r="R1940" s="135" t="str">
        <f t="shared" ca="1" si="574"/>
        <v/>
      </c>
      <c r="S1940" s="134" t="str">
        <f t="shared" ca="1" si="575"/>
        <v/>
      </c>
      <c r="T1940" s="134" t="str">
        <f ca="1">IF(S1940=Dashboard!$D$12,S1940,"")</f>
        <v/>
      </c>
      <c r="U1940" s="134" t="str">
        <f t="shared" ca="1" si="576"/>
        <v/>
      </c>
      <c r="V1940" s="83" t="str">
        <f ca="1">IF(U1940="","",IFERROR((RANK(U1940,$U$2:$U$2028,1)+COUNTIF($U$2:U1940,U1940))-1,""))</f>
        <v/>
      </c>
      <c r="W1940" s="134" t="str">
        <f t="shared" si="580"/>
        <v/>
      </c>
      <c r="X1940" s="134" t="str">
        <f>IF(W1940="","",IFERROR((RANK(W1940,$W$2:$W$2028,1)+COUNTIF($W$2:W1940,W1940))-1,""))</f>
        <v/>
      </c>
      <c r="Y1940" s="134" t="str">
        <f t="shared" si="577"/>
        <v/>
      </c>
      <c r="Z1940" s="134" t="str">
        <f>IF(Y1940="","",IFERROR((RANK(Y1940,$Y$2:$Y$2028,1)+COUNTIF($Y$2:Y1940,Y1940))-1,""))</f>
        <v/>
      </c>
      <c r="AA1940" s="134" t="str">
        <f t="shared" si="578"/>
        <v/>
      </c>
      <c r="AB1940" s="134" t="str">
        <f>IF(AA1940="","",IFERROR((RANK(AA1940,$AA$2:$AA$2028,1)+COUNTIF($AA$2:AA1940,AA1940))-1,""))</f>
        <v/>
      </c>
      <c r="AC1940" s="134" t="str">
        <f t="shared" si="579"/>
        <v/>
      </c>
      <c r="AD1940" s="134" t="str">
        <f>IF(AC1940="","",IFERROR((RANK(AC1940,$AC$2:$AC$2028,1)+COUNTIF($AC$2:AC1940,AC1940))-1,""))</f>
        <v/>
      </c>
      <c r="AE1940" s="144" t="str">
        <f t="shared" si="583"/>
        <v/>
      </c>
      <c r="AF1940" s="144" t="str">
        <f>IF(AE1940="","",SUM($AE$2:AE1940))</f>
        <v/>
      </c>
    </row>
    <row r="1941" spans="14:32" x14ac:dyDescent="0.35">
      <c r="N1941" s="134" t="str">
        <f t="shared" si="581"/>
        <v/>
      </c>
      <c r="O1941" s="82" t="str">
        <f t="shared" si="572"/>
        <v/>
      </c>
      <c r="P1941" s="81" t="str">
        <f t="shared" si="582"/>
        <v/>
      </c>
      <c r="Q1941" s="81" t="str">
        <f t="shared" si="573"/>
        <v/>
      </c>
      <c r="R1941" s="135" t="str">
        <f t="shared" ca="1" si="574"/>
        <v/>
      </c>
      <c r="S1941" s="134" t="str">
        <f t="shared" ca="1" si="575"/>
        <v/>
      </c>
      <c r="T1941" s="134" t="str">
        <f ca="1">IF(S1941=Dashboard!$D$12,S1941,"")</f>
        <v/>
      </c>
      <c r="U1941" s="134" t="str">
        <f t="shared" ca="1" si="576"/>
        <v/>
      </c>
      <c r="V1941" s="83" t="str">
        <f ca="1">IF(U1941="","",IFERROR((RANK(U1941,$U$2:$U$2028,1)+COUNTIF($U$2:U1941,U1941))-1,""))</f>
        <v/>
      </c>
      <c r="W1941" s="134" t="str">
        <f t="shared" si="580"/>
        <v/>
      </c>
      <c r="X1941" s="134" t="str">
        <f>IF(W1941="","",IFERROR((RANK(W1941,$W$2:$W$2028,1)+COUNTIF($W$2:W1941,W1941))-1,""))</f>
        <v/>
      </c>
      <c r="Y1941" s="134" t="str">
        <f t="shared" si="577"/>
        <v/>
      </c>
      <c r="Z1941" s="134" t="str">
        <f>IF(Y1941="","",IFERROR((RANK(Y1941,$Y$2:$Y$2028,1)+COUNTIF($Y$2:Y1941,Y1941))-1,""))</f>
        <v/>
      </c>
      <c r="AA1941" s="134" t="str">
        <f t="shared" si="578"/>
        <v/>
      </c>
      <c r="AB1941" s="134" t="str">
        <f>IF(AA1941="","",IFERROR((RANK(AA1941,$AA$2:$AA$2028,1)+COUNTIF($AA$2:AA1941,AA1941))-1,""))</f>
        <v/>
      </c>
      <c r="AC1941" s="134" t="str">
        <f t="shared" si="579"/>
        <v/>
      </c>
      <c r="AD1941" s="134" t="str">
        <f>IF(AC1941="","",IFERROR((RANK(AC1941,$AC$2:$AC$2028,1)+COUNTIF($AC$2:AC1941,AC1941))-1,""))</f>
        <v/>
      </c>
      <c r="AE1941" s="144" t="str">
        <f t="shared" si="583"/>
        <v/>
      </c>
      <c r="AF1941" s="144" t="str">
        <f>IF(AE1941="","",SUM($AE$2:AE1941))</f>
        <v/>
      </c>
    </row>
    <row r="1942" spans="14:32" x14ac:dyDescent="0.35">
      <c r="N1942" s="134" t="str">
        <f t="shared" si="581"/>
        <v/>
      </c>
      <c r="O1942" s="82" t="str">
        <f t="shared" si="572"/>
        <v/>
      </c>
      <c r="P1942" s="81" t="str">
        <f t="shared" si="582"/>
        <v/>
      </c>
      <c r="Q1942" s="81" t="str">
        <f t="shared" si="573"/>
        <v/>
      </c>
      <c r="R1942" s="135" t="str">
        <f t="shared" ca="1" si="574"/>
        <v/>
      </c>
      <c r="S1942" s="134" t="str">
        <f t="shared" ca="1" si="575"/>
        <v/>
      </c>
      <c r="T1942" s="134" t="str">
        <f ca="1">IF(S1942=Dashboard!$D$12,S1942,"")</f>
        <v/>
      </c>
      <c r="U1942" s="134" t="str">
        <f t="shared" ca="1" si="576"/>
        <v/>
      </c>
      <c r="V1942" s="83" t="str">
        <f ca="1">IF(U1942="","",IFERROR((RANK(U1942,$U$2:$U$2028,1)+COUNTIF($U$2:U1942,U1942))-1,""))</f>
        <v/>
      </c>
      <c r="W1942" s="134" t="str">
        <f t="shared" si="580"/>
        <v/>
      </c>
      <c r="X1942" s="134" t="str">
        <f>IF(W1942="","",IFERROR((RANK(W1942,$W$2:$W$2028,1)+COUNTIF($W$2:W1942,W1942))-1,""))</f>
        <v/>
      </c>
      <c r="Y1942" s="134" t="str">
        <f t="shared" si="577"/>
        <v/>
      </c>
      <c r="Z1942" s="134" t="str">
        <f>IF(Y1942="","",IFERROR((RANK(Y1942,$Y$2:$Y$2028,1)+COUNTIF($Y$2:Y1942,Y1942))-1,""))</f>
        <v/>
      </c>
      <c r="AA1942" s="134" t="str">
        <f t="shared" si="578"/>
        <v/>
      </c>
      <c r="AB1942" s="134" t="str">
        <f>IF(AA1942="","",IFERROR((RANK(AA1942,$AA$2:$AA$2028,1)+COUNTIF($AA$2:AA1942,AA1942))-1,""))</f>
        <v/>
      </c>
      <c r="AC1942" s="134" t="str">
        <f t="shared" si="579"/>
        <v/>
      </c>
      <c r="AD1942" s="134" t="str">
        <f>IF(AC1942="","",IFERROR((RANK(AC1942,$AC$2:$AC$2028,1)+COUNTIF($AC$2:AC1942,AC1942))-1,""))</f>
        <v/>
      </c>
      <c r="AE1942" s="144" t="str">
        <f t="shared" si="583"/>
        <v/>
      </c>
      <c r="AF1942" s="144" t="str">
        <f>IF(AE1942="","",SUM($AE$2:AE1942))</f>
        <v/>
      </c>
    </row>
    <row r="1943" spans="14:32" x14ac:dyDescent="0.35">
      <c r="N1943" s="134" t="str">
        <f t="shared" si="581"/>
        <v/>
      </c>
      <c r="O1943" s="82" t="str">
        <f t="shared" si="572"/>
        <v/>
      </c>
      <c r="P1943" s="81" t="str">
        <f t="shared" si="582"/>
        <v/>
      </c>
      <c r="Q1943" s="81" t="str">
        <f t="shared" si="573"/>
        <v/>
      </c>
      <c r="R1943" s="135" t="str">
        <f t="shared" ca="1" si="574"/>
        <v/>
      </c>
      <c r="S1943" s="134" t="str">
        <f t="shared" ca="1" si="575"/>
        <v/>
      </c>
      <c r="T1943" s="134" t="str">
        <f ca="1">IF(S1943=Dashboard!$D$12,S1943,"")</f>
        <v/>
      </c>
      <c r="U1943" s="134" t="str">
        <f t="shared" ca="1" si="576"/>
        <v/>
      </c>
      <c r="V1943" s="83" t="str">
        <f ca="1">IF(U1943="","",IFERROR((RANK(U1943,$U$2:$U$2028,1)+COUNTIF($U$2:U1943,U1943))-1,""))</f>
        <v/>
      </c>
      <c r="W1943" s="134" t="str">
        <f t="shared" si="580"/>
        <v/>
      </c>
      <c r="X1943" s="134" t="str">
        <f>IF(W1943="","",IFERROR((RANK(W1943,$W$2:$W$2028,1)+COUNTIF($W$2:W1943,W1943))-1,""))</f>
        <v/>
      </c>
      <c r="Y1943" s="134" t="str">
        <f t="shared" si="577"/>
        <v/>
      </c>
      <c r="Z1943" s="134" t="str">
        <f>IF(Y1943="","",IFERROR((RANK(Y1943,$Y$2:$Y$2028,1)+COUNTIF($Y$2:Y1943,Y1943))-1,""))</f>
        <v/>
      </c>
      <c r="AA1943" s="134" t="str">
        <f t="shared" si="578"/>
        <v/>
      </c>
      <c r="AB1943" s="134" t="str">
        <f>IF(AA1943="","",IFERROR((RANK(AA1943,$AA$2:$AA$2028,1)+COUNTIF($AA$2:AA1943,AA1943))-1,""))</f>
        <v/>
      </c>
      <c r="AC1943" s="134" t="str">
        <f t="shared" si="579"/>
        <v/>
      </c>
      <c r="AD1943" s="134" t="str">
        <f>IF(AC1943="","",IFERROR((RANK(AC1943,$AC$2:$AC$2028,1)+COUNTIF($AC$2:AC1943,AC1943))-1,""))</f>
        <v/>
      </c>
      <c r="AE1943" s="144" t="str">
        <f t="shared" si="583"/>
        <v/>
      </c>
      <c r="AF1943" s="144" t="str">
        <f>IF(AE1943="","",SUM($AE$2:AE1943))</f>
        <v/>
      </c>
    </row>
    <row r="1944" spans="14:32" x14ac:dyDescent="0.35">
      <c r="N1944" s="134" t="str">
        <f t="shared" si="581"/>
        <v/>
      </c>
      <c r="O1944" s="82" t="str">
        <f t="shared" si="572"/>
        <v/>
      </c>
      <c r="P1944" s="81" t="str">
        <f t="shared" si="582"/>
        <v/>
      </c>
      <c r="Q1944" s="81" t="str">
        <f t="shared" si="573"/>
        <v/>
      </c>
      <c r="R1944" s="135" t="str">
        <f t="shared" ca="1" si="574"/>
        <v/>
      </c>
      <c r="S1944" s="134" t="str">
        <f t="shared" ca="1" si="575"/>
        <v/>
      </c>
      <c r="T1944" s="134" t="str">
        <f ca="1">IF(S1944=Dashboard!$D$12,S1944,"")</f>
        <v/>
      </c>
      <c r="U1944" s="134" t="str">
        <f t="shared" ca="1" si="576"/>
        <v/>
      </c>
      <c r="V1944" s="83" t="str">
        <f ca="1">IF(U1944="","",IFERROR((RANK(U1944,$U$2:$U$2028,1)+COUNTIF($U$2:U1944,U1944))-1,""))</f>
        <v/>
      </c>
      <c r="W1944" s="134" t="str">
        <f t="shared" si="580"/>
        <v/>
      </c>
      <c r="X1944" s="134" t="str">
        <f>IF(W1944="","",IFERROR((RANK(W1944,$W$2:$W$2028,1)+COUNTIF($W$2:W1944,W1944))-1,""))</f>
        <v/>
      </c>
      <c r="Y1944" s="134" t="str">
        <f t="shared" si="577"/>
        <v/>
      </c>
      <c r="Z1944" s="134" t="str">
        <f>IF(Y1944="","",IFERROR((RANK(Y1944,$Y$2:$Y$2028,1)+COUNTIF($Y$2:Y1944,Y1944))-1,""))</f>
        <v/>
      </c>
      <c r="AA1944" s="134" t="str">
        <f t="shared" si="578"/>
        <v/>
      </c>
      <c r="AB1944" s="134" t="str">
        <f>IF(AA1944="","",IFERROR((RANK(AA1944,$AA$2:$AA$2028,1)+COUNTIF($AA$2:AA1944,AA1944))-1,""))</f>
        <v/>
      </c>
      <c r="AC1944" s="134" t="str">
        <f t="shared" si="579"/>
        <v/>
      </c>
      <c r="AD1944" s="134" t="str">
        <f>IF(AC1944="","",IFERROR((RANK(AC1944,$AC$2:$AC$2028,1)+COUNTIF($AC$2:AC1944,AC1944))-1,""))</f>
        <v/>
      </c>
      <c r="AE1944" s="144" t="str">
        <f t="shared" si="583"/>
        <v/>
      </c>
      <c r="AF1944" s="144" t="str">
        <f>IF(AE1944="","",SUM($AE$2:AE1944))</f>
        <v/>
      </c>
    </row>
    <row r="1945" spans="14:32" x14ac:dyDescent="0.35">
      <c r="N1945" s="134" t="str">
        <f t="shared" si="581"/>
        <v/>
      </c>
      <c r="O1945" s="82" t="str">
        <f t="shared" si="572"/>
        <v/>
      </c>
      <c r="P1945" s="81" t="str">
        <f t="shared" si="582"/>
        <v/>
      </c>
      <c r="Q1945" s="81" t="str">
        <f t="shared" si="573"/>
        <v/>
      </c>
      <c r="R1945" s="135" t="str">
        <f t="shared" ca="1" si="574"/>
        <v/>
      </c>
      <c r="S1945" s="134" t="str">
        <f t="shared" ca="1" si="575"/>
        <v/>
      </c>
      <c r="T1945" s="134" t="str">
        <f ca="1">IF(S1945=Dashboard!$D$12,S1945,"")</f>
        <v/>
      </c>
      <c r="U1945" s="134" t="str">
        <f t="shared" ca="1" si="576"/>
        <v/>
      </c>
      <c r="V1945" s="83" t="str">
        <f ca="1">IF(U1945="","",IFERROR((RANK(U1945,$U$2:$U$2028,1)+COUNTIF($U$2:U1945,U1945))-1,""))</f>
        <v/>
      </c>
      <c r="W1945" s="134" t="str">
        <f t="shared" si="580"/>
        <v/>
      </c>
      <c r="X1945" s="134" t="str">
        <f>IF(W1945="","",IFERROR((RANK(W1945,$W$2:$W$2028,1)+COUNTIF($W$2:W1945,W1945))-1,""))</f>
        <v/>
      </c>
      <c r="Y1945" s="134" t="str">
        <f t="shared" si="577"/>
        <v/>
      </c>
      <c r="Z1945" s="134" t="str">
        <f>IF(Y1945="","",IFERROR((RANK(Y1945,$Y$2:$Y$2028,1)+COUNTIF($Y$2:Y1945,Y1945))-1,""))</f>
        <v/>
      </c>
      <c r="AA1945" s="134" t="str">
        <f t="shared" si="578"/>
        <v/>
      </c>
      <c r="AB1945" s="134" t="str">
        <f>IF(AA1945="","",IFERROR((RANK(AA1945,$AA$2:$AA$2028,1)+COUNTIF($AA$2:AA1945,AA1945))-1,""))</f>
        <v/>
      </c>
      <c r="AC1945" s="134" t="str">
        <f t="shared" si="579"/>
        <v/>
      </c>
      <c r="AD1945" s="134" t="str">
        <f>IF(AC1945="","",IFERROR((RANK(AC1945,$AC$2:$AC$2028,1)+COUNTIF($AC$2:AC1945,AC1945))-1,""))</f>
        <v/>
      </c>
      <c r="AE1945" s="144" t="str">
        <f t="shared" si="583"/>
        <v/>
      </c>
      <c r="AF1945" s="144" t="str">
        <f>IF(AE1945="","",SUM($AE$2:AE1945))</f>
        <v/>
      </c>
    </row>
    <row r="1946" spans="14:32" x14ac:dyDescent="0.35">
      <c r="N1946" s="134" t="str">
        <f t="shared" si="581"/>
        <v/>
      </c>
      <c r="O1946" s="82" t="str">
        <f t="shared" si="572"/>
        <v/>
      </c>
      <c r="P1946" s="81" t="str">
        <f t="shared" si="582"/>
        <v/>
      </c>
      <c r="Q1946" s="81" t="str">
        <f t="shared" si="573"/>
        <v/>
      </c>
      <c r="R1946" s="135" t="str">
        <f t="shared" ca="1" si="574"/>
        <v/>
      </c>
      <c r="S1946" s="134" t="str">
        <f t="shared" ca="1" si="575"/>
        <v/>
      </c>
      <c r="T1946" s="134" t="str">
        <f ca="1">IF(S1946=Dashboard!$D$12,S1946,"")</f>
        <v/>
      </c>
      <c r="U1946" s="134" t="str">
        <f t="shared" ca="1" si="576"/>
        <v/>
      </c>
      <c r="V1946" s="83" t="str">
        <f ca="1">IF(U1946="","",IFERROR((RANK(U1946,$U$2:$U$2028,1)+COUNTIF($U$2:U1946,U1946))-1,""))</f>
        <v/>
      </c>
      <c r="W1946" s="134" t="str">
        <f t="shared" si="580"/>
        <v/>
      </c>
      <c r="X1946" s="134" t="str">
        <f>IF(W1946="","",IFERROR((RANK(W1946,$W$2:$W$2028,1)+COUNTIF($W$2:W1946,W1946))-1,""))</f>
        <v/>
      </c>
      <c r="Y1946" s="134" t="str">
        <f t="shared" si="577"/>
        <v/>
      </c>
      <c r="Z1946" s="134" t="str">
        <f>IF(Y1946="","",IFERROR((RANK(Y1946,$Y$2:$Y$2028,1)+COUNTIF($Y$2:Y1946,Y1946))-1,""))</f>
        <v/>
      </c>
      <c r="AA1946" s="134" t="str">
        <f t="shared" si="578"/>
        <v/>
      </c>
      <c r="AB1946" s="134" t="str">
        <f>IF(AA1946="","",IFERROR((RANK(AA1946,$AA$2:$AA$2028,1)+COUNTIF($AA$2:AA1946,AA1946))-1,""))</f>
        <v/>
      </c>
      <c r="AC1946" s="134" t="str">
        <f t="shared" si="579"/>
        <v/>
      </c>
      <c r="AD1946" s="134" t="str">
        <f>IF(AC1946="","",IFERROR((RANK(AC1946,$AC$2:$AC$2028,1)+COUNTIF($AC$2:AC1946,AC1946))-1,""))</f>
        <v/>
      </c>
      <c r="AE1946" s="144" t="str">
        <f t="shared" si="583"/>
        <v/>
      </c>
      <c r="AF1946" s="144" t="str">
        <f>IF(AE1946="","",SUM($AE$2:AE1946))</f>
        <v/>
      </c>
    </row>
    <row r="1947" spans="14:32" x14ac:dyDescent="0.35">
      <c r="N1947" s="134" t="str">
        <f t="shared" si="581"/>
        <v/>
      </c>
      <c r="O1947" s="82" t="str">
        <f t="shared" si="572"/>
        <v/>
      </c>
      <c r="P1947" s="81" t="str">
        <f t="shared" si="582"/>
        <v/>
      </c>
      <c r="Q1947" s="81" t="str">
        <f t="shared" si="573"/>
        <v/>
      </c>
      <c r="R1947" s="135" t="str">
        <f t="shared" ca="1" si="574"/>
        <v/>
      </c>
      <c r="S1947" s="134" t="str">
        <f t="shared" ca="1" si="575"/>
        <v/>
      </c>
      <c r="T1947" s="134" t="str">
        <f ca="1">IF(S1947=Dashboard!$D$12,S1947,"")</f>
        <v/>
      </c>
      <c r="U1947" s="134" t="str">
        <f t="shared" ca="1" si="576"/>
        <v/>
      </c>
      <c r="V1947" s="83" t="str">
        <f ca="1">IF(U1947="","",IFERROR((RANK(U1947,$U$2:$U$2028,1)+COUNTIF($U$2:U1947,U1947))-1,""))</f>
        <v/>
      </c>
      <c r="W1947" s="134" t="str">
        <f t="shared" si="580"/>
        <v/>
      </c>
      <c r="X1947" s="134" t="str">
        <f>IF(W1947="","",IFERROR((RANK(W1947,$W$2:$W$2028,1)+COUNTIF($W$2:W1947,W1947))-1,""))</f>
        <v/>
      </c>
      <c r="Y1947" s="134" t="str">
        <f t="shared" si="577"/>
        <v/>
      </c>
      <c r="Z1947" s="134" t="str">
        <f>IF(Y1947="","",IFERROR((RANK(Y1947,$Y$2:$Y$2028,1)+COUNTIF($Y$2:Y1947,Y1947))-1,""))</f>
        <v/>
      </c>
      <c r="AA1947" s="134" t="str">
        <f t="shared" si="578"/>
        <v/>
      </c>
      <c r="AB1947" s="134" t="str">
        <f>IF(AA1947="","",IFERROR((RANK(AA1947,$AA$2:$AA$2028,1)+COUNTIF($AA$2:AA1947,AA1947))-1,""))</f>
        <v/>
      </c>
      <c r="AC1947" s="134" t="str">
        <f t="shared" si="579"/>
        <v/>
      </c>
      <c r="AD1947" s="134" t="str">
        <f>IF(AC1947="","",IFERROR((RANK(AC1947,$AC$2:$AC$2028,1)+COUNTIF($AC$2:AC1947,AC1947))-1,""))</f>
        <v/>
      </c>
      <c r="AE1947" s="144" t="str">
        <f t="shared" si="583"/>
        <v/>
      </c>
      <c r="AF1947" s="144" t="str">
        <f>IF(AE1947="","",SUM($AE$2:AE1947))</f>
        <v/>
      </c>
    </row>
    <row r="1948" spans="14:32" x14ac:dyDescent="0.35">
      <c r="N1948" s="134" t="str">
        <f t="shared" si="581"/>
        <v/>
      </c>
      <c r="O1948" s="82" t="str">
        <f t="shared" si="572"/>
        <v/>
      </c>
      <c r="P1948" s="81" t="str">
        <f t="shared" si="582"/>
        <v/>
      </c>
      <c r="Q1948" s="81" t="str">
        <f t="shared" si="573"/>
        <v/>
      </c>
      <c r="R1948" s="135" t="str">
        <f t="shared" ca="1" si="574"/>
        <v/>
      </c>
      <c r="S1948" s="134" t="str">
        <f t="shared" ca="1" si="575"/>
        <v/>
      </c>
      <c r="T1948" s="134" t="str">
        <f ca="1">IF(S1948=Dashboard!$D$12,S1948,"")</f>
        <v/>
      </c>
      <c r="U1948" s="134" t="str">
        <f t="shared" ca="1" si="576"/>
        <v/>
      </c>
      <c r="V1948" s="83" t="str">
        <f ca="1">IF(U1948="","",IFERROR((RANK(U1948,$U$2:$U$2028,1)+COUNTIF($U$2:U1948,U1948))-1,""))</f>
        <v/>
      </c>
      <c r="W1948" s="134" t="str">
        <f t="shared" si="580"/>
        <v/>
      </c>
      <c r="X1948" s="134" t="str">
        <f>IF(W1948="","",IFERROR((RANK(W1948,$W$2:$W$2028,1)+COUNTIF($W$2:W1948,W1948))-1,""))</f>
        <v/>
      </c>
      <c r="Y1948" s="134" t="str">
        <f t="shared" si="577"/>
        <v/>
      </c>
      <c r="Z1948" s="134" t="str">
        <f>IF(Y1948="","",IFERROR((RANK(Y1948,$Y$2:$Y$2028,1)+COUNTIF($Y$2:Y1948,Y1948))-1,""))</f>
        <v/>
      </c>
      <c r="AA1948" s="134" t="str">
        <f t="shared" si="578"/>
        <v/>
      </c>
      <c r="AB1948" s="134" t="str">
        <f>IF(AA1948="","",IFERROR((RANK(AA1948,$AA$2:$AA$2028,1)+COUNTIF($AA$2:AA1948,AA1948))-1,""))</f>
        <v/>
      </c>
      <c r="AC1948" s="134" t="str">
        <f t="shared" si="579"/>
        <v/>
      </c>
      <c r="AD1948" s="134" t="str">
        <f>IF(AC1948="","",IFERROR((RANK(AC1948,$AC$2:$AC$2028,1)+COUNTIF($AC$2:AC1948,AC1948))-1,""))</f>
        <v/>
      </c>
      <c r="AE1948" s="144" t="str">
        <f t="shared" si="583"/>
        <v/>
      </c>
      <c r="AF1948" s="144" t="str">
        <f>IF(AE1948="","",SUM($AE$2:AE1948))</f>
        <v/>
      </c>
    </row>
    <row r="1949" spans="14:32" x14ac:dyDescent="0.35">
      <c r="N1949" s="134" t="str">
        <f t="shared" si="581"/>
        <v/>
      </c>
      <c r="O1949" s="82" t="str">
        <f t="shared" si="572"/>
        <v/>
      </c>
      <c r="P1949" s="81" t="str">
        <f t="shared" si="582"/>
        <v/>
      </c>
      <c r="Q1949" s="81" t="str">
        <f t="shared" si="573"/>
        <v/>
      </c>
      <c r="R1949" s="135" t="str">
        <f t="shared" ca="1" si="574"/>
        <v/>
      </c>
      <c r="S1949" s="134" t="str">
        <f t="shared" ca="1" si="575"/>
        <v/>
      </c>
      <c r="T1949" s="134" t="str">
        <f ca="1">IF(S1949=Dashboard!$D$12,S1949,"")</f>
        <v/>
      </c>
      <c r="U1949" s="134" t="str">
        <f t="shared" ca="1" si="576"/>
        <v/>
      </c>
      <c r="V1949" s="83" t="str">
        <f ca="1">IF(U1949="","",IFERROR((RANK(U1949,$U$2:$U$2028,1)+COUNTIF($U$2:U1949,U1949))-1,""))</f>
        <v/>
      </c>
      <c r="W1949" s="134" t="str">
        <f t="shared" si="580"/>
        <v/>
      </c>
      <c r="X1949" s="134" t="str">
        <f>IF(W1949="","",IFERROR((RANK(W1949,$W$2:$W$2028,1)+COUNTIF($W$2:W1949,W1949))-1,""))</f>
        <v/>
      </c>
      <c r="Y1949" s="134" t="str">
        <f t="shared" si="577"/>
        <v/>
      </c>
      <c r="Z1949" s="134" t="str">
        <f>IF(Y1949="","",IFERROR((RANK(Y1949,$Y$2:$Y$2028,1)+COUNTIF($Y$2:Y1949,Y1949))-1,""))</f>
        <v/>
      </c>
      <c r="AA1949" s="134" t="str">
        <f t="shared" si="578"/>
        <v/>
      </c>
      <c r="AB1949" s="134" t="str">
        <f>IF(AA1949="","",IFERROR((RANK(AA1949,$AA$2:$AA$2028,1)+COUNTIF($AA$2:AA1949,AA1949))-1,""))</f>
        <v/>
      </c>
      <c r="AC1949" s="134" t="str">
        <f t="shared" si="579"/>
        <v/>
      </c>
      <c r="AD1949" s="134" t="str">
        <f>IF(AC1949="","",IFERROR((RANK(AC1949,$AC$2:$AC$2028,1)+COUNTIF($AC$2:AC1949,AC1949))-1,""))</f>
        <v/>
      </c>
      <c r="AE1949" s="144" t="str">
        <f t="shared" si="583"/>
        <v/>
      </c>
      <c r="AF1949" s="144" t="str">
        <f>IF(AE1949="","",SUM($AE$2:AE1949))</f>
        <v/>
      </c>
    </row>
    <row r="1950" spans="14:32" x14ac:dyDescent="0.35">
      <c r="N1950" s="134" t="str">
        <f t="shared" si="581"/>
        <v/>
      </c>
      <c r="O1950" s="82" t="str">
        <f t="shared" ref="O1950:O2013" si="584">IF(A1950="","",N1950&amp;"-"&amp;M1950)</f>
        <v/>
      </c>
      <c r="P1950" s="81" t="str">
        <f t="shared" si="582"/>
        <v/>
      </c>
      <c r="Q1950" s="81" t="str">
        <f t="shared" ref="Q1950:Q2013" si="585">IF(A1950="","",IF(P1950=1,M1950,""))</f>
        <v/>
      </c>
      <c r="R1950" s="135" t="str">
        <f t="shared" ref="R1950:R2013" ca="1" si="586">IF(Q1950="","",I1950-TODAY())</f>
        <v/>
      </c>
      <c r="S1950" s="134" t="str">
        <f t="shared" ref="S1950:S2013" ca="1" si="587">IF(R1950="","",
IF(R1950&lt;-90,"Pass&gt;90",IF(R1950&lt;-60,"Pass 61-90",IF(R1950&lt;-30,"Pass 31-60",IF(R1950&lt;0,"Pass 0-30",IF(R1950&lt;31,"Run 0-30",IF(R1950&lt;61,"Run 31-60",IF(R1950&lt;91,"Run 60-90","Run &gt;90"))))))))</f>
        <v/>
      </c>
      <c r="T1950" s="134" t="str">
        <f ca="1">IF(S1950=Dashboard!$D$12,S1950,"")</f>
        <v/>
      </c>
      <c r="U1950" s="134" t="str">
        <f t="shared" ref="U1950:U2013" ca="1" si="588">IF(T1950="","",R1950)</f>
        <v/>
      </c>
      <c r="V1950" s="83" t="str">
        <f ca="1">IF(U1950="","",IFERROR((RANK(U1950,$U$2:$U$2028,1)+COUNTIF($U$2:U1950,U1950))-1,""))</f>
        <v/>
      </c>
      <c r="W1950" s="134" t="str">
        <f t="shared" si="580"/>
        <v/>
      </c>
      <c r="X1950" s="134" t="str">
        <f>IF(W1950="","",IFERROR((RANK(W1950,$W$2:$W$2028,1)+COUNTIF($W$2:W1950,W1950))-1,""))</f>
        <v/>
      </c>
      <c r="Y1950" s="134" t="str">
        <f t="shared" ref="Y1950:Y2013" si="589">IF($J1950=Y$1,$U1950,"")</f>
        <v/>
      </c>
      <c r="Z1950" s="134" t="str">
        <f>IF(Y1950="","",IFERROR((RANK(Y1950,$Y$2:$Y$2028,1)+COUNTIF($Y$2:Y1950,Y1950))-1,""))</f>
        <v/>
      </c>
      <c r="AA1950" s="134" t="str">
        <f t="shared" ref="AA1950:AA2013" si="590">IF($J1950=AA$1,$U1950,"")</f>
        <v/>
      </c>
      <c r="AB1950" s="134" t="str">
        <f>IF(AA1950="","",IFERROR((RANK(AA1950,$AA$2:$AA$2028,1)+COUNTIF($AA$2:AA1950,AA1950))-1,""))</f>
        <v/>
      </c>
      <c r="AC1950" s="134" t="str">
        <f t="shared" ref="AC1950:AC2013" si="591">IF($J1950=AC$1,$U1950,"")</f>
        <v/>
      </c>
      <c r="AD1950" s="134" t="str">
        <f>IF(AC1950="","",IFERROR((RANK(AC1950,$AC$2:$AC$2028,1)+COUNTIF($AC$2:AC1950,AC1950))-1,""))</f>
        <v/>
      </c>
      <c r="AE1950" s="144" t="str">
        <f t="shared" si="583"/>
        <v/>
      </c>
      <c r="AF1950" s="144" t="str">
        <f>IF(AE1950="","",SUM($AE$2:AE1950))</f>
        <v/>
      </c>
    </row>
    <row r="1951" spans="14:32" x14ac:dyDescent="0.35">
      <c r="N1951" s="134" t="str">
        <f t="shared" si="581"/>
        <v/>
      </c>
      <c r="O1951" s="82" t="str">
        <f t="shared" si="584"/>
        <v/>
      </c>
      <c r="P1951" s="81" t="str">
        <f t="shared" si="582"/>
        <v/>
      </c>
      <c r="Q1951" s="81" t="str">
        <f t="shared" si="585"/>
        <v/>
      </c>
      <c r="R1951" s="135" t="str">
        <f t="shared" ca="1" si="586"/>
        <v/>
      </c>
      <c r="S1951" s="134" t="str">
        <f t="shared" ca="1" si="587"/>
        <v/>
      </c>
      <c r="T1951" s="134" t="str">
        <f ca="1">IF(S1951=Dashboard!$D$12,S1951,"")</f>
        <v/>
      </c>
      <c r="U1951" s="134" t="str">
        <f t="shared" ca="1" si="588"/>
        <v/>
      </c>
      <c r="V1951" s="83" t="str">
        <f ca="1">IF(U1951="","",IFERROR((RANK(U1951,$U$2:$U$2028,1)+COUNTIF($U$2:U1951,U1951))-1,""))</f>
        <v/>
      </c>
      <c r="W1951" s="134" t="str">
        <f t="shared" ref="W1951:W2014" si="592">IF($J1951=$W$1,U1951,"")</f>
        <v/>
      </c>
      <c r="X1951" s="134" t="str">
        <f>IF(W1951="","",IFERROR((RANK(W1951,$W$2:$W$2028,1)+COUNTIF($W$2:W1951,W1951))-1,""))</f>
        <v/>
      </c>
      <c r="Y1951" s="134" t="str">
        <f t="shared" si="589"/>
        <v/>
      </c>
      <c r="Z1951" s="134" t="str">
        <f>IF(Y1951="","",IFERROR((RANK(Y1951,$Y$2:$Y$2028,1)+COUNTIF($Y$2:Y1951,Y1951))-1,""))</f>
        <v/>
      </c>
      <c r="AA1951" s="134" t="str">
        <f t="shared" si="590"/>
        <v/>
      </c>
      <c r="AB1951" s="134" t="str">
        <f>IF(AA1951="","",IFERROR((RANK(AA1951,$AA$2:$AA$2028,1)+COUNTIF($AA$2:AA1951,AA1951))-1,""))</f>
        <v/>
      </c>
      <c r="AC1951" s="134" t="str">
        <f t="shared" si="591"/>
        <v/>
      </c>
      <c r="AD1951" s="134" t="str">
        <f>IF(AC1951="","",IFERROR((RANK(AC1951,$AC$2:$AC$2028,1)+COUNTIF($AC$2:AC1951,AC1951))-1,""))</f>
        <v/>
      </c>
      <c r="AE1951" s="144" t="str">
        <f t="shared" si="583"/>
        <v/>
      </c>
      <c r="AF1951" s="144" t="str">
        <f>IF(AE1951="","",SUM($AE$2:AE1951))</f>
        <v/>
      </c>
    </row>
    <row r="1952" spans="14:32" x14ac:dyDescent="0.35">
      <c r="N1952" s="134" t="str">
        <f t="shared" si="581"/>
        <v/>
      </c>
      <c r="O1952" s="82" t="str">
        <f t="shared" si="584"/>
        <v/>
      </c>
      <c r="P1952" s="81" t="str">
        <f t="shared" si="582"/>
        <v/>
      </c>
      <c r="Q1952" s="81" t="str">
        <f t="shared" si="585"/>
        <v/>
      </c>
      <c r="R1952" s="135" t="str">
        <f t="shared" ca="1" si="586"/>
        <v/>
      </c>
      <c r="S1952" s="134" t="str">
        <f t="shared" ca="1" si="587"/>
        <v/>
      </c>
      <c r="T1952" s="134" t="str">
        <f ca="1">IF(S1952=Dashboard!$D$12,S1952,"")</f>
        <v/>
      </c>
      <c r="U1952" s="134" t="str">
        <f t="shared" ca="1" si="588"/>
        <v/>
      </c>
      <c r="V1952" s="83" t="str">
        <f ca="1">IF(U1952="","",IFERROR((RANK(U1952,$U$2:$U$2028,1)+COUNTIF($U$2:U1952,U1952))-1,""))</f>
        <v/>
      </c>
      <c r="W1952" s="134" t="str">
        <f t="shared" si="592"/>
        <v/>
      </c>
      <c r="X1952" s="134" t="str">
        <f>IF(W1952="","",IFERROR((RANK(W1952,$W$2:$W$2028,1)+COUNTIF($W$2:W1952,W1952))-1,""))</f>
        <v/>
      </c>
      <c r="Y1952" s="134" t="str">
        <f t="shared" si="589"/>
        <v/>
      </c>
      <c r="Z1952" s="134" t="str">
        <f>IF(Y1952="","",IFERROR((RANK(Y1952,$Y$2:$Y$2028,1)+COUNTIF($Y$2:Y1952,Y1952))-1,""))</f>
        <v/>
      </c>
      <c r="AA1952" s="134" t="str">
        <f t="shared" si="590"/>
        <v/>
      </c>
      <c r="AB1952" s="134" t="str">
        <f>IF(AA1952="","",IFERROR((RANK(AA1952,$AA$2:$AA$2028,1)+COUNTIF($AA$2:AA1952,AA1952))-1,""))</f>
        <v/>
      </c>
      <c r="AC1952" s="134" t="str">
        <f t="shared" si="591"/>
        <v/>
      </c>
      <c r="AD1952" s="134" t="str">
        <f>IF(AC1952="","",IFERROR((RANK(AC1952,$AC$2:$AC$2028,1)+COUNTIF($AC$2:AC1952,AC1952))-1,""))</f>
        <v/>
      </c>
      <c r="AE1952" s="144" t="str">
        <f t="shared" si="583"/>
        <v/>
      </c>
      <c r="AF1952" s="144" t="str">
        <f>IF(AE1952="","",SUM($AE$2:AE1952))</f>
        <v/>
      </c>
    </row>
    <row r="1953" spans="14:32" x14ac:dyDescent="0.35">
      <c r="N1953" s="134" t="str">
        <f t="shared" si="581"/>
        <v/>
      </c>
      <c r="O1953" s="82" t="str">
        <f t="shared" si="584"/>
        <v/>
      </c>
      <c r="P1953" s="81" t="str">
        <f t="shared" si="582"/>
        <v/>
      </c>
      <c r="Q1953" s="81" t="str">
        <f t="shared" si="585"/>
        <v/>
      </c>
      <c r="R1953" s="135" t="str">
        <f t="shared" ca="1" si="586"/>
        <v/>
      </c>
      <c r="S1953" s="134" t="str">
        <f t="shared" ca="1" si="587"/>
        <v/>
      </c>
      <c r="T1953" s="134" t="str">
        <f ca="1">IF(S1953=Dashboard!$D$12,S1953,"")</f>
        <v/>
      </c>
      <c r="U1953" s="134" t="str">
        <f t="shared" ca="1" si="588"/>
        <v/>
      </c>
      <c r="V1953" s="83" t="str">
        <f ca="1">IF(U1953="","",IFERROR((RANK(U1953,$U$2:$U$2028,1)+COUNTIF($U$2:U1953,U1953))-1,""))</f>
        <v/>
      </c>
      <c r="W1953" s="134" t="str">
        <f t="shared" si="592"/>
        <v/>
      </c>
      <c r="X1953" s="134" t="str">
        <f>IF(W1953="","",IFERROR((RANK(W1953,$W$2:$W$2028,1)+COUNTIF($W$2:W1953,W1953))-1,""))</f>
        <v/>
      </c>
      <c r="Y1953" s="134" t="str">
        <f t="shared" si="589"/>
        <v/>
      </c>
      <c r="Z1953" s="134" t="str">
        <f>IF(Y1953="","",IFERROR((RANK(Y1953,$Y$2:$Y$2028,1)+COUNTIF($Y$2:Y1953,Y1953))-1,""))</f>
        <v/>
      </c>
      <c r="AA1953" s="134" t="str">
        <f t="shared" si="590"/>
        <v/>
      </c>
      <c r="AB1953" s="134" t="str">
        <f>IF(AA1953="","",IFERROR((RANK(AA1953,$AA$2:$AA$2028,1)+COUNTIF($AA$2:AA1953,AA1953))-1,""))</f>
        <v/>
      </c>
      <c r="AC1953" s="134" t="str">
        <f t="shared" si="591"/>
        <v/>
      </c>
      <c r="AD1953" s="134" t="str">
        <f>IF(AC1953="","",IFERROR((RANK(AC1953,$AC$2:$AC$2028,1)+COUNTIF($AC$2:AC1953,AC1953))-1,""))</f>
        <v/>
      </c>
      <c r="AE1953" s="144" t="str">
        <f t="shared" si="583"/>
        <v/>
      </c>
      <c r="AF1953" s="144" t="str">
        <f>IF(AE1953="","",SUM($AE$2:AE1953))</f>
        <v/>
      </c>
    </row>
    <row r="1954" spans="14:32" x14ac:dyDescent="0.35">
      <c r="N1954" s="134" t="str">
        <f t="shared" si="581"/>
        <v/>
      </c>
      <c r="O1954" s="82" t="str">
        <f t="shared" si="584"/>
        <v/>
      </c>
      <c r="P1954" s="81" t="str">
        <f t="shared" si="582"/>
        <v/>
      </c>
      <c r="Q1954" s="81" t="str">
        <f t="shared" si="585"/>
        <v/>
      </c>
      <c r="R1954" s="135" t="str">
        <f t="shared" ca="1" si="586"/>
        <v/>
      </c>
      <c r="S1954" s="134" t="str">
        <f t="shared" ca="1" si="587"/>
        <v/>
      </c>
      <c r="T1954" s="134" t="str">
        <f ca="1">IF(S1954=Dashboard!$D$12,S1954,"")</f>
        <v/>
      </c>
      <c r="U1954" s="134" t="str">
        <f t="shared" ca="1" si="588"/>
        <v/>
      </c>
      <c r="V1954" s="83" t="str">
        <f ca="1">IF(U1954="","",IFERROR((RANK(U1954,$U$2:$U$2028,1)+COUNTIF($U$2:U1954,U1954))-1,""))</f>
        <v/>
      </c>
      <c r="W1954" s="134" t="str">
        <f t="shared" si="592"/>
        <v/>
      </c>
      <c r="X1954" s="134" t="str">
        <f>IF(W1954="","",IFERROR((RANK(W1954,$W$2:$W$2028,1)+COUNTIF($W$2:W1954,W1954))-1,""))</f>
        <v/>
      </c>
      <c r="Y1954" s="134" t="str">
        <f t="shared" si="589"/>
        <v/>
      </c>
      <c r="Z1954" s="134" t="str">
        <f>IF(Y1954="","",IFERROR((RANK(Y1954,$Y$2:$Y$2028,1)+COUNTIF($Y$2:Y1954,Y1954))-1,""))</f>
        <v/>
      </c>
      <c r="AA1954" s="134" t="str">
        <f t="shared" si="590"/>
        <v/>
      </c>
      <c r="AB1954" s="134" t="str">
        <f>IF(AA1954="","",IFERROR((RANK(AA1954,$AA$2:$AA$2028,1)+COUNTIF($AA$2:AA1954,AA1954))-1,""))</f>
        <v/>
      </c>
      <c r="AC1954" s="134" t="str">
        <f t="shared" si="591"/>
        <v/>
      </c>
      <c r="AD1954" s="134" t="str">
        <f>IF(AC1954="","",IFERROR((RANK(AC1954,$AC$2:$AC$2028,1)+COUNTIF($AC$2:AC1954,AC1954))-1,""))</f>
        <v/>
      </c>
      <c r="AE1954" s="144" t="str">
        <f t="shared" si="583"/>
        <v/>
      </c>
      <c r="AF1954" s="144" t="str">
        <f>IF(AE1954="","",SUM($AE$2:AE1954))</f>
        <v/>
      </c>
    </row>
    <row r="1955" spans="14:32" x14ac:dyDescent="0.35">
      <c r="N1955" s="134" t="str">
        <f t="shared" si="581"/>
        <v/>
      </c>
      <c r="O1955" s="82" t="str">
        <f t="shared" si="584"/>
        <v/>
      </c>
      <c r="P1955" s="81" t="str">
        <f t="shared" si="582"/>
        <v/>
      </c>
      <c r="Q1955" s="81" t="str">
        <f t="shared" si="585"/>
        <v/>
      </c>
      <c r="R1955" s="135" t="str">
        <f t="shared" ca="1" si="586"/>
        <v/>
      </c>
      <c r="S1955" s="134" t="str">
        <f t="shared" ca="1" si="587"/>
        <v/>
      </c>
      <c r="T1955" s="134" t="str">
        <f ca="1">IF(S1955=Dashboard!$D$12,S1955,"")</f>
        <v/>
      </c>
      <c r="U1955" s="134" t="str">
        <f t="shared" ca="1" si="588"/>
        <v/>
      </c>
      <c r="V1955" s="83" t="str">
        <f ca="1">IF(U1955="","",IFERROR((RANK(U1955,$U$2:$U$2028,1)+COUNTIF($U$2:U1955,U1955))-1,""))</f>
        <v/>
      </c>
      <c r="W1955" s="134" t="str">
        <f t="shared" si="592"/>
        <v/>
      </c>
      <c r="X1955" s="134" t="str">
        <f>IF(W1955="","",IFERROR((RANK(W1955,$W$2:$W$2028,1)+COUNTIF($W$2:W1955,W1955))-1,""))</f>
        <v/>
      </c>
      <c r="Y1955" s="134" t="str">
        <f t="shared" si="589"/>
        <v/>
      </c>
      <c r="Z1955" s="134" t="str">
        <f>IF(Y1955="","",IFERROR((RANK(Y1955,$Y$2:$Y$2028,1)+COUNTIF($Y$2:Y1955,Y1955))-1,""))</f>
        <v/>
      </c>
      <c r="AA1955" s="134" t="str">
        <f t="shared" si="590"/>
        <v/>
      </c>
      <c r="AB1955" s="134" t="str">
        <f>IF(AA1955="","",IFERROR((RANK(AA1955,$AA$2:$AA$2028,1)+COUNTIF($AA$2:AA1955,AA1955))-1,""))</f>
        <v/>
      </c>
      <c r="AC1955" s="134" t="str">
        <f t="shared" si="591"/>
        <v/>
      </c>
      <c r="AD1955" s="134" t="str">
        <f>IF(AC1955="","",IFERROR((RANK(AC1955,$AC$2:$AC$2028,1)+COUNTIF($AC$2:AC1955,AC1955))-1,""))</f>
        <v/>
      </c>
      <c r="AE1955" s="144" t="str">
        <f t="shared" si="583"/>
        <v/>
      </c>
      <c r="AF1955" s="144" t="str">
        <f>IF(AE1955="","",SUM($AE$2:AE1955))</f>
        <v/>
      </c>
    </row>
    <row r="1956" spans="14:32" x14ac:dyDescent="0.35">
      <c r="N1956" s="134" t="str">
        <f t="shared" si="581"/>
        <v/>
      </c>
      <c r="O1956" s="82" t="str">
        <f t="shared" si="584"/>
        <v/>
      </c>
      <c r="P1956" s="81" t="str">
        <f t="shared" si="582"/>
        <v/>
      </c>
      <c r="Q1956" s="81" t="str">
        <f t="shared" si="585"/>
        <v/>
      </c>
      <c r="R1956" s="135" t="str">
        <f t="shared" ca="1" si="586"/>
        <v/>
      </c>
      <c r="S1956" s="134" t="str">
        <f t="shared" ca="1" si="587"/>
        <v/>
      </c>
      <c r="T1956" s="134" t="str">
        <f ca="1">IF(S1956=Dashboard!$D$12,S1956,"")</f>
        <v/>
      </c>
      <c r="U1956" s="134" t="str">
        <f t="shared" ca="1" si="588"/>
        <v/>
      </c>
      <c r="V1956" s="83" t="str">
        <f ca="1">IF(U1956="","",IFERROR((RANK(U1956,$U$2:$U$2028,1)+COUNTIF($U$2:U1956,U1956))-1,""))</f>
        <v/>
      </c>
      <c r="W1956" s="134" t="str">
        <f t="shared" si="592"/>
        <v/>
      </c>
      <c r="X1956" s="134" t="str">
        <f>IF(W1956="","",IFERROR((RANK(W1956,$W$2:$W$2028,1)+COUNTIF($W$2:W1956,W1956))-1,""))</f>
        <v/>
      </c>
      <c r="Y1956" s="134" t="str">
        <f t="shared" si="589"/>
        <v/>
      </c>
      <c r="Z1956" s="134" t="str">
        <f>IF(Y1956="","",IFERROR((RANK(Y1956,$Y$2:$Y$2028,1)+COUNTIF($Y$2:Y1956,Y1956))-1,""))</f>
        <v/>
      </c>
      <c r="AA1956" s="134" t="str">
        <f t="shared" si="590"/>
        <v/>
      </c>
      <c r="AB1956" s="134" t="str">
        <f>IF(AA1956="","",IFERROR((RANK(AA1956,$AA$2:$AA$2028,1)+COUNTIF($AA$2:AA1956,AA1956))-1,""))</f>
        <v/>
      </c>
      <c r="AC1956" s="134" t="str">
        <f t="shared" si="591"/>
        <v/>
      </c>
      <c r="AD1956" s="134" t="str">
        <f>IF(AC1956="","",IFERROR((RANK(AC1956,$AC$2:$AC$2028,1)+COUNTIF($AC$2:AC1956,AC1956))-1,""))</f>
        <v/>
      </c>
      <c r="AE1956" s="144" t="str">
        <f t="shared" si="583"/>
        <v/>
      </c>
      <c r="AF1956" s="144" t="str">
        <f>IF(AE1956="","",SUM($AE$2:AE1956))</f>
        <v/>
      </c>
    </row>
    <row r="1957" spans="14:32" x14ac:dyDescent="0.35">
      <c r="N1957" s="134" t="str">
        <f t="shared" si="581"/>
        <v/>
      </c>
      <c r="O1957" s="82" t="str">
        <f t="shared" si="584"/>
        <v/>
      </c>
      <c r="P1957" s="81" t="str">
        <f t="shared" si="582"/>
        <v/>
      </c>
      <c r="Q1957" s="81" t="str">
        <f t="shared" si="585"/>
        <v/>
      </c>
      <c r="R1957" s="135" t="str">
        <f t="shared" ca="1" si="586"/>
        <v/>
      </c>
      <c r="S1957" s="134" t="str">
        <f t="shared" ca="1" si="587"/>
        <v/>
      </c>
      <c r="T1957" s="134" t="str">
        <f ca="1">IF(S1957=Dashboard!$D$12,S1957,"")</f>
        <v/>
      </c>
      <c r="U1957" s="134" t="str">
        <f t="shared" ca="1" si="588"/>
        <v/>
      </c>
      <c r="V1957" s="83" t="str">
        <f ca="1">IF(U1957="","",IFERROR((RANK(U1957,$U$2:$U$2028,1)+COUNTIF($U$2:U1957,U1957))-1,""))</f>
        <v/>
      </c>
      <c r="W1957" s="134" t="str">
        <f t="shared" si="592"/>
        <v/>
      </c>
      <c r="X1957" s="134" t="str">
        <f>IF(W1957="","",IFERROR((RANK(W1957,$W$2:$W$2028,1)+COUNTIF($W$2:W1957,W1957))-1,""))</f>
        <v/>
      </c>
      <c r="Y1957" s="134" t="str">
        <f t="shared" si="589"/>
        <v/>
      </c>
      <c r="Z1957" s="134" t="str">
        <f>IF(Y1957="","",IFERROR((RANK(Y1957,$Y$2:$Y$2028,1)+COUNTIF($Y$2:Y1957,Y1957))-1,""))</f>
        <v/>
      </c>
      <c r="AA1957" s="134" t="str">
        <f t="shared" si="590"/>
        <v/>
      </c>
      <c r="AB1957" s="134" t="str">
        <f>IF(AA1957="","",IFERROR((RANK(AA1957,$AA$2:$AA$2028,1)+COUNTIF($AA$2:AA1957,AA1957))-1,""))</f>
        <v/>
      </c>
      <c r="AC1957" s="134" t="str">
        <f t="shared" si="591"/>
        <v/>
      </c>
      <c r="AD1957" s="134" t="str">
        <f>IF(AC1957="","",IFERROR((RANK(AC1957,$AC$2:$AC$2028,1)+COUNTIF($AC$2:AC1957,AC1957))-1,""))</f>
        <v/>
      </c>
      <c r="AE1957" s="144" t="str">
        <f t="shared" si="583"/>
        <v/>
      </c>
      <c r="AF1957" s="144" t="str">
        <f>IF(AE1957="","",SUM($AE$2:AE1957))</f>
        <v/>
      </c>
    </row>
    <row r="1958" spans="14:32" x14ac:dyDescent="0.35">
      <c r="N1958" s="134" t="str">
        <f t="shared" si="581"/>
        <v/>
      </c>
      <c r="O1958" s="82" t="str">
        <f t="shared" si="584"/>
        <v/>
      </c>
      <c r="P1958" s="81" t="str">
        <f t="shared" si="582"/>
        <v/>
      </c>
      <c r="Q1958" s="81" t="str">
        <f t="shared" si="585"/>
        <v/>
      </c>
      <c r="R1958" s="135" t="str">
        <f t="shared" ca="1" si="586"/>
        <v/>
      </c>
      <c r="S1958" s="134" t="str">
        <f t="shared" ca="1" si="587"/>
        <v/>
      </c>
      <c r="T1958" s="134" t="str">
        <f ca="1">IF(S1958=Dashboard!$D$12,S1958,"")</f>
        <v/>
      </c>
      <c r="U1958" s="134" t="str">
        <f t="shared" ca="1" si="588"/>
        <v/>
      </c>
      <c r="V1958" s="83" t="str">
        <f ca="1">IF(U1958="","",IFERROR((RANK(U1958,$U$2:$U$2028,1)+COUNTIF($U$2:U1958,U1958))-1,""))</f>
        <v/>
      </c>
      <c r="W1958" s="134" t="str">
        <f t="shared" si="592"/>
        <v/>
      </c>
      <c r="X1958" s="134" t="str">
        <f>IF(W1958="","",IFERROR((RANK(W1958,$W$2:$W$2028,1)+COUNTIF($W$2:W1958,W1958))-1,""))</f>
        <v/>
      </c>
      <c r="Y1958" s="134" t="str">
        <f t="shared" si="589"/>
        <v/>
      </c>
      <c r="Z1958" s="134" t="str">
        <f>IF(Y1958="","",IFERROR((RANK(Y1958,$Y$2:$Y$2028,1)+COUNTIF($Y$2:Y1958,Y1958))-1,""))</f>
        <v/>
      </c>
      <c r="AA1958" s="134" t="str">
        <f t="shared" si="590"/>
        <v/>
      </c>
      <c r="AB1958" s="134" t="str">
        <f>IF(AA1958="","",IFERROR((RANK(AA1958,$AA$2:$AA$2028,1)+COUNTIF($AA$2:AA1958,AA1958))-1,""))</f>
        <v/>
      </c>
      <c r="AC1958" s="134" t="str">
        <f t="shared" si="591"/>
        <v/>
      </c>
      <c r="AD1958" s="134" t="str">
        <f>IF(AC1958="","",IFERROR((RANK(AC1958,$AC$2:$AC$2028,1)+COUNTIF($AC$2:AC1958,AC1958))-1,""))</f>
        <v/>
      </c>
      <c r="AE1958" s="144" t="str">
        <f t="shared" si="583"/>
        <v/>
      </c>
      <c r="AF1958" s="144" t="str">
        <f>IF(AE1958="","",SUM($AE$2:AE1958))</f>
        <v/>
      </c>
    </row>
    <row r="1959" spans="14:32" x14ac:dyDescent="0.35">
      <c r="N1959" s="134" t="str">
        <f t="shared" si="581"/>
        <v/>
      </c>
      <c r="O1959" s="82" t="str">
        <f t="shared" si="584"/>
        <v/>
      </c>
      <c r="P1959" s="81" t="str">
        <f t="shared" si="582"/>
        <v/>
      </c>
      <c r="Q1959" s="81" t="str">
        <f t="shared" si="585"/>
        <v/>
      </c>
      <c r="R1959" s="135" t="str">
        <f t="shared" ca="1" si="586"/>
        <v/>
      </c>
      <c r="S1959" s="134" t="str">
        <f t="shared" ca="1" si="587"/>
        <v/>
      </c>
      <c r="T1959" s="134" t="str">
        <f ca="1">IF(S1959=Dashboard!$D$12,S1959,"")</f>
        <v/>
      </c>
      <c r="U1959" s="134" t="str">
        <f t="shared" ca="1" si="588"/>
        <v/>
      </c>
      <c r="V1959" s="83" t="str">
        <f ca="1">IF(U1959="","",IFERROR((RANK(U1959,$U$2:$U$2028,1)+COUNTIF($U$2:U1959,U1959))-1,""))</f>
        <v/>
      </c>
      <c r="W1959" s="134" t="str">
        <f t="shared" si="592"/>
        <v/>
      </c>
      <c r="X1959" s="134" t="str">
        <f>IF(W1959="","",IFERROR((RANK(W1959,$W$2:$W$2028,1)+COUNTIF($W$2:W1959,W1959))-1,""))</f>
        <v/>
      </c>
      <c r="Y1959" s="134" t="str">
        <f t="shared" si="589"/>
        <v/>
      </c>
      <c r="Z1959" s="134" t="str">
        <f>IF(Y1959="","",IFERROR((RANK(Y1959,$Y$2:$Y$2028,1)+COUNTIF($Y$2:Y1959,Y1959))-1,""))</f>
        <v/>
      </c>
      <c r="AA1959" s="134" t="str">
        <f t="shared" si="590"/>
        <v/>
      </c>
      <c r="AB1959" s="134" t="str">
        <f>IF(AA1959="","",IFERROR((RANK(AA1959,$AA$2:$AA$2028,1)+COUNTIF($AA$2:AA1959,AA1959))-1,""))</f>
        <v/>
      </c>
      <c r="AC1959" s="134" t="str">
        <f t="shared" si="591"/>
        <v/>
      </c>
      <c r="AD1959" s="134" t="str">
        <f>IF(AC1959="","",IFERROR((RANK(AC1959,$AC$2:$AC$2028,1)+COUNTIF($AC$2:AC1959,AC1959))-1,""))</f>
        <v/>
      </c>
      <c r="AE1959" s="144" t="str">
        <f t="shared" si="583"/>
        <v/>
      </c>
      <c r="AF1959" s="144" t="str">
        <f>IF(AE1959="","",SUM($AE$2:AE1959))</f>
        <v/>
      </c>
    </row>
    <row r="1960" spans="14:32" x14ac:dyDescent="0.35">
      <c r="N1960" s="134" t="str">
        <f t="shared" si="581"/>
        <v/>
      </c>
      <c r="O1960" s="82" t="str">
        <f t="shared" si="584"/>
        <v/>
      </c>
      <c r="P1960" s="81" t="str">
        <f t="shared" si="582"/>
        <v/>
      </c>
      <c r="Q1960" s="81" t="str">
        <f t="shared" si="585"/>
        <v/>
      </c>
      <c r="R1960" s="135" t="str">
        <f t="shared" ca="1" si="586"/>
        <v/>
      </c>
      <c r="S1960" s="134" t="str">
        <f t="shared" ca="1" si="587"/>
        <v/>
      </c>
      <c r="T1960" s="134" t="str">
        <f ca="1">IF(S1960=Dashboard!$D$12,S1960,"")</f>
        <v/>
      </c>
      <c r="U1960" s="134" t="str">
        <f t="shared" ca="1" si="588"/>
        <v/>
      </c>
      <c r="V1960" s="83" t="str">
        <f ca="1">IF(U1960="","",IFERROR((RANK(U1960,$U$2:$U$2028,1)+COUNTIF($U$2:U1960,U1960))-1,""))</f>
        <v/>
      </c>
      <c r="W1960" s="134" t="str">
        <f t="shared" si="592"/>
        <v/>
      </c>
      <c r="X1960" s="134" t="str">
        <f>IF(W1960="","",IFERROR((RANK(W1960,$W$2:$W$2028,1)+COUNTIF($W$2:W1960,W1960))-1,""))</f>
        <v/>
      </c>
      <c r="Y1960" s="134" t="str">
        <f t="shared" si="589"/>
        <v/>
      </c>
      <c r="Z1960" s="134" t="str">
        <f>IF(Y1960="","",IFERROR((RANK(Y1960,$Y$2:$Y$2028,1)+COUNTIF($Y$2:Y1960,Y1960))-1,""))</f>
        <v/>
      </c>
      <c r="AA1960" s="134" t="str">
        <f t="shared" si="590"/>
        <v/>
      </c>
      <c r="AB1960" s="134" t="str">
        <f>IF(AA1960="","",IFERROR((RANK(AA1960,$AA$2:$AA$2028,1)+COUNTIF($AA$2:AA1960,AA1960))-1,""))</f>
        <v/>
      </c>
      <c r="AC1960" s="134" t="str">
        <f t="shared" si="591"/>
        <v/>
      </c>
      <c r="AD1960" s="134" t="str">
        <f>IF(AC1960="","",IFERROR((RANK(AC1960,$AC$2:$AC$2028,1)+COUNTIF($AC$2:AC1960,AC1960))-1,""))</f>
        <v/>
      </c>
      <c r="AE1960" s="144" t="str">
        <f t="shared" si="583"/>
        <v/>
      </c>
      <c r="AF1960" s="144" t="str">
        <f>IF(AE1960="","",SUM($AE$2:AE1960))</f>
        <v/>
      </c>
    </row>
    <row r="1961" spans="14:32" x14ac:dyDescent="0.35">
      <c r="N1961" s="134" t="str">
        <f t="shared" si="581"/>
        <v/>
      </c>
      <c r="O1961" s="82" t="str">
        <f t="shared" si="584"/>
        <v/>
      </c>
      <c r="P1961" s="81" t="str">
        <f t="shared" si="582"/>
        <v/>
      </c>
      <c r="Q1961" s="81" t="str">
        <f t="shared" si="585"/>
        <v/>
      </c>
      <c r="R1961" s="135" t="str">
        <f t="shared" ca="1" si="586"/>
        <v/>
      </c>
      <c r="S1961" s="134" t="str">
        <f t="shared" ca="1" si="587"/>
        <v/>
      </c>
      <c r="T1961" s="134" t="str">
        <f ca="1">IF(S1961=Dashboard!$D$12,S1961,"")</f>
        <v/>
      </c>
      <c r="U1961" s="134" t="str">
        <f t="shared" ca="1" si="588"/>
        <v/>
      </c>
      <c r="V1961" s="83" t="str">
        <f ca="1">IF(U1961="","",IFERROR((RANK(U1961,$U$2:$U$2028,1)+COUNTIF($U$2:U1961,U1961))-1,""))</f>
        <v/>
      </c>
      <c r="W1961" s="134" t="str">
        <f t="shared" si="592"/>
        <v/>
      </c>
      <c r="X1961" s="134" t="str">
        <f>IF(W1961="","",IFERROR((RANK(W1961,$W$2:$W$2028,1)+COUNTIF($W$2:W1961,W1961))-1,""))</f>
        <v/>
      </c>
      <c r="Y1961" s="134" t="str">
        <f t="shared" si="589"/>
        <v/>
      </c>
      <c r="Z1961" s="134" t="str">
        <f>IF(Y1961="","",IFERROR((RANK(Y1961,$Y$2:$Y$2028,1)+COUNTIF($Y$2:Y1961,Y1961))-1,""))</f>
        <v/>
      </c>
      <c r="AA1961" s="134" t="str">
        <f t="shared" si="590"/>
        <v/>
      </c>
      <c r="AB1961" s="134" t="str">
        <f>IF(AA1961="","",IFERROR((RANK(AA1961,$AA$2:$AA$2028,1)+COUNTIF($AA$2:AA1961,AA1961))-1,""))</f>
        <v/>
      </c>
      <c r="AC1961" s="134" t="str">
        <f t="shared" si="591"/>
        <v/>
      </c>
      <c r="AD1961" s="134" t="str">
        <f>IF(AC1961="","",IFERROR((RANK(AC1961,$AC$2:$AC$2028,1)+COUNTIF($AC$2:AC1961,AC1961))-1,""))</f>
        <v/>
      </c>
      <c r="AE1961" s="144" t="str">
        <f t="shared" si="583"/>
        <v/>
      </c>
      <c r="AF1961" s="144" t="str">
        <f>IF(AE1961="","",SUM($AE$2:AE1961))</f>
        <v/>
      </c>
    </row>
    <row r="1962" spans="14:32" x14ac:dyDescent="0.35">
      <c r="N1962" s="134" t="str">
        <f t="shared" si="581"/>
        <v/>
      </c>
      <c r="O1962" s="82" t="str">
        <f t="shared" si="584"/>
        <v/>
      </c>
      <c r="P1962" s="81" t="str">
        <f t="shared" si="582"/>
        <v/>
      </c>
      <c r="Q1962" s="81" t="str">
        <f t="shared" si="585"/>
        <v/>
      </c>
      <c r="R1962" s="135" t="str">
        <f t="shared" ca="1" si="586"/>
        <v/>
      </c>
      <c r="S1962" s="134" t="str">
        <f t="shared" ca="1" si="587"/>
        <v/>
      </c>
      <c r="T1962" s="134" t="str">
        <f ca="1">IF(S1962=Dashboard!$D$12,S1962,"")</f>
        <v/>
      </c>
      <c r="U1962" s="134" t="str">
        <f t="shared" ca="1" si="588"/>
        <v/>
      </c>
      <c r="V1962" s="83" t="str">
        <f ca="1">IF(U1962="","",IFERROR((RANK(U1962,$U$2:$U$2028,1)+COUNTIF($U$2:U1962,U1962))-1,""))</f>
        <v/>
      </c>
      <c r="W1962" s="134" t="str">
        <f t="shared" si="592"/>
        <v/>
      </c>
      <c r="X1962" s="134" t="str">
        <f>IF(W1962="","",IFERROR((RANK(W1962,$W$2:$W$2028,1)+COUNTIF($W$2:W1962,W1962))-1,""))</f>
        <v/>
      </c>
      <c r="Y1962" s="134" t="str">
        <f t="shared" si="589"/>
        <v/>
      </c>
      <c r="Z1962" s="134" t="str">
        <f>IF(Y1962="","",IFERROR((RANK(Y1962,$Y$2:$Y$2028,1)+COUNTIF($Y$2:Y1962,Y1962))-1,""))</f>
        <v/>
      </c>
      <c r="AA1962" s="134" t="str">
        <f t="shared" si="590"/>
        <v/>
      </c>
      <c r="AB1962" s="134" t="str">
        <f>IF(AA1962="","",IFERROR((RANK(AA1962,$AA$2:$AA$2028,1)+COUNTIF($AA$2:AA1962,AA1962))-1,""))</f>
        <v/>
      </c>
      <c r="AC1962" s="134" t="str">
        <f t="shared" si="591"/>
        <v/>
      </c>
      <c r="AD1962" s="134" t="str">
        <f>IF(AC1962="","",IFERROR((RANK(AC1962,$AC$2:$AC$2028,1)+COUNTIF($AC$2:AC1962,AC1962))-1,""))</f>
        <v/>
      </c>
      <c r="AE1962" s="144" t="str">
        <f t="shared" si="583"/>
        <v/>
      </c>
      <c r="AF1962" s="144" t="str">
        <f>IF(AE1962="","",SUM($AE$2:AE1962))</f>
        <v/>
      </c>
    </row>
    <row r="1963" spans="14:32" x14ac:dyDescent="0.35">
      <c r="N1963" s="134" t="str">
        <f t="shared" si="581"/>
        <v/>
      </c>
      <c r="O1963" s="82" t="str">
        <f t="shared" si="584"/>
        <v/>
      </c>
      <c r="P1963" s="81" t="str">
        <f t="shared" si="582"/>
        <v/>
      </c>
      <c r="Q1963" s="81" t="str">
        <f t="shared" si="585"/>
        <v/>
      </c>
      <c r="R1963" s="135" t="str">
        <f t="shared" ca="1" si="586"/>
        <v/>
      </c>
      <c r="S1963" s="134" t="str">
        <f t="shared" ca="1" si="587"/>
        <v/>
      </c>
      <c r="T1963" s="134" t="str">
        <f ca="1">IF(S1963=Dashboard!$D$12,S1963,"")</f>
        <v/>
      </c>
      <c r="U1963" s="134" t="str">
        <f t="shared" ca="1" si="588"/>
        <v/>
      </c>
      <c r="V1963" s="83" t="str">
        <f ca="1">IF(U1963="","",IFERROR((RANK(U1963,$U$2:$U$2028,1)+COUNTIF($U$2:U1963,U1963))-1,""))</f>
        <v/>
      </c>
      <c r="W1963" s="134" t="str">
        <f t="shared" si="592"/>
        <v/>
      </c>
      <c r="X1963" s="134" t="str">
        <f>IF(W1963="","",IFERROR((RANK(W1963,$W$2:$W$2028,1)+COUNTIF($W$2:W1963,W1963))-1,""))</f>
        <v/>
      </c>
      <c r="Y1963" s="134" t="str">
        <f t="shared" si="589"/>
        <v/>
      </c>
      <c r="Z1963" s="134" t="str">
        <f>IF(Y1963="","",IFERROR((RANK(Y1963,$Y$2:$Y$2028,1)+COUNTIF($Y$2:Y1963,Y1963))-1,""))</f>
        <v/>
      </c>
      <c r="AA1963" s="134" t="str">
        <f t="shared" si="590"/>
        <v/>
      </c>
      <c r="AB1963" s="134" t="str">
        <f>IF(AA1963="","",IFERROR((RANK(AA1963,$AA$2:$AA$2028,1)+COUNTIF($AA$2:AA1963,AA1963))-1,""))</f>
        <v/>
      </c>
      <c r="AC1963" s="134" t="str">
        <f t="shared" si="591"/>
        <v/>
      </c>
      <c r="AD1963" s="134" t="str">
        <f>IF(AC1963="","",IFERROR((RANK(AC1963,$AC$2:$AC$2028,1)+COUNTIF($AC$2:AC1963,AC1963))-1,""))</f>
        <v/>
      </c>
      <c r="AE1963" s="144" t="str">
        <f t="shared" si="583"/>
        <v/>
      </c>
      <c r="AF1963" s="144" t="str">
        <f>IF(AE1963="","",SUM($AE$2:AE1963))</f>
        <v/>
      </c>
    </row>
    <row r="1964" spans="14:32" x14ac:dyDescent="0.35">
      <c r="N1964" s="134" t="str">
        <f t="shared" si="581"/>
        <v/>
      </c>
      <c r="O1964" s="82" t="str">
        <f t="shared" si="584"/>
        <v/>
      </c>
      <c r="P1964" s="81" t="str">
        <f t="shared" si="582"/>
        <v/>
      </c>
      <c r="Q1964" s="81" t="str">
        <f t="shared" si="585"/>
        <v/>
      </c>
      <c r="R1964" s="135" t="str">
        <f t="shared" ca="1" si="586"/>
        <v/>
      </c>
      <c r="S1964" s="134" t="str">
        <f t="shared" ca="1" si="587"/>
        <v/>
      </c>
      <c r="T1964" s="134" t="str">
        <f ca="1">IF(S1964=Dashboard!$D$12,S1964,"")</f>
        <v/>
      </c>
      <c r="U1964" s="134" t="str">
        <f t="shared" ca="1" si="588"/>
        <v/>
      </c>
      <c r="V1964" s="83" t="str">
        <f ca="1">IF(U1964="","",IFERROR((RANK(U1964,$U$2:$U$2028,1)+COUNTIF($U$2:U1964,U1964))-1,""))</f>
        <v/>
      </c>
      <c r="W1964" s="134" t="str">
        <f t="shared" si="592"/>
        <v/>
      </c>
      <c r="X1964" s="134" t="str">
        <f>IF(W1964="","",IFERROR((RANK(W1964,$W$2:$W$2028,1)+COUNTIF($W$2:W1964,W1964))-1,""))</f>
        <v/>
      </c>
      <c r="Y1964" s="134" t="str">
        <f t="shared" si="589"/>
        <v/>
      </c>
      <c r="Z1964" s="134" t="str">
        <f>IF(Y1964="","",IFERROR((RANK(Y1964,$Y$2:$Y$2028,1)+COUNTIF($Y$2:Y1964,Y1964))-1,""))</f>
        <v/>
      </c>
      <c r="AA1964" s="134" t="str">
        <f t="shared" si="590"/>
        <v/>
      </c>
      <c r="AB1964" s="134" t="str">
        <f>IF(AA1964="","",IFERROR((RANK(AA1964,$AA$2:$AA$2028,1)+COUNTIF($AA$2:AA1964,AA1964))-1,""))</f>
        <v/>
      </c>
      <c r="AC1964" s="134" t="str">
        <f t="shared" si="591"/>
        <v/>
      </c>
      <c r="AD1964" s="134" t="str">
        <f>IF(AC1964="","",IFERROR((RANK(AC1964,$AC$2:$AC$2028,1)+COUNTIF($AC$2:AC1964,AC1964))-1,""))</f>
        <v/>
      </c>
      <c r="AE1964" s="144" t="str">
        <f t="shared" si="583"/>
        <v/>
      </c>
      <c r="AF1964" s="144" t="str">
        <f>IF(AE1964="","",SUM($AE$2:AE1964))</f>
        <v/>
      </c>
    </row>
    <row r="1965" spans="14:32" x14ac:dyDescent="0.35">
      <c r="N1965" s="134" t="str">
        <f t="shared" si="581"/>
        <v/>
      </c>
      <c r="O1965" s="82" t="str">
        <f t="shared" si="584"/>
        <v/>
      </c>
      <c r="P1965" s="81" t="str">
        <f t="shared" si="582"/>
        <v/>
      </c>
      <c r="Q1965" s="81" t="str">
        <f t="shared" si="585"/>
        <v/>
      </c>
      <c r="R1965" s="135" t="str">
        <f t="shared" ca="1" si="586"/>
        <v/>
      </c>
      <c r="S1965" s="134" t="str">
        <f t="shared" ca="1" si="587"/>
        <v/>
      </c>
      <c r="T1965" s="134" t="str">
        <f ca="1">IF(S1965=Dashboard!$D$12,S1965,"")</f>
        <v/>
      </c>
      <c r="U1965" s="134" t="str">
        <f t="shared" ca="1" si="588"/>
        <v/>
      </c>
      <c r="V1965" s="83" t="str">
        <f ca="1">IF(U1965="","",IFERROR((RANK(U1965,$U$2:$U$2028,1)+COUNTIF($U$2:U1965,U1965))-1,""))</f>
        <v/>
      </c>
      <c r="W1965" s="134" t="str">
        <f t="shared" si="592"/>
        <v/>
      </c>
      <c r="X1965" s="134" t="str">
        <f>IF(W1965="","",IFERROR((RANK(W1965,$W$2:$W$2028,1)+COUNTIF($W$2:W1965,W1965))-1,""))</f>
        <v/>
      </c>
      <c r="Y1965" s="134" t="str">
        <f t="shared" si="589"/>
        <v/>
      </c>
      <c r="Z1965" s="134" t="str">
        <f>IF(Y1965="","",IFERROR((RANK(Y1965,$Y$2:$Y$2028,1)+COUNTIF($Y$2:Y1965,Y1965))-1,""))</f>
        <v/>
      </c>
      <c r="AA1965" s="134" t="str">
        <f t="shared" si="590"/>
        <v/>
      </c>
      <c r="AB1965" s="134" t="str">
        <f>IF(AA1965="","",IFERROR((RANK(AA1965,$AA$2:$AA$2028,1)+COUNTIF($AA$2:AA1965,AA1965))-1,""))</f>
        <v/>
      </c>
      <c r="AC1965" s="134" t="str">
        <f t="shared" si="591"/>
        <v/>
      </c>
      <c r="AD1965" s="134" t="str">
        <f>IF(AC1965="","",IFERROR((RANK(AC1965,$AC$2:$AC$2028,1)+COUNTIF($AC$2:AC1965,AC1965))-1,""))</f>
        <v/>
      </c>
      <c r="AE1965" s="144" t="str">
        <f t="shared" si="583"/>
        <v/>
      </c>
      <c r="AF1965" s="144" t="str">
        <f>IF(AE1965="","",SUM($AE$2:AE1965))</f>
        <v/>
      </c>
    </row>
    <row r="1966" spans="14:32" x14ac:dyDescent="0.35">
      <c r="N1966" s="134" t="str">
        <f t="shared" si="581"/>
        <v/>
      </c>
      <c r="O1966" s="82" t="str">
        <f t="shared" si="584"/>
        <v/>
      </c>
      <c r="P1966" s="81" t="str">
        <f t="shared" si="582"/>
        <v/>
      </c>
      <c r="Q1966" s="81" t="str">
        <f t="shared" si="585"/>
        <v/>
      </c>
      <c r="R1966" s="135" t="str">
        <f t="shared" ca="1" si="586"/>
        <v/>
      </c>
      <c r="S1966" s="134" t="str">
        <f t="shared" ca="1" si="587"/>
        <v/>
      </c>
      <c r="T1966" s="134" t="str">
        <f ca="1">IF(S1966=Dashboard!$D$12,S1966,"")</f>
        <v/>
      </c>
      <c r="U1966" s="134" t="str">
        <f t="shared" ca="1" si="588"/>
        <v/>
      </c>
      <c r="V1966" s="83" t="str">
        <f ca="1">IF(U1966="","",IFERROR((RANK(U1966,$U$2:$U$2028,1)+COUNTIF($U$2:U1966,U1966))-1,""))</f>
        <v/>
      </c>
      <c r="W1966" s="134" t="str">
        <f t="shared" si="592"/>
        <v/>
      </c>
      <c r="X1966" s="134" t="str">
        <f>IF(W1966="","",IFERROR((RANK(W1966,$W$2:$W$2028,1)+COUNTIF($W$2:W1966,W1966))-1,""))</f>
        <v/>
      </c>
      <c r="Y1966" s="134" t="str">
        <f t="shared" si="589"/>
        <v/>
      </c>
      <c r="Z1966" s="134" t="str">
        <f>IF(Y1966="","",IFERROR((RANK(Y1966,$Y$2:$Y$2028,1)+COUNTIF($Y$2:Y1966,Y1966))-1,""))</f>
        <v/>
      </c>
      <c r="AA1966" s="134" t="str">
        <f t="shared" si="590"/>
        <v/>
      </c>
      <c r="AB1966" s="134" t="str">
        <f>IF(AA1966="","",IFERROR((RANK(AA1966,$AA$2:$AA$2028,1)+COUNTIF($AA$2:AA1966,AA1966))-1,""))</f>
        <v/>
      </c>
      <c r="AC1966" s="134" t="str">
        <f t="shared" si="591"/>
        <v/>
      </c>
      <c r="AD1966" s="134" t="str">
        <f>IF(AC1966="","",IFERROR((RANK(AC1966,$AC$2:$AC$2028,1)+COUNTIF($AC$2:AC1966,AC1966))-1,""))</f>
        <v/>
      </c>
      <c r="AE1966" s="144" t="str">
        <f t="shared" si="583"/>
        <v/>
      </c>
      <c r="AF1966" s="144" t="str">
        <f>IF(AE1966="","",SUM($AE$2:AE1966))</f>
        <v/>
      </c>
    </row>
    <row r="1967" spans="14:32" x14ac:dyDescent="0.35">
      <c r="N1967" s="134" t="str">
        <f t="shared" si="581"/>
        <v/>
      </c>
      <c r="O1967" s="82" t="str">
        <f t="shared" si="584"/>
        <v/>
      </c>
      <c r="P1967" s="81" t="str">
        <f t="shared" si="582"/>
        <v/>
      </c>
      <c r="Q1967" s="81" t="str">
        <f t="shared" si="585"/>
        <v/>
      </c>
      <c r="R1967" s="135" t="str">
        <f t="shared" ca="1" si="586"/>
        <v/>
      </c>
      <c r="S1967" s="134" t="str">
        <f t="shared" ca="1" si="587"/>
        <v/>
      </c>
      <c r="T1967" s="134" t="str">
        <f ca="1">IF(S1967=Dashboard!$D$12,S1967,"")</f>
        <v/>
      </c>
      <c r="U1967" s="134" t="str">
        <f t="shared" ca="1" si="588"/>
        <v/>
      </c>
      <c r="V1967" s="83" t="str">
        <f ca="1">IF(U1967="","",IFERROR((RANK(U1967,$U$2:$U$2028,1)+COUNTIF($U$2:U1967,U1967))-1,""))</f>
        <v/>
      </c>
      <c r="W1967" s="134" t="str">
        <f t="shared" si="592"/>
        <v/>
      </c>
      <c r="X1967" s="134" t="str">
        <f>IF(W1967="","",IFERROR((RANK(W1967,$W$2:$W$2028,1)+COUNTIF($W$2:W1967,W1967))-1,""))</f>
        <v/>
      </c>
      <c r="Y1967" s="134" t="str">
        <f t="shared" si="589"/>
        <v/>
      </c>
      <c r="Z1967" s="134" t="str">
        <f>IF(Y1967="","",IFERROR((RANK(Y1967,$Y$2:$Y$2028,1)+COUNTIF($Y$2:Y1967,Y1967))-1,""))</f>
        <v/>
      </c>
      <c r="AA1967" s="134" t="str">
        <f t="shared" si="590"/>
        <v/>
      </c>
      <c r="AB1967" s="134" t="str">
        <f>IF(AA1967="","",IFERROR((RANK(AA1967,$AA$2:$AA$2028,1)+COUNTIF($AA$2:AA1967,AA1967))-1,""))</f>
        <v/>
      </c>
      <c r="AC1967" s="134" t="str">
        <f t="shared" si="591"/>
        <v/>
      </c>
      <c r="AD1967" s="134" t="str">
        <f>IF(AC1967="","",IFERROR((RANK(AC1967,$AC$2:$AC$2028,1)+COUNTIF($AC$2:AC1967,AC1967))-1,""))</f>
        <v/>
      </c>
      <c r="AE1967" s="144" t="str">
        <f t="shared" si="583"/>
        <v/>
      </c>
      <c r="AF1967" s="144" t="str">
        <f>IF(AE1967="","",SUM($AE$2:AE1967))</f>
        <v/>
      </c>
    </row>
    <row r="1968" spans="14:32" x14ac:dyDescent="0.35">
      <c r="N1968" s="134" t="str">
        <f t="shared" si="581"/>
        <v/>
      </c>
      <c r="O1968" s="82" t="str">
        <f t="shared" si="584"/>
        <v/>
      </c>
      <c r="P1968" s="81" t="str">
        <f t="shared" si="582"/>
        <v/>
      </c>
      <c r="Q1968" s="81" t="str">
        <f t="shared" si="585"/>
        <v/>
      </c>
      <c r="R1968" s="135" t="str">
        <f t="shared" ca="1" si="586"/>
        <v/>
      </c>
      <c r="S1968" s="134" t="str">
        <f t="shared" ca="1" si="587"/>
        <v/>
      </c>
      <c r="T1968" s="134" t="str">
        <f ca="1">IF(S1968=Dashboard!$D$12,S1968,"")</f>
        <v/>
      </c>
      <c r="U1968" s="134" t="str">
        <f t="shared" ca="1" si="588"/>
        <v/>
      </c>
      <c r="V1968" s="83" t="str">
        <f ca="1">IF(U1968="","",IFERROR((RANK(U1968,$U$2:$U$2028,1)+COUNTIF($U$2:U1968,U1968))-1,""))</f>
        <v/>
      </c>
      <c r="W1968" s="134" t="str">
        <f t="shared" si="592"/>
        <v/>
      </c>
      <c r="X1968" s="134" t="str">
        <f>IF(W1968="","",IFERROR((RANK(W1968,$W$2:$W$2028,1)+COUNTIF($W$2:W1968,W1968))-1,""))</f>
        <v/>
      </c>
      <c r="Y1968" s="134" t="str">
        <f t="shared" si="589"/>
        <v/>
      </c>
      <c r="Z1968" s="134" t="str">
        <f>IF(Y1968="","",IFERROR((RANK(Y1968,$Y$2:$Y$2028,1)+COUNTIF($Y$2:Y1968,Y1968))-1,""))</f>
        <v/>
      </c>
      <c r="AA1968" s="134" t="str">
        <f t="shared" si="590"/>
        <v/>
      </c>
      <c r="AB1968" s="134" t="str">
        <f>IF(AA1968="","",IFERROR((RANK(AA1968,$AA$2:$AA$2028,1)+COUNTIF($AA$2:AA1968,AA1968))-1,""))</f>
        <v/>
      </c>
      <c r="AC1968" s="134" t="str">
        <f t="shared" si="591"/>
        <v/>
      </c>
      <c r="AD1968" s="134" t="str">
        <f>IF(AC1968="","",IFERROR((RANK(AC1968,$AC$2:$AC$2028,1)+COUNTIF($AC$2:AC1968,AC1968))-1,""))</f>
        <v/>
      </c>
      <c r="AE1968" s="144" t="str">
        <f t="shared" si="583"/>
        <v/>
      </c>
      <c r="AF1968" s="144" t="str">
        <f>IF(AE1968="","",SUM($AE$2:AE1968))</f>
        <v/>
      </c>
    </row>
    <row r="1969" spans="14:32" x14ac:dyDescent="0.35">
      <c r="N1969" s="134" t="str">
        <f t="shared" si="581"/>
        <v/>
      </c>
      <c r="O1969" s="82" t="str">
        <f t="shared" si="584"/>
        <v/>
      </c>
      <c r="P1969" s="81" t="str">
        <f t="shared" si="582"/>
        <v/>
      </c>
      <c r="Q1969" s="81" t="str">
        <f t="shared" si="585"/>
        <v/>
      </c>
      <c r="R1969" s="135" t="str">
        <f t="shared" ca="1" si="586"/>
        <v/>
      </c>
      <c r="S1969" s="134" t="str">
        <f t="shared" ca="1" si="587"/>
        <v/>
      </c>
      <c r="T1969" s="134" t="str">
        <f ca="1">IF(S1969=Dashboard!$D$12,S1969,"")</f>
        <v/>
      </c>
      <c r="U1969" s="134" t="str">
        <f t="shared" ca="1" si="588"/>
        <v/>
      </c>
      <c r="V1969" s="83" t="str">
        <f ca="1">IF(U1969="","",IFERROR((RANK(U1969,$U$2:$U$2028,1)+COUNTIF($U$2:U1969,U1969))-1,""))</f>
        <v/>
      </c>
      <c r="W1969" s="134" t="str">
        <f t="shared" si="592"/>
        <v/>
      </c>
      <c r="X1969" s="134" t="str">
        <f>IF(W1969="","",IFERROR((RANK(W1969,$W$2:$W$2028,1)+COUNTIF($W$2:W1969,W1969))-1,""))</f>
        <v/>
      </c>
      <c r="Y1969" s="134" t="str">
        <f t="shared" si="589"/>
        <v/>
      </c>
      <c r="Z1969" s="134" t="str">
        <f>IF(Y1969="","",IFERROR((RANK(Y1969,$Y$2:$Y$2028,1)+COUNTIF($Y$2:Y1969,Y1969))-1,""))</f>
        <v/>
      </c>
      <c r="AA1969" s="134" t="str">
        <f t="shared" si="590"/>
        <v/>
      </c>
      <c r="AB1969" s="134" t="str">
        <f>IF(AA1969="","",IFERROR((RANK(AA1969,$AA$2:$AA$2028,1)+COUNTIF($AA$2:AA1969,AA1969))-1,""))</f>
        <v/>
      </c>
      <c r="AC1969" s="134" t="str">
        <f t="shared" si="591"/>
        <v/>
      </c>
      <c r="AD1969" s="134" t="str">
        <f>IF(AC1969="","",IFERROR((RANK(AC1969,$AC$2:$AC$2028,1)+COUNTIF($AC$2:AC1969,AC1969))-1,""))</f>
        <v/>
      </c>
      <c r="AE1969" s="144" t="str">
        <f t="shared" si="583"/>
        <v/>
      </c>
      <c r="AF1969" s="144" t="str">
        <f>IF(AE1969="","",SUM($AE$2:AE1969))</f>
        <v/>
      </c>
    </row>
    <row r="1970" spans="14:32" x14ac:dyDescent="0.35">
      <c r="N1970" s="134" t="str">
        <f t="shared" si="581"/>
        <v/>
      </c>
      <c r="O1970" s="82" t="str">
        <f t="shared" si="584"/>
        <v/>
      </c>
      <c r="P1970" s="81" t="str">
        <f t="shared" si="582"/>
        <v/>
      </c>
      <c r="Q1970" s="81" t="str">
        <f t="shared" si="585"/>
        <v/>
      </c>
      <c r="R1970" s="135" t="str">
        <f t="shared" ca="1" si="586"/>
        <v/>
      </c>
      <c r="S1970" s="134" t="str">
        <f t="shared" ca="1" si="587"/>
        <v/>
      </c>
      <c r="T1970" s="134" t="str">
        <f ca="1">IF(S1970=Dashboard!$D$12,S1970,"")</f>
        <v/>
      </c>
      <c r="U1970" s="134" t="str">
        <f t="shared" ca="1" si="588"/>
        <v/>
      </c>
      <c r="V1970" s="83" t="str">
        <f ca="1">IF(U1970="","",IFERROR((RANK(U1970,$U$2:$U$2028,1)+COUNTIF($U$2:U1970,U1970))-1,""))</f>
        <v/>
      </c>
      <c r="W1970" s="134" t="str">
        <f t="shared" si="592"/>
        <v/>
      </c>
      <c r="X1970" s="134" t="str">
        <f>IF(W1970="","",IFERROR((RANK(W1970,$W$2:$W$2028,1)+COUNTIF($W$2:W1970,W1970))-1,""))</f>
        <v/>
      </c>
      <c r="Y1970" s="134" t="str">
        <f t="shared" si="589"/>
        <v/>
      </c>
      <c r="Z1970" s="134" t="str">
        <f>IF(Y1970="","",IFERROR((RANK(Y1970,$Y$2:$Y$2028,1)+COUNTIF($Y$2:Y1970,Y1970))-1,""))</f>
        <v/>
      </c>
      <c r="AA1970" s="134" t="str">
        <f t="shared" si="590"/>
        <v/>
      </c>
      <c r="AB1970" s="134" t="str">
        <f>IF(AA1970="","",IFERROR((RANK(AA1970,$AA$2:$AA$2028,1)+COUNTIF($AA$2:AA1970,AA1970))-1,""))</f>
        <v/>
      </c>
      <c r="AC1970" s="134" t="str">
        <f t="shared" si="591"/>
        <v/>
      </c>
      <c r="AD1970" s="134" t="str">
        <f>IF(AC1970="","",IFERROR((RANK(AC1970,$AC$2:$AC$2028,1)+COUNTIF($AC$2:AC1970,AC1970))-1,""))</f>
        <v/>
      </c>
      <c r="AE1970" s="144" t="str">
        <f t="shared" si="583"/>
        <v/>
      </c>
      <c r="AF1970" s="144" t="str">
        <f>IF(AE1970="","",SUM($AE$2:AE1970))</f>
        <v/>
      </c>
    </row>
    <row r="1971" spans="14:32" x14ac:dyDescent="0.35">
      <c r="N1971" s="134" t="str">
        <f t="shared" si="581"/>
        <v/>
      </c>
      <c r="O1971" s="82" t="str">
        <f t="shared" si="584"/>
        <v/>
      </c>
      <c r="P1971" s="81" t="str">
        <f t="shared" si="582"/>
        <v/>
      </c>
      <c r="Q1971" s="81" t="str">
        <f t="shared" si="585"/>
        <v/>
      </c>
      <c r="R1971" s="135" t="str">
        <f t="shared" ca="1" si="586"/>
        <v/>
      </c>
      <c r="S1971" s="134" t="str">
        <f t="shared" ca="1" si="587"/>
        <v/>
      </c>
      <c r="T1971" s="134" t="str">
        <f ca="1">IF(S1971=Dashboard!$D$12,S1971,"")</f>
        <v/>
      </c>
      <c r="U1971" s="134" t="str">
        <f t="shared" ca="1" si="588"/>
        <v/>
      </c>
      <c r="V1971" s="83" t="str">
        <f ca="1">IF(U1971="","",IFERROR((RANK(U1971,$U$2:$U$2028,1)+COUNTIF($U$2:U1971,U1971))-1,""))</f>
        <v/>
      </c>
      <c r="W1971" s="134" t="str">
        <f t="shared" si="592"/>
        <v/>
      </c>
      <c r="X1971" s="134" t="str">
        <f>IF(W1971="","",IFERROR((RANK(W1971,$W$2:$W$2028,1)+COUNTIF($W$2:W1971,W1971))-1,""))</f>
        <v/>
      </c>
      <c r="Y1971" s="134" t="str">
        <f t="shared" si="589"/>
        <v/>
      </c>
      <c r="Z1971" s="134" t="str">
        <f>IF(Y1971="","",IFERROR((RANK(Y1971,$Y$2:$Y$2028,1)+COUNTIF($Y$2:Y1971,Y1971))-1,""))</f>
        <v/>
      </c>
      <c r="AA1971" s="134" t="str">
        <f t="shared" si="590"/>
        <v/>
      </c>
      <c r="AB1971" s="134" t="str">
        <f>IF(AA1971="","",IFERROR((RANK(AA1971,$AA$2:$AA$2028,1)+COUNTIF($AA$2:AA1971,AA1971))-1,""))</f>
        <v/>
      </c>
      <c r="AC1971" s="134" t="str">
        <f t="shared" si="591"/>
        <v/>
      </c>
      <c r="AD1971" s="134" t="str">
        <f>IF(AC1971="","",IFERROR((RANK(AC1971,$AC$2:$AC$2028,1)+COUNTIF($AC$2:AC1971,AC1971))-1,""))</f>
        <v/>
      </c>
      <c r="AE1971" s="144" t="str">
        <f t="shared" si="583"/>
        <v/>
      </c>
      <c r="AF1971" s="144" t="str">
        <f>IF(AE1971="","",SUM($AE$2:AE1971))</f>
        <v/>
      </c>
    </row>
    <row r="1972" spans="14:32" x14ac:dyDescent="0.35">
      <c r="N1972" s="134" t="str">
        <f t="shared" si="581"/>
        <v/>
      </c>
      <c r="O1972" s="82" t="str">
        <f t="shared" si="584"/>
        <v/>
      </c>
      <c r="P1972" s="81" t="str">
        <f t="shared" si="582"/>
        <v/>
      </c>
      <c r="Q1972" s="81" t="str">
        <f t="shared" si="585"/>
        <v/>
      </c>
      <c r="R1972" s="135" t="str">
        <f t="shared" ca="1" si="586"/>
        <v/>
      </c>
      <c r="S1972" s="134" t="str">
        <f t="shared" ca="1" si="587"/>
        <v/>
      </c>
      <c r="T1972" s="134" t="str">
        <f ca="1">IF(S1972=Dashboard!$D$12,S1972,"")</f>
        <v/>
      </c>
      <c r="U1972" s="134" t="str">
        <f t="shared" ca="1" si="588"/>
        <v/>
      </c>
      <c r="V1972" s="83" t="str">
        <f ca="1">IF(U1972="","",IFERROR((RANK(U1972,$U$2:$U$2028,1)+COUNTIF($U$2:U1972,U1972))-1,""))</f>
        <v/>
      </c>
      <c r="W1972" s="134" t="str">
        <f t="shared" si="592"/>
        <v/>
      </c>
      <c r="X1972" s="134" t="str">
        <f>IF(W1972="","",IFERROR((RANK(W1972,$W$2:$W$2028,1)+COUNTIF($W$2:W1972,W1972))-1,""))</f>
        <v/>
      </c>
      <c r="Y1972" s="134" t="str">
        <f t="shared" si="589"/>
        <v/>
      </c>
      <c r="Z1972" s="134" t="str">
        <f>IF(Y1972="","",IFERROR((RANK(Y1972,$Y$2:$Y$2028,1)+COUNTIF($Y$2:Y1972,Y1972))-1,""))</f>
        <v/>
      </c>
      <c r="AA1972" s="134" t="str">
        <f t="shared" si="590"/>
        <v/>
      </c>
      <c r="AB1972" s="134" t="str">
        <f>IF(AA1972="","",IFERROR((RANK(AA1972,$AA$2:$AA$2028,1)+COUNTIF($AA$2:AA1972,AA1972))-1,""))</f>
        <v/>
      </c>
      <c r="AC1972" s="134" t="str">
        <f t="shared" si="591"/>
        <v/>
      </c>
      <c r="AD1972" s="134" t="str">
        <f>IF(AC1972="","",IFERROR((RANK(AC1972,$AC$2:$AC$2028,1)+COUNTIF($AC$2:AC1972,AC1972))-1,""))</f>
        <v/>
      </c>
      <c r="AE1972" s="144" t="str">
        <f t="shared" si="583"/>
        <v/>
      </c>
      <c r="AF1972" s="144" t="str">
        <f>IF(AE1972="","",SUM($AE$2:AE1972))</f>
        <v/>
      </c>
    </row>
    <row r="1973" spans="14:32" x14ac:dyDescent="0.35">
      <c r="N1973" s="134" t="str">
        <f t="shared" si="581"/>
        <v/>
      </c>
      <c r="O1973" s="82" t="str">
        <f t="shared" si="584"/>
        <v/>
      </c>
      <c r="P1973" s="81" t="str">
        <f t="shared" si="582"/>
        <v/>
      </c>
      <c r="Q1973" s="81" t="str">
        <f t="shared" si="585"/>
        <v/>
      </c>
      <c r="R1973" s="135" t="str">
        <f t="shared" ca="1" si="586"/>
        <v/>
      </c>
      <c r="S1973" s="134" t="str">
        <f t="shared" ca="1" si="587"/>
        <v/>
      </c>
      <c r="T1973" s="134" t="str">
        <f ca="1">IF(S1973=Dashboard!$D$12,S1973,"")</f>
        <v/>
      </c>
      <c r="U1973" s="134" t="str">
        <f t="shared" ca="1" si="588"/>
        <v/>
      </c>
      <c r="V1973" s="83" t="str">
        <f ca="1">IF(U1973="","",IFERROR((RANK(U1973,$U$2:$U$2028,1)+COUNTIF($U$2:U1973,U1973))-1,""))</f>
        <v/>
      </c>
      <c r="W1973" s="134" t="str">
        <f t="shared" si="592"/>
        <v/>
      </c>
      <c r="X1973" s="134" t="str">
        <f>IF(W1973="","",IFERROR((RANK(W1973,$W$2:$W$2028,1)+COUNTIF($W$2:W1973,W1973))-1,""))</f>
        <v/>
      </c>
      <c r="Y1973" s="134" t="str">
        <f t="shared" si="589"/>
        <v/>
      </c>
      <c r="Z1973" s="134" t="str">
        <f>IF(Y1973="","",IFERROR((RANK(Y1973,$Y$2:$Y$2028,1)+COUNTIF($Y$2:Y1973,Y1973))-1,""))</f>
        <v/>
      </c>
      <c r="AA1973" s="134" t="str">
        <f t="shared" si="590"/>
        <v/>
      </c>
      <c r="AB1973" s="134" t="str">
        <f>IF(AA1973="","",IFERROR((RANK(AA1973,$AA$2:$AA$2028,1)+COUNTIF($AA$2:AA1973,AA1973))-1,""))</f>
        <v/>
      </c>
      <c r="AC1973" s="134" t="str">
        <f t="shared" si="591"/>
        <v/>
      </c>
      <c r="AD1973" s="134" t="str">
        <f>IF(AC1973="","",IFERROR((RANK(AC1973,$AC$2:$AC$2028,1)+COUNTIF($AC$2:AC1973,AC1973))-1,""))</f>
        <v/>
      </c>
      <c r="AE1973" s="144" t="str">
        <f t="shared" si="583"/>
        <v/>
      </c>
      <c r="AF1973" s="144" t="str">
        <f>IF(AE1973="","",SUM($AE$2:AE1973))</f>
        <v/>
      </c>
    </row>
    <row r="1974" spans="14:32" x14ac:dyDescent="0.35">
      <c r="N1974" s="134" t="str">
        <f t="shared" si="581"/>
        <v/>
      </c>
      <c r="O1974" s="82" t="str">
        <f t="shared" si="584"/>
        <v/>
      </c>
      <c r="P1974" s="81" t="str">
        <f t="shared" si="582"/>
        <v/>
      </c>
      <c r="Q1974" s="81" t="str">
        <f t="shared" si="585"/>
        <v/>
      </c>
      <c r="R1974" s="135" t="str">
        <f t="shared" ca="1" si="586"/>
        <v/>
      </c>
      <c r="S1974" s="134" t="str">
        <f t="shared" ca="1" si="587"/>
        <v/>
      </c>
      <c r="T1974" s="134" t="str">
        <f ca="1">IF(S1974=Dashboard!$D$12,S1974,"")</f>
        <v/>
      </c>
      <c r="U1974" s="134" t="str">
        <f t="shared" ca="1" si="588"/>
        <v/>
      </c>
      <c r="V1974" s="83" t="str">
        <f ca="1">IF(U1974="","",IFERROR((RANK(U1974,$U$2:$U$2028,1)+COUNTIF($U$2:U1974,U1974))-1,""))</f>
        <v/>
      </c>
      <c r="W1974" s="134" t="str">
        <f t="shared" si="592"/>
        <v/>
      </c>
      <c r="X1974" s="134" t="str">
        <f>IF(W1974="","",IFERROR((RANK(W1974,$W$2:$W$2028,1)+COUNTIF($W$2:W1974,W1974))-1,""))</f>
        <v/>
      </c>
      <c r="Y1974" s="134" t="str">
        <f t="shared" si="589"/>
        <v/>
      </c>
      <c r="Z1974" s="134" t="str">
        <f>IF(Y1974="","",IFERROR((RANK(Y1974,$Y$2:$Y$2028,1)+COUNTIF($Y$2:Y1974,Y1974))-1,""))</f>
        <v/>
      </c>
      <c r="AA1974" s="134" t="str">
        <f t="shared" si="590"/>
        <v/>
      </c>
      <c r="AB1974" s="134" t="str">
        <f>IF(AA1974="","",IFERROR((RANK(AA1974,$AA$2:$AA$2028,1)+COUNTIF($AA$2:AA1974,AA1974))-1,""))</f>
        <v/>
      </c>
      <c r="AC1974" s="134" t="str">
        <f t="shared" si="591"/>
        <v/>
      </c>
      <c r="AD1974" s="134" t="str">
        <f>IF(AC1974="","",IFERROR((RANK(AC1974,$AC$2:$AC$2028,1)+COUNTIF($AC$2:AC1974,AC1974))-1,""))</f>
        <v/>
      </c>
      <c r="AE1974" s="144" t="str">
        <f t="shared" si="583"/>
        <v/>
      </c>
      <c r="AF1974" s="144" t="str">
        <f>IF(AE1974="","",SUM($AE$2:AE1974))</f>
        <v/>
      </c>
    </row>
    <row r="1975" spans="14:32" x14ac:dyDescent="0.35">
      <c r="N1975" s="134" t="str">
        <f t="shared" si="581"/>
        <v/>
      </c>
      <c r="O1975" s="82" t="str">
        <f t="shared" si="584"/>
        <v/>
      </c>
      <c r="P1975" s="81" t="str">
        <f t="shared" si="582"/>
        <v/>
      </c>
      <c r="Q1975" s="81" t="str">
        <f t="shared" si="585"/>
        <v/>
      </c>
      <c r="R1975" s="135" t="str">
        <f t="shared" ca="1" si="586"/>
        <v/>
      </c>
      <c r="S1975" s="134" t="str">
        <f t="shared" ca="1" si="587"/>
        <v/>
      </c>
      <c r="T1975" s="134" t="str">
        <f ca="1">IF(S1975=Dashboard!$D$12,S1975,"")</f>
        <v/>
      </c>
      <c r="U1975" s="134" t="str">
        <f t="shared" ca="1" si="588"/>
        <v/>
      </c>
      <c r="V1975" s="83" t="str">
        <f ca="1">IF(U1975="","",IFERROR((RANK(U1975,$U$2:$U$2028,1)+COUNTIF($U$2:U1975,U1975))-1,""))</f>
        <v/>
      </c>
      <c r="W1975" s="134" t="str">
        <f t="shared" si="592"/>
        <v/>
      </c>
      <c r="X1975" s="134" t="str">
        <f>IF(W1975="","",IFERROR((RANK(W1975,$W$2:$W$2028,1)+COUNTIF($W$2:W1975,W1975))-1,""))</f>
        <v/>
      </c>
      <c r="Y1975" s="134" t="str">
        <f t="shared" si="589"/>
        <v/>
      </c>
      <c r="Z1975" s="134" t="str">
        <f>IF(Y1975="","",IFERROR((RANK(Y1975,$Y$2:$Y$2028,1)+COUNTIF($Y$2:Y1975,Y1975))-1,""))</f>
        <v/>
      </c>
      <c r="AA1975" s="134" t="str">
        <f t="shared" si="590"/>
        <v/>
      </c>
      <c r="AB1975" s="134" t="str">
        <f>IF(AA1975="","",IFERROR((RANK(AA1975,$AA$2:$AA$2028,1)+COUNTIF($AA$2:AA1975,AA1975))-1,""))</f>
        <v/>
      </c>
      <c r="AC1975" s="134" t="str">
        <f t="shared" si="591"/>
        <v/>
      </c>
      <c r="AD1975" s="134" t="str">
        <f>IF(AC1975="","",IFERROR((RANK(AC1975,$AC$2:$AC$2028,1)+COUNTIF($AC$2:AC1975,AC1975))-1,""))</f>
        <v/>
      </c>
      <c r="AE1975" s="144" t="str">
        <f t="shared" si="583"/>
        <v/>
      </c>
      <c r="AF1975" s="144" t="str">
        <f>IF(AE1975="","",SUM($AE$2:AE1975))</f>
        <v/>
      </c>
    </row>
    <row r="1976" spans="14:32" x14ac:dyDescent="0.35">
      <c r="N1976" s="134" t="str">
        <f t="shared" si="581"/>
        <v/>
      </c>
      <c r="O1976" s="82" t="str">
        <f t="shared" si="584"/>
        <v/>
      </c>
      <c r="P1976" s="81" t="str">
        <f t="shared" si="582"/>
        <v/>
      </c>
      <c r="Q1976" s="81" t="str">
        <f t="shared" si="585"/>
        <v/>
      </c>
      <c r="R1976" s="135" t="str">
        <f t="shared" ca="1" si="586"/>
        <v/>
      </c>
      <c r="S1976" s="134" t="str">
        <f t="shared" ca="1" si="587"/>
        <v/>
      </c>
      <c r="T1976" s="134" t="str">
        <f ca="1">IF(S1976=Dashboard!$D$12,S1976,"")</f>
        <v/>
      </c>
      <c r="U1976" s="134" t="str">
        <f t="shared" ca="1" si="588"/>
        <v/>
      </c>
      <c r="V1976" s="83" t="str">
        <f ca="1">IF(U1976="","",IFERROR((RANK(U1976,$U$2:$U$2028,1)+COUNTIF($U$2:U1976,U1976))-1,""))</f>
        <v/>
      </c>
      <c r="W1976" s="134" t="str">
        <f t="shared" si="592"/>
        <v/>
      </c>
      <c r="X1976" s="134" t="str">
        <f>IF(W1976="","",IFERROR((RANK(W1976,$W$2:$W$2028,1)+COUNTIF($W$2:W1976,W1976))-1,""))</f>
        <v/>
      </c>
      <c r="Y1976" s="134" t="str">
        <f t="shared" si="589"/>
        <v/>
      </c>
      <c r="Z1976" s="134" t="str">
        <f>IF(Y1976="","",IFERROR((RANK(Y1976,$Y$2:$Y$2028,1)+COUNTIF($Y$2:Y1976,Y1976))-1,""))</f>
        <v/>
      </c>
      <c r="AA1976" s="134" t="str">
        <f t="shared" si="590"/>
        <v/>
      </c>
      <c r="AB1976" s="134" t="str">
        <f>IF(AA1976="","",IFERROR((RANK(AA1976,$AA$2:$AA$2028,1)+COUNTIF($AA$2:AA1976,AA1976))-1,""))</f>
        <v/>
      </c>
      <c r="AC1976" s="134" t="str">
        <f t="shared" si="591"/>
        <v/>
      </c>
      <c r="AD1976" s="134" t="str">
        <f>IF(AC1976="","",IFERROR((RANK(AC1976,$AC$2:$AC$2028,1)+COUNTIF($AC$2:AC1976,AC1976))-1,""))</f>
        <v/>
      </c>
      <c r="AE1976" s="144" t="str">
        <f t="shared" si="583"/>
        <v/>
      </c>
      <c r="AF1976" s="144" t="str">
        <f>IF(AE1976="","",SUM($AE$2:AE1976))</f>
        <v/>
      </c>
    </row>
    <row r="1977" spans="14:32" x14ac:dyDescent="0.35">
      <c r="N1977" s="134" t="str">
        <f t="shared" si="581"/>
        <v/>
      </c>
      <c r="O1977" s="82" t="str">
        <f t="shared" si="584"/>
        <v/>
      </c>
      <c r="P1977" s="81" t="str">
        <f t="shared" si="582"/>
        <v/>
      </c>
      <c r="Q1977" s="81" t="str">
        <f t="shared" si="585"/>
        <v/>
      </c>
      <c r="R1977" s="135" t="str">
        <f t="shared" ca="1" si="586"/>
        <v/>
      </c>
      <c r="S1977" s="134" t="str">
        <f t="shared" ca="1" si="587"/>
        <v/>
      </c>
      <c r="T1977" s="134" t="str">
        <f ca="1">IF(S1977=Dashboard!$D$12,S1977,"")</f>
        <v/>
      </c>
      <c r="U1977" s="134" t="str">
        <f t="shared" ca="1" si="588"/>
        <v/>
      </c>
      <c r="V1977" s="83" t="str">
        <f ca="1">IF(U1977="","",IFERROR((RANK(U1977,$U$2:$U$2028,1)+COUNTIF($U$2:U1977,U1977))-1,""))</f>
        <v/>
      </c>
      <c r="W1977" s="134" t="str">
        <f t="shared" si="592"/>
        <v/>
      </c>
      <c r="X1977" s="134" t="str">
        <f>IF(W1977="","",IFERROR((RANK(W1977,$W$2:$W$2028,1)+COUNTIF($W$2:W1977,W1977))-1,""))</f>
        <v/>
      </c>
      <c r="Y1977" s="134" t="str">
        <f t="shared" si="589"/>
        <v/>
      </c>
      <c r="Z1977" s="134" t="str">
        <f>IF(Y1977="","",IFERROR((RANK(Y1977,$Y$2:$Y$2028,1)+COUNTIF($Y$2:Y1977,Y1977))-1,""))</f>
        <v/>
      </c>
      <c r="AA1977" s="134" t="str">
        <f t="shared" si="590"/>
        <v/>
      </c>
      <c r="AB1977" s="134" t="str">
        <f>IF(AA1977="","",IFERROR((RANK(AA1977,$AA$2:$AA$2028,1)+COUNTIF($AA$2:AA1977,AA1977))-1,""))</f>
        <v/>
      </c>
      <c r="AC1977" s="134" t="str">
        <f t="shared" si="591"/>
        <v/>
      </c>
      <c r="AD1977" s="134" t="str">
        <f>IF(AC1977="","",IFERROR((RANK(AC1977,$AC$2:$AC$2028,1)+COUNTIF($AC$2:AC1977,AC1977))-1,""))</f>
        <v/>
      </c>
      <c r="AE1977" s="144" t="str">
        <f t="shared" si="583"/>
        <v/>
      </c>
      <c r="AF1977" s="144" t="str">
        <f>IF(AE1977="","",SUM($AE$2:AE1977))</f>
        <v/>
      </c>
    </row>
    <row r="1978" spans="14:32" x14ac:dyDescent="0.35">
      <c r="N1978" s="134" t="str">
        <f t="shared" si="581"/>
        <v/>
      </c>
      <c r="O1978" s="82" t="str">
        <f t="shared" si="584"/>
        <v/>
      </c>
      <c r="P1978" s="81" t="str">
        <f t="shared" si="582"/>
        <v/>
      </c>
      <c r="Q1978" s="81" t="str">
        <f t="shared" si="585"/>
        <v/>
      </c>
      <c r="R1978" s="135" t="str">
        <f t="shared" ca="1" si="586"/>
        <v/>
      </c>
      <c r="S1978" s="134" t="str">
        <f t="shared" ca="1" si="587"/>
        <v/>
      </c>
      <c r="T1978" s="134" t="str">
        <f ca="1">IF(S1978=Dashboard!$D$12,S1978,"")</f>
        <v/>
      </c>
      <c r="U1978" s="134" t="str">
        <f t="shared" ca="1" si="588"/>
        <v/>
      </c>
      <c r="V1978" s="83" t="str">
        <f ca="1">IF(U1978="","",IFERROR((RANK(U1978,$U$2:$U$2028,1)+COUNTIF($U$2:U1978,U1978))-1,""))</f>
        <v/>
      </c>
      <c r="W1978" s="134" t="str">
        <f t="shared" si="592"/>
        <v/>
      </c>
      <c r="X1978" s="134" t="str">
        <f>IF(W1978="","",IFERROR((RANK(W1978,$W$2:$W$2028,1)+COUNTIF($W$2:W1978,W1978))-1,""))</f>
        <v/>
      </c>
      <c r="Y1978" s="134" t="str">
        <f t="shared" si="589"/>
        <v/>
      </c>
      <c r="Z1978" s="134" t="str">
        <f>IF(Y1978="","",IFERROR((RANK(Y1978,$Y$2:$Y$2028,1)+COUNTIF($Y$2:Y1978,Y1978))-1,""))</f>
        <v/>
      </c>
      <c r="AA1978" s="134" t="str">
        <f t="shared" si="590"/>
        <v/>
      </c>
      <c r="AB1978" s="134" t="str">
        <f>IF(AA1978="","",IFERROR((RANK(AA1978,$AA$2:$AA$2028,1)+COUNTIF($AA$2:AA1978,AA1978))-1,""))</f>
        <v/>
      </c>
      <c r="AC1978" s="134" t="str">
        <f t="shared" si="591"/>
        <v/>
      </c>
      <c r="AD1978" s="134" t="str">
        <f>IF(AC1978="","",IFERROR((RANK(AC1978,$AC$2:$AC$2028,1)+COUNTIF($AC$2:AC1978,AC1978))-1,""))</f>
        <v/>
      </c>
      <c r="AE1978" s="144" t="str">
        <f t="shared" si="583"/>
        <v/>
      </c>
      <c r="AF1978" s="144" t="str">
        <f>IF(AE1978="","",SUM($AE$2:AE1978))</f>
        <v/>
      </c>
    </row>
    <row r="1979" spans="14:32" x14ac:dyDescent="0.35">
      <c r="N1979" s="134" t="str">
        <f t="shared" si="581"/>
        <v/>
      </c>
      <c r="O1979" s="82" t="str">
        <f t="shared" si="584"/>
        <v/>
      </c>
      <c r="P1979" s="81" t="str">
        <f t="shared" si="582"/>
        <v/>
      </c>
      <c r="Q1979" s="81" t="str">
        <f t="shared" si="585"/>
        <v/>
      </c>
      <c r="R1979" s="135" t="str">
        <f t="shared" ca="1" si="586"/>
        <v/>
      </c>
      <c r="S1979" s="134" t="str">
        <f t="shared" ca="1" si="587"/>
        <v/>
      </c>
      <c r="T1979" s="134" t="str">
        <f ca="1">IF(S1979=Dashboard!$D$12,S1979,"")</f>
        <v/>
      </c>
      <c r="U1979" s="134" t="str">
        <f t="shared" ca="1" si="588"/>
        <v/>
      </c>
      <c r="V1979" s="83" t="str">
        <f ca="1">IF(U1979="","",IFERROR((RANK(U1979,$U$2:$U$2028,1)+COUNTIF($U$2:U1979,U1979))-1,""))</f>
        <v/>
      </c>
      <c r="W1979" s="134" t="str">
        <f t="shared" si="592"/>
        <v/>
      </c>
      <c r="X1979" s="134" t="str">
        <f>IF(W1979="","",IFERROR((RANK(W1979,$W$2:$W$2028,1)+COUNTIF($W$2:W1979,W1979))-1,""))</f>
        <v/>
      </c>
      <c r="Y1979" s="134" t="str">
        <f t="shared" si="589"/>
        <v/>
      </c>
      <c r="Z1979" s="134" t="str">
        <f>IF(Y1979="","",IFERROR((RANK(Y1979,$Y$2:$Y$2028,1)+COUNTIF($Y$2:Y1979,Y1979))-1,""))</f>
        <v/>
      </c>
      <c r="AA1979" s="134" t="str">
        <f t="shared" si="590"/>
        <v/>
      </c>
      <c r="AB1979" s="134" t="str">
        <f>IF(AA1979="","",IFERROR((RANK(AA1979,$AA$2:$AA$2028,1)+COUNTIF($AA$2:AA1979,AA1979))-1,""))</f>
        <v/>
      </c>
      <c r="AC1979" s="134" t="str">
        <f t="shared" si="591"/>
        <v/>
      </c>
      <c r="AD1979" s="134" t="str">
        <f>IF(AC1979="","",IFERROR((RANK(AC1979,$AC$2:$AC$2028,1)+COUNTIF($AC$2:AC1979,AC1979))-1,""))</f>
        <v/>
      </c>
      <c r="AE1979" s="144" t="str">
        <f t="shared" si="583"/>
        <v/>
      </c>
      <c r="AF1979" s="144" t="str">
        <f>IF(AE1979="","",SUM($AE$2:AE1979))</f>
        <v/>
      </c>
    </row>
    <row r="1980" spans="14:32" x14ac:dyDescent="0.35">
      <c r="N1980" s="134" t="str">
        <f t="shared" si="581"/>
        <v/>
      </c>
      <c r="O1980" s="82" t="str">
        <f t="shared" si="584"/>
        <v/>
      </c>
      <c r="P1980" s="81" t="str">
        <f t="shared" si="582"/>
        <v/>
      </c>
      <c r="Q1980" s="81" t="str">
        <f t="shared" si="585"/>
        <v/>
      </c>
      <c r="R1980" s="135" t="str">
        <f t="shared" ca="1" si="586"/>
        <v/>
      </c>
      <c r="S1980" s="134" t="str">
        <f t="shared" ca="1" si="587"/>
        <v/>
      </c>
      <c r="T1980" s="134" t="str">
        <f ca="1">IF(S1980=Dashboard!$D$12,S1980,"")</f>
        <v/>
      </c>
      <c r="U1980" s="134" t="str">
        <f t="shared" ca="1" si="588"/>
        <v/>
      </c>
      <c r="V1980" s="83" t="str">
        <f ca="1">IF(U1980="","",IFERROR((RANK(U1980,$U$2:$U$2028,1)+COUNTIF($U$2:U1980,U1980))-1,""))</f>
        <v/>
      </c>
      <c r="W1980" s="134" t="str">
        <f t="shared" si="592"/>
        <v/>
      </c>
      <c r="X1980" s="134" t="str">
        <f>IF(W1980="","",IFERROR((RANK(W1980,$W$2:$W$2028,1)+COUNTIF($W$2:W1980,W1980))-1,""))</f>
        <v/>
      </c>
      <c r="Y1980" s="134" t="str">
        <f t="shared" si="589"/>
        <v/>
      </c>
      <c r="Z1980" s="134" t="str">
        <f>IF(Y1980="","",IFERROR((RANK(Y1980,$Y$2:$Y$2028,1)+COUNTIF($Y$2:Y1980,Y1980))-1,""))</f>
        <v/>
      </c>
      <c r="AA1980" s="134" t="str">
        <f t="shared" si="590"/>
        <v/>
      </c>
      <c r="AB1980" s="134" t="str">
        <f>IF(AA1980="","",IFERROR((RANK(AA1980,$AA$2:$AA$2028,1)+COUNTIF($AA$2:AA1980,AA1980))-1,""))</f>
        <v/>
      </c>
      <c r="AC1980" s="134" t="str">
        <f t="shared" si="591"/>
        <v/>
      </c>
      <c r="AD1980" s="134" t="str">
        <f>IF(AC1980="","",IFERROR((RANK(AC1980,$AC$2:$AC$2028,1)+COUNTIF($AC$2:AC1980,AC1980))-1,""))</f>
        <v/>
      </c>
      <c r="AE1980" s="144" t="str">
        <f t="shared" si="583"/>
        <v/>
      </c>
      <c r="AF1980" s="144" t="str">
        <f>IF(AE1980="","",SUM($AE$2:AE1980))</f>
        <v/>
      </c>
    </row>
    <row r="1981" spans="14:32" x14ac:dyDescent="0.35">
      <c r="N1981" s="134" t="str">
        <f t="shared" si="581"/>
        <v/>
      </c>
      <c r="O1981" s="82" t="str">
        <f t="shared" si="584"/>
        <v/>
      </c>
      <c r="P1981" s="81" t="str">
        <f t="shared" si="582"/>
        <v/>
      </c>
      <c r="Q1981" s="81" t="str">
        <f t="shared" si="585"/>
        <v/>
      </c>
      <c r="R1981" s="135" t="str">
        <f t="shared" ca="1" si="586"/>
        <v/>
      </c>
      <c r="S1981" s="134" t="str">
        <f t="shared" ca="1" si="587"/>
        <v/>
      </c>
      <c r="T1981" s="134" t="str">
        <f ca="1">IF(S1981=Dashboard!$D$12,S1981,"")</f>
        <v/>
      </c>
      <c r="U1981" s="134" t="str">
        <f t="shared" ca="1" si="588"/>
        <v/>
      </c>
      <c r="V1981" s="83" t="str">
        <f ca="1">IF(U1981="","",IFERROR((RANK(U1981,$U$2:$U$2028,1)+COUNTIF($U$2:U1981,U1981))-1,""))</f>
        <v/>
      </c>
      <c r="W1981" s="134" t="str">
        <f t="shared" si="592"/>
        <v/>
      </c>
      <c r="X1981" s="134" t="str">
        <f>IF(W1981="","",IFERROR((RANK(W1981,$W$2:$W$2028,1)+COUNTIF($W$2:W1981,W1981))-1,""))</f>
        <v/>
      </c>
      <c r="Y1981" s="134" t="str">
        <f t="shared" si="589"/>
        <v/>
      </c>
      <c r="Z1981" s="134" t="str">
        <f>IF(Y1981="","",IFERROR((RANK(Y1981,$Y$2:$Y$2028,1)+COUNTIF($Y$2:Y1981,Y1981))-1,""))</f>
        <v/>
      </c>
      <c r="AA1981" s="134" t="str">
        <f t="shared" si="590"/>
        <v/>
      </c>
      <c r="AB1981" s="134" t="str">
        <f>IF(AA1981="","",IFERROR((RANK(AA1981,$AA$2:$AA$2028,1)+COUNTIF($AA$2:AA1981,AA1981))-1,""))</f>
        <v/>
      </c>
      <c r="AC1981" s="134" t="str">
        <f t="shared" si="591"/>
        <v/>
      </c>
      <c r="AD1981" s="134" t="str">
        <f>IF(AC1981="","",IFERROR((RANK(AC1981,$AC$2:$AC$2028,1)+COUNTIF($AC$2:AC1981,AC1981))-1,""))</f>
        <v/>
      </c>
      <c r="AE1981" s="144" t="str">
        <f t="shared" si="583"/>
        <v/>
      </c>
      <c r="AF1981" s="144" t="str">
        <f>IF(AE1981="","",SUM($AE$2:AE1981))</f>
        <v/>
      </c>
    </row>
    <row r="1982" spans="14:32" x14ac:dyDescent="0.35">
      <c r="N1982" s="134" t="str">
        <f t="shared" si="581"/>
        <v/>
      </c>
      <c r="O1982" s="82" t="str">
        <f t="shared" si="584"/>
        <v/>
      </c>
      <c r="P1982" s="81" t="str">
        <f t="shared" si="582"/>
        <v/>
      </c>
      <c r="Q1982" s="81" t="str">
        <f t="shared" si="585"/>
        <v/>
      </c>
      <c r="R1982" s="135" t="str">
        <f t="shared" ca="1" si="586"/>
        <v/>
      </c>
      <c r="S1982" s="134" t="str">
        <f t="shared" ca="1" si="587"/>
        <v/>
      </c>
      <c r="T1982" s="134" t="str">
        <f ca="1">IF(S1982=Dashboard!$D$12,S1982,"")</f>
        <v/>
      </c>
      <c r="U1982" s="134" t="str">
        <f t="shared" ca="1" si="588"/>
        <v/>
      </c>
      <c r="V1982" s="83" t="str">
        <f ca="1">IF(U1982="","",IFERROR((RANK(U1982,$U$2:$U$2028,1)+COUNTIF($U$2:U1982,U1982))-1,""))</f>
        <v/>
      </c>
      <c r="W1982" s="134" t="str">
        <f t="shared" si="592"/>
        <v/>
      </c>
      <c r="X1982" s="134" t="str">
        <f>IF(W1982="","",IFERROR((RANK(W1982,$W$2:$W$2028,1)+COUNTIF($W$2:W1982,W1982))-1,""))</f>
        <v/>
      </c>
      <c r="Y1982" s="134" t="str">
        <f t="shared" si="589"/>
        <v/>
      </c>
      <c r="Z1982" s="134" t="str">
        <f>IF(Y1982="","",IFERROR((RANK(Y1982,$Y$2:$Y$2028,1)+COUNTIF($Y$2:Y1982,Y1982))-1,""))</f>
        <v/>
      </c>
      <c r="AA1982" s="134" t="str">
        <f t="shared" si="590"/>
        <v/>
      </c>
      <c r="AB1982" s="134" t="str">
        <f>IF(AA1982="","",IFERROR((RANK(AA1982,$AA$2:$AA$2028,1)+COUNTIF($AA$2:AA1982,AA1982))-1,""))</f>
        <v/>
      </c>
      <c r="AC1982" s="134" t="str">
        <f t="shared" si="591"/>
        <v/>
      </c>
      <c r="AD1982" s="134" t="str">
        <f>IF(AC1982="","",IFERROR((RANK(AC1982,$AC$2:$AC$2028,1)+COUNTIF($AC$2:AC1982,AC1982))-1,""))</f>
        <v/>
      </c>
      <c r="AE1982" s="144" t="str">
        <f t="shared" si="583"/>
        <v/>
      </c>
      <c r="AF1982" s="144" t="str">
        <f>IF(AE1982="","",SUM($AE$2:AE1982))</f>
        <v/>
      </c>
    </row>
    <row r="1983" spans="14:32" x14ac:dyDescent="0.35">
      <c r="N1983" s="134" t="str">
        <f t="shared" si="581"/>
        <v/>
      </c>
      <c r="O1983" s="82" t="str">
        <f t="shared" si="584"/>
        <v/>
      </c>
      <c r="P1983" s="81" t="str">
        <f t="shared" si="582"/>
        <v/>
      </c>
      <c r="Q1983" s="81" t="str">
        <f t="shared" si="585"/>
        <v/>
      </c>
      <c r="R1983" s="135" t="str">
        <f t="shared" ca="1" si="586"/>
        <v/>
      </c>
      <c r="S1983" s="134" t="str">
        <f t="shared" ca="1" si="587"/>
        <v/>
      </c>
      <c r="T1983" s="134" t="str">
        <f ca="1">IF(S1983=Dashboard!$D$12,S1983,"")</f>
        <v/>
      </c>
      <c r="U1983" s="134" t="str">
        <f t="shared" ca="1" si="588"/>
        <v/>
      </c>
      <c r="V1983" s="83" t="str">
        <f ca="1">IF(U1983="","",IFERROR((RANK(U1983,$U$2:$U$2028,1)+COUNTIF($U$2:U1983,U1983))-1,""))</f>
        <v/>
      </c>
      <c r="W1983" s="134" t="str">
        <f t="shared" si="592"/>
        <v/>
      </c>
      <c r="X1983" s="134" t="str">
        <f>IF(W1983="","",IFERROR((RANK(W1983,$W$2:$W$2028,1)+COUNTIF($W$2:W1983,W1983))-1,""))</f>
        <v/>
      </c>
      <c r="Y1983" s="134" t="str">
        <f t="shared" si="589"/>
        <v/>
      </c>
      <c r="Z1983" s="134" t="str">
        <f>IF(Y1983="","",IFERROR((RANK(Y1983,$Y$2:$Y$2028,1)+COUNTIF($Y$2:Y1983,Y1983))-1,""))</f>
        <v/>
      </c>
      <c r="AA1983" s="134" t="str">
        <f t="shared" si="590"/>
        <v/>
      </c>
      <c r="AB1983" s="134" t="str">
        <f>IF(AA1983="","",IFERROR((RANK(AA1983,$AA$2:$AA$2028,1)+COUNTIF($AA$2:AA1983,AA1983))-1,""))</f>
        <v/>
      </c>
      <c r="AC1983" s="134" t="str">
        <f t="shared" si="591"/>
        <v/>
      </c>
      <c r="AD1983" s="134" t="str">
        <f>IF(AC1983="","",IFERROR((RANK(AC1983,$AC$2:$AC$2028,1)+COUNTIF($AC$2:AC1983,AC1983))-1,""))</f>
        <v/>
      </c>
      <c r="AE1983" s="144" t="str">
        <f t="shared" si="583"/>
        <v/>
      </c>
      <c r="AF1983" s="144" t="str">
        <f>IF(AE1983="","",SUM($AE$2:AE1983))</f>
        <v/>
      </c>
    </row>
    <row r="1984" spans="14:32" x14ac:dyDescent="0.35">
      <c r="N1984" s="134" t="str">
        <f t="shared" si="581"/>
        <v/>
      </c>
      <c r="O1984" s="82" t="str">
        <f t="shared" si="584"/>
        <v/>
      </c>
      <c r="P1984" s="81" t="str">
        <f t="shared" si="582"/>
        <v/>
      </c>
      <c r="Q1984" s="81" t="str">
        <f t="shared" si="585"/>
        <v/>
      </c>
      <c r="R1984" s="135" t="str">
        <f t="shared" ca="1" si="586"/>
        <v/>
      </c>
      <c r="S1984" s="134" t="str">
        <f t="shared" ca="1" si="587"/>
        <v/>
      </c>
      <c r="T1984" s="134" t="str">
        <f ca="1">IF(S1984=Dashboard!$D$12,S1984,"")</f>
        <v/>
      </c>
      <c r="U1984" s="134" t="str">
        <f t="shared" ca="1" si="588"/>
        <v/>
      </c>
      <c r="V1984" s="83" t="str">
        <f ca="1">IF(U1984="","",IFERROR((RANK(U1984,$U$2:$U$2028,1)+COUNTIF($U$2:U1984,U1984))-1,""))</f>
        <v/>
      </c>
      <c r="W1984" s="134" t="str">
        <f t="shared" si="592"/>
        <v/>
      </c>
      <c r="X1984" s="134" t="str">
        <f>IF(W1984="","",IFERROR((RANK(W1984,$W$2:$W$2028,1)+COUNTIF($W$2:W1984,W1984))-1,""))</f>
        <v/>
      </c>
      <c r="Y1984" s="134" t="str">
        <f t="shared" si="589"/>
        <v/>
      </c>
      <c r="Z1984" s="134" t="str">
        <f>IF(Y1984="","",IFERROR((RANK(Y1984,$Y$2:$Y$2028,1)+COUNTIF($Y$2:Y1984,Y1984))-1,""))</f>
        <v/>
      </c>
      <c r="AA1984" s="134" t="str">
        <f t="shared" si="590"/>
        <v/>
      </c>
      <c r="AB1984" s="134" t="str">
        <f>IF(AA1984="","",IFERROR((RANK(AA1984,$AA$2:$AA$2028,1)+COUNTIF($AA$2:AA1984,AA1984))-1,""))</f>
        <v/>
      </c>
      <c r="AC1984" s="134" t="str">
        <f t="shared" si="591"/>
        <v/>
      </c>
      <c r="AD1984" s="134" t="str">
        <f>IF(AC1984="","",IFERROR((RANK(AC1984,$AC$2:$AC$2028,1)+COUNTIF($AC$2:AC1984,AC1984))-1,""))</f>
        <v/>
      </c>
      <c r="AE1984" s="144" t="str">
        <f t="shared" si="583"/>
        <v/>
      </c>
      <c r="AF1984" s="144" t="str">
        <f>IF(AE1984="","",SUM($AE$2:AE1984))</f>
        <v/>
      </c>
    </row>
    <row r="1985" spans="14:32" x14ac:dyDescent="0.35">
      <c r="N1985" s="134" t="str">
        <f t="shared" si="581"/>
        <v/>
      </c>
      <c r="O1985" s="82" t="str">
        <f t="shared" si="584"/>
        <v/>
      </c>
      <c r="P1985" s="81" t="str">
        <f t="shared" si="582"/>
        <v/>
      </c>
      <c r="Q1985" s="81" t="str">
        <f t="shared" si="585"/>
        <v/>
      </c>
      <c r="R1985" s="135" t="str">
        <f t="shared" ca="1" si="586"/>
        <v/>
      </c>
      <c r="S1985" s="134" t="str">
        <f t="shared" ca="1" si="587"/>
        <v/>
      </c>
      <c r="T1985" s="134" t="str">
        <f ca="1">IF(S1985=Dashboard!$D$12,S1985,"")</f>
        <v/>
      </c>
      <c r="U1985" s="134" t="str">
        <f t="shared" ca="1" si="588"/>
        <v/>
      </c>
      <c r="V1985" s="83" t="str">
        <f ca="1">IF(U1985="","",IFERROR((RANK(U1985,$U$2:$U$2028,1)+COUNTIF($U$2:U1985,U1985))-1,""))</f>
        <v/>
      </c>
      <c r="W1985" s="134" t="str">
        <f t="shared" si="592"/>
        <v/>
      </c>
      <c r="X1985" s="134" t="str">
        <f>IF(W1985="","",IFERROR((RANK(W1985,$W$2:$W$2028,1)+COUNTIF($W$2:W1985,W1985))-1,""))</f>
        <v/>
      </c>
      <c r="Y1985" s="134" t="str">
        <f t="shared" si="589"/>
        <v/>
      </c>
      <c r="Z1985" s="134" t="str">
        <f>IF(Y1985="","",IFERROR((RANK(Y1985,$Y$2:$Y$2028,1)+COUNTIF($Y$2:Y1985,Y1985))-1,""))</f>
        <v/>
      </c>
      <c r="AA1985" s="134" t="str">
        <f t="shared" si="590"/>
        <v/>
      </c>
      <c r="AB1985" s="134" t="str">
        <f>IF(AA1985="","",IFERROR((RANK(AA1985,$AA$2:$AA$2028,1)+COUNTIF($AA$2:AA1985,AA1985))-1,""))</f>
        <v/>
      </c>
      <c r="AC1985" s="134" t="str">
        <f t="shared" si="591"/>
        <v/>
      </c>
      <c r="AD1985" s="134" t="str">
        <f>IF(AC1985="","",IFERROR((RANK(AC1985,$AC$2:$AC$2028,1)+COUNTIF($AC$2:AC1985,AC1985))-1,""))</f>
        <v/>
      </c>
      <c r="AE1985" s="144" t="str">
        <f t="shared" si="583"/>
        <v/>
      </c>
      <c r="AF1985" s="144" t="str">
        <f>IF(AE1985="","",SUM($AE$2:AE1985))</f>
        <v/>
      </c>
    </row>
    <row r="1986" spans="14:32" x14ac:dyDescent="0.35">
      <c r="N1986" s="134" t="str">
        <f t="shared" ref="N1986:N2049" si="593">IF(A1986="","",COUNTIFS(M:M,M1986,H:H,"&lt;"&amp;H1986)+1)</f>
        <v/>
      </c>
      <c r="O1986" s="82" t="str">
        <f t="shared" si="584"/>
        <v/>
      </c>
      <c r="P1986" s="81" t="str">
        <f t="shared" ref="P1986:P2028" si="594">IF(A1986="","",COUNTIFS(M:M,M1986,H:H,"&gt;"&amp;H1986)+1)</f>
        <v/>
      </c>
      <c r="Q1986" s="81" t="str">
        <f t="shared" si="585"/>
        <v/>
      </c>
      <c r="R1986" s="135" t="str">
        <f t="shared" ca="1" si="586"/>
        <v/>
      </c>
      <c r="S1986" s="134" t="str">
        <f t="shared" ca="1" si="587"/>
        <v/>
      </c>
      <c r="T1986" s="134" t="str">
        <f ca="1">IF(S1986=Dashboard!$D$12,S1986,"")</f>
        <v/>
      </c>
      <c r="U1986" s="134" t="str">
        <f t="shared" ca="1" si="588"/>
        <v/>
      </c>
      <c r="V1986" s="83" t="str">
        <f ca="1">IF(U1986="","",IFERROR((RANK(U1986,$U$2:$U$2028,1)+COUNTIF($U$2:U1986,U1986))-1,""))</f>
        <v/>
      </c>
      <c r="W1986" s="134" t="str">
        <f t="shared" si="592"/>
        <v/>
      </c>
      <c r="X1986" s="134" t="str">
        <f>IF(W1986="","",IFERROR((RANK(W1986,$W$2:$W$2028,1)+COUNTIF($W$2:W1986,W1986))-1,""))</f>
        <v/>
      </c>
      <c r="Y1986" s="134" t="str">
        <f t="shared" si="589"/>
        <v/>
      </c>
      <c r="Z1986" s="134" t="str">
        <f>IF(Y1986="","",IFERROR((RANK(Y1986,$Y$2:$Y$2028,1)+COUNTIF($Y$2:Y1986,Y1986))-1,""))</f>
        <v/>
      </c>
      <c r="AA1986" s="134" t="str">
        <f t="shared" si="590"/>
        <v/>
      </c>
      <c r="AB1986" s="134" t="str">
        <f>IF(AA1986="","",IFERROR((RANK(AA1986,$AA$2:$AA$2028,1)+COUNTIF($AA$2:AA1986,AA1986))-1,""))</f>
        <v/>
      </c>
      <c r="AC1986" s="134" t="str">
        <f t="shared" si="591"/>
        <v/>
      </c>
      <c r="AD1986" s="134" t="str">
        <f>IF(AC1986="","",IFERROR((RANK(AC1986,$AC$2:$AC$2028,1)+COUNTIF($AC$2:AC1986,AC1986))-1,""))</f>
        <v/>
      </c>
      <c r="AE1986" s="144" t="str">
        <f t="shared" si="583"/>
        <v/>
      </c>
      <c r="AF1986" s="144" t="str">
        <f>IF(AE1986="","",SUM($AE$2:AE1986))</f>
        <v/>
      </c>
    </row>
    <row r="1987" spans="14:32" x14ac:dyDescent="0.35">
      <c r="N1987" s="134" t="str">
        <f t="shared" si="593"/>
        <v/>
      </c>
      <c r="O1987" s="82" t="str">
        <f t="shared" si="584"/>
        <v/>
      </c>
      <c r="P1987" s="81" t="str">
        <f t="shared" si="594"/>
        <v/>
      </c>
      <c r="Q1987" s="81" t="str">
        <f t="shared" si="585"/>
        <v/>
      </c>
      <c r="R1987" s="135" t="str">
        <f t="shared" ca="1" si="586"/>
        <v/>
      </c>
      <c r="S1987" s="134" t="str">
        <f t="shared" ca="1" si="587"/>
        <v/>
      </c>
      <c r="T1987" s="134" t="str">
        <f ca="1">IF(S1987=Dashboard!$D$12,S1987,"")</f>
        <v/>
      </c>
      <c r="U1987" s="134" t="str">
        <f t="shared" ca="1" si="588"/>
        <v/>
      </c>
      <c r="V1987" s="83" t="str">
        <f ca="1">IF(U1987="","",IFERROR((RANK(U1987,$U$2:$U$2028,1)+COUNTIF($U$2:U1987,U1987))-1,""))</f>
        <v/>
      </c>
      <c r="W1987" s="134" t="str">
        <f t="shared" si="592"/>
        <v/>
      </c>
      <c r="X1987" s="134" t="str">
        <f>IF(W1987="","",IFERROR((RANK(W1987,$W$2:$W$2028,1)+COUNTIF($W$2:W1987,W1987))-1,""))</f>
        <v/>
      </c>
      <c r="Y1987" s="134" t="str">
        <f t="shared" si="589"/>
        <v/>
      </c>
      <c r="Z1987" s="134" t="str">
        <f>IF(Y1987="","",IFERROR((RANK(Y1987,$Y$2:$Y$2028,1)+COUNTIF($Y$2:Y1987,Y1987))-1,""))</f>
        <v/>
      </c>
      <c r="AA1987" s="134" t="str">
        <f t="shared" si="590"/>
        <v/>
      </c>
      <c r="AB1987" s="134" t="str">
        <f>IF(AA1987="","",IFERROR((RANK(AA1987,$AA$2:$AA$2028,1)+COUNTIF($AA$2:AA1987,AA1987))-1,""))</f>
        <v/>
      </c>
      <c r="AC1987" s="134" t="str">
        <f t="shared" si="591"/>
        <v/>
      </c>
      <c r="AD1987" s="134" t="str">
        <f>IF(AC1987="","",IFERROR((RANK(AC1987,$AC$2:$AC$2028,1)+COUNTIF($AC$2:AC1987,AC1987))-1,""))</f>
        <v/>
      </c>
      <c r="AE1987" s="144" t="str">
        <f t="shared" si="583"/>
        <v/>
      </c>
      <c r="AF1987" s="144" t="str">
        <f>IF(AE1987="","",SUM($AE$2:AE1987))</f>
        <v/>
      </c>
    </row>
    <row r="1988" spans="14:32" x14ac:dyDescent="0.35">
      <c r="N1988" s="134" t="str">
        <f t="shared" si="593"/>
        <v/>
      </c>
      <c r="O1988" s="82" t="str">
        <f t="shared" si="584"/>
        <v/>
      </c>
      <c r="P1988" s="81" t="str">
        <f t="shared" si="594"/>
        <v/>
      </c>
      <c r="Q1988" s="81" t="str">
        <f t="shared" si="585"/>
        <v/>
      </c>
      <c r="R1988" s="135" t="str">
        <f t="shared" ca="1" si="586"/>
        <v/>
      </c>
      <c r="S1988" s="134" t="str">
        <f t="shared" ca="1" si="587"/>
        <v/>
      </c>
      <c r="T1988" s="134" t="str">
        <f ca="1">IF(S1988=Dashboard!$D$12,S1988,"")</f>
        <v/>
      </c>
      <c r="U1988" s="134" t="str">
        <f t="shared" ca="1" si="588"/>
        <v/>
      </c>
      <c r="V1988" s="83" t="str">
        <f ca="1">IF(U1988="","",IFERROR((RANK(U1988,$U$2:$U$2028,1)+COUNTIF($U$2:U1988,U1988))-1,""))</f>
        <v/>
      </c>
      <c r="W1988" s="134" t="str">
        <f t="shared" si="592"/>
        <v/>
      </c>
      <c r="X1988" s="134" t="str">
        <f>IF(W1988="","",IFERROR((RANK(W1988,$W$2:$W$2028,1)+COUNTIF($W$2:W1988,W1988))-1,""))</f>
        <v/>
      </c>
      <c r="Y1988" s="134" t="str">
        <f t="shared" si="589"/>
        <v/>
      </c>
      <c r="Z1988" s="134" t="str">
        <f>IF(Y1988="","",IFERROR((RANK(Y1988,$Y$2:$Y$2028,1)+COUNTIF($Y$2:Y1988,Y1988))-1,""))</f>
        <v/>
      </c>
      <c r="AA1988" s="134" t="str">
        <f t="shared" si="590"/>
        <v/>
      </c>
      <c r="AB1988" s="134" t="str">
        <f>IF(AA1988="","",IFERROR((RANK(AA1988,$AA$2:$AA$2028,1)+COUNTIF($AA$2:AA1988,AA1988))-1,""))</f>
        <v/>
      </c>
      <c r="AC1988" s="134" t="str">
        <f t="shared" si="591"/>
        <v/>
      </c>
      <c r="AD1988" s="134" t="str">
        <f>IF(AC1988="","",IFERROR((RANK(AC1988,$AC$2:$AC$2028,1)+COUNTIF($AC$2:AC1988,AC1988))-1,""))</f>
        <v/>
      </c>
      <c r="AE1988" s="144" t="str">
        <f t="shared" si="583"/>
        <v/>
      </c>
      <c r="AF1988" s="144" t="str">
        <f>IF(AE1988="","",SUM($AE$2:AE1988))</f>
        <v/>
      </c>
    </row>
    <row r="1989" spans="14:32" x14ac:dyDescent="0.35">
      <c r="N1989" s="134" t="str">
        <f t="shared" si="593"/>
        <v/>
      </c>
      <c r="O1989" s="82" t="str">
        <f t="shared" si="584"/>
        <v/>
      </c>
      <c r="P1989" s="81" t="str">
        <f t="shared" si="594"/>
        <v/>
      </c>
      <c r="Q1989" s="81" t="str">
        <f t="shared" si="585"/>
        <v/>
      </c>
      <c r="R1989" s="135" t="str">
        <f t="shared" ca="1" si="586"/>
        <v/>
      </c>
      <c r="S1989" s="134" t="str">
        <f t="shared" ca="1" si="587"/>
        <v/>
      </c>
      <c r="T1989" s="134" t="str">
        <f ca="1">IF(S1989=Dashboard!$D$12,S1989,"")</f>
        <v/>
      </c>
      <c r="U1989" s="134" t="str">
        <f t="shared" ca="1" si="588"/>
        <v/>
      </c>
      <c r="V1989" s="83" t="str">
        <f ca="1">IF(U1989="","",IFERROR((RANK(U1989,$U$2:$U$2028,1)+COUNTIF($U$2:U1989,U1989))-1,""))</f>
        <v/>
      </c>
      <c r="W1989" s="134" t="str">
        <f t="shared" si="592"/>
        <v/>
      </c>
      <c r="X1989" s="134" t="str">
        <f>IF(W1989="","",IFERROR((RANK(W1989,$W$2:$W$2028,1)+COUNTIF($W$2:W1989,W1989))-1,""))</f>
        <v/>
      </c>
      <c r="Y1989" s="134" t="str">
        <f t="shared" si="589"/>
        <v/>
      </c>
      <c r="Z1989" s="134" t="str">
        <f>IF(Y1989="","",IFERROR((RANK(Y1989,$Y$2:$Y$2028,1)+COUNTIF($Y$2:Y1989,Y1989))-1,""))</f>
        <v/>
      </c>
      <c r="AA1989" s="134" t="str">
        <f t="shared" si="590"/>
        <v/>
      </c>
      <c r="AB1989" s="134" t="str">
        <f>IF(AA1989="","",IFERROR((RANK(AA1989,$AA$2:$AA$2028,1)+COUNTIF($AA$2:AA1989,AA1989))-1,""))</f>
        <v/>
      </c>
      <c r="AC1989" s="134" t="str">
        <f t="shared" si="591"/>
        <v/>
      </c>
      <c r="AD1989" s="134" t="str">
        <f>IF(AC1989="","",IFERROR((RANK(AC1989,$AC$2:$AC$2028,1)+COUNTIF($AC$2:AC1989,AC1989))-1,""))</f>
        <v/>
      </c>
      <c r="AE1989" s="144" t="str">
        <f t="shared" si="583"/>
        <v/>
      </c>
      <c r="AF1989" s="144" t="str">
        <f>IF(AE1989="","",SUM($AE$2:AE1989))</f>
        <v/>
      </c>
    </row>
    <row r="1990" spans="14:32" x14ac:dyDescent="0.35">
      <c r="N1990" s="134" t="str">
        <f t="shared" si="593"/>
        <v/>
      </c>
      <c r="O1990" s="82" t="str">
        <f t="shared" si="584"/>
        <v/>
      </c>
      <c r="P1990" s="81" t="str">
        <f t="shared" si="594"/>
        <v/>
      </c>
      <c r="Q1990" s="81" t="str">
        <f t="shared" si="585"/>
        <v/>
      </c>
      <c r="R1990" s="135" t="str">
        <f t="shared" ca="1" si="586"/>
        <v/>
      </c>
      <c r="S1990" s="134" t="str">
        <f t="shared" ca="1" si="587"/>
        <v/>
      </c>
      <c r="T1990" s="134" t="str">
        <f ca="1">IF(S1990=Dashboard!$D$12,S1990,"")</f>
        <v/>
      </c>
      <c r="U1990" s="134" t="str">
        <f t="shared" ca="1" si="588"/>
        <v/>
      </c>
      <c r="V1990" s="83" t="str">
        <f ca="1">IF(U1990="","",IFERROR((RANK(U1990,$U$2:$U$2028,1)+COUNTIF($U$2:U1990,U1990))-1,""))</f>
        <v/>
      </c>
      <c r="W1990" s="134" t="str">
        <f t="shared" si="592"/>
        <v/>
      </c>
      <c r="X1990" s="134" t="str">
        <f>IF(W1990="","",IFERROR((RANK(W1990,$W$2:$W$2028,1)+COUNTIF($W$2:W1990,W1990))-1,""))</f>
        <v/>
      </c>
      <c r="Y1990" s="134" t="str">
        <f t="shared" si="589"/>
        <v/>
      </c>
      <c r="Z1990" s="134" t="str">
        <f>IF(Y1990="","",IFERROR((RANK(Y1990,$Y$2:$Y$2028,1)+COUNTIF($Y$2:Y1990,Y1990))-1,""))</f>
        <v/>
      </c>
      <c r="AA1990" s="134" t="str">
        <f t="shared" si="590"/>
        <v/>
      </c>
      <c r="AB1990" s="134" t="str">
        <f>IF(AA1990="","",IFERROR((RANK(AA1990,$AA$2:$AA$2028,1)+COUNTIF($AA$2:AA1990,AA1990))-1,""))</f>
        <v/>
      </c>
      <c r="AC1990" s="134" t="str">
        <f t="shared" si="591"/>
        <v/>
      </c>
      <c r="AD1990" s="134" t="str">
        <f>IF(AC1990="","",IFERROR((RANK(AC1990,$AC$2:$AC$2028,1)+COUNTIF($AC$2:AC1990,AC1990))-1,""))</f>
        <v/>
      </c>
      <c r="AE1990" s="144" t="str">
        <f t="shared" si="583"/>
        <v/>
      </c>
      <c r="AF1990" s="144" t="str">
        <f>IF(AE1990="","",SUM($AE$2:AE1990))</f>
        <v/>
      </c>
    </row>
    <row r="1991" spans="14:32" x14ac:dyDescent="0.35">
      <c r="N1991" s="134" t="str">
        <f t="shared" si="593"/>
        <v/>
      </c>
      <c r="O1991" s="82" t="str">
        <f t="shared" si="584"/>
        <v/>
      </c>
      <c r="P1991" s="81" t="str">
        <f t="shared" si="594"/>
        <v/>
      </c>
      <c r="Q1991" s="81" t="str">
        <f t="shared" si="585"/>
        <v/>
      </c>
      <c r="R1991" s="135" t="str">
        <f t="shared" ca="1" si="586"/>
        <v/>
      </c>
      <c r="S1991" s="134" t="str">
        <f t="shared" ca="1" si="587"/>
        <v/>
      </c>
      <c r="T1991" s="134" t="str">
        <f ca="1">IF(S1991=Dashboard!$D$12,S1991,"")</f>
        <v/>
      </c>
      <c r="U1991" s="134" t="str">
        <f t="shared" ca="1" si="588"/>
        <v/>
      </c>
      <c r="V1991" s="83" t="str">
        <f ca="1">IF(U1991="","",IFERROR((RANK(U1991,$U$2:$U$2028,1)+COUNTIF($U$2:U1991,U1991))-1,""))</f>
        <v/>
      </c>
      <c r="W1991" s="134" t="str">
        <f t="shared" si="592"/>
        <v/>
      </c>
      <c r="X1991" s="134" t="str">
        <f>IF(W1991="","",IFERROR((RANK(W1991,$W$2:$W$2028,1)+COUNTIF($W$2:W1991,W1991))-1,""))</f>
        <v/>
      </c>
      <c r="Y1991" s="134" t="str">
        <f t="shared" si="589"/>
        <v/>
      </c>
      <c r="Z1991" s="134" t="str">
        <f>IF(Y1991="","",IFERROR((RANK(Y1991,$Y$2:$Y$2028,1)+COUNTIF($Y$2:Y1991,Y1991))-1,""))</f>
        <v/>
      </c>
      <c r="AA1991" s="134" t="str">
        <f t="shared" si="590"/>
        <v/>
      </c>
      <c r="AB1991" s="134" t="str">
        <f>IF(AA1991="","",IFERROR((RANK(AA1991,$AA$2:$AA$2028,1)+COUNTIF($AA$2:AA1991,AA1991))-1,""))</f>
        <v/>
      </c>
      <c r="AC1991" s="134" t="str">
        <f t="shared" si="591"/>
        <v/>
      </c>
      <c r="AD1991" s="134" t="str">
        <f>IF(AC1991="","",IFERROR((RANK(AC1991,$AC$2:$AC$2028,1)+COUNTIF($AC$2:AC1991,AC1991))-1,""))</f>
        <v/>
      </c>
      <c r="AE1991" s="144" t="str">
        <f t="shared" ref="AE1991:AE2004" si="595">IF(P1991=1,P1991,"")</f>
        <v/>
      </c>
      <c r="AF1991" s="144" t="str">
        <f>IF(AE1991="","",SUM($AE$2:AE1991))</f>
        <v/>
      </c>
    </row>
    <row r="1992" spans="14:32" x14ac:dyDescent="0.35">
      <c r="N1992" s="134" t="str">
        <f t="shared" si="593"/>
        <v/>
      </c>
      <c r="O1992" s="82" t="str">
        <f t="shared" si="584"/>
        <v/>
      </c>
      <c r="P1992" s="81" t="str">
        <f t="shared" si="594"/>
        <v/>
      </c>
      <c r="Q1992" s="81" t="str">
        <f t="shared" si="585"/>
        <v/>
      </c>
      <c r="R1992" s="135" t="str">
        <f t="shared" ca="1" si="586"/>
        <v/>
      </c>
      <c r="S1992" s="134" t="str">
        <f t="shared" ca="1" si="587"/>
        <v/>
      </c>
      <c r="T1992" s="134" t="str">
        <f ca="1">IF(S1992=Dashboard!$D$12,S1992,"")</f>
        <v/>
      </c>
      <c r="U1992" s="134" t="str">
        <f t="shared" ca="1" si="588"/>
        <v/>
      </c>
      <c r="V1992" s="83" t="str">
        <f ca="1">IF(U1992="","",IFERROR((RANK(U1992,$U$2:$U$2028,1)+COUNTIF($U$2:U1992,U1992))-1,""))</f>
        <v/>
      </c>
      <c r="W1992" s="134" t="str">
        <f t="shared" si="592"/>
        <v/>
      </c>
      <c r="X1992" s="134" t="str">
        <f>IF(W1992="","",IFERROR((RANK(W1992,$W$2:$W$2028,1)+COUNTIF($W$2:W1992,W1992))-1,""))</f>
        <v/>
      </c>
      <c r="Y1992" s="134" t="str">
        <f t="shared" si="589"/>
        <v/>
      </c>
      <c r="Z1992" s="134" t="str">
        <f>IF(Y1992="","",IFERROR((RANK(Y1992,$Y$2:$Y$2028,1)+COUNTIF($Y$2:Y1992,Y1992))-1,""))</f>
        <v/>
      </c>
      <c r="AA1992" s="134" t="str">
        <f t="shared" si="590"/>
        <v/>
      </c>
      <c r="AB1992" s="134" t="str">
        <f>IF(AA1992="","",IFERROR((RANK(AA1992,$AA$2:$AA$2028,1)+COUNTIF($AA$2:AA1992,AA1992))-1,""))</f>
        <v/>
      </c>
      <c r="AC1992" s="134" t="str">
        <f t="shared" si="591"/>
        <v/>
      </c>
      <c r="AD1992" s="134" t="str">
        <f>IF(AC1992="","",IFERROR((RANK(AC1992,$AC$2:$AC$2028,1)+COUNTIF($AC$2:AC1992,AC1992))-1,""))</f>
        <v/>
      </c>
      <c r="AE1992" s="144" t="str">
        <f t="shared" si="595"/>
        <v/>
      </c>
      <c r="AF1992" s="144" t="str">
        <f>IF(AE1992="","",SUM($AE$2:AE1992))</f>
        <v/>
      </c>
    </row>
    <row r="1993" spans="14:32" x14ac:dyDescent="0.35">
      <c r="N1993" s="134" t="str">
        <f t="shared" si="593"/>
        <v/>
      </c>
      <c r="O1993" s="82" t="str">
        <f t="shared" si="584"/>
        <v/>
      </c>
      <c r="P1993" s="81" t="str">
        <f t="shared" si="594"/>
        <v/>
      </c>
      <c r="Q1993" s="81" t="str">
        <f t="shared" si="585"/>
        <v/>
      </c>
      <c r="R1993" s="135" t="str">
        <f t="shared" ca="1" si="586"/>
        <v/>
      </c>
      <c r="S1993" s="134" t="str">
        <f t="shared" ca="1" si="587"/>
        <v/>
      </c>
      <c r="T1993" s="134" t="str">
        <f ca="1">IF(S1993=Dashboard!$D$12,S1993,"")</f>
        <v/>
      </c>
      <c r="U1993" s="134" t="str">
        <f t="shared" ca="1" si="588"/>
        <v/>
      </c>
      <c r="V1993" s="83" t="str">
        <f ca="1">IF(U1993="","",IFERROR((RANK(U1993,$U$2:$U$2028,1)+COUNTIF($U$2:U1993,U1993))-1,""))</f>
        <v/>
      </c>
      <c r="W1993" s="134" t="str">
        <f t="shared" si="592"/>
        <v/>
      </c>
      <c r="X1993" s="134" t="str">
        <f>IF(W1993="","",IFERROR((RANK(W1993,$W$2:$W$2028,1)+COUNTIF($W$2:W1993,W1993))-1,""))</f>
        <v/>
      </c>
      <c r="Y1993" s="134" t="str">
        <f t="shared" si="589"/>
        <v/>
      </c>
      <c r="Z1993" s="134" t="str">
        <f>IF(Y1993="","",IFERROR((RANK(Y1993,$Y$2:$Y$2028,1)+COUNTIF($Y$2:Y1993,Y1993))-1,""))</f>
        <v/>
      </c>
      <c r="AA1993" s="134" t="str">
        <f t="shared" si="590"/>
        <v/>
      </c>
      <c r="AB1993" s="134" t="str">
        <f>IF(AA1993="","",IFERROR((RANK(AA1993,$AA$2:$AA$2028,1)+COUNTIF($AA$2:AA1993,AA1993))-1,""))</f>
        <v/>
      </c>
      <c r="AC1993" s="134" t="str">
        <f t="shared" si="591"/>
        <v/>
      </c>
      <c r="AD1993" s="134" t="str">
        <f>IF(AC1993="","",IFERROR((RANK(AC1993,$AC$2:$AC$2028,1)+COUNTIF($AC$2:AC1993,AC1993))-1,""))</f>
        <v/>
      </c>
      <c r="AE1993" s="144" t="str">
        <f t="shared" si="595"/>
        <v/>
      </c>
      <c r="AF1993" s="144" t="str">
        <f>IF(AE1993="","",SUM($AE$2:AE1993))</f>
        <v/>
      </c>
    </row>
    <row r="1994" spans="14:32" x14ac:dyDescent="0.35">
      <c r="N1994" s="134" t="str">
        <f t="shared" si="593"/>
        <v/>
      </c>
      <c r="O1994" s="82" t="str">
        <f t="shared" si="584"/>
        <v/>
      </c>
      <c r="P1994" s="81" t="str">
        <f t="shared" si="594"/>
        <v/>
      </c>
      <c r="Q1994" s="81" t="str">
        <f t="shared" si="585"/>
        <v/>
      </c>
      <c r="R1994" s="135" t="str">
        <f t="shared" ca="1" si="586"/>
        <v/>
      </c>
      <c r="S1994" s="134" t="str">
        <f t="shared" ca="1" si="587"/>
        <v/>
      </c>
      <c r="T1994" s="134" t="str">
        <f ca="1">IF(S1994=Dashboard!$D$12,S1994,"")</f>
        <v/>
      </c>
      <c r="U1994" s="134" t="str">
        <f t="shared" ca="1" si="588"/>
        <v/>
      </c>
      <c r="V1994" s="83" t="str">
        <f ca="1">IF(U1994="","",IFERROR((RANK(U1994,$U$2:$U$2028,1)+COUNTIF($U$2:U1994,U1994))-1,""))</f>
        <v/>
      </c>
      <c r="W1994" s="134" t="str">
        <f t="shared" si="592"/>
        <v/>
      </c>
      <c r="X1994" s="134" t="str">
        <f>IF(W1994="","",IFERROR((RANK(W1994,$W$2:$W$2028,1)+COUNTIF($W$2:W1994,W1994))-1,""))</f>
        <v/>
      </c>
      <c r="Y1994" s="134" t="str">
        <f t="shared" si="589"/>
        <v/>
      </c>
      <c r="Z1994" s="134" t="str">
        <f>IF(Y1994="","",IFERROR((RANK(Y1994,$Y$2:$Y$2028,1)+COUNTIF($Y$2:Y1994,Y1994))-1,""))</f>
        <v/>
      </c>
      <c r="AA1994" s="134" t="str">
        <f t="shared" si="590"/>
        <v/>
      </c>
      <c r="AB1994" s="134" t="str">
        <f>IF(AA1994="","",IFERROR((RANK(AA1994,$AA$2:$AA$2028,1)+COUNTIF($AA$2:AA1994,AA1994))-1,""))</f>
        <v/>
      </c>
      <c r="AC1994" s="134" t="str">
        <f t="shared" si="591"/>
        <v/>
      </c>
      <c r="AD1994" s="134" t="str">
        <f>IF(AC1994="","",IFERROR((RANK(AC1994,$AC$2:$AC$2028,1)+COUNTIF($AC$2:AC1994,AC1994))-1,""))</f>
        <v/>
      </c>
      <c r="AE1994" s="144" t="str">
        <f t="shared" si="595"/>
        <v/>
      </c>
      <c r="AF1994" s="144" t="str">
        <f>IF(AE1994="","",SUM($AE$2:AE1994))</f>
        <v/>
      </c>
    </row>
    <row r="1995" spans="14:32" x14ac:dyDescent="0.35">
      <c r="N1995" s="134" t="str">
        <f t="shared" si="593"/>
        <v/>
      </c>
      <c r="O1995" s="82" t="str">
        <f t="shared" si="584"/>
        <v/>
      </c>
      <c r="P1995" s="81" t="str">
        <f t="shared" si="594"/>
        <v/>
      </c>
      <c r="Q1995" s="81" t="str">
        <f t="shared" si="585"/>
        <v/>
      </c>
      <c r="R1995" s="135" t="str">
        <f t="shared" ca="1" si="586"/>
        <v/>
      </c>
      <c r="S1995" s="134" t="str">
        <f t="shared" ca="1" si="587"/>
        <v/>
      </c>
      <c r="T1995" s="134" t="str">
        <f ca="1">IF(S1995=Dashboard!$D$12,S1995,"")</f>
        <v/>
      </c>
      <c r="U1995" s="134" t="str">
        <f t="shared" ca="1" si="588"/>
        <v/>
      </c>
      <c r="V1995" s="83" t="str">
        <f ca="1">IF(U1995="","",IFERROR((RANK(U1995,$U$2:$U$2028,1)+COUNTIF($U$2:U1995,U1995))-1,""))</f>
        <v/>
      </c>
      <c r="W1995" s="134" t="str">
        <f t="shared" si="592"/>
        <v/>
      </c>
      <c r="X1995" s="134" t="str">
        <f>IF(W1995="","",IFERROR((RANK(W1995,$W$2:$W$2028,1)+COUNTIF($W$2:W1995,W1995))-1,""))</f>
        <v/>
      </c>
      <c r="Y1995" s="134" t="str">
        <f t="shared" si="589"/>
        <v/>
      </c>
      <c r="Z1995" s="134" t="str">
        <f>IF(Y1995="","",IFERROR((RANK(Y1995,$Y$2:$Y$2028,1)+COUNTIF($Y$2:Y1995,Y1995))-1,""))</f>
        <v/>
      </c>
      <c r="AA1995" s="134" t="str">
        <f t="shared" si="590"/>
        <v/>
      </c>
      <c r="AB1995" s="134" t="str">
        <f>IF(AA1995="","",IFERROR((RANK(AA1995,$AA$2:$AA$2028,1)+COUNTIF($AA$2:AA1995,AA1995))-1,""))</f>
        <v/>
      </c>
      <c r="AC1995" s="134" t="str">
        <f t="shared" si="591"/>
        <v/>
      </c>
      <c r="AD1995" s="134" t="str">
        <f>IF(AC1995="","",IFERROR((RANK(AC1995,$AC$2:$AC$2028,1)+COUNTIF($AC$2:AC1995,AC1995))-1,""))</f>
        <v/>
      </c>
      <c r="AE1995" s="144" t="str">
        <f t="shared" si="595"/>
        <v/>
      </c>
      <c r="AF1995" s="144" t="str">
        <f>IF(AE1995="","",SUM($AE$2:AE1995))</f>
        <v/>
      </c>
    </row>
    <row r="1996" spans="14:32" x14ac:dyDescent="0.35">
      <c r="N1996" s="134" t="str">
        <f t="shared" si="593"/>
        <v/>
      </c>
      <c r="O1996" s="82" t="str">
        <f t="shared" si="584"/>
        <v/>
      </c>
      <c r="P1996" s="81" t="str">
        <f t="shared" si="594"/>
        <v/>
      </c>
      <c r="Q1996" s="81" t="str">
        <f t="shared" si="585"/>
        <v/>
      </c>
      <c r="R1996" s="135" t="str">
        <f t="shared" ca="1" si="586"/>
        <v/>
      </c>
      <c r="S1996" s="134" t="str">
        <f t="shared" ca="1" si="587"/>
        <v/>
      </c>
      <c r="T1996" s="134" t="str">
        <f ca="1">IF(S1996=Dashboard!$D$12,S1996,"")</f>
        <v/>
      </c>
      <c r="U1996" s="134" t="str">
        <f t="shared" ca="1" si="588"/>
        <v/>
      </c>
      <c r="V1996" s="83" t="str">
        <f ca="1">IF(U1996="","",IFERROR((RANK(U1996,$U$2:$U$2028,1)+COUNTIF($U$2:U1996,U1996))-1,""))</f>
        <v/>
      </c>
      <c r="W1996" s="134" t="str">
        <f t="shared" si="592"/>
        <v/>
      </c>
      <c r="X1996" s="134" t="str">
        <f>IF(W1996="","",IFERROR((RANK(W1996,$W$2:$W$2028,1)+COUNTIF($W$2:W1996,W1996))-1,""))</f>
        <v/>
      </c>
      <c r="Y1996" s="134" t="str">
        <f t="shared" si="589"/>
        <v/>
      </c>
      <c r="Z1996" s="134" t="str">
        <f>IF(Y1996="","",IFERROR((RANK(Y1996,$Y$2:$Y$2028,1)+COUNTIF($Y$2:Y1996,Y1996))-1,""))</f>
        <v/>
      </c>
      <c r="AA1996" s="134" t="str">
        <f t="shared" si="590"/>
        <v/>
      </c>
      <c r="AB1996" s="134" t="str">
        <f>IF(AA1996="","",IFERROR((RANK(AA1996,$AA$2:$AA$2028,1)+COUNTIF($AA$2:AA1996,AA1996))-1,""))</f>
        <v/>
      </c>
      <c r="AC1996" s="134" t="str">
        <f t="shared" si="591"/>
        <v/>
      </c>
      <c r="AD1996" s="134" t="str">
        <f>IF(AC1996="","",IFERROR((RANK(AC1996,$AC$2:$AC$2028,1)+COUNTIF($AC$2:AC1996,AC1996))-1,""))</f>
        <v/>
      </c>
      <c r="AE1996" s="144" t="str">
        <f t="shared" si="595"/>
        <v/>
      </c>
      <c r="AF1996" s="144" t="str">
        <f>IF(AE1996="","",SUM($AE$2:AE1996))</f>
        <v/>
      </c>
    </row>
    <row r="1997" spans="14:32" x14ac:dyDescent="0.35">
      <c r="N1997" s="134" t="str">
        <f t="shared" si="593"/>
        <v/>
      </c>
      <c r="O1997" s="82" t="str">
        <f t="shared" si="584"/>
        <v/>
      </c>
      <c r="P1997" s="81" t="str">
        <f t="shared" si="594"/>
        <v/>
      </c>
      <c r="Q1997" s="81" t="str">
        <f t="shared" si="585"/>
        <v/>
      </c>
      <c r="R1997" s="135" t="str">
        <f t="shared" ca="1" si="586"/>
        <v/>
      </c>
      <c r="S1997" s="134" t="str">
        <f t="shared" ca="1" si="587"/>
        <v/>
      </c>
      <c r="T1997" s="134" t="str">
        <f ca="1">IF(S1997=Dashboard!$D$12,S1997,"")</f>
        <v/>
      </c>
      <c r="U1997" s="134" t="str">
        <f t="shared" ca="1" si="588"/>
        <v/>
      </c>
      <c r="V1997" s="83" t="str">
        <f ca="1">IF(U1997="","",IFERROR((RANK(U1997,$U$2:$U$2028,1)+COUNTIF($U$2:U1997,U1997))-1,""))</f>
        <v/>
      </c>
      <c r="W1997" s="134" t="str">
        <f t="shared" si="592"/>
        <v/>
      </c>
      <c r="X1997" s="134" t="str">
        <f>IF(W1997="","",IFERROR((RANK(W1997,$W$2:$W$2028,1)+COUNTIF($W$2:W1997,W1997))-1,""))</f>
        <v/>
      </c>
      <c r="Y1997" s="134" t="str">
        <f t="shared" si="589"/>
        <v/>
      </c>
      <c r="Z1997" s="134" t="str">
        <f>IF(Y1997="","",IFERROR((RANK(Y1997,$Y$2:$Y$2028,1)+COUNTIF($Y$2:Y1997,Y1997))-1,""))</f>
        <v/>
      </c>
      <c r="AA1997" s="134" t="str">
        <f t="shared" si="590"/>
        <v/>
      </c>
      <c r="AB1997" s="134" t="str">
        <f>IF(AA1997="","",IFERROR((RANK(AA1997,$AA$2:$AA$2028,1)+COUNTIF($AA$2:AA1997,AA1997))-1,""))</f>
        <v/>
      </c>
      <c r="AC1997" s="134" t="str">
        <f t="shared" si="591"/>
        <v/>
      </c>
      <c r="AD1997" s="134" t="str">
        <f>IF(AC1997="","",IFERROR((RANK(AC1997,$AC$2:$AC$2028,1)+COUNTIF($AC$2:AC1997,AC1997))-1,""))</f>
        <v/>
      </c>
      <c r="AE1997" s="144" t="str">
        <f t="shared" si="595"/>
        <v/>
      </c>
      <c r="AF1997" s="144" t="str">
        <f>IF(AE1997="","",SUM($AE$2:AE1997))</f>
        <v/>
      </c>
    </row>
    <row r="1998" spans="14:32" x14ac:dyDescent="0.35">
      <c r="N1998" s="134" t="str">
        <f t="shared" si="593"/>
        <v/>
      </c>
      <c r="O1998" s="82" t="str">
        <f t="shared" si="584"/>
        <v/>
      </c>
      <c r="P1998" s="81" t="str">
        <f t="shared" si="594"/>
        <v/>
      </c>
      <c r="Q1998" s="81" t="str">
        <f t="shared" si="585"/>
        <v/>
      </c>
      <c r="R1998" s="135" t="str">
        <f t="shared" ca="1" si="586"/>
        <v/>
      </c>
      <c r="S1998" s="134" t="str">
        <f t="shared" ca="1" si="587"/>
        <v/>
      </c>
      <c r="T1998" s="134" t="str">
        <f ca="1">IF(S1998=Dashboard!$D$12,S1998,"")</f>
        <v/>
      </c>
      <c r="U1998" s="134" t="str">
        <f t="shared" ca="1" si="588"/>
        <v/>
      </c>
      <c r="V1998" s="83" t="str">
        <f ca="1">IF(U1998="","",IFERROR((RANK(U1998,$U$2:$U$2028,1)+COUNTIF($U$2:U1998,U1998))-1,""))</f>
        <v/>
      </c>
      <c r="W1998" s="134" t="str">
        <f t="shared" si="592"/>
        <v/>
      </c>
      <c r="X1998" s="134" t="str">
        <f>IF(W1998="","",IFERROR((RANK(W1998,$W$2:$W$2028,1)+COUNTIF($W$2:W1998,W1998))-1,""))</f>
        <v/>
      </c>
      <c r="Y1998" s="134" t="str">
        <f t="shared" si="589"/>
        <v/>
      </c>
      <c r="Z1998" s="134" t="str">
        <f>IF(Y1998="","",IFERROR((RANK(Y1998,$Y$2:$Y$2028,1)+COUNTIF($Y$2:Y1998,Y1998))-1,""))</f>
        <v/>
      </c>
      <c r="AA1998" s="134" t="str">
        <f t="shared" si="590"/>
        <v/>
      </c>
      <c r="AB1998" s="134" t="str">
        <f>IF(AA1998="","",IFERROR((RANK(AA1998,$AA$2:$AA$2028,1)+COUNTIF($AA$2:AA1998,AA1998))-1,""))</f>
        <v/>
      </c>
      <c r="AC1998" s="134" t="str">
        <f t="shared" si="591"/>
        <v/>
      </c>
      <c r="AD1998" s="134" t="str">
        <f>IF(AC1998="","",IFERROR((RANK(AC1998,$AC$2:$AC$2028,1)+COUNTIF($AC$2:AC1998,AC1998))-1,""))</f>
        <v/>
      </c>
      <c r="AE1998" s="144" t="str">
        <f t="shared" si="595"/>
        <v/>
      </c>
      <c r="AF1998" s="144" t="str">
        <f>IF(AE1998="","",SUM($AE$2:AE1998))</f>
        <v/>
      </c>
    </row>
    <row r="1999" spans="14:32" x14ac:dyDescent="0.35">
      <c r="N1999" s="134" t="str">
        <f t="shared" si="593"/>
        <v/>
      </c>
      <c r="O1999" s="82" t="str">
        <f t="shared" si="584"/>
        <v/>
      </c>
      <c r="P1999" s="81" t="str">
        <f t="shared" si="594"/>
        <v/>
      </c>
      <c r="Q1999" s="81" t="str">
        <f t="shared" si="585"/>
        <v/>
      </c>
      <c r="R1999" s="135" t="str">
        <f t="shared" ca="1" si="586"/>
        <v/>
      </c>
      <c r="S1999" s="134" t="str">
        <f t="shared" ca="1" si="587"/>
        <v/>
      </c>
      <c r="T1999" s="134" t="str">
        <f ca="1">IF(S1999=Dashboard!$D$12,S1999,"")</f>
        <v/>
      </c>
      <c r="U1999" s="134" t="str">
        <f t="shared" ca="1" si="588"/>
        <v/>
      </c>
      <c r="V1999" s="83" t="str">
        <f ca="1">IF(U1999="","",IFERROR((RANK(U1999,$U$2:$U$2028,1)+COUNTIF($U$2:U1999,U1999))-1,""))</f>
        <v/>
      </c>
      <c r="W1999" s="134" t="str">
        <f t="shared" si="592"/>
        <v/>
      </c>
      <c r="X1999" s="134" t="str">
        <f>IF(W1999="","",IFERROR((RANK(W1999,$W$2:$W$2028,1)+COUNTIF($W$2:W1999,W1999))-1,""))</f>
        <v/>
      </c>
      <c r="Y1999" s="134" t="str">
        <f t="shared" si="589"/>
        <v/>
      </c>
      <c r="Z1999" s="134" t="str">
        <f>IF(Y1999="","",IFERROR((RANK(Y1999,$Y$2:$Y$2028,1)+COUNTIF($Y$2:Y1999,Y1999))-1,""))</f>
        <v/>
      </c>
      <c r="AA1999" s="134" t="str">
        <f t="shared" si="590"/>
        <v/>
      </c>
      <c r="AB1999" s="134" t="str">
        <f>IF(AA1999="","",IFERROR((RANK(AA1999,$AA$2:$AA$2028,1)+COUNTIF($AA$2:AA1999,AA1999))-1,""))</f>
        <v/>
      </c>
      <c r="AC1999" s="134" t="str">
        <f t="shared" si="591"/>
        <v/>
      </c>
      <c r="AD1999" s="134" t="str">
        <f>IF(AC1999="","",IFERROR((RANK(AC1999,$AC$2:$AC$2028,1)+COUNTIF($AC$2:AC1999,AC1999))-1,""))</f>
        <v/>
      </c>
      <c r="AE1999" s="144" t="str">
        <f t="shared" si="595"/>
        <v/>
      </c>
      <c r="AF1999" s="144" t="str">
        <f>IF(AE1999="","",SUM($AE$2:AE1999))</f>
        <v/>
      </c>
    </row>
    <row r="2000" spans="14:32" x14ac:dyDescent="0.35">
      <c r="N2000" s="134" t="str">
        <f t="shared" si="593"/>
        <v/>
      </c>
      <c r="O2000" s="82" t="str">
        <f t="shared" si="584"/>
        <v/>
      </c>
      <c r="P2000" s="81" t="str">
        <f t="shared" si="594"/>
        <v/>
      </c>
      <c r="Q2000" s="81" t="str">
        <f t="shared" si="585"/>
        <v/>
      </c>
      <c r="R2000" s="135" t="str">
        <f t="shared" ca="1" si="586"/>
        <v/>
      </c>
      <c r="S2000" s="134" t="str">
        <f t="shared" ca="1" si="587"/>
        <v/>
      </c>
      <c r="T2000" s="134" t="str">
        <f ca="1">IF(S2000=Dashboard!$D$12,S2000,"")</f>
        <v/>
      </c>
      <c r="U2000" s="134" t="str">
        <f t="shared" ca="1" si="588"/>
        <v/>
      </c>
      <c r="V2000" s="83" t="str">
        <f ca="1">IF(U2000="","",IFERROR((RANK(U2000,$U$2:$U$2028,1)+COUNTIF($U$2:U2000,U2000))-1,""))</f>
        <v/>
      </c>
      <c r="W2000" s="134" t="str">
        <f t="shared" si="592"/>
        <v/>
      </c>
      <c r="X2000" s="134" t="str">
        <f>IF(W2000="","",IFERROR((RANK(W2000,$W$2:$W$2028,1)+COUNTIF($W$2:W2000,W2000))-1,""))</f>
        <v/>
      </c>
      <c r="Y2000" s="134" t="str">
        <f t="shared" si="589"/>
        <v/>
      </c>
      <c r="Z2000" s="134" t="str">
        <f>IF(Y2000="","",IFERROR((RANK(Y2000,$Y$2:$Y$2028,1)+COUNTIF($Y$2:Y2000,Y2000))-1,""))</f>
        <v/>
      </c>
      <c r="AA2000" s="134" t="str">
        <f t="shared" si="590"/>
        <v/>
      </c>
      <c r="AB2000" s="134" t="str">
        <f>IF(AA2000="","",IFERROR((RANK(AA2000,$AA$2:$AA$2028,1)+COUNTIF($AA$2:AA2000,AA2000))-1,""))</f>
        <v/>
      </c>
      <c r="AC2000" s="134" t="str">
        <f t="shared" si="591"/>
        <v/>
      </c>
      <c r="AD2000" s="134" t="str">
        <f>IF(AC2000="","",IFERROR((RANK(AC2000,$AC$2:$AC$2028,1)+COUNTIF($AC$2:AC2000,AC2000))-1,""))</f>
        <v/>
      </c>
      <c r="AE2000" s="144" t="str">
        <f t="shared" si="595"/>
        <v/>
      </c>
      <c r="AF2000" s="144" t="str">
        <f>IF(AE2000="","",SUM($AE$2:AE2000))</f>
        <v/>
      </c>
    </row>
    <row r="2001" spans="14:32" x14ac:dyDescent="0.35">
      <c r="N2001" s="134" t="str">
        <f t="shared" si="593"/>
        <v/>
      </c>
      <c r="O2001" s="82" t="str">
        <f t="shared" si="584"/>
        <v/>
      </c>
      <c r="P2001" s="81" t="str">
        <f t="shared" si="594"/>
        <v/>
      </c>
      <c r="Q2001" s="81" t="str">
        <f t="shared" si="585"/>
        <v/>
      </c>
      <c r="R2001" s="135" t="str">
        <f t="shared" ca="1" si="586"/>
        <v/>
      </c>
      <c r="S2001" s="134" t="str">
        <f t="shared" ca="1" si="587"/>
        <v/>
      </c>
      <c r="T2001" s="134" t="str">
        <f ca="1">IF(S2001=Dashboard!$D$12,S2001,"")</f>
        <v/>
      </c>
      <c r="U2001" s="134" t="str">
        <f t="shared" ca="1" si="588"/>
        <v/>
      </c>
      <c r="V2001" s="83" t="str">
        <f ca="1">IF(U2001="","",IFERROR((RANK(U2001,$U$2:$U$2028,1)+COUNTIF($U$2:U2001,U2001))-1,""))</f>
        <v/>
      </c>
      <c r="W2001" s="134" t="str">
        <f t="shared" si="592"/>
        <v/>
      </c>
      <c r="X2001" s="134" t="str">
        <f>IF(W2001="","",IFERROR((RANK(W2001,$W$2:$W$2028,1)+COUNTIF($W$2:W2001,W2001))-1,""))</f>
        <v/>
      </c>
      <c r="Y2001" s="134" t="str">
        <f t="shared" si="589"/>
        <v/>
      </c>
      <c r="Z2001" s="134" t="str">
        <f>IF(Y2001="","",IFERROR((RANK(Y2001,$Y$2:$Y$2028,1)+COUNTIF($Y$2:Y2001,Y2001))-1,""))</f>
        <v/>
      </c>
      <c r="AA2001" s="134" t="str">
        <f t="shared" si="590"/>
        <v/>
      </c>
      <c r="AB2001" s="134" t="str">
        <f>IF(AA2001="","",IFERROR((RANK(AA2001,$AA$2:$AA$2028,1)+COUNTIF($AA$2:AA2001,AA2001))-1,""))</f>
        <v/>
      </c>
      <c r="AC2001" s="134" t="str">
        <f t="shared" si="591"/>
        <v/>
      </c>
      <c r="AD2001" s="134" t="str">
        <f>IF(AC2001="","",IFERROR((RANK(AC2001,$AC$2:$AC$2028,1)+COUNTIF($AC$2:AC2001,AC2001))-1,""))</f>
        <v/>
      </c>
      <c r="AE2001" s="144" t="str">
        <f t="shared" si="595"/>
        <v/>
      </c>
      <c r="AF2001" s="144" t="str">
        <f>IF(AE2001="","",SUM($AE$2:AE2001))</f>
        <v/>
      </c>
    </row>
    <row r="2002" spans="14:32" x14ac:dyDescent="0.35">
      <c r="N2002" s="134" t="str">
        <f t="shared" si="593"/>
        <v/>
      </c>
      <c r="O2002" s="82" t="str">
        <f t="shared" si="584"/>
        <v/>
      </c>
      <c r="P2002" s="81" t="str">
        <f t="shared" si="594"/>
        <v/>
      </c>
      <c r="Q2002" s="81" t="str">
        <f t="shared" si="585"/>
        <v/>
      </c>
      <c r="R2002" s="135" t="str">
        <f t="shared" ca="1" si="586"/>
        <v/>
      </c>
      <c r="S2002" s="134" t="str">
        <f t="shared" ca="1" si="587"/>
        <v/>
      </c>
      <c r="T2002" s="134" t="str">
        <f ca="1">IF(S2002=Dashboard!$D$12,S2002,"")</f>
        <v/>
      </c>
      <c r="U2002" s="134" t="str">
        <f t="shared" ca="1" si="588"/>
        <v/>
      </c>
      <c r="V2002" s="83" t="str">
        <f ca="1">IF(U2002="","",IFERROR((RANK(U2002,$U$2:$U$2028,1)+COUNTIF($U$2:U2002,U2002))-1,""))</f>
        <v/>
      </c>
      <c r="W2002" s="134" t="str">
        <f t="shared" si="592"/>
        <v/>
      </c>
      <c r="X2002" s="134" t="str">
        <f>IF(W2002="","",IFERROR((RANK(W2002,$W$2:$W$2028,1)+COUNTIF($W$2:W2002,W2002))-1,""))</f>
        <v/>
      </c>
      <c r="Y2002" s="134" t="str">
        <f t="shared" si="589"/>
        <v/>
      </c>
      <c r="Z2002" s="134" t="str">
        <f>IF(Y2002="","",IFERROR((RANK(Y2002,$Y$2:$Y$2028,1)+COUNTIF($Y$2:Y2002,Y2002))-1,""))</f>
        <v/>
      </c>
      <c r="AA2002" s="134" t="str">
        <f t="shared" si="590"/>
        <v/>
      </c>
      <c r="AB2002" s="134" t="str">
        <f>IF(AA2002="","",IFERROR((RANK(AA2002,$AA$2:$AA$2028,1)+COUNTIF($AA$2:AA2002,AA2002))-1,""))</f>
        <v/>
      </c>
      <c r="AC2002" s="134" t="str">
        <f t="shared" si="591"/>
        <v/>
      </c>
      <c r="AD2002" s="134" t="str">
        <f>IF(AC2002="","",IFERROR((RANK(AC2002,$AC$2:$AC$2028,1)+COUNTIF($AC$2:AC2002,AC2002))-1,""))</f>
        <v/>
      </c>
      <c r="AE2002" s="144" t="str">
        <f t="shared" si="595"/>
        <v/>
      </c>
      <c r="AF2002" s="144" t="str">
        <f>IF(AE2002="","",SUM($AE$2:AE2002))</f>
        <v/>
      </c>
    </row>
    <row r="2003" spans="14:32" x14ac:dyDescent="0.35">
      <c r="N2003" s="134" t="str">
        <f t="shared" si="593"/>
        <v/>
      </c>
      <c r="O2003" s="82" t="str">
        <f t="shared" si="584"/>
        <v/>
      </c>
      <c r="P2003" s="81" t="str">
        <f t="shared" si="594"/>
        <v/>
      </c>
      <c r="Q2003" s="81" t="str">
        <f t="shared" si="585"/>
        <v/>
      </c>
      <c r="R2003" s="135" t="str">
        <f t="shared" ca="1" si="586"/>
        <v/>
      </c>
      <c r="S2003" s="134" t="str">
        <f t="shared" ca="1" si="587"/>
        <v/>
      </c>
      <c r="T2003" s="134" t="str">
        <f ca="1">IF(S2003=Dashboard!$D$12,S2003,"")</f>
        <v/>
      </c>
      <c r="U2003" s="134" t="str">
        <f t="shared" ca="1" si="588"/>
        <v/>
      </c>
      <c r="V2003" s="83" t="str">
        <f ca="1">IF(U2003="","",IFERROR((RANK(U2003,$U$2:$U$2028,1)+COUNTIF($U$2:U2003,U2003))-1,""))</f>
        <v/>
      </c>
      <c r="W2003" s="134" t="str">
        <f t="shared" si="592"/>
        <v/>
      </c>
      <c r="X2003" s="134" t="str">
        <f>IF(W2003="","",IFERROR((RANK(W2003,$W$2:$W$2028,1)+COUNTIF($W$2:W2003,W2003))-1,""))</f>
        <v/>
      </c>
      <c r="Y2003" s="134" t="str">
        <f t="shared" si="589"/>
        <v/>
      </c>
      <c r="Z2003" s="134" t="str">
        <f>IF(Y2003="","",IFERROR((RANK(Y2003,$Y$2:$Y$2028,1)+COUNTIF($Y$2:Y2003,Y2003))-1,""))</f>
        <v/>
      </c>
      <c r="AA2003" s="134" t="str">
        <f t="shared" si="590"/>
        <v/>
      </c>
      <c r="AB2003" s="134" t="str">
        <f>IF(AA2003="","",IFERROR((RANK(AA2003,$AA$2:$AA$2028,1)+COUNTIF($AA$2:AA2003,AA2003))-1,""))</f>
        <v/>
      </c>
      <c r="AC2003" s="134" t="str">
        <f t="shared" si="591"/>
        <v/>
      </c>
      <c r="AD2003" s="134" t="str">
        <f>IF(AC2003="","",IFERROR((RANK(AC2003,$AC$2:$AC$2028,1)+COUNTIF($AC$2:AC2003,AC2003))-1,""))</f>
        <v/>
      </c>
      <c r="AE2003" s="144" t="str">
        <f t="shared" si="595"/>
        <v/>
      </c>
      <c r="AF2003" s="144" t="str">
        <f>IF(AE2003="","",SUM($AE$2:AE2003))</f>
        <v/>
      </c>
    </row>
    <row r="2004" spans="14:32" x14ac:dyDescent="0.35">
      <c r="N2004" s="134" t="str">
        <f t="shared" si="593"/>
        <v/>
      </c>
      <c r="O2004" s="82" t="str">
        <f t="shared" si="584"/>
        <v/>
      </c>
      <c r="P2004" s="81" t="str">
        <f t="shared" si="594"/>
        <v/>
      </c>
      <c r="Q2004" s="81" t="str">
        <f t="shared" si="585"/>
        <v/>
      </c>
      <c r="R2004" s="135" t="str">
        <f t="shared" ca="1" si="586"/>
        <v/>
      </c>
      <c r="S2004" s="134" t="str">
        <f t="shared" ca="1" si="587"/>
        <v/>
      </c>
      <c r="T2004" s="134" t="str">
        <f ca="1">IF(S2004=Dashboard!$D$12,S2004,"")</f>
        <v/>
      </c>
      <c r="U2004" s="134" t="str">
        <f t="shared" ca="1" si="588"/>
        <v/>
      </c>
      <c r="V2004" s="83" t="str">
        <f ca="1">IF(U2004="","",IFERROR((RANK(U2004,$U$2:$U$2028,1)+COUNTIF($U$2:U2004,U2004))-1,""))</f>
        <v/>
      </c>
      <c r="W2004" s="134" t="str">
        <f t="shared" si="592"/>
        <v/>
      </c>
      <c r="X2004" s="134" t="str">
        <f>IF(W2004="","",IFERROR((RANK(W2004,$W$2:$W$2028,1)+COUNTIF($W$2:W2004,W2004))-1,""))</f>
        <v/>
      </c>
      <c r="Y2004" s="134" t="str">
        <f t="shared" si="589"/>
        <v/>
      </c>
      <c r="Z2004" s="134" t="str">
        <f>IF(Y2004="","",IFERROR((RANK(Y2004,$Y$2:$Y$2028,1)+COUNTIF($Y$2:Y2004,Y2004))-1,""))</f>
        <v/>
      </c>
      <c r="AA2004" s="134" t="str">
        <f t="shared" si="590"/>
        <v/>
      </c>
      <c r="AB2004" s="134" t="str">
        <f>IF(AA2004="","",IFERROR((RANK(AA2004,$AA$2:$AA$2028,1)+COUNTIF($AA$2:AA2004,AA2004))-1,""))</f>
        <v/>
      </c>
      <c r="AC2004" s="134" t="str">
        <f t="shared" si="591"/>
        <v/>
      </c>
      <c r="AD2004" s="134" t="str">
        <f>IF(AC2004="","",IFERROR((RANK(AC2004,$AC$2:$AC$2028,1)+COUNTIF($AC$2:AC2004,AC2004))-1,""))</f>
        <v/>
      </c>
      <c r="AE2004" s="144" t="str">
        <f t="shared" si="595"/>
        <v/>
      </c>
      <c r="AF2004" s="144" t="str">
        <f>IF(AE2004="","",SUM($AE$2:AE2004))</f>
        <v/>
      </c>
    </row>
    <row r="2005" spans="14:32" x14ac:dyDescent="0.35">
      <c r="N2005" s="134" t="str">
        <f t="shared" si="593"/>
        <v/>
      </c>
      <c r="O2005" s="82" t="str">
        <f t="shared" si="584"/>
        <v/>
      </c>
      <c r="P2005" s="81" t="str">
        <f t="shared" si="594"/>
        <v/>
      </c>
      <c r="Q2005" s="81" t="str">
        <f t="shared" si="585"/>
        <v/>
      </c>
      <c r="R2005" s="135" t="str">
        <f t="shared" ca="1" si="586"/>
        <v/>
      </c>
      <c r="S2005" s="134" t="str">
        <f t="shared" ca="1" si="587"/>
        <v/>
      </c>
      <c r="T2005" s="134" t="str">
        <f ca="1">IF(S2005=Dashboard!$D$12,S2005,"")</f>
        <v/>
      </c>
      <c r="U2005" s="134" t="str">
        <f t="shared" ca="1" si="588"/>
        <v/>
      </c>
      <c r="V2005" s="83" t="str">
        <f ca="1">IF(U2005="","",IFERROR((RANK(U2005,$U$2:$U$2028,1)+COUNTIF($U$2:U2005,U2005))-1,""))</f>
        <v/>
      </c>
      <c r="W2005" s="134" t="str">
        <f t="shared" si="592"/>
        <v/>
      </c>
      <c r="X2005" s="134" t="str">
        <f>IF(W2005="","",IFERROR((RANK(W2005,$W$2:$W$2028,1)+COUNTIF($W$2:W2005,W2005))-1,""))</f>
        <v/>
      </c>
      <c r="Y2005" s="134" t="str">
        <f t="shared" si="589"/>
        <v/>
      </c>
      <c r="Z2005" s="134" t="str">
        <f>IF(Y2005="","",IFERROR((RANK(Y2005,$Y$2:$Y$2028,1)+COUNTIF($Y$2:Y2005,Y2005))-1,""))</f>
        <v/>
      </c>
      <c r="AA2005" s="134" t="str">
        <f t="shared" si="590"/>
        <v/>
      </c>
      <c r="AB2005" s="134" t="str">
        <f>IF(AA2005="","",IFERROR((RANK(AA2005,$AA$2:$AA$2028,1)+COUNTIF($AA$2:AA2005,AA2005))-1,""))</f>
        <v/>
      </c>
      <c r="AC2005" s="134" t="str">
        <f t="shared" si="591"/>
        <v/>
      </c>
      <c r="AD2005" s="134" t="str">
        <f>IF(AC2005="","",IFERROR((RANK(AC2005,$AC$2:$AC$2028,1)+COUNTIF($AC$2:AC2005,AC2005))-1,""))</f>
        <v/>
      </c>
    </row>
    <row r="2006" spans="14:32" x14ac:dyDescent="0.35">
      <c r="N2006" s="134" t="str">
        <f t="shared" si="593"/>
        <v/>
      </c>
      <c r="O2006" s="82" t="str">
        <f t="shared" si="584"/>
        <v/>
      </c>
      <c r="P2006" s="81" t="str">
        <f t="shared" si="594"/>
        <v/>
      </c>
      <c r="Q2006" s="81" t="str">
        <f t="shared" si="585"/>
        <v/>
      </c>
      <c r="R2006" s="135" t="str">
        <f t="shared" ca="1" si="586"/>
        <v/>
      </c>
      <c r="S2006" s="134" t="str">
        <f t="shared" ca="1" si="587"/>
        <v/>
      </c>
      <c r="T2006" s="134" t="str">
        <f ca="1">IF(S2006=Dashboard!$D$12,S2006,"")</f>
        <v/>
      </c>
      <c r="U2006" s="134" t="str">
        <f t="shared" ca="1" si="588"/>
        <v/>
      </c>
      <c r="V2006" s="83" t="str">
        <f ca="1">IF(U2006="","",IFERROR((RANK(U2006,$U$2:$U$2028,1)+COUNTIF($U$2:U2006,U2006))-1,""))</f>
        <v/>
      </c>
      <c r="W2006" s="134" t="str">
        <f t="shared" si="592"/>
        <v/>
      </c>
      <c r="X2006" s="134" t="str">
        <f>IF(W2006="","",IFERROR((RANK(W2006,$W$2:$W$2028,1)+COUNTIF($W$2:W2006,W2006))-1,""))</f>
        <v/>
      </c>
      <c r="Y2006" s="134" t="str">
        <f t="shared" si="589"/>
        <v/>
      </c>
      <c r="Z2006" s="134" t="str">
        <f>IF(Y2006="","",IFERROR((RANK(Y2006,$Y$2:$Y$2028,1)+COUNTIF($Y$2:Y2006,Y2006))-1,""))</f>
        <v/>
      </c>
      <c r="AA2006" s="134" t="str">
        <f t="shared" si="590"/>
        <v/>
      </c>
      <c r="AB2006" s="134" t="str">
        <f>IF(AA2006="","",IFERROR((RANK(AA2006,$AA$2:$AA$2028,1)+COUNTIF($AA$2:AA2006,AA2006))-1,""))</f>
        <v/>
      </c>
      <c r="AC2006" s="134" t="str">
        <f t="shared" si="591"/>
        <v/>
      </c>
      <c r="AD2006" s="134" t="str">
        <f>IF(AC2006="","",IFERROR((RANK(AC2006,$AC$2:$AC$2028,1)+COUNTIF($AC$2:AC2006,AC2006))-1,""))</f>
        <v/>
      </c>
    </row>
    <row r="2007" spans="14:32" x14ac:dyDescent="0.35">
      <c r="N2007" s="134" t="str">
        <f t="shared" si="593"/>
        <v/>
      </c>
      <c r="O2007" s="82" t="str">
        <f t="shared" si="584"/>
        <v/>
      </c>
      <c r="P2007" s="81" t="str">
        <f t="shared" si="594"/>
        <v/>
      </c>
      <c r="Q2007" s="81" t="str">
        <f t="shared" si="585"/>
        <v/>
      </c>
      <c r="R2007" s="135" t="str">
        <f t="shared" ca="1" si="586"/>
        <v/>
      </c>
      <c r="S2007" s="134" t="str">
        <f t="shared" ca="1" si="587"/>
        <v/>
      </c>
      <c r="T2007" s="134" t="str">
        <f ca="1">IF(S2007=Dashboard!$D$12,S2007,"")</f>
        <v/>
      </c>
      <c r="U2007" s="134" t="str">
        <f t="shared" ca="1" si="588"/>
        <v/>
      </c>
      <c r="V2007" s="83" t="str">
        <f ca="1">IF(U2007="","",IFERROR((RANK(U2007,$U$2:$U$2028,1)+COUNTIF($U$2:U2007,U2007))-1,""))</f>
        <v/>
      </c>
      <c r="W2007" s="134" t="str">
        <f t="shared" si="592"/>
        <v/>
      </c>
      <c r="X2007" s="134" t="str">
        <f>IF(W2007="","",IFERROR((RANK(W2007,$W$2:$W$2028,1)+COUNTIF($W$2:W2007,W2007))-1,""))</f>
        <v/>
      </c>
      <c r="Y2007" s="134" t="str">
        <f t="shared" si="589"/>
        <v/>
      </c>
      <c r="Z2007" s="134" t="str">
        <f>IF(Y2007="","",IFERROR((RANK(Y2007,$Y$2:$Y$2028,1)+COUNTIF($Y$2:Y2007,Y2007))-1,""))</f>
        <v/>
      </c>
      <c r="AA2007" s="134" t="str">
        <f t="shared" si="590"/>
        <v/>
      </c>
      <c r="AB2007" s="134" t="str">
        <f>IF(AA2007="","",IFERROR((RANK(AA2007,$AA$2:$AA$2028,1)+COUNTIF($AA$2:AA2007,AA2007))-1,""))</f>
        <v/>
      </c>
      <c r="AC2007" s="134" t="str">
        <f t="shared" si="591"/>
        <v/>
      </c>
      <c r="AD2007" s="134" t="str">
        <f>IF(AC2007="","",IFERROR((RANK(AC2007,$AC$2:$AC$2028,1)+COUNTIF($AC$2:AC2007,AC2007))-1,""))</f>
        <v/>
      </c>
    </row>
    <row r="2008" spans="14:32" x14ac:dyDescent="0.35">
      <c r="N2008" s="134" t="str">
        <f t="shared" si="593"/>
        <v/>
      </c>
      <c r="O2008" s="82" t="str">
        <f t="shared" si="584"/>
        <v/>
      </c>
      <c r="P2008" s="81" t="str">
        <f t="shared" si="594"/>
        <v/>
      </c>
      <c r="Q2008" s="81" t="str">
        <f t="shared" si="585"/>
        <v/>
      </c>
      <c r="R2008" s="135" t="str">
        <f t="shared" ca="1" si="586"/>
        <v/>
      </c>
      <c r="S2008" s="134" t="str">
        <f t="shared" ca="1" si="587"/>
        <v/>
      </c>
      <c r="T2008" s="134" t="str">
        <f ca="1">IF(S2008=Dashboard!$D$12,S2008,"")</f>
        <v/>
      </c>
      <c r="U2008" s="134" t="str">
        <f t="shared" ca="1" si="588"/>
        <v/>
      </c>
      <c r="V2008" s="83" t="str">
        <f ca="1">IF(U2008="","",IFERROR((RANK(U2008,$U$2:$U$2028,1)+COUNTIF($U$2:U2008,U2008))-1,""))</f>
        <v/>
      </c>
      <c r="W2008" s="134" t="str">
        <f t="shared" si="592"/>
        <v/>
      </c>
      <c r="X2008" s="134" t="str">
        <f>IF(W2008="","",IFERROR((RANK(W2008,$W$2:$W$2028,1)+COUNTIF($W$2:W2008,W2008))-1,""))</f>
        <v/>
      </c>
      <c r="Y2008" s="134" t="str">
        <f t="shared" si="589"/>
        <v/>
      </c>
      <c r="Z2008" s="134" t="str">
        <f>IF(Y2008="","",IFERROR((RANK(Y2008,$Y$2:$Y$2028,1)+COUNTIF($Y$2:Y2008,Y2008))-1,""))</f>
        <v/>
      </c>
      <c r="AA2008" s="134" t="str">
        <f t="shared" si="590"/>
        <v/>
      </c>
      <c r="AB2008" s="134" t="str">
        <f>IF(AA2008="","",IFERROR((RANK(AA2008,$AA$2:$AA$2028,1)+COUNTIF($AA$2:AA2008,AA2008))-1,""))</f>
        <v/>
      </c>
      <c r="AC2008" s="134" t="str">
        <f t="shared" si="591"/>
        <v/>
      </c>
      <c r="AD2008" s="134" t="str">
        <f>IF(AC2008="","",IFERROR((RANK(AC2008,$AC$2:$AC$2028,1)+COUNTIF($AC$2:AC2008,AC2008))-1,""))</f>
        <v/>
      </c>
    </row>
    <row r="2009" spans="14:32" x14ac:dyDescent="0.35">
      <c r="N2009" s="134" t="str">
        <f t="shared" si="593"/>
        <v/>
      </c>
      <c r="O2009" s="82" t="str">
        <f t="shared" si="584"/>
        <v/>
      </c>
      <c r="P2009" s="81" t="str">
        <f t="shared" si="594"/>
        <v/>
      </c>
      <c r="Q2009" s="81" t="str">
        <f t="shared" si="585"/>
        <v/>
      </c>
      <c r="R2009" s="135" t="str">
        <f t="shared" ca="1" si="586"/>
        <v/>
      </c>
      <c r="S2009" s="134" t="str">
        <f t="shared" ca="1" si="587"/>
        <v/>
      </c>
      <c r="T2009" s="134" t="str">
        <f ca="1">IF(S2009=Dashboard!$D$12,S2009,"")</f>
        <v/>
      </c>
      <c r="U2009" s="134" t="str">
        <f t="shared" ca="1" si="588"/>
        <v/>
      </c>
      <c r="V2009" s="83" t="str">
        <f ca="1">IF(U2009="","",IFERROR((RANK(U2009,$U$2:$U$2028,1)+COUNTIF($U$2:U2009,U2009))-1,""))</f>
        <v/>
      </c>
      <c r="W2009" s="134" t="str">
        <f t="shared" si="592"/>
        <v/>
      </c>
      <c r="X2009" s="134" t="str">
        <f>IF(W2009="","",IFERROR((RANK(W2009,$W$2:$W$2028,1)+COUNTIF($W$2:W2009,W2009))-1,""))</f>
        <v/>
      </c>
      <c r="Y2009" s="134" t="str">
        <f t="shared" si="589"/>
        <v/>
      </c>
      <c r="Z2009" s="134" t="str">
        <f>IF(Y2009="","",IFERROR((RANK(Y2009,$Y$2:$Y$2028,1)+COUNTIF($Y$2:Y2009,Y2009))-1,""))</f>
        <v/>
      </c>
      <c r="AA2009" s="134" t="str">
        <f t="shared" si="590"/>
        <v/>
      </c>
      <c r="AB2009" s="134" t="str">
        <f>IF(AA2009="","",IFERROR((RANK(AA2009,$AA$2:$AA$2028,1)+COUNTIF($AA$2:AA2009,AA2009))-1,""))</f>
        <v/>
      </c>
      <c r="AC2009" s="134" t="str">
        <f t="shared" si="591"/>
        <v/>
      </c>
      <c r="AD2009" s="134" t="str">
        <f>IF(AC2009="","",IFERROR((RANK(AC2009,$AC$2:$AC$2028,1)+COUNTIF($AC$2:AC2009,AC2009))-1,""))</f>
        <v/>
      </c>
    </row>
    <row r="2010" spans="14:32" x14ac:dyDescent="0.35">
      <c r="N2010" s="134" t="str">
        <f t="shared" si="593"/>
        <v/>
      </c>
      <c r="O2010" s="82" t="str">
        <f t="shared" si="584"/>
        <v/>
      </c>
      <c r="P2010" s="81" t="str">
        <f t="shared" si="594"/>
        <v/>
      </c>
      <c r="Q2010" s="81" t="str">
        <f t="shared" si="585"/>
        <v/>
      </c>
      <c r="R2010" s="135" t="str">
        <f t="shared" ca="1" si="586"/>
        <v/>
      </c>
      <c r="S2010" s="134" t="str">
        <f t="shared" ca="1" si="587"/>
        <v/>
      </c>
      <c r="T2010" s="134" t="str">
        <f ca="1">IF(S2010=Dashboard!$D$12,S2010,"")</f>
        <v/>
      </c>
      <c r="U2010" s="134" t="str">
        <f t="shared" ca="1" si="588"/>
        <v/>
      </c>
      <c r="V2010" s="83" t="str">
        <f ca="1">IF(U2010="","",IFERROR((RANK(U2010,$U$2:$U$2028,1)+COUNTIF($U$2:U2010,U2010))-1,""))</f>
        <v/>
      </c>
      <c r="W2010" s="134" t="str">
        <f t="shared" si="592"/>
        <v/>
      </c>
      <c r="X2010" s="134" t="str">
        <f>IF(W2010="","",IFERROR((RANK(W2010,$W$2:$W$2028,1)+COUNTIF($W$2:W2010,W2010))-1,""))</f>
        <v/>
      </c>
      <c r="Y2010" s="134" t="str">
        <f t="shared" si="589"/>
        <v/>
      </c>
      <c r="Z2010" s="134" t="str">
        <f>IF(Y2010="","",IFERROR((RANK(Y2010,$Y$2:$Y$2028,1)+COUNTIF($Y$2:Y2010,Y2010))-1,""))</f>
        <v/>
      </c>
      <c r="AA2010" s="134" t="str">
        <f t="shared" si="590"/>
        <v/>
      </c>
      <c r="AB2010" s="134" t="str">
        <f>IF(AA2010="","",IFERROR((RANK(AA2010,$AA$2:$AA$2028,1)+COUNTIF($AA$2:AA2010,AA2010))-1,""))</f>
        <v/>
      </c>
      <c r="AC2010" s="134" t="str">
        <f t="shared" si="591"/>
        <v/>
      </c>
      <c r="AD2010" s="134" t="str">
        <f>IF(AC2010="","",IFERROR((RANK(AC2010,$AC$2:$AC$2028,1)+COUNTIF($AC$2:AC2010,AC2010))-1,""))</f>
        <v/>
      </c>
    </row>
    <row r="2011" spans="14:32" x14ac:dyDescent="0.35">
      <c r="N2011" s="134" t="str">
        <f t="shared" si="593"/>
        <v/>
      </c>
      <c r="O2011" s="82" t="str">
        <f t="shared" si="584"/>
        <v/>
      </c>
      <c r="P2011" s="81" t="str">
        <f t="shared" si="594"/>
        <v/>
      </c>
      <c r="Q2011" s="81" t="str">
        <f t="shared" si="585"/>
        <v/>
      </c>
      <c r="R2011" s="135" t="str">
        <f t="shared" ca="1" si="586"/>
        <v/>
      </c>
      <c r="S2011" s="134" t="str">
        <f t="shared" ca="1" si="587"/>
        <v/>
      </c>
      <c r="T2011" s="134" t="str">
        <f ca="1">IF(S2011=Dashboard!$D$12,S2011,"")</f>
        <v/>
      </c>
      <c r="U2011" s="134" t="str">
        <f t="shared" ca="1" si="588"/>
        <v/>
      </c>
      <c r="V2011" s="83" t="str">
        <f ca="1">IF(U2011="","",IFERROR((RANK(U2011,$U$2:$U$2028,1)+COUNTIF($U$2:U2011,U2011))-1,""))</f>
        <v/>
      </c>
      <c r="W2011" s="134" t="str">
        <f t="shared" si="592"/>
        <v/>
      </c>
      <c r="X2011" s="134" t="str">
        <f>IF(W2011="","",IFERROR((RANK(W2011,$W$2:$W$2028,1)+COUNTIF($W$2:W2011,W2011))-1,""))</f>
        <v/>
      </c>
      <c r="Y2011" s="134" t="str">
        <f t="shared" si="589"/>
        <v/>
      </c>
      <c r="Z2011" s="134" t="str">
        <f>IF(Y2011="","",IFERROR((RANK(Y2011,$Y$2:$Y$2028,1)+COUNTIF($Y$2:Y2011,Y2011))-1,""))</f>
        <v/>
      </c>
      <c r="AA2011" s="134" t="str">
        <f t="shared" si="590"/>
        <v/>
      </c>
      <c r="AB2011" s="134" t="str">
        <f>IF(AA2011="","",IFERROR((RANK(AA2011,$AA$2:$AA$2028,1)+COUNTIF($AA$2:AA2011,AA2011))-1,""))</f>
        <v/>
      </c>
      <c r="AC2011" s="134" t="str">
        <f t="shared" si="591"/>
        <v/>
      </c>
      <c r="AD2011" s="134" t="str">
        <f>IF(AC2011="","",IFERROR((RANK(AC2011,$AC$2:$AC$2028,1)+COUNTIF($AC$2:AC2011,AC2011))-1,""))</f>
        <v/>
      </c>
    </row>
    <row r="2012" spans="14:32" x14ac:dyDescent="0.35">
      <c r="N2012" s="134" t="str">
        <f t="shared" si="593"/>
        <v/>
      </c>
      <c r="O2012" s="82" t="str">
        <f t="shared" si="584"/>
        <v/>
      </c>
      <c r="P2012" s="81" t="str">
        <f t="shared" si="594"/>
        <v/>
      </c>
      <c r="Q2012" s="81" t="str">
        <f t="shared" si="585"/>
        <v/>
      </c>
      <c r="R2012" s="135" t="str">
        <f t="shared" ca="1" si="586"/>
        <v/>
      </c>
      <c r="S2012" s="134" t="str">
        <f t="shared" ca="1" si="587"/>
        <v/>
      </c>
      <c r="T2012" s="134" t="str">
        <f ca="1">IF(S2012=Dashboard!$D$12,S2012,"")</f>
        <v/>
      </c>
      <c r="U2012" s="134" t="str">
        <f t="shared" ca="1" si="588"/>
        <v/>
      </c>
      <c r="V2012" s="83" t="str">
        <f ca="1">IF(U2012="","",IFERROR((RANK(U2012,$U$2:$U$2028,1)+COUNTIF($U$2:U2012,U2012))-1,""))</f>
        <v/>
      </c>
      <c r="W2012" s="134" t="str">
        <f t="shared" si="592"/>
        <v/>
      </c>
      <c r="X2012" s="134" t="str">
        <f>IF(W2012="","",IFERROR((RANK(W2012,$W$2:$W$2028,1)+COUNTIF($W$2:W2012,W2012))-1,""))</f>
        <v/>
      </c>
      <c r="Y2012" s="134" t="str">
        <f t="shared" si="589"/>
        <v/>
      </c>
      <c r="Z2012" s="134" t="str">
        <f>IF(Y2012="","",IFERROR((RANK(Y2012,$Y$2:$Y$2028,1)+COUNTIF($Y$2:Y2012,Y2012))-1,""))</f>
        <v/>
      </c>
      <c r="AA2012" s="134" t="str">
        <f t="shared" si="590"/>
        <v/>
      </c>
      <c r="AB2012" s="134" t="str">
        <f>IF(AA2012="","",IFERROR((RANK(AA2012,$AA$2:$AA$2028,1)+COUNTIF($AA$2:AA2012,AA2012))-1,""))</f>
        <v/>
      </c>
      <c r="AC2012" s="134" t="str">
        <f t="shared" si="591"/>
        <v/>
      </c>
      <c r="AD2012" s="134" t="str">
        <f>IF(AC2012="","",IFERROR((RANK(AC2012,$AC$2:$AC$2028,1)+COUNTIF($AC$2:AC2012,AC2012))-1,""))</f>
        <v/>
      </c>
    </row>
    <row r="2013" spans="14:32" x14ac:dyDescent="0.35">
      <c r="N2013" s="134" t="str">
        <f t="shared" si="593"/>
        <v/>
      </c>
      <c r="O2013" s="82" t="str">
        <f t="shared" si="584"/>
        <v/>
      </c>
      <c r="P2013" s="81" t="str">
        <f t="shared" si="594"/>
        <v/>
      </c>
      <c r="Q2013" s="81" t="str">
        <f t="shared" si="585"/>
        <v/>
      </c>
      <c r="R2013" s="135" t="str">
        <f t="shared" ca="1" si="586"/>
        <v/>
      </c>
      <c r="S2013" s="134" t="str">
        <f t="shared" ca="1" si="587"/>
        <v/>
      </c>
      <c r="T2013" s="134" t="str">
        <f ca="1">IF(S2013=Dashboard!$D$12,S2013,"")</f>
        <v/>
      </c>
      <c r="U2013" s="134" t="str">
        <f t="shared" ca="1" si="588"/>
        <v/>
      </c>
      <c r="V2013" s="83" t="str">
        <f ca="1">IF(U2013="","",IFERROR((RANK(U2013,$U$2:$U$2028,1)+COUNTIF($U$2:U2013,U2013))-1,""))</f>
        <v/>
      </c>
      <c r="W2013" s="134" t="str">
        <f t="shared" si="592"/>
        <v/>
      </c>
      <c r="X2013" s="134" t="str">
        <f>IF(W2013="","",IFERROR((RANK(W2013,$W$2:$W$2028,1)+COUNTIF($W$2:W2013,W2013))-1,""))</f>
        <v/>
      </c>
      <c r="Y2013" s="134" t="str">
        <f t="shared" si="589"/>
        <v/>
      </c>
      <c r="Z2013" s="134" t="str">
        <f>IF(Y2013="","",IFERROR((RANK(Y2013,$Y$2:$Y$2028,1)+COUNTIF($Y$2:Y2013,Y2013))-1,""))</f>
        <v/>
      </c>
      <c r="AA2013" s="134" t="str">
        <f t="shared" si="590"/>
        <v/>
      </c>
      <c r="AB2013" s="134" t="str">
        <f>IF(AA2013="","",IFERROR((RANK(AA2013,$AA$2:$AA$2028,1)+COUNTIF($AA$2:AA2013,AA2013))-1,""))</f>
        <v/>
      </c>
      <c r="AC2013" s="134" t="str">
        <f t="shared" si="591"/>
        <v/>
      </c>
      <c r="AD2013" s="134" t="str">
        <f>IF(AC2013="","",IFERROR((RANK(AC2013,$AC$2:$AC$2028,1)+COUNTIF($AC$2:AC2013,AC2013))-1,""))</f>
        <v/>
      </c>
    </row>
    <row r="2014" spans="14:32" x14ac:dyDescent="0.35">
      <c r="N2014" s="134" t="str">
        <f t="shared" si="593"/>
        <v/>
      </c>
      <c r="O2014" s="82" t="str">
        <f t="shared" ref="O2014:O2028" si="596">IF(A2014="","",N2014&amp;"-"&amp;M2014)</f>
        <v/>
      </c>
      <c r="P2014" s="81" t="str">
        <f t="shared" si="594"/>
        <v/>
      </c>
      <c r="Q2014" s="81" t="str">
        <f t="shared" ref="Q2014:Q2028" si="597">IF(A2014="","",IF(P2014=1,M2014,""))</f>
        <v/>
      </c>
      <c r="R2014" s="135" t="str">
        <f t="shared" ref="R2014:R2028" ca="1" si="598">IF(Q2014="","",I2014-TODAY())</f>
        <v/>
      </c>
      <c r="S2014" s="134" t="str">
        <f t="shared" ref="S2014:S2028" ca="1" si="599">IF(R2014="","",
IF(R2014&lt;-90,"Pass&gt;90",IF(R2014&lt;-60,"Pass 61-90",IF(R2014&lt;-30,"Pass 31-60",IF(R2014&lt;0,"Pass 0-30",IF(R2014&lt;31,"Run 0-30",IF(R2014&lt;61,"Run 31-60",IF(R2014&lt;91,"Run 60-90","Run &gt;90"))))))))</f>
        <v/>
      </c>
      <c r="T2014" s="134" t="str">
        <f ca="1">IF(S2014=Dashboard!$D$12,S2014,"")</f>
        <v/>
      </c>
      <c r="U2014" s="134" t="str">
        <f t="shared" ref="U2014:U2028" ca="1" si="600">IF(T2014="","",R2014)</f>
        <v/>
      </c>
      <c r="V2014" s="83" t="str">
        <f ca="1">IF(U2014="","",IFERROR((RANK(U2014,$U$2:$U$2028,1)+COUNTIF($U$2:U2014,U2014))-1,""))</f>
        <v/>
      </c>
      <c r="W2014" s="134" t="str">
        <f t="shared" si="592"/>
        <v/>
      </c>
      <c r="X2014" s="134" t="str">
        <f>IF(W2014="","",IFERROR((RANK(W2014,$W$2:$W$2028,1)+COUNTIF($W$2:W2014,W2014))-1,""))</f>
        <v/>
      </c>
      <c r="Y2014" s="134" t="str">
        <f t="shared" ref="Y2014:Y2028" si="601">IF($J2014=Y$1,$U2014,"")</f>
        <v/>
      </c>
      <c r="Z2014" s="134" t="str">
        <f>IF(Y2014="","",IFERROR((RANK(Y2014,$Y$2:$Y$2028,1)+COUNTIF($Y$2:Y2014,Y2014))-1,""))</f>
        <v/>
      </c>
      <c r="AA2014" s="134" t="str">
        <f t="shared" ref="AA2014:AA2028" si="602">IF($J2014=AA$1,$U2014,"")</f>
        <v/>
      </c>
      <c r="AB2014" s="134" t="str">
        <f>IF(AA2014="","",IFERROR((RANK(AA2014,$AA$2:$AA$2028,1)+COUNTIF($AA$2:AA2014,AA2014))-1,""))</f>
        <v/>
      </c>
      <c r="AC2014" s="134" t="str">
        <f t="shared" ref="AC2014:AC2028" si="603">IF($J2014=AC$1,$U2014,"")</f>
        <v/>
      </c>
      <c r="AD2014" s="134" t="str">
        <f>IF(AC2014="","",IFERROR((RANK(AC2014,$AC$2:$AC$2028,1)+COUNTIF($AC$2:AC2014,AC2014))-1,""))</f>
        <v/>
      </c>
    </row>
    <row r="2015" spans="14:32" x14ac:dyDescent="0.35">
      <c r="N2015" s="134" t="str">
        <f t="shared" si="593"/>
        <v/>
      </c>
      <c r="O2015" s="82" t="str">
        <f t="shared" si="596"/>
        <v/>
      </c>
      <c r="P2015" s="81" t="str">
        <f t="shared" si="594"/>
        <v/>
      </c>
      <c r="Q2015" s="81" t="str">
        <f t="shared" si="597"/>
        <v/>
      </c>
      <c r="R2015" s="135" t="str">
        <f t="shared" ca="1" si="598"/>
        <v/>
      </c>
      <c r="S2015" s="134" t="str">
        <f t="shared" ca="1" si="599"/>
        <v/>
      </c>
      <c r="T2015" s="134" t="str">
        <f ca="1">IF(S2015=Dashboard!$D$12,S2015,"")</f>
        <v/>
      </c>
      <c r="U2015" s="134" t="str">
        <f t="shared" ca="1" si="600"/>
        <v/>
      </c>
      <c r="V2015" s="83" t="str">
        <f ca="1">IF(U2015="","",IFERROR((RANK(U2015,$U$2:$U$2028,1)+COUNTIF($U$2:U2015,U2015))-1,""))</f>
        <v/>
      </c>
      <c r="W2015" s="134" t="str">
        <f t="shared" ref="W2015:W2028" si="604">IF($J2015=$W$1,U2015,"")</f>
        <v/>
      </c>
      <c r="X2015" s="134" t="str">
        <f>IF(W2015="","",IFERROR((RANK(W2015,$W$2:$W$2028,1)+COUNTIF($W$2:W2015,W2015))-1,""))</f>
        <v/>
      </c>
      <c r="Y2015" s="134" t="str">
        <f t="shared" si="601"/>
        <v/>
      </c>
      <c r="Z2015" s="134" t="str">
        <f>IF(Y2015="","",IFERROR((RANK(Y2015,$Y$2:$Y$2028,1)+COUNTIF($Y$2:Y2015,Y2015))-1,""))</f>
        <v/>
      </c>
      <c r="AA2015" s="134" t="str">
        <f t="shared" si="602"/>
        <v/>
      </c>
      <c r="AB2015" s="134" t="str">
        <f>IF(AA2015="","",IFERROR((RANK(AA2015,$AA$2:$AA$2028,1)+COUNTIF($AA$2:AA2015,AA2015))-1,""))</f>
        <v/>
      </c>
      <c r="AC2015" s="134" t="str">
        <f t="shared" si="603"/>
        <v/>
      </c>
      <c r="AD2015" s="134" t="str">
        <f>IF(AC2015="","",IFERROR((RANK(AC2015,$AC$2:$AC$2028,1)+COUNTIF($AC$2:AC2015,AC2015))-1,""))</f>
        <v/>
      </c>
    </row>
    <row r="2016" spans="14:32" x14ac:dyDescent="0.35">
      <c r="N2016" s="134" t="str">
        <f t="shared" si="593"/>
        <v/>
      </c>
      <c r="O2016" s="82" t="str">
        <f t="shared" si="596"/>
        <v/>
      </c>
      <c r="P2016" s="81" t="str">
        <f t="shared" si="594"/>
        <v/>
      </c>
      <c r="Q2016" s="81" t="str">
        <f t="shared" si="597"/>
        <v/>
      </c>
      <c r="R2016" s="135" t="str">
        <f t="shared" ca="1" si="598"/>
        <v/>
      </c>
      <c r="S2016" s="134" t="str">
        <f t="shared" ca="1" si="599"/>
        <v/>
      </c>
      <c r="T2016" s="134" t="str">
        <f ca="1">IF(S2016=Dashboard!$D$12,S2016,"")</f>
        <v/>
      </c>
      <c r="U2016" s="134" t="str">
        <f t="shared" ca="1" si="600"/>
        <v/>
      </c>
      <c r="V2016" s="83" t="str">
        <f ca="1">IF(U2016="","",IFERROR((RANK(U2016,$U$2:$U$2028,1)+COUNTIF($U$2:U2016,U2016))-1,""))</f>
        <v/>
      </c>
      <c r="W2016" s="134" t="str">
        <f t="shared" si="604"/>
        <v/>
      </c>
      <c r="X2016" s="134" t="str">
        <f>IF(W2016="","",IFERROR((RANK(W2016,$W$2:$W$2028,1)+COUNTIF($W$2:W2016,W2016))-1,""))</f>
        <v/>
      </c>
      <c r="Y2016" s="134" t="str">
        <f t="shared" si="601"/>
        <v/>
      </c>
      <c r="Z2016" s="134" t="str">
        <f>IF(Y2016="","",IFERROR((RANK(Y2016,$Y$2:$Y$2028,1)+COUNTIF($Y$2:Y2016,Y2016))-1,""))</f>
        <v/>
      </c>
      <c r="AA2016" s="134" t="str">
        <f t="shared" si="602"/>
        <v/>
      </c>
      <c r="AB2016" s="134" t="str">
        <f>IF(AA2016="","",IFERROR((RANK(AA2016,$AA$2:$AA$2028,1)+COUNTIF($AA$2:AA2016,AA2016))-1,""))</f>
        <v/>
      </c>
      <c r="AC2016" s="134" t="str">
        <f t="shared" si="603"/>
        <v/>
      </c>
      <c r="AD2016" s="134" t="str">
        <f>IF(AC2016="","",IFERROR((RANK(AC2016,$AC$2:$AC$2028,1)+COUNTIF($AC$2:AC2016,AC2016))-1,""))</f>
        <v/>
      </c>
    </row>
    <row r="2017" spans="14:30" x14ac:dyDescent="0.35">
      <c r="N2017" s="134" t="str">
        <f t="shared" si="593"/>
        <v/>
      </c>
      <c r="O2017" s="82" t="str">
        <f t="shared" si="596"/>
        <v/>
      </c>
      <c r="P2017" s="81" t="str">
        <f t="shared" si="594"/>
        <v/>
      </c>
      <c r="Q2017" s="81" t="str">
        <f t="shared" si="597"/>
        <v/>
      </c>
      <c r="R2017" s="135" t="str">
        <f t="shared" ca="1" si="598"/>
        <v/>
      </c>
      <c r="S2017" s="134" t="str">
        <f t="shared" ca="1" si="599"/>
        <v/>
      </c>
      <c r="T2017" s="134" t="str">
        <f ca="1">IF(S2017=Dashboard!$D$12,S2017,"")</f>
        <v/>
      </c>
      <c r="U2017" s="134" t="str">
        <f t="shared" ca="1" si="600"/>
        <v/>
      </c>
      <c r="V2017" s="83" t="str">
        <f ca="1">IF(U2017="","",IFERROR((RANK(U2017,$U$2:$U$2028,1)+COUNTIF($U$2:U2017,U2017))-1,""))</f>
        <v/>
      </c>
      <c r="W2017" s="134" t="str">
        <f t="shared" si="604"/>
        <v/>
      </c>
      <c r="X2017" s="134" t="str">
        <f>IF(W2017="","",IFERROR((RANK(W2017,$W$2:$W$2028,1)+COUNTIF($W$2:W2017,W2017))-1,""))</f>
        <v/>
      </c>
      <c r="Y2017" s="134" t="str">
        <f t="shared" si="601"/>
        <v/>
      </c>
      <c r="Z2017" s="134" t="str">
        <f>IF(Y2017="","",IFERROR((RANK(Y2017,$Y$2:$Y$2028,1)+COUNTIF($Y$2:Y2017,Y2017))-1,""))</f>
        <v/>
      </c>
      <c r="AA2017" s="134" t="str">
        <f t="shared" si="602"/>
        <v/>
      </c>
      <c r="AB2017" s="134" t="str">
        <f>IF(AA2017="","",IFERROR((RANK(AA2017,$AA$2:$AA$2028,1)+COUNTIF($AA$2:AA2017,AA2017))-1,""))</f>
        <v/>
      </c>
      <c r="AC2017" s="134" t="str">
        <f t="shared" si="603"/>
        <v/>
      </c>
      <c r="AD2017" s="134" t="str">
        <f>IF(AC2017="","",IFERROR((RANK(AC2017,$AC$2:$AC$2028,1)+COUNTIF($AC$2:AC2017,AC2017))-1,""))</f>
        <v/>
      </c>
    </row>
    <row r="2018" spans="14:30" x14ac:dyDescent="0.35">
      <c r="N2018" s="134" t="str">
        <f t="shared" si="593"/>
        <v/>
      </c>
      <c r="O2018" s="82" t="str">
        <f t="shared" si="596"/>
        <v/>
      </c>
      <c r="P2018" s="81" t="str">
        <f t="shared" si="594"/>
        <v/>
      </c>
      <c r="Q2018" s="81" t="str">
        <f t="shared" si="597"/>
        <v/>
      </c>
      <c r="R2018" s="135" t="str">
        <f t="shared" ca="1" si="598"/>
        <v/>
      </c>
      <c r="S2018" s="134" t="str">
        <f t="shared" ca="1" si="599"/>
        <v/>
      </c>
      <c r="T2018" s="134" t="str">
        <f ca="1">IF(S2018=Dashboard!$D$12,S2018,"")</f>
        <v/>
      </c>
      <c r="U2018" s="134" t="str">
        <f t="shared" ca="1" si="600"/>
        <v/>
      </c>
      <c r="V2018" s="83" t="str">
        <f ca="1">IF(U2018="","",IFERROR((RANK(U2018,$U$2:$U$2028,1)+COUNTIF($U$2:U2018,U2018))-1,""))</f>
        <v/>
      </c>
      <c r="W2018" s="134" t="str">
        <f t="shared" si="604"/>
        <v/>
      </c>
      <c r="X2018" s="134" t="str">
        <f>IF(W2018="","",IFERROR((RANK(W2018,$W$2:$W$2028,1)+COUNTIF($W$2:W2018,W2018))-1,""))</f>
        <v/>
      </c>
      <c r="Y2018" s="134" t="str">
        <f t="shared" si="601"/>
        <v/>
      </c>
      <c r="Z2018" s="134" t="str">
        <f>IF(Y2018="","",IFERROR((RANK(Y2018,$Y$2:$Y$2028,1)+COUNTIF($Y$2:Y2018,Y2018))-1,""))</f>
        <v/>
      </c>
      <c r="AA2018" s="134" t="str">
        <f t="shared" si="602"/>
        <v/>
      </c>
      <c r="AB2018" s="134" t="str">
        <f>IF(AA2018="","",IFERROR((RANK(AA2018,$AA$2:$AA$2028,1)+COUNTIF($AA$2:AA2018,AA2018))-1,""))</f>
        <v/>
      </c>
      <c r="AC2018" s="134" t="str">
        <f t="shared" si="603"/>
        <v/>
      </c>
      <c r="AD2018" s="134" t="str">
        <f>IF(AC2018="","",IFERROR((RANK(AC2018,$AC$2:$AC$2028,1)+COUNTIF($AC$2:AC2018,AC2018))-1,""))</f>
        <v/>
      </c>
    </row>
    <row r="2019" spans="14:30" x14ac:dyDescent="0.35">
      <c r="N2019" s="134" t="str">
        <f t="shared" si="593"/>
        <v/>
      </c>
      <c r="O2019" s="82" t="str">
        <f t="shared" si="596"/>
        <v/>
      </c>
      <c r="P2019" s="81" t="str">
        <f t="shared" si="594"/>
        <v/>
      </c>
      <c r="Q2019" s="81" t="str">
        <f t="shared" si="597"/>
        <v/>
      </c>
      <c r="R2019" s="135" t="str">
        <f t="shared" ca="1" si="598"/>
        <v/>
      </c>
      <c r="S2019" s="134" t="str">
        <f t="shared" ca="1" si="599"/>
        <v/>
      </c>
      <c r="T2019" s="134" t="str">
        <f ca="1">IF(S2019=Dashboard!$D$12,S2019,"")</f>
        <v/>
      </c>
      <c r="U2019" s="134" t="str">
        <f t="shared" ca="1" si="600"/>
        <v/>
      </c>
      <c r="V2019" s="83" t="str">
        <f ca="1">IF(U2019="","",IFERROR((RANK(U2019,$U$2:$U$2028,1)+COUNTIF($U$2:U2019,U2019))-1,""))</f>
        <v/>
      </c>
      <c r="W2019" s="134" t="str">
        <f t="shared" si="604"/>
        <v/>
      </c>
      <c r="X2019" s="134" t="str">
        <f>IF(W2019="","",IFERROR((RANK(W2019,$W$2:$W$2028,1)+COUNTIF($W$2:W2019,W2019))-1,""))</f>
        <v/>
      </c>
      <c r="Y2019" s="134" t="str">
        <f t="shared" si="601"/>
        <v/>
      </c>
      <c r="Z2019" s="134" t="str">
        <f>IF(Y2019="","",IFERROR((RANK(Y2019,$Y$2:$Y$2028,1)+COUNTIF($Y$2:Y2019,Y2019))-1,""))</f>
        <v/>
      </c>
      <c r="AA2019" s="134" t="str">
        <f t="shared" si="602"/>
        <v/>
      </c>
      <c r="AB2019" s="134" t="str">
        <f>IF(AA2019="","",IFERROR((RANK(AA2019,$AA$2:$AA$2028,1)+COUNTIF($AA$2:AA2019,AA2019))-1,""))</f>
        <v/>
      </c>
      <c r="AC2019" s="134" t="str">
        <f t="shared" si="603"/>
        <v/>
      </c>
      <c r="AD2019" s="134" t="str">
        <f>IF(AC2019="","",IFERROR((RANK(AC2019,$AC$2:$AC$2028,1)+COUNTIF($AC$2:AC2019,AC2019))-1,""))</f>
        <v/>
      </c>
    </row>
    <row r="2020" spans="14:30" x14ac:dyDescent="0.35">
      <c r="N2020" s="134" t="str">
        <f t="shared" si="593"/>
        <v/>
      </c>
      <c r="O2020" s="82" t="str">
        <f t="shared" si="596"/>
        <v/>
      </c>
      <c r="P2020" s="81" t="str">
        <f t="shared" si="594"/>
        <v/>
      </c>
      <c r="Q2020" s="81" t="str">
        <f t="shared" si="597"/>
        <v/>
      </c>
      <c r="R2020" s="135" t="str">
        <f t="shared" ca="1" si="598"/>
        <v/>
      </c>
      <c r="S2020" s="134" t="str">
        <f t="shared" ca="1" si="599"/>
        <v/>
      </c>
      <c r="T2020" s="134" t="str">
        <f ca="1">IF(S2020=Dashboard!$D$12,S2020,"")</f>
        <v/>
      </c>
      <c r="U2020" s="134" t="str">
        <f t="shared" ca="1" si="600"/>
        <v/>
      </c>
      <c r="V2020" s="83" t="str">
        <f ca="1">IF(U2020="","",IFERROR((RANK(U2020,$U$2:$U$2028,1)+COUNTIF($U$2:U2020,U2020))-1,""))</f>
        <v/>
      </c>
      <c r="W2020" s="134" t="str">
        <f t="shared" si="604"/>
        <v/>
      </c>
      <c r="X2020" s="134" t="str">
        <f>IF(W2020="","",IFERROR((RANK(W2020,$W$2:$W$2028,1)+COUNTIF($W$2:W2020,W2020))-1,""))</f>
        <v/>
      </c>
      <c r="Y2020" s="134" t="str">
        <f t="shared" si="601"/>
        <v/>
      </c>
      <c r="Z2020" s="134" t="str">
        <f>IF(Y2020="","",IFERROR((RANK(Y2020,$Y$2:$Y$2028,1)+COUNTIF($Y$2:Y2020,Y2020))-1,""))</f>
        <v/>
      </c>
      <c r="AA2020" s="134" t="str">
        <f t="shared" si="602"/>
        <v/>
      </c>
      <c r="AB2020" s="134" t="str">
        <f>IF(AA2020="","",IFERROR((RANK(AA2020,$AA$2:$AA$2028,1)+COUNTIF($AA$2:AA2020,AA2020))-1,""))</f>
        <v/>
      </c>
      <c r="AC2020" s="134" t="str">
        <f t="shared" si="603"/>
        <v/>
      </c>
      <c r="AD2020" s="134" t="str">
        <f>IF(AC2020="","",IFERROR((RANK(AC2020,$AC$2:$AC$2028,1)+COUNTIF($AC$2:AC2020,AC2020))-1,""))</f>
        <v/>
      </c>
    </row>
    <row r="2021" spans="14:30" x14ac:dyDescent="0.35">
      <c r="N2021" s="134" t="str">
        <f t="shared" si="593"/>
        <v/>
      </c>
      <c r="O2021" s="82" t="str">
        <f t="shared" si="596"/>
        <v/>
      </c>
      <c r="P2021" s="81" t="str">
        <f t="shared" si="594"/>
        <v/>
      </c>
      <c r="Q2021" s="81" t="str">
        <f t="shared" si="597"/>
        <v/>
      </c>
      <c r="R2021" s="135" t="str">
        <f t="shared" ca="1" si="598"/>
        <v/>
      </c>
      <c r="S2021" s="134" t="str">
        <f t="shared" ca="1" si="599"/>
        <v/>
      </c>
      <c r="T2021" s="134" t="str">
        <f ca="1">IF(S2021=Dashboard!$D$12,S2021,"")</f>
        <v/>
      </c>
      <c r="U2021" s="134" t="str">
        <f t="shared" ca="1" si="600"/>
        <v/>
      </c>
      <c r="V2021" s="83" t="str">
        <f ca="1">IF(U2021="","",IFERROR((RANK(U2021,$U$2:$U$2028,1)+COUNTIF($U$2:U2021,U2021))-1,""))</f>
        <v/>
      </c>
      <c r="W2021" s="134" t="str">
        <f t="shared" si="604"/>
        <v/>
      </c>
      <c r="X2021" s="134" t="str">
        <f>IF(W2021="","",IFERROR((RANK(W2021,$W$2:$W$2028,1)+COUNTIF($W$2:W2021,W2021))-1,""))</f>
        <v/>
      </c>
      <c r="Y2021" s="134" t="str">
        <f t="shared" si="601"/>
        <v/>
      </c>
      <c r="Z2021" s="134" t="str">
        <f>IF(Y2021="","",IFERROR((RANK(Y2021,$Y$2:$Y$2028,1)+COUNTIF($Y$2:Y2021,Y2021))-1,""))</f>
        <v/>
      </c>
      <c r="AA2021" s="134" t="str">
        <f t="shared" si="602"/>
        <v/>
      </c>
      <c r="AB2021" s="134" t="str">
        <f>IF(AA2021="","",IFERROR((RANK(AA2021,$AA$2:$AA$2028,1)+COUNTIF($AA$2:AA2021,AA2021))-1,""))</f>
        <v/>
      </c>
      <c r="AC2021" s="134" t="str">
        <f t="shared" si="603"/>
        <v/>
      </c>
      <c r="AD2021" s="134" t="str">
        <f>IF(AC2021="","",IFERROR((RANK(AC2021,$AC$2:$AC$2028,1)+COUNTIF($AC$2:AC2021,AC2021))-1,""))</f>
        <v/>
      </c>
    </row>
    <row r="2022" spans="14:30" x14ac:dyDescent="0.35">
      <c r="N2022" s="134" t="str">
        <f t="shared" si="593"/>
        <v/>
      </c>
      <c r="O2022" s="82" t="str">
        <f t="shared" si="596"/>
        <v/>
      </c>
      <c r="P2022" s="81" t="str">
        <f t="shared" si="594"/>
        <v/>
      </c>
      <c r="Q2022" s="81" t="str">
        <f t="shared" si="597"/>
        <v/>
      </c>
      <c r="R2022" s="135" t="str">
        <f t="shared" ca="1" si="598"/>
        <v/>
      </c>
      <c r="S2022" s="134" t="str">
        <f t="shared" ca="1" si="599"/>
        <v/>
      </c>
      <c r="T2022" s="134" t="str">
        <f ca="1">IF(S2022=Dashboard!$D$12,S2022,"")</f>
        <v/>
      </c>
      <c r="U2022" s="134" t="str">
        <f t="shared" ca="1" si="600"/>
        <v/>
      </c>
      <c r="V2022" s="83" t="str">
        <f ca="1">IF(U2022="","",IFERROR((RANK(U2022,$U$2:$U$2028,1)+COUNTIF($U$2:U2022,U2022))-1,""))</f>
        <v/>
      </c>
      <c r="W2022" s="134" t="str">
        <f t="shared" si="604"/>
        <v/>
      </c>
      <c r="X2022" s="134" t="str">
        <f>IF(W2022="","",IFERROR((RANK(W2022,$W$2:$W$2028,1)+COUNTIF($W$2:W2022,W2022))-1,""))</f>
        <v/>
      </c>
      <c r="Y2022" s="134" t="str">
        <f t="shared" si="601"/>
        <v/>
      </c>
      <c r="Z2022" s="134" t="str">
        <f>IF(Y2022="","",IFERROR((RANK(Y2022,$Y$2:$Y$2028,1)+COUNTIF($Y$2:Y2022,Y2022))-1,""))</f>
        <v/>
      </c>
      <c r="AA2022" s="134" t="str">
        <f t="shared" si="602"/>
        <v/>
      </c>
      <c r="AB2022" s="134" t="str">
        <f>IF(AA2022="","",IFERROR((RANK(AA2022,$AA$2:$AA$2028,1)+COUNTIF($AA$2:AA2022,AA2022))-1,""))</f>
        <v/>
      </c>
      <c r="AC2022" s="134" t="str">
        <f t="shared" si="603"/>
        <v/>
      </c>
      <c r="AD2022" s="134" t="str">
        <f>IF(AC2022="","",IFERROR((RANK(AC2022,$AC$2:$AC$2028,1)+COUNTIF($AC$2:AC2022,AC2022))-1,""))</f>
        <v/>
      </c>
    </row>
    <row r="2023" spans="14:30" x14ac:dyDescent="0.35">
      <c r="N2023" s="134" t="str">
        <f t="shared" si="593"/>
        <v/>
      </c>
      <c r="O2023" s="82" t="str">
        <f t="shared" si="596"/>
        <v/>
      </c>
      <c r="P2023" s="81" t="str">
        <f t="shared" si="594"/>
        <v/>
      </c>
      <c r="Q2023" s="81" t="str">
        <f t="shared" si="597"/>
        <v/>
      </c>
      <c r="R2023" s="135" t="str">
        <f t="shared" ca="1" si="598"/>
        <v/>
      </c>
      <c r="S2023" s="134" t="str">
        <f t="shared" ca="1" si="599"/>
        <v/>
      </c>
      <c r="T2023" s="134" t="str">
        <f ca="1">IF(S2023=Dashboard!$D$12,S2023,"")</f>
        <v/>
      </c>
      <c r="U2023" s="134" t="str">
        <f t="shared" ca="1" si="600"/>
        <v/>
      </c>
      <c r="V2023" s="83" t="str">
        <f ca="1">IF(U2023="","",IFERROR((RANK(U2023,$U$2:$U$2028,1)+COUNTIF($U$2:U2023,U2023))-1,""))</f>
        <v/>
      </c>
      <c r="W2023" s="134" t="str">
        <f t="shared" si="604"/>
        <v/>
      </c>
      <c r="X2023" s="134" t="str">
        <f>IF(W2023="","",IFERROR((RANK(W2023,$W$2:$W$2028,1)+COUNTIF($W$2:W2023,W2023))-1,""))</f>
        <v/>
      </c>
      <c r="Y2023" s="134" t="str">
        <f t="shared" si="601"/>
        <v/>
      </c>
      <c r="Z2023" s="134" t="str">
        <f>IF(Y2023="","",IFERROR((RANK(Y2023,$Y$2:$Y$2028,1)+COUNTIF($Y$2:Y2023,Y2023))-1,""))</f>
        <v/>
      </c>
      <c r="AA2023" s="134" t="str">
        <f t="shared" si="602"/>
        <v/>
      </c>
      <c r="AB2023" s="134" t="str">
        <f>IF(AA2023="","",IFERROR((RANK(AA2023,$AA$2:$AA$2028,1)+COUNTIF($AA$2:AA2023,AA2023))-1,""))</f>
        <v/>
      </c>
      <c r="AC2023" s="134" t="str">
        <f t="shared" si="603"/>
        <v/>
      </c>
      <c r="AD2023" s="134" t="str">
        <f>IF(AC2023="","",IFERROR((RANK(AC2023,$AC$2:$AC$2028,1)+COUNTIF($AC$2:AC2023,AC2023))-1,""))</f>
        <v/>
      </c>
    </row>
    <row r="2024" spans="14:30" x14ac:dyDescent="0.35">
      <c r="N2024" s="134" t="str">
        <f t="shared" si="593"/>
        <v/>
      </c>
      <c r="O2024" s="82" t="str">
        <f t="shared" si="596"/>
        <v/>
      </c>
      <c r="P2024" s="81" t="str">
        <f t="shared" si="594"/>
        <v/>
      </c>
      <c r="Q2024" s="81" t="str">
        <f t="shared" si="597"/>
        <v/>
      </c>
      <c r="R2024" s="135" t="str">
        <f t="shared" ca="1" si="598"/>
        <v/>
      </c>
      <c r="S2024" s="134" t="str">
        <f t="shared" ca="1" si="599"/>
        <v/>
      </c>
      <c r="T2024" s="134" t="str">
        <f ca="1">IF(S2024=Dashboard!$D$12,S2024,"")</f>
        <v/>
      </c>
      <c r="U2024" s="134" t="str">
        <f t="shared" ca="1" si="600"/>
        <v/>
      </c>
      <c r="V2024" s="83" t="str">
        <f ca="1">IF(U2024="","",IFERROR((RANK(U2024,$U$2:$U$2028,1)+COUNTIF($U$2:U2024,U2024))-1,""))</f>
        <v/>
      </c>
      <c r="W2024" s="134" t="str">
        <f t="shared" si="604"/>
        <v/>
      </c>
      <c r="X2024" s="134" t="str">
        <f>IF(W2024="","",IFERROR((RANK(W2024,$W$2:$W$2028,1)+COUNTIF($W$2:W2024,W2024))-1,""))</f>
        <v/>
      </c>
      <c r="Y2024" s="134" t="str">
        <f t="shared" si="601"/>
        <v/>
      </c>
      <c r="Z2024" s="134" t="str">
        <f>IF(Y2024="","",IFERROR((RANK(Y2024,$Y$2:$Y$2028,1)+COUNTIF($Y$2:Y2024,Y2024))-1,""))</f>
        <v/>
      </c>
      <c r="AA2024" s="134" t="str">
        <f t="shared" si="602"/>
        <v/>
      </c>
      <c r="AB2024" s="134" t="str">
        <f>IF(AA2024="","",IFERROR((RANK(AA2024,$AA$2:$AA$2028,1)+COUNTIF($AA$2:AA2024,AA2024))-1,""))</f>
        <v/>
      </c>
      <c r="AC2024" s="134" t="str">
        <f t="shared" si="603"/>
        <v/>
      </c>
      <c r="AD2024" s="134" t="str">
        <f>IF(AC2024="","",IFERROR((RANK(AC2024,$AC$2:$AC$2028,1)+COUNTIF($AC$2:AC2024,AC2024))-1,""))</f>
        <v/>
      </c>
    </row>
    <row r="2025" spans="14:30" x14ac:dyDescent="0.35">
      <c r="N2025" s="134" t="str">
        <f t="shared" si="593"/>
        <v/>
      </c>
      <c r="O2025" s="82" t="str">
        <f t="shared" si="596"/>
        <v/>
      </c>
      <c r="P2025" s="81" t="str">
        <f t="shared" si="594"/>
        <v/>
      </c>
      <c r="Q2025" s="81" t="str">
        <f t="shared" si="597"/>
        <v/>
      </c>
      <c r="R2025" s="135" t="str">
        <f t="shared" ca="1" si="598"/>
        <v/>
      </c>
      <c r="S2025" s="134" t="str">
        <f t="shared" ca="1" si="599"/>
        <v/>
      </c>
      <c r="T2025" s="134" t="str">
        <f ca="1">IF(S2025=Dashboard!$D$12,S2025,"")</f>
        <v/>
      </c>
      <c r="U2025" s="134" t="str">
        <f t="shared" ca="1" si="600"/>
        <v/>
      </c>
      <c r="V2025" s="83" t="str">
        <f ca="1">IF(U2025="","",IFERROR((RANK(U2025,$U$2:$U$2028,1)+COUNTIF($U$2:U2025,U2025))-1,""))</f>
        <v/>
      </c>
      <c r="W2025" s="134" t="str">
        <f t="shared" si="604"/>
        <v/>
      </c>
      <c r="X2025" s="134" t="str">
        <f>IF(W2025="","",IFERROR((RANK(W2025,$W$2:$W$2028,1)+COUNTIF($W$2:W2025,W2025))-1,""))</f>
        <v/>
      </c>
      <c r="Y2025" s="134" t="str">
        <f t="shared" si="601"/>
        <v/>
      </c>
      <c r="Z2025" s="134" t="str">
        <f>IF(Y2025="","",IFERROR((RANK(Y2025,$Y$2:$Y$2028,1)+COUNTIF($Y$2:Y2025,Y2025))-1,""))</f>
        <v/>
      </c>
      <c r="AA2025" s="134" t="str">
        <f t="shared" si="602"/>
        <v/>
      </c>
      <c r="AB2025" s="134" t="str">
        <f>IF(AA2025="","",IFERROR((RANK(AA2025,$AA$2:$AA$2028,1)+COUNTIF($AA$2:AA2025,AA2025))-1,""))</f>
        <v/>
      </c>
      <c r="AC2025" s="134" t="str">
        <f t="shared" si="603"/>
        <v/>
      </c>
      <c r="AD2025" s="134" t="str">
        <f>IF(AC2025="","",IFERROR((RANK(AC2025,$AC$2:$AC$2028,1)+COUNTIF($AC$2:AC2025,AC2025))-1,""))</f>
        <v/>
      </c>
    </row>
    <row r="2026" spans="14:30" x14ac:dyDescent="0.35">
      <c r="N2026" s="134" t="str">
        <f t="shared" si="593"/>
        <v/>
      </c>
      <c r="O2026" s="82" t="str">
        <f t="shared" si="596"/>
        <v/>
      </c>
      <c r="P2026" s="81" t="str">
        <f t="shared" si="594"/>
        <v/>
      </c>
      <c r="Q2026" s="81" t="str">
        <f t="shared" si="597"/>
        <v/>
      </c>
      <c r="R2026" s="135" t="str">
        <f t="shared" ca="1" si="598"/>
        <v/>
      </c>
      <c r="S2026" s="134" t="str">
        <f t="shared" ca="1" si="599"/>
        <v/>
      </c>
      <c r="T2026" s="134" t="str">
        <f ca="1">IF(S2026=Dashboard!$D$12,S2026,"")</f>
        <v/>
      </c>
      <c r="U2026" s="134" t="str">
        <f t="shared" ca="1" si="600"/>
        <v/>
      </c>
      <c r="V2026" s="83" t="str">
        <f ca="1">IF(U2026="","",IFERROR((RANK(U2026,$U$2:$U$2028,1)+COUNTIF($U$2:U2026,U2026))-1,""))</f>
        <v/>
      </c>
      <c r="W2026" s="134" t="str">
        <f t="shared" si="604"/>
        <v/>
      </c>
      <c r="X2026" s="134" t="str">
        <f>IF(W2026="","",IFERROR((RANK(W2026,$W$2:$W$2028,1)+COUNTIF($W$2:W2026,W2026))-1,""))</f>
        <v/>
      </c>
      <c r="Y2026" s="134" t="str">
        <f t="shared" si="601"/>
        <v/>
      </c>
      <c r="Z2026" s="134" t="str">
        <f>IF(Y2026="","",IFERROR((RANK(Y2026,$Y$2:$Y$2028,1)+COUNTIF($Y$2:Y2026,Y2026))-1,""))</f>
        <v/>
      </c>
      <c r="AA2026" s="134" t="str">
        <f t="shared" si="602"/>
        <v/>
      </c>
      <c r="AB2026" s="134" t="str">
        <f>IF(AA2026="","",IFERROR((RANK(AA2026,$AA$2:$AA$2028,1)+COUNTIF($AA$2:AA2026,AA2026))-1,""))</f>
        <v/>
      </c>
      <c r="AC2026" s="134" t="str">
        <f t="shared" si="603"/>
        <v/>
      </c>
      <c r="AD2026" s="134" t="str">
        <f>IF(AC2026="","",IFERROR((RANK(AC2026,$AC$2:$AC$2028,1)+COUNTIF($AC$2:AC2026,AC2026))-1,""))</f>
        <v/>
      </c>
    </row>
    <row r="2027" spans="14:30" x14ac:dyDescent="0.35">
      <c r="N2027" s="134" t="str">
        <f t="shared" si="593"/>
        <v/>
      </c>
      <c r="O2027" s="82" t="str">
        <f t="shared" si="596"/>
        <v/>
      </c>
      <c r="P2027" s="81" t="str">
        <f t="shared" si="594"/>
        <v/>
      </c>
      <c r="Q2027" s="81" t="str">
        <f t="shared" si="597"/>
        <v/>
      </c>
      <c r="R2027" s="135" t="str">
        <f t="shared" ca="1" si="598"/>
        <v/>
      </c>
      <c r="S2027" s="134" t="str">
        <f t="shared" ca="1" si="599"/>
        <v/>
      </c>
      <c r="T2027" s="134" t="str">
        <f ca="1">IF(S2027=Dashboard!$D$12,S2027,"")</f>
        <v/>
      </c>
      <c r="U2027" s="134" t="str">
        <f t="shared" ca="1" si="600"/>
        <v/>
      </c>
      <c r="V2027" s="83" t="str">
        <f ca="1">IF(U2027="","",IFERROR((RANK(U2027,$U$2:$U$2028,1)+COUNTIF($U$2:U2027,U2027))-1,""))</f>
        <v/>
      </c>
      <c r="W2027" s="134" t="str">
        <f t="shared" si="604"/>
        <v/>
      </c>
      <c r="X2027" s="134" t="str">
        <f>IF(W2027="","",IFERROR((RANK(W2027,$W$2:$W$2028,1)+COUNTIF($W$2:W2027,W2027))-1,""))</f>
        <v/>
      </c>
      <c r="Y2027" s="134" t="str">
        <f t="shared" si="601"/>
        <v/>
      </c>
      <c r="Z2027" s="134" t="str">
        <f>IF(Y2027="","",IFERROR((RANK(Y2027,$Y$2:$Y$2028,1)+COUNTIF($Y$2:Y2027,Y2027))-1,""))</f>
        <v/>
      </c>
      <c r="AA2027" s="134" t="str">
        <f t="shared" si="602"/>
        <v/>
      </c>
      <c r="AB2027" s="134" t="str">
        <f>IF(AA2027="","",IFERROR((RANK(AA2027,$AA$2:$AA$2028,1)+COUNTIF($AA$2:AA2027,AA2027))-1,""))</f>
        <v/>
      </c>
      <c r="AC2027" s="134" t="str">
        <f t="shared" si="603"/>
        <v/>
      </c>
      <c r="AD2027" s="134" t="str">
        <f>IF(AC2027="","",IFERROR((RANK(AC2027,$AC$2:$AC$2028,1)+COUNTIF($AC$2:AC2027,AC2027))-1,""))</f>
        <v/>
      </c>
    </row>
    <row r="2028" spans="14:30" x14ac:dyDescent="0.35">
      <c r="N2028" s="134" t="str">
        <f t="shared" si="593"/>
        <v/>
      </c>
      <c r="O2028" s="82" t="str">
        <f t="shared" si="596"/>
        <v/>
      </c>
      <c r="P2028" s="81" t="str">
        <f t="shared" si="594"/>
        <v/>
      </c>
      <c r="Q2028" s="81" t="str">
        <f t="shared" si="597"/>
        <v/>
      </c>
      <c r="R2028" s="135" t="str">
        <f t="shared" ca="1" si="598"/>
        <v/>
      </c>
      <c r="S2028" s="134" t="str">
        <f t="shared" ca="1" si="599"/>
        <v/>
      </c>
      <c r="T2028" s="134" t="str">
        <f ca="1">IF(S2028=Dashboard!$D$12,S2028,"")</f>
        <v/>
      </c>
      <c r="U2028" s="134" t="str">
        <f t="shared" ca="1" si="600"/>
        <v/>
      </c>
      <c r="V2028" s="83" t="str">
        <f ca="1">IF(U2028="","",IFERROR((RANK(U2028,$U$2:$U$2028,1)+COUNTIF($U$2:U2028,U2028))-1,""))</f>
        <v/>
      </c>
      <c r="W2028" s="134" t="str">
        <f t="shared" si="604"/>
        <v/>
      </c>
      <c r="X2028" s="134" t="str">
        <f>IF(W2028="","",IFERROR((RANK(W2028,$W$2:$W$2028,1)+COUNTIF($W$2:W2028,W2028))-1,""))</f>
        <v/>
      </c>
      <c r="Y2028" s="134" t="str">
        <f t="shared" si="601"/>
        <v/>
      </c>
      <c r="Z2028" s="134" t="str">
        <f>IF(Y2028="","",IFERROR((RANK(Y2028,$Y$2:$Y$2028,1)+COUNTIF($Y$2:Y2028,Y2028))-1,""))</f>
        <v/>
      </c>
      <c r="AA2028" s="134" t="str">
        <f t="shared" si="602"/>
        <v/>
      </c>
      <c r="AB2028" s="134" t="str">
        <f>IF(AA2028="","",IFERROR((RANK(AA2028,$AA$2:$AA$2028,1)+COUNTIF($AA$2:AA2028,AA2028))-1,""))</f>
        <v/>
      </c>
      <c r="AC2028" s="134" t="str">
        <f t="shared" si="603"/>
        <v/>
      </c>
      <c r="AD2028" s="134" t="str">
        <f>IF(AC2028="","",IFERROR((RANK(AC2028,$AC$2:$AC$2028,1)+COUNTIF($AC$2:AC2028,AC2028))-1,""))</f>
        <v/>
      </c>
    </row>
  </sheetData>
  <autoFilter ref="A1:AD2028" xr:uid="{00000000-0009-0000-0000-000004000000}"/>
  <pageMargins left="0.75" right="0.75" top="1" bottom="1" header="0.511811023622047" footer="0.511811023622047"/>
  <pageSetup paperSize="9" orientation="portrait" horizontalDpi="300" verticalDpi="30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FB2B6-C0A7-4C11-B92D-FBFAD23398C3}">
  <sheetPr codeName="Sheet7">
    <tabColor rgb="FF00B050"/>
  </sheetPr>
  <dimension ref="A1:N101"/>
  <sheetViews>
    <sheetView zoomScale="80" zoomScaleNormal="80" workbookViewId="0">
      <pane xSplit="5" ySplit="1" topLeftCell="F7" activePane="bottomRight" state="frozen"/>
      <selection pane="topRight" activeCell="E1" sqref="E1"/>
      <selection pane="bottomLeft" activeCell="A2" sqref="A2"/>
      <selection pane="bottomRight" activeCell="I24" sqref="I24"/>
    </sheetView>
  </sheetViews>
  <sheetFormatPr defaultColWidth="9.1796875" defaultRowHeight="14.5" x14ac:dyDescent="0.35"/>
  <cols>
    <col min="1" max="1" width="5.1796875" style="154" customWidth="1"/>
    <col min="2" max="2" width="7.7265625" style="153" customWidth="1"/>
    <col min="3" max="3" width="13.26953125" style="154" customWidth="1"/>
    <col min="4" max="4" width="13" style="154" bestFit="1" customWidth="1"/>
    <col min="5" max="5" width="27.7265625" style="155" bestFit="1" customWidth="1"/>
    <col min="6" max="6" width="15.54296875" style="154" customWidth="1"/>
    <col min="7" max="7" width="13.1796875" style="156" customWidth="1"/>
    <col min="8" max="8" width="19.7265625" style="154" bestFit="1" customWidth="1"/>
    <col min="9" max="10" width="13.1796875" style="156" customWidth="1"/>
    <col min="11" max="11" width="13.81640625" style="154" bestFit="1" customWidth="1"/>
    <col min="12" max="12" width="7.1796875" style="153" bestFit="1" customWidth="1"/>
    <col min="13" max="13" width="33.7265625" style="157" bestFit="1" customWidth="1"/>
    <col min="14" max="14" width="19.1796875" style="158" customWidth="1"/>
    <col min="15" max="16384" width="9.1796875" style="154"/>
  </cols>
  <sheetData>
    <row r="1" spans="1:14" s="150" customFormat="1" ht="25.9" customHeight="1" x14ac:dyDescent="0.35">
      <c r="A1" s="145" t="s">
        <v>22</v>
      </c>
      <c r="B1" s="145" t="s">
        <v>0</v>
      </c>
      <c r="C1" s="145" t="s">
        <v>1</v>
      </c>
      <c r="D1" s="145" t="s">
        <v>42</v>
      </c>
      <c r="E1" s="146" t="s">
        <v>23</v>
      </c>
      <c r="F1" s="145" t="s">
        <v>49</v>
      </c>
      <c r="G1" s="147" t="s">
        <v>52</v>
      </c>
      <c r="H1" s="145" t="s">
        <v>55</v>
      </c>
      <c r="I1" s="147" t="s">
        <v>59</v>
      </c>
      <c r="J1" s="147" t="s">
        <v>62</v>
      </c>
      <c r="K1" s="145" t="s">
        <v>20</v>
      </c>
      <c r="L1" s="145" t="s">
        <v>66</v>
      </c>
      <c r="M1" s="148" t="s">
        <v>68</v>
      </c>
      <c r="N1" s="149" t="s">
        <v>69</v>
      </c>
    </row>
    <row r="2" spans="1:14" s="153" customFormat="1" x14ac:dyDescent="0.35">
      <c r="A2" s="151">
        <v>1</v>
      </c>
      <c r="B2" s="152" t="str">
        <f ca="1">IFERROR(OFFSET(database!A$1,MATCH($A2,database!$AF$2:$AF$2004,0),0),"")</f>
        <v>H730</v>
      </c>
      <c r="C2" s="152" t="str">
        <f ca="1">IFERROR(OFFSET(database!B$1,MATCH($A2,database!$AF$2:$AF$2004,0),0),"")</f>
        <v>SAMBAS</v>
      </c>
      <c r="D2" s="152" t="str">
        <f ca="1">IFERROR(OFFSET(database!C$1,MATCH($A2,database!$AF$2:$AF$2004,0),0),"")</f>
        <v>PONTIANAK</v>
      </c>
      <c r="E2" s="152" t="str">
        <f ca="1">IFERROR(OFFSET(database!D$1,MATCH($A2,database!$AF$2:$AF$2004,0),0),"")</f>
        <v>PERTIWI SAFITRI</v>
      </c>
      <c r="F2" s="152" t="str">
        <f ca="1">IFERROR(OFFSET(database!E$1,MATCH($A2,database!$AF$2:$AF$2004,0),0),"")</f>
        <v>SB KOLAM</v>
      </c>
      <c r="G2" s="159">
        <f ca="1">IFERROR(OFFSET(database!F$1,MATCH($A2,database!$AF$2:$AF$2004,0),0),"")</f>
        <v>38111</v>
      </c>
      <c r="H2" s="152" t="str">
        <f ca="1">IFERROR(OFFSET(database!G$1,MATCH($A2,database!$AF$2:$AF$2004,0),0),"")</f>
        <v>ELI</v>
      </c>
      <c r="I2" s="159">
        <f ca="1">IFERROR(OFFSET(database!H$1,MATCH($A2,database!$AF$2:$AF$2004,0),0),"")</f>
        <v>46082</v>
      </c>
      <c r="J2" s="159">
        <f ca="1">IFERROR(OFFSET(database!I$1,MATCH($A2,database!$AF$2:$AF$2004,0),0),"")</f>
        <v>46265</v>
      </c>
      <c r="K2" s="152" t="str">
        <f ca="1">IFERROR(OFFSET(database!J$1,MATCH($A2,database!$AF$2:$AF$2004,0),0),"")</f>
        <v>SALESGIRL</v>
      </c>
      <c r="L2" s="152" t="str">
        <f ca="1">IFERROR(OFFSET(database!K$1,MATCH($A2,database!$AF$2:$AF$2004,0),0),"")</f>
        <v>P</v>
      </c>
      <c r="M2" s="152" t="str">
        <f ca="1">IFERROR(OFFSET(database!L$1,MATCH($A2,database!$AF$2:$AF$2004,0),0),"")</f>
        <v>LO/PERJ/HRD-H730/009/III/2026</v>
      </c>
      <c r="N2" s="152" t="str">
        <f ca="1">IFERROR(OFFSET(database!M$1,MATCH($A2,database!$AF$2:$AF$2004,0),0),"")</f>
        <v>6101034405040002</v>
      </c>
    </row>
    <row r="3" spans="1:14" s="153" customFormat="1" x14ac:dyDescent="0.35">
      <c r="A3" s="151">
        <f t="shared" ref="A3:A34" si="0">A2+1</f>
        <v>2</v>
      </c>
      <c r="B3" s="152" t="str">
        <f ca="1">IFERROR(OFFSET(database!A$1,MATCH($A3,database!$AF$2:$AF$2004,0),0),"")</f>
        <v>H730</v>
      </c>
      <c r="C3" s="152" t="str">
        <f ca="1">IFERROR(OFFSET(database!B$1,MATCH($A3,database!$AF$2:$AF$2004,0),0),"")</f>
        <v>SAMBAS</v>
      </c>
      <c r="D3" s="152" t="str">
        <f ca="1">IFERROR(OFFSET(database!C$1,MATCH($A3,database!$AF$2:$AF$2004,0),0),"")</f>
        <v>PONTIANAK</v>
      </c>
      <c r="E3" s="152" t="str">
        <f ca="1">IFERROR(OFFSET(database!D$1,MATCH($A3,database!$AF$2:$AF$2004,0),0),"")</f>
        <v>ELSA GUSTIANA</v>
      </c>
      <c r="F3" s="152" t="str">
        <f ca="1">IFERROR(OFFSET(database!E$1,MATCH($A3,database!$AF$2:$AF$2004,0),0),"")</f>
        <v>SENYAWAN</v>
      </c>
      <c r="G3" s="159">
        <f ca="1">IFERROR(OFFSET(database!F$1,MATCH($A3,database!$AF$2:$AF$2004,0),0),"")</f>
        <v>37488</v>
      </c>
      <c r="H3" s="152" t="str">
        <f ca="1">IFERROR(OFFSET(database!G$1,MATCH($A3,database!$AF$2:$AF$2004,0),0),"")</f>
        <v>HALUAH</v>
      </c>
      <c r="I3" s="159">
        <f ca="1">IFERROR(OFFSET(database!H$1,MATCH($A3,database!$AF$2:$AF$2004,0),0),"")</f>
        <v>45931</v>
      </c>
      <c r="J3" s="159">
        <f ca="1">IFERROR(OFFSET(database!I$1,MATCH($A3,database!$AF$2:$AF$2004,0),0),"")</f>
        <v>46112</v>
      </c>
      <c r="K3" s="152" t="str">
        <f ca="1">IFERROR(OFFSET(database!J$1,MATCH($A3,database!$AF$2:$AF$2004,0),0),"")</f>
        <v>SALESGIRL</v>
      </c>
      <c r="L3" s="152" t="str">
        <f ca="1">IFERROR(OFFSET(database!K$1,MATCH($A3,database!$AF$2:$AF$2004,0),0),"")</f>
        <v>P</v>
      </c>
      <c r="M3" s="152" t="str">
        <f ca="1">IFERROR(OFFSET(database!L$1,MATCH($A3,database!$AF$2:$AF$2004,0),0),"")</f>
        <v>LO/PERJ/HRD-H730/013/X/2025</v>
      </c>
      <c r="N3" s="152" t="str">
        <f ca="1">IFERROR(OFFSET(database!M$1,MATCH($A3,database!$AF$2:$AF$2004,0),0),"")</f>
        <v>6101046008020005</v>
      </c>
    </row>
    <row r="4" spans="1:14" s="153" customFormat="1" x14ac:dyDescent="0.35">
      <c r="A4" s="151">
        <f t="shared" si="0"/>
        <v>3</v>
      </c>
      <c r="B4" s="152" t="str">
        <f ca="1">IFERROR(OFFSET(database!A$1,MATCH($A4,database!$AF$2:$AF$2004,0),0),"")</f>
        <v>H730</v>
      </c>
      <c r="C4" s="152" t="str">
        <f ca="1">IFERROR(OFFSET(database!B$1,MATCH($A4,database!$AF$2:$AF$2004,0),0),"")</f>
        <v>SAMBAS</v>
      </c>
      <c r="D4" s="152" t="str">
        <f ca="1">IFERROR(OFFSET(database!C$1,MATCH($A4,database!$AF$2:$AF$2004,0),0),"")</f>
        <v>PONTIANAK</v>
      </c>
      <c r="E4" s="152" t="str">
        <f ca="1">IFERROR(OFFSET(database!D$1,MATCH($A4,database!$AF$2:$AF$2004,0),0),"")</f>
        <v>NADIYA</v>
      </c>
      <c r="F4" s="152" t="str">
        <f ca="1">IFERROR(OFFSET(database!E$1,MATCH($A4,database!$AF$2:$AF$2004,0),0),"")</f>
        <v>JAWAI LAUT</v>
      </c>
      <c r="G4" s="159">
        <f ca="1">IFERROR(OFFSET(database!F$1,MATCH($A4,database!$AF$2:$AF$2004,0),0),"")</f>
        <v>36780</v>
      </c>
      <c r="H4" s="152" t="str">
        <f ca="1">IFERROR(OFFSET(database!G$1,MATCH($A4,database!$AF$2:$AF$2004,0),0),"")</f>
        <v>HAZIMA</v>
      </c>
      <c r="I4" s="159">
        <f ca="1">IFERROR(OFFSET(database!H$1,MATCH($A4,database!$AF$2:$AF$2004,0),0),"")</f>
        <v>45962</v>
      </c>
      <c r="J4" s="159">
        <f ca="1">IFERROR(OFFSET(database!I$1,MATCH($A4,database!$AF$2:$AF$2004,0),0),"")</f>
        <v>46142</v>
      </c>
      <c r="K4" s="152" t="str">
        <f ca="1">IFERROR(OFFSET(database!J$1,MATCH($A4,database!$AF$2:$AF$2004,0),0),"")</f>
        <v>SALESGIRL</v>
      </c>
      <c r="L4" s="152" t="str">
        <f ca="1">IFERROR(OFFSET(database!K$1,MATCH($A4,database!$AF$2:$AF$2004,0),0),"")</f>
        <v>P</v>
      </c>
      <c r="M4" s="152" t="str">
        <f ca="1">IFERROR(OFFSET(database!L$1,MATCH($A4,database!$AF$2:$AF$2004,0),0),"")</f>
        <v>LO/PERJ/HRD-H730/016/XI/2025</v>
      </c>
      <c r="N4" s="152" t="str">
        <f ca="1">IFERROR(OFFSET(database!M$1,MATCH($A4,database!$AF$2:$AF$2004,0),0),"")</f>
        <v>6101165109000001</v>
      </c>
    </row>
    <row r="5" spans="1:14" s="153" customFormat="1" x14ac:dyDescent="0.35">
      <c r="A5" s="151">
        <f t="shared" si="0"/>
        <v>4</v>
      </c>
      <c r="B5" s="152" t="str">
        <f ca="1">IFERROR(OFFSET(database!A$1,MATCH($A5,database!$AF$2:$AF$2004,0),0),"")</f>
        <v>H730</v>
      </c>
      <c r="C5" s="152" t="str">
        <f ca="1">IFERROR(OFFSET(database!B$1,MATCH($A5,database!$AF$2:$AF$2004,0),0),"")</f>
        <v>SAMBAS</v>
      </c>
      <c r="D5" s="152" t="str">
        <f ca="1">IFERROR(OFFSET(database!C$1,MATCH($A5,database!$AF$2:$AF$2004,0),0),"")</f>
        <v>PONTIANAK</v>
      </c>
      <c r="E5" s="152" t="str">
        <f ca="1">IFERROR(OFFSET(database!D$1,MATCH($A5,database!$AF$2:$AF$2004,0),0),"")</f>
        <v>TITI REISTIKA</v>
      </c>
      <c r="F5" s="152" t="str">
        <f ca="1">IFERROR(OFFSET(database!E$1,MATCH($A5,database!$AF$2:$AF$2004,0),0),"")</f>
        <v>MATANG TERAP</v>
      </c>
      <c r="G5" s="159">
        <f ca="1">IFERROR(OFFSET(database!F$1,MATCH($A5,database!$AF$2:$AF$2004,0),0),"")</f>
        <v>36993</v>
      </c>
      <c r="H5" s="152" t="str">
        <f ca="1">IFERROR(OFFSET(database!G$1,MATCH($A5,database!$AF$2:$AF$2004,0),0),"")</f>
        <v>SUPRIHARTINI</v>
      </c>
      <c r="I5" s="159">
        <f ca="1">IFERROR(OFFSET(database!H$1,MATCH($A5,database!$AF$2:$AF$2004,0),0),"")</f>
        <v>45962</v>
      </c>
      <c r="J5" s="159">
        <f ca="1">IFERROR(OFFSET(database!I$1,MATCH($A5,database!$AF$2:$AF$2004,0),0),"")</f>
        <v>46142</v>
      </c>
      <c r="K5" s="152" t="str">
        <f ca="1">IFERROR(OFFSET(database!J$1,MATCH($A5,database!$AF$2:$AF$2004,0),0),"")</f>
        <v>SALESGIRL</v>
      </c>
      <c r="L5" s="152" t="str">
        <f ca="1">IFERROR(OFFSET(database!K$1,MATCH($A5,database!$AF$2:$AF$2004,0),0),"")</f>
        <v>P</v>
      </c>
      <c r="M5" s="152" t="str">
        <f ca="1">IFERROR(OFFSET(database!L$1,MATCH($A5,database!$AF$2:$AF$2004,0),0),"")</f>
        <v>LO/PERJ/HRD-H730/017/XI/2025</v>
      </c>
      <c r="N5" s="152" t="str">
        <f ca="1">IFERROR(OFFSET(database!M$1,MATCH($A5,database!$AF$2:$AF$2004,0),0),"")</f>
        <v>6101165204010001</v>
      </c>
    </row>
    <row r="6" spans="1:14" s="153" customFormat="1" x14ac:dyDescent="0.35">
      <c r="A6" s="151">
        <f t="shared" si="0"/>
        <v>5</v>
      </c>
      <c r="B6" s="152" t="str">
        <f ca="1">IFERROR(OFFSET(database!A$1,MATCH($A6,database!$AF$2:$AF$2004,0),0),"")</f>
        <v>H730</v>
      </c>
      <c r="C6" s="152" t="str">
        <f ca="1">IFERROR(OFFSET(database!B$1,MATCH($A6,database!$AF$2:$AF$2004,0),0),"")</f>
        <v>SAMBAS</v>
      </c>
      <c r="D6" s="152" t="str">
        <f ca="1">IFERROR(OFFSET(database!C$1,MATCH($A6,database!$AF$2:$AF$2004,0),0),"")</f>
        <v>PONTIANAK</v>
      </c>
      <c r="E6" s="152" t="str">
        <f ca="1">IFERROR(OFFSET(database!D$1,MATCH($A6,database!$AF$2:$AF$2004,0),0),"")</f>
        <v xml:space="preserve">HERIANTO </v>
      </c>
      <c r="F6" s="152" t="str">
        <f ca="1">IFERROR(OFFSET(database!E$1,MATCH($A6,database!$AF$2:$AF$2004,0),0),"")</f>
        <v>SEPINGGAN JIRAK</v>
      </c>
      <c r="G6" s="159">
        <f ca="1">IFERROR(OFFSET(database!F$1,MATCH($A6,database!$AF$2:$AF$2004,0),0),"")</f>
        <v>37308</v>
      </c>
      <c r="H6" s="152" t="str">
        <f ca="1">IFERROR(OFFSET(database!G$1,MATCH($A6,database!$AF$2:$AF$2004,0),0),"")</f>
        <v>WAHDAH</v>
      </c>
      <c r="I6" s="159">
        <f ca="1">IFERROR(OFFSET(database!H$1,MATCH($A6,database!$AF$2:$AF$2004,0),0),"")</f>
        <v>46023</v>
      </c>
      <c r="J6" s="159">
        <f ca="1">IFERROR(OFFSET(database!I$1,MATCH($A6,database!$AF$2:$AF$2004,0),0),"")</f>
        <v>46203</v>
      </c>
      <c r="K6" s="152" t="str">
        <f ca="1">IFERROR(OFFSET(database!J$1,MATCH($A6,database!$AF$2:$AF$2004,0),0),"")</f>
        <v>MEKANIK</v>
      </c>
      <c r="L6" s="152" t="str">
        <f ca="1">IFERROR(OFFSET(database!K$1,MATCH($A6,database!$AF$2:$AF$2004,0),0),"")</f>
        <v>L</v>
      </c>
      <c r="M6" s="152" t="str">
        <f ca="1">IFERROR(OFFSET(database!L$1,MATCH($A6,database!$AF$2:$AF$2004,0),0),"")</f>
        <v>LO.PERJ/HRD-MEK-IX/029/I/26</v>
      </c>
      <c r="N6" s="152" t="str">
        <f ca="1">IFERROR(OFFSET(database!M$1,MATCH($A6,database!$AF$2:$AF$2004,0),0),"")</f>
        <v>6101132102020001</v>
      </c>
    </row>
    <row r="7" spans="1:14" s="153" customFormat="1" x14ac:dyDescent="0.35">
      <c r="A7" s="151">
        <f t="shared" si="0"/>
        <v>6</v>
      </c>
      <c r="B7" s="152" t="str">
        <f ca="1">IFERROR(OFFSET(database!A$1,MATCH($A7,database!$AF$2:$AF$2004,0),0),"")</f>
        <v>H730</v>
      </c>
      <c r="C7" s="152" t="str">
        <f ca="1">IFERROR(OFFSET(database!B$1,MATCH($A7,database!$AF$2:$AF$2004,0),0),"")</f>
        <v>SAMBAS</v>
      </c>
      <c r="D7" s="152" t="str">
        <f ca="1">IFERROR(OFFSET(database!C$1,MATCH($A7,database!$AF$2:$AF$2004,0),0),"")</f>
        <v>PONTIANAK</v>
      </c>
      <c r="E7" s="152" t="str">
        <f ca="1">IFERROR(OFFSET(database!D$1,MATCH($A7,database!$AF$2:$AF$2004,0),0),"")</f>
        <v>GILANG ANANDITA</v>
      </c>
      <c r="F7" s="152" t="str">
        <f ca="1">IFERROR(OFFSET(database!E$1,MATCH($A7,database!$AF$2:$AF$2004,0),0),"")</f>
        <v>MENSERE</v>
      </c>
      <c r="G7" s="159">
        <f ca="1">IFERROR(OFFSET(database!F$1,MATCH($A7,database!$AF$2:$AF$2004,0),0),"")</f>
        <v>37745</v>
      </c>
      <c r="H7" s="152" t="str">
        <f ca="1">IFERROR(OFFSET(database!G$1,MATCH($A7,database!$AF$2:$AF$2004,0),0),"")</f>
        <v>YESI YANTI</v>
      </c>
      <c r="I7" s="159">
        <f ca="1">IFERROR(OFFSET(database!H$1,MATCH($A7,database!$AF$2:$AF$2004,0),0),"")</f>
        <v>46023</v>
      </c>
      <c r="J7" s="159">
        <f ca="1">IFERROR(OFFSET(database!I$1,MATCH($A7,database!$AF$2:$AF$2004,0),0),"")</f>
        <v>46203</v>
      </c>
      <c r="K7" s="152" t="str">
        <f ca="1">IFERROR(OFFSET(database!J$1,MATCH($A7,database!$AF$2:$AF$2004,0),0),"")</f>
        <v>MEKANIK</v>
      </c>
      <c r="L7" s="152" t="str">
        <f ca="1">IFERROR(OFFSET(database!K$1,MATCH($A7,database!$AF$2:$AF$2004,0),0),"")</f>
        <v>L</v>
      </c>
      <c r="M7" s="152" t="str">
        <f ca="1">IFERROR(OFFSET(database!L$1,MATCH($A7,database!$AF$2:$AF$2004,0),0),"")</f>
        <v>LO.PERJ/HRD-MEK VI/005/I/26</v>
      </c>
      <c r="N7" s="152" t="str">
        <f ca="1">IFERROR(OFFSET(database!M$1,MATCH($A7,database!$AF$2:$AF$2004,0),0),"")</f>
        <v>6101040405030001</v>
      </c>
    </row>
    <row r="8" spans="1:14" s="153" customFormat="1" x14ac:dyDescent="0.35">
      <c r="A8" s="151">
        <f t="shared" si="0"/>
        <v>7</v>
      </c>
      <c r="B8" s="152" t="str">
        <f ca="1">IFERROR(OFFSET(database!A$1,MATCH($A8,database!$AF$2:$AF$2004,0),0),"")</f>
        <v>H730</v>
      </c>
      <c r="C8" s="152" t="str">
        <f ca="1">IFERROR(OFFSET(database!B$1,MATCH($A8,database!$AF$2:$AF$2004,0),0),"")</f>
        <v>SAMBAS</v>
      </c>
      <c r="D8" s="152" t="str">
        <f ca="1">IFERROR(OFFSET(database!C$1,MATCH($A8,database!$AF$2:$AF$2004,0),0),"")</f>
        <v>PONTIANAK</v>
      </c>
      <c r="E8" s="152" t="str">
        <f ca="1">IFERROR(OFFSET(database!D$1,MATCH($A8,database!$AF$2:$AF$2004,0),0),"")</f>
        <v>ANGGI PRATAMA RIDNUR</v>
      </c>
      <c r="F8" s="152" t="str">
        <f ca="1">IFERROR(OFFSET(database!E$1,MATCH($A8,database!$AF$2:$AF$2004,0),0),"")</f>
        <v>SEMPARUK</v>
      </c>
      <c r="G8" s="159">
        <f ca="1">IFERROR(OFFSET(database!F$1,MATCH($A8,database!$AF$2:$AF$2004,0),0),"")</f>
        <v>37811</v>
      </c>
      <c r="H8" s="152" t="str">
        <f ca="1">IFERROR(OFFSET(database!G$1,MATCH($A8,database!$AF$2:$AF$2004,0),0),"")</f>
        <v>NURHALIMAH</v>
      </c>
      <c r="I8" s="159">
        <f ca="1">IFERROR(OFFSET(database!H$1,MATCH($A8,database!$AF$2:$AF$2004,0),0),"")</f>
        <v>46082</v>
      </c>
      <c r="J8" s="159">
        <f ca="1">IFERROR(OFFSET(database!I$1,MATCH($A8,database!$AF$2:$AF$2004,0),0),"")</f>
        <v>46265</v>
      </c>
      <c r="K8" s="152" t="str">
        <f ca="1">IFERROR(OFFSET(database!J$1,MATCH($A8,database!$AF$2:$AF$2004,0),0),"")</f>
        <v>MEKANIK</v>
      </c>
      <c r="L8" s="152" t="str">
        <f ca="1">IFERROR(OFFSET(database!K$1,MATCH($A8,database!$AF$2:$AF$2004,0),0),"")</f>
        <v>L</v>
      </c>
      <c r="M8" s="152" t="str">
        <f ca="1">IFERROR(OFFSET(database!L$1,MATCH($A8,database!$AF$2:$AF$2004,0),0),"")</f>
        <v>LO.PERJ/HRD-MEK VI/028/III/26</v>
      </c>
      <c r="N8" s="152" t="str">
        <f ca="1">IFERROR(OFFSET(database!M$1,MATCH($A8,database!$AF$2:$AF$2004,0),0),"")</f>
        <v>6101130907030002</v>
      </c>
    </row>
    <row r="9" spans="1:14" x14ac:dyDescent="0.35">
      <c r="A9" s="151">
        <f t="shared" si="0"/>
        <v>8</v>
      </c>
      <c r="B9" s="152" t="str">
        <f ca="1">IFERROR(OFFSET(database!A$1,MATCH($A9,database!$AF$2:$AF$2004,0),0),"")</f>
        <v>H730</v>
      </c>
      <c r="C9" s="152" t="str">
        <f ca="1">IFERROR(OFFSET(database!B$1,MATCH($A9,database!$AF$2:$AF$2004,0),0),"")</f>
        <v>SAMBAS</v>
      </c>
      <c r="D9" s="152" t="str">
        <f ca="1">IFERROR(OFFSET(database!C$1,MATCH($A9,database!$AF$2:$AF$2004,0),0),"")</f>
        <v>PONTIANAK</v>
      </c>
      <c r="E9" s="152" t="str">
        <f ca="1">IFERROR(OFFSET(database!D$1,MATCH($A9,database!$AF$2:$AF$2004,0),0),"")</f>
        <v>NUDIALIS SOLATA</v>
      </c>
      <c r="F9" s="152" t="str">
        <f ca="1">IFERROR(OFFSET(database!E$1,MATCH($A9,database!$AF$2:$AF$2004,0),0),"")</f>
        <v>NANGA KANTUK</v>
      </c>
      <c r="G9" s="159">
        <f ca="1">IFERROR(OFFSET(database!F$1,MATCH($A9,database!$AF$2:$AF$2004,0),0),"")</f>
        <v>32986</v>
      </c>
      <c r="H9" s="152" t="str">
        <f ca="1">IFERROR(OFFSET(database!G$1,MATCH($A9,database!$AF$2:$AF$2004,0),0),"")</f>
        <v>FATMAWATI</v>
      </c>
      <c r="I9" s="159">
        <f ca="1">IFERROR(OFFSET(database!H$1,MATCH($A9,database!$AF$2:$AF$2004,0),0),"")</f>
        <v>45931</v>
      </c>
      <c r="J9" s="159">
        <f ca="1">IFERROR(OFFSET(database!I$1,MATCH($A9,database!$AF$2:$AF$2004,0),0),"")</f>
        <v>46112</v>
      </c>
      <c r="K9" s="152" t="str">
        <f ca="1">IFERROR(OFFSET(database!J$1,MATCH($A9,database!$AF$2:$AF$2004,0),0),"")</f>
        <v>SALESGIRL</v>
      </c>
      <c r="L9" s="152" t="str">
        <f ca="1">IFERROR(OFFSET(database!K$1,MATCH($A9,database!$AF$2:$AF$2004,0),0),"")</f>
        <v>P</v>
      </c>
      <c r="M9" s="152" t="str">
        <f ca="1">IFERROR(OFFSET(database!L$1,MATCH($A9,database!$AF$2:$AF$2004,0),0),"")</f>
        <v>LO/PERJ/HRD-H730/014/X/2025</v>
      </c>
      <c r="N9" s="152" t="str">
        <f ca="1">IFERROR(OFFSET(database!M$1,MATCH($A9,database!$AF$2:$AF$2004,0),0),"")</f>
        <v>6101032004900002</v>
      </c>
    </row>
    <row r="10" spans="1:14" x14ac:dyDescent="0.35">
      <c r="A10" s="151">
        <f t="shared" si="0"/>
        <v>9</v>
      </c>
      <c r="B10" s="152" t="str">
        <f ca="1">IFERROR(OFFSET(database!A$1,MATCH($A10,database!$AF$2:$AF$2004,0),0),"")</f>
        <v>H730</v>
      </c>
      <c r="C10" s="152" t="str">
        <f ca="1">IFERROR(OFFSET(database!B$1,MATCH($A10,database!$AF$2:$AF$2004,0),0),"")</f>
        <v>SAMBAS</v>
      </c>
      <c r="D10" s="152" t="str">
        <f ca="1">IFERROR(OFFSET(database!C$1,MATCH($A10,database!$AF$2:$AF$2004,0),0),"")</f>
        <v>PONTIANAK</v>
      </c>
      <c r="E10" s="152" t="str">
        <f ca="1">IFERROR(OFFSET(database!D$1,MATCH($A10,database!$AF$2:$AF$2004,0),0),"")</f>
        <v>YUDA</v>
      </c>
      <c r="F10" s="152" t="str">
        <f ca="1">IFERROR(OFFSET(database!E$1,MATCH($A10,database!$AF$2:$AF$2004,0),0),"")</f>
        <v>CEPALA</v>
      </c>
      <c r="G10" s="159">
        <f ca="1">IFERROR(OFFSET(database!F$1,MATCH($A10,database!$AF$2:$AF$2004,0),0),"")</f>
        <v>38829</v>
      </c>
      <c r="H10" s="152" t="str">
        <f ca="1">IFERROR(OFFSET(database!G$1,MATCH($A10,database!$AF$2:$AF$2004,0),0),"")</f>
        <v>RUSNAH</v>
      </c>
      <c r="I10" s="159">
        <f ca="1">IFERROR(OFFSET(database!H$1,MATCH($A10,database!$AF$2:$AF$2004,0),0),"")</f>
        <v>46054</v>
      </c>
      <c r="J10" s="159">
        <f ca="1">IFERROR(OFFSET(database!I$1,MATCH($A10,database!$AF$2:$AF$2004,0),0),"")</f>
        <v>46234</v>
      </c>
      <c r="K10" s="152" t="str">
        <f ca="1">IFERROR(OFFSET(database!J$1,MATCH($A10,database!$AF$2:$AF$2004,0),0),"")</f>
        <v>MEKANIK</v>
      </c>
      <c r="L10" s="152" t="str">
        <f ca="1">IFERROR(OFFSET(database!K$1,MATCH($A10,database!$AF$2:$AF$2004,0),0),"")</f>
        <v>L</v>
      </c>
      <c r="M10" s="152" t="str">
        <f ca="1">IFERROR(OFFSET(database!L$1,MATCH($A10,database!$AF$2:$AF$2004,0),0),"")</f>
        <v>LO.PERJ/HRD-MEK II/013/II/26</v>
      </c>
      <c r="N10" s="152" t="str">
        <f ca="1">IFERROR(OFFSET(database!M$1,MATCH($A10,database!$AF$2:$AF$2004,0),0),"")</f>
        <v>6101122204060001</v>
      </c>
    </row>
    <row r="11" spans="1:14" x14ac:dyDescent="0.35">
      <c r="A11" s="151">
        <f t="shared" si="0"/>
        <v>10</v>
      </c>
      <c r="B11" s="152" t="str">
        <f ca="1">IFERROR(OFFSET(database!A$1,MATCH($A11,database!$AF$2:$AF$2004,0),0),"")</f>
        <v>H730</v>
      </c>
      <c r="C11" s="152" t="str">
        <f ca="1">IFERROR(OFFSET(database!B$1,MATCH($A11,database!$AF$2:$AF$2004,0),0),"")</f>
        <v>SAMBAS</v>
      </c>
      <c r="D11" s="152" t="str">
        <f ca="1">IFERROR(OFFSET(database!C$1,MATCH($A11,database!$AF$2:$AF$2004,0),0),"")</f>
        <v>PONTIANAK</v>
      </c>
      <c r="E11" s="152" t="str">
        <f ca="1">IFERROR(OFFSET(database!D$1,MATCH($A11,database!$AF$2:$AF$2004,0),0),"")</f>
        <v>BIO LESRAK ADILIATRA</v>
      </c>
      <c r="F11" s="152" t="str">
        <f ca="1">IFERROR(OFFSET(database!E$1,MATCH($A11,database!$AF$2:$AF$2004,0),0),"")</f>
        <v>SERUMPUN</v>
      </c>
      <c r="G11" s="159">
        <f ca="1">IFERROR(OFFSET(database!F$1,MATCH($A11,database!$AF$2:$AF$2004,0),0),"")</f>
        <v>33278</v>
      </c>
      <c r="H11" s="152" t="str">
        <f ca="1">IFERROR(OFFSET(database!G$1,MATCH($A11,database!$AF$2:$AF$2004,0),0),"")</f>
        <v>DAKHLIA</v>
      </c>
      <c r="I11" s="159">
        <f ca="1">IFERROR(OFFSET(database!H$1,MATCH($A11,database!$AF$2:$AF$2004,0),0),"")</f>
        <v>46054</v>
      </c>
      <c r="J11" s="159">
        <f ca="1">IFERROR(OFFSET(database!I$1,MATCH($A11,database!$AF$2:$AF$2004,0),0),"")</f>
        <v>46234</v>
      </c>
      <c r="K11" s="152" t="str">
        <f ca="1">IFERROR(OFFSET(database!J$1,MATCH($A11,database!$AF$2:$AF$2004,0),0),"")</f>
        <v>SALESMAN</v>
      </c>
      <c r="L11" s="152" t="str">
        <f ca="1">IFERROR(OFFSET(database!K$1,MATCH($A11,database!$AF$2:$AF$2004,0),0),"")</f>
        <v>L</v>
      </c>
      <c r="M11" s="152" t="str">
        <f ca="1">IFERROR(OFFSET(database!L$1,MATCH($A11,database!$AF$2:$AF$2004,0),0),"")</f>
        <v>LO/PERJ/HRD-H730/001/II/2026</v>
      </c>
      <c r="N11" s="152" t="str">
        <f ca="1">IFERROR(OFFSET(database!M$1,MATCH($A11,database!$AF$2:$AF$2004,0),0),"")</f>
        <v>6101180902910000</v>
      </c>
    </row>
    <row r="12" spans="1:14" x14ac:dyDescent="0.35">
      <c r="A12" s="151">
        <f t="shared" si="0"/>
        <v>11</v>
      </c>
      <c r="B12" s="152" t="str">
        <f ca="1">IFERROR(OFFSET(database!A$1,MATCH($A12,database!$AF$2:$AF$2004,0),0),"")</f>
        <v>H730</v>
      </c>
      <c r="C12" s="152" t="str">
        <f ca="1">IFERROR(OFFSET(database!B$1,MATCH($A12,database!$AF$2:$AF$2004,0),0),"")</f>
        <v>SAMBAS</v>
      </c>
      <c r="D12" s="152" t="str">
        <f ca="1">IFERROR(OFFSET(database!C$1,MATCH($A12,database!$AF$2:$AF$2004,0),0),"")</f>
        <v>PONTIANAK</v>
      </c>
      <c r="E12" s="152" t="str">
        <f ca="1">IFERROR(OFFSET(database!D$1,MATCH($A12,database!$AF$2:$AF$2004,0),0),"")</f>
        <v>RISA</v>
      </c>
      <c r="F12" s="152" t="str">
        <f ca="1">IFERROR(OFFSET(database!E$1,MATCH($A12,database!$AF$2:$AF$2004,0),0),"")</f>
        <v>SEMAYONG</v>
      </c>
      <c r="G12" s="159">
        <f ca="1">IFERROR(OFFSET(database!F$1,MATCH($A12,database!$AF$2:$AF$2004,0),0),"")</f>
        <v>32696</v>
      </c>
      <c r="H12" s="152" t="str">
        <f ca="1">IFERROR(OFFSET(database!G$1,MATCH($A12,database!$AF$2:$AF$2004,0),0),"")</f>
        <v>MAUZIAH</v>
      </c>
      <c r="I12" s="159">
        <f ca="1">IFERROR(OFFSET(database!H$1,MATCH($A12,database!$AF$2:$AF$2004,0),0),"")</f>
        <v>46054</v>
      </c>
      <c r="J12" s="159">
        <f ca="1">IFERROR(OFFSET(database!I$1,MATCH($A12,database!$AF$2:$AF$2004,0),0),"")</f>
        <v>46234</v>
      </c>
      <c r="K12" s="152" t="str">
        <f ca="1">IFERROR(OFFSET(database!J$1,MATCH($A12,database!$AF$2:$AF$2004,0),0),"")</f>
        <v>SALESGIRL</v>
      </c>
      <c r="L12" s="152" t="str">
        <f ca="1">IFERROR(OFFSET(database!K$1,MATCH($A12,database!$AF$2:$AF$2004,0),0),"")</f>
        <v>P</v>
      </c>
      <c r="M12" s="152" t="str">
        <f ca="1">IFERROR(OFFSET(database!L$1,MATCH($A12,database!$AF$2:$AF$2004,0),0),"")</f>
        <v>LO/PERJ/HRD-H730/003/II/2026</v>
      </c>
      <c r="N12" s="152" t="str">
        <f ca="1">IFERROR(OFFSET(database!M$1,MATCH($A12,database!$AF$2:$AF$2004,0),0),"")</f>
        <v>6101024707890005</v>
      </c>
    </row>
    <row r="13" spans="1:14" x14ac:dyDescent="0.35">
      <c r="A13" s="151">
        <f t="shared" si="0"/>
        <v>12</v>
      </c>
      <c r="B13" s="152" t="str">
        <f ca="1">IFERROR(OFFSET(database!A$1,MATCH($A13,database!$AF$2:$AF$2004,0),0),"")</f>
        <v>H730</v>
      </c>
      <c r="C13" s="152" t="str">
        <f ca="1">IFERROR(OFFSET(database!B$1,MATCH($A13,database!$AF$2:$AF$2004,0),0),"")</f>
        <v>SAMBAS</v>
      </c>
      <c r="D13" s="152" t="str">
        <f ca="1">IFERROR(OFFSET(database!C$1,MATCH($A13,database!$AF$2:$AF$2004,0),0),"")</f>
        <v>PONTIANAK</v>
      </c>
      <c r="E13" s="152" t="str">
        <f ca="1">IFERROR(OFFSET(database!D$1,MATCH($A13,database!$AF$2:$AF$2004,0),0),"")</f>
        <v>FITRI DEWI</v>
      </c>
      <c r="F13" s="152" t="str">
        <f ca="1">IFERROR(OFFSET(database!E$1,MATCH($A13,database!$AF$2:$AF$2004,0),0),"")</f>
        <v>SENTEBANG</v>
      </c>
      <c r="G13" s="159">
        <f ca="1">IFERROR(OFFSET(database!F$1,MATCH($A13,database!$AF$2:$AF$2004,0),0),"")</f>
        <v>38527</v>
      </c>
      <c r="H13" s="152" t="str">
        <f ca="1">IFERROR(OFFSET(database!G$1,MATCH($A13,database!$AF$2:$AF$2004,0),0),"")</f>
        <v>CICI</v>
      </c>
      <c r="I13" s="159">
        <f ca="1">IFERROR(OFFSET(database!H$1,MATCH($A13,database!$AF$2:$AF$2004,0),0),"")</f>
        <v>46054</v>
      </c>
      <c r="J13" s="159">
        <f ca="1">IFERROR(OFFSET(database!I$1,MATCH($A13,database!$AF$2:$AF$2004,0),0),"")</f>
        <v>46234</v>
      </c>
      <c r="K13" s="152" t="str">
        <f ca="1">IFERROR(OFFSET(database!J$1,MATCH($A13,database!$AF$2:$AF$2004,0),0),"")</f>
        <v>SALESGIRL</v>
      </c>
      <c r="L13" s="152" t="str">
        <f ca="1">IFERROR(OFFSET(database!K$1,MATCH($A13,database!$AF$2:$AF$2004,0),0),"")</f>
        <v>P</v>
      </c>
      <c r="M13" s="152" t="str">
        <f ca="1">IFERROR(OFFSET(database!L$1,MATCH($A13,database!$AF$2:$AF$2004,0),0),"")</f>
        <v>LO/PERJ/HRD-H730/002/II/2026</v>
      </c>
      <c r="N13" s="152" t="str">
        <f ca="1">IFERROR(OFFSET(database!M$1,MATCH($A13,database!$AF$2:$AF$2004,0),0),"")</f>
        <v>6101036406050002</v>
      </c>
    </row>
    <row r="14" spans="1:14" x14ac:dyDescent="0.35">
      <c r="A14" s="151">
        <f t="shared" si="0"/>
        <v>13</v>
      </c>
      <c r="B14" s="152" t="str">
        <f ca="1">IFERROR(OFFSET(database!A$1,MATCH($A14,database!$AF$2:$AF$2004,0),0),"")</f>
        <v>H730</v>
      </c>
      <c r="C14" s="152" t="str">
        <f ca="1">IFERROR(OFFSET(database!B$1,MATCH($A14,database!$AF$2:$AF$2004,0),0),"")</f>
        <v>SAMBAS</v>
      </c>
      <c r="D14" s="152" t="str">
        <f ca="1">IFERROR(OFFSET(database!C$1,MATCH($A14,database!$AF$2:$AF$2004,0),0),"")</f>
        <v>PONTIANAK</v>
      </c>
      <c r="E14" s="152" t="str">
        <f ca="1">IFERROR(OFFSET(database!D$1,MATCH($A14,database!$AF$2:$AF$2004,0),0),"")</f>
        <v>NOPA,S.PD.K</v>
      </c>
      <c r="F14" s="152" t="str">
        <f ca="1">IFERROR(OFFSET(database!E$1,MATCH($A14,database!$AF$2:$AF$2004,0),0),"")</f>
        <v>SAMBAS</v>
      </c>
      <c r="G14" s="159">
        <f ca="1">IFERROR(OFFSET(database!F$1,MATCH($A14,database!$AF$2:$AF$2004,0),0),"")</f>
        <v>31545</v>
      </c>
      <c r="H14" s="152" t="str">
        <f ca="1">IFERROR(OFFSET(database!G$1,MATCH($A14,database!$AF$2:$AF$2004,0),0),"")</f>
        <v>SINAH</v>
      </c>
      <c r="I14" s="159">
        <f ca="1">IFERROR(OFFSET(database!H$1,MATCH($A14,database!$AF$2:$AF$2004,0),0),"")</f>
        <v>46054</v>
      </c>
      <c r="J14" s="159">
        <f ca="1">IFERROR(OFFSET(database!I$1,MATCH($A14,database!$AF$2:$AF$2004,0),0),"")</f>
        <v>46234</v>
      </c>
      <c r="K14" s="152" t="str">
        <f ca="1">IFERROR(OFFSET(database!J$1,MATCH($A14,database!$AF$2:$AF$2004,0),0),"")</f>
        <v>SALESMAN</v>
      </c>
      <c r="L14" s="152" t="str">
        <f ca="1">IFERROR(OFFSET(database!K$1,MATCH($A14,database!$AF$2:$AF$2004,0),0),"")</f>
        <v>L</v>
      </c>
      <c r="M14" s="152" t="str">
        <f ca="1">IFERROR(OFFSET(database!L$1,MATCH($A14,database!$AF$2:$AF$2004,0),0),"")</f>
        <v>LO/PERJ/HRD-H730/005/II/2026</v>
      </c>
      <c r="N14" s="152" t="str">
        <f ca="1">IFERROR(OFFSET(database!M$1,MATCH($A14,database!$AF$2:$AF$2004,0),0),"")</f>
        <v>6101101312860002</v>
      </c>
    </row>
    <row r="15" spans="1:14" x14ac:dyDescent="0.35">
      <c r="A15" s="151">
        <f t="shared" si="0"/>
        <v>14</v>
      </c>
      <c r="B15" s="152" t="str">
        <f ca="1">IFERROR(OFFSET(database!A$1,MATCH($A15,database!$AF$2:$AF$2004,0),0),"")</f>
        <v>H730</v>
      </c>
      <c r="C15" s="152" t="str">
        <f ca="1">IFERROR(OFFSET(database!B$1,MATCH($A15,database!$AF$2:$AF$2004,0),0),"")</f>
        <v>SAMBAS</v>
      </c>
      <c r="D15" s="152" t="str">
        <f ca="1">IFERROR(OFFSET(database!C$1,MATCH($A15,database!$AF$2:$AF$2004,0),0),"")</f>
        <v>PONTIANAK</v>
      </c>
      <c r="E15" s="152" t="str">
        <f ca="1">IFERROR(OFFSET(database!D$1,MATCH($A15,database!$AF$2:$AF$2004,0),0),"")</f>
        <v>NOVI DAMAYANTI</v>
      </c>
      <c r="F15" s="152" t="str">
        <f ca="1">IFERROR(OFFSET(database!E$1,MATCH($A15,database!$AF$2:$AF$2004,0),0),"")</f>
        <v>SENTEBANG</v>
      </c>
      <c r="G15" s="159">
        <f ca="1">IFERROR(OFFSET(database!F$1,MATCH($A15,database!$AF$2:$AF$2004,0),0),"")</f>
        <v>37570</v>
      </c>
      <c r="H15" s="152" t="str">
        <f ca="1">IFERROR(OFFSET(database!G$1,MATCH($A15,database!$AF$2:$AF$2004,0),0),"")</f>
        <v>SARKIAH</v>
      </c>
      <c r="I15" s="159">
        <f ca="1">IFERROR(OFFSET(database!H$1,MATCH($A15,database!$AF$2:$AF$2004,0),0),"")</f>
        <v>46082</v>
      </c>
      <c r="J15" s="159">
        <f ca="1">IFERROR(OFFSET(database!I$1,MATCH($A15,database!$AF$2:$AF$2004,0),0),"")</f>
        <v>46265</v>
      </c>
      <c r="K15" s="152" t="str">
        <f ca="1">IFERROR(OFFSET(database!J$1,MATCH($A15,database!$AF$2:$AF$2004,0),0),"")</f>
        <v>SALESGIRL</v>
      </c>
      <c r="L15" s="152" t="str">
        <f ca="1">IFERROR(OFFSET(database!K$1,MATCH($A15,database!$AF$2:$AF$2004,0),0),"")</f>
        <v>P</v>
      </c>
      <c r="M15" s="152" t="str">
        <f ca="1">IFERROR(OFFSET(database!L$1,MATCH($A15,database!$AF$2:$AF$2004,0),0),"")</f>
        <v>LO/PERJ/HRD-H730/007/III/2026</v>
      </c>
      <c r="N15" s="152" t="str">
        <f ca="1">IFERROR(OFFSET(database!M$1,MATCH($A15,database!$AF$2:$AF$2004,0),0),"")</f>
        <v>6101034911030001</v>
      </c>
    </row>
    <row r="16" spans="1:14" x14ac:dyDescent="0.35">
      <c r="A16" s="151">
        <f t="shared" si="0"/>
        <v>15</v>
      </c>
      <c r="B16" s="152" t="str">
        <f ca="1">IFERROR(OFFSET(database!A$1,MATCH($A16,database!$AF$2:$AF$2004,0),0),"")</f>
        <v>H730</v>
      </c>
      <c r="C16" s="152" t="str">
        <f ca="1">IFERROR(OFFSET(database!B$1,MATCH($A16,database!$AF$2:$AF$2004,0),0),"")</f>
        <v>SAMBAS</v>
      </c>
      <c r="D16" s="152" t="str">
        <f ca="1">IFERROR(OFFSET(database!C$1,MATCH($A16,database!$AF$2:$AF$2004,0),0),"")</f>
        <v>PONTIANAK</v>
      </c>
      <c r="E16" s="152" t="str">
        <f ca="1">IFERROR(OFFSET(database!D$1,MATCH($A16,database!$AF$2:$AF$2004,0),0),"")</f>
        <v>MEMEY</v>
      </c>
      <c r="F16" s="152" t="str">
        <f ca="1">IFERROR(OFFSET(database!E$1,MATCH($A16,database!$AF$2:$AF$2004,0),0),"")</f>
        <v>SEBURING</v>
      </c>
      <c r="G16" s="159">
        <f ca="1">IFERROR(OFFSET(database!F$1,MATCH($A16,database!$AF$2:$AF$2004,0),0),"")</f>
        <v>37288</v>
      </c>
      <c r="H16" s="152" t="str">
        <f ca="1">IFERROR(OFFSET(database!G$1,MATCH($A16,database!$AF$2:$AF$2004,0),0),"")</f>
        <v>RAHMAWATI</v>
      </c>
      <c r="I16" s="159">
        <f ca="1">IFERROR(OFFSET(database!H$1,MATCH($A16,database!$AF$2:$AF$2004,0),0),"")</f>
        <v>46082</v>
      </c>
      <c r="J16" s="159">
        <f ca="1">IFERROR(OFFSET(database!I$1,MATCH($A16,database!$AF$2:$AF$2004,0),0),"")</f>
        <v>46265</v>
      </c>
      <c r="K16" s="152" t="str">
        <f ca="1">IFERROR(OFFSET(database!J$1,MATCH($A16,database!$AF$2:$AF$2004,0),0),"")</f>
        <v>SALESGIRL</v>
      </c>
      <c r="L16" s="152" t="str">
        <f ca="1">IFERROR(OFFSET(database!K$1,MATCH($A16,database!$AF$2:$AF$2004,0),0),"")</f>
        <v>P</v>
      </c>
      <c r="M16" s="152" t="str">
        <f ca="1">IFERROR(OFFSET(database!L$1,MATCH($A16,database!$AF$2:$AF$2004,0),0),"")</f>
        <v>LO/PERJ/HRD-H730/006/III/2025</v>
      </c>
      <c r="N16" s="152" t="str">
        <f ca="1">IFERROR(OFFSET(database!M$1,MATCH($A16,database!$AF$2:$AF$2004,0),0),"")</f>
        <v>6101134102060001</v>
      </c>
    </row>
    <row r="17" spans="1:14" x14ac:dyDescent="0.35">
      <c r="A17" s="151">
        <f t="shared" si="0"/>
        <v>16</v>
      </c>
      <c r="B17" s="152" t="str">
        <f ca="1">IFERROR(OFFSET(database!A$1,MATCH($A17,database!$AF$2:$AF$2004,0),0),"")</f>
        <v>H730</v>
      </c>
      <c r="C17" s="152" t="str">
        <f ca="1">IFERROR(OFFSET(database!B$1,MATCH($A17,database!$AF$2:$AF$2004,0),0),"")</f>
        <v>SAMBAS</v>
      </c>
      <c r="D17" s="152" t="str">
        <f ca="1">IFERROR(OFFSET(database!C$1,MATCH($A17,database!$AF$2:$AF$2004,0),0),"")</f>
        <v>PONTIANAK</v>
      </c>
      <c r="E17" s="152" t="str">
        <f ca="1">IFERROR(OFFSET(database!D$1,MATCH($A17,database!$AF$2:$AF$2004,0),0),"")</f>
        <v>WULAN DARI</v>
      </c>
      <c r="F17" s="152" t="str">
        <f ca="1">IFERROR(OFFSET(database!E$1,MATCH($A17,database!$AF$2:$AF$2004,0),0),"")</f>
        <v>SENYAWAN</v>
      </c>
      <c r="G17" s="159">
        <f ca="1">IFERROR(OFFSET(database!F$1,MATCH($A17,database!$AF$2:$AF$2004,0),0),"")</f>
        <v>34519</v>
      </c>
      <c r="H17" s="152" t="str">
        <f ca="1">IFERROR(OFFSET(database!G$1,MATCH($A17,database!$AF$2:$AF$2004,0),0),"")</f>
        <v>RUMIAH</v>
      </c>
      <c r="I17" s="159">
        <f ca="1">IFERROR(OFFSET(database!H$1,MATCH($A17,database!$AF$2:$AF$2004,0),0),"")</f>
        <v>46082</v>
      </c>
      <c r="J17" s="159">
        <f ca="1">IFERROR(OFFSET(database!I$1,MATCH($A17,database!$AF$2:$AF$2004,0),0),"")</f>
        <v>46265</v>
      </c>
      <c r="K17" s="152" t="str">
        <f ca="1">IFERROR(OFFSET(database!J$1,MATCH($A17,database!$AF$2:$AF$2004,0),0),"")</f>
        <v>SALESGIRL</v>
      </c>
      <c r="L17" s="152" t="str">
        <f ca="1">IFERROR(OFFSET(database!K$1,MATCH($A17,database!$AF$2:$AF$2004,0),0),"")</f>
        <v>P</v>
      </c>
      <c r="M17" s="152" t="str">
        <f ca="1">IFERROR(OFFSET(database!L$1,MATCH($A17,database!$AF$2:$AF$2004,0),0),"")</f>
        <v>LO/PERJ/HRD-H730/008/III/2026</v>
      </c>
      <c r="N17" s="152" t="str">
        <f ca="1">IFERROR(OFFSET(database!M$1,MATCH($A17,database!$AF$2:$AF$2004,0),0),"")</f>
        <v>6101044908950003</v>
      </c>
    </row>
    <row r="18" spans="1:14" x14ac:dyDescent="0.35">
      <c r="A18" s="151">
        <f t="shared" si="0"/>
        <v>17</v>
      </c>
      <c r="B18" s="152" t="str">
        <f ca="1">IFERROR(OFFSET(database!A$1,MATCH($A18,database!$AF$2:$AF$2004,0),0),"")</f>
        <v>H730</v>
      </c>
      <c r="C18" s="152" t="str">
        <f ca="1">IFERROR(OFFSET(database!B$1,MATCH($A18,database!$AF$2:$AF$2004,0),0),"")</f>
        <v>SAMBAS</v>
      </c>
      <c r="D18" s="152" t="str">
        <f ca="1">IFERROR(OFFSET(database!C$1,MATCH($A18,database!$AF$2:$AF$2004,0),0),"")</f>
        <v>PONTIANAK</v>
      </c>
      <c r="E18" s="152" t="str">
        <f ca="1">IFERROR(OFFSET(database!D$1,MATCH($A18,database!$AF$2:$AF$2004,0),0),"")</f>
        <v>JANA WIJAYA</v>
      </c>
      <c r="F18" s="152" t="str">
        <f ca="1">IFERROR(OFFSET(database!E$1,MATCH($A18,database!$AF$2:$AF$2004,0),0),"")</f>
        <v>SEMELAGI</v>
      </c>
      <c r="G18" s="159">
        <f ca="1">IFERROR(OFFSET(database!F$1,MATCH($A18,database!$AF$2:$AF$2004,0),0),"")</f>
        <v>34064</v>
      </c>
      <c r="H18" s="152" t="str">
        <f ca="1">IFERROR(OFFSET(database!G$1,MATCH($A18,database!$AF$2:$AF$2004,0),0),"")</f>
        <v>ARNA</v>
      </c>
      <c r="I18" s="159">
        <f ca="1">IFERROR(OFFSET(database!H$1,MATCH($A18,database!$AF$2:$AF$2004,0),0),"")</f>
        <v>45901</v>
      </c>
      <c r="J18" s="159">
        <f ca="1">IFERROR(OFFSET(database!I$1,MATCH($A18,database!$AF$2:$AF$2004,0),0),"")</f>
        <v>46081</v>
      </c>
      <c r="K18" s="152" t="str">
        <f ca="1">IFERROR(OFFSET(database!J$1,MATCH($A18,database!$AF$2:$AF$2004,0),0),"")</f>
        <v>TEAM LEADER</v>
      </c>
      <c r="L18" s="152" t="str">
        <f ca="1">IFERROR(OFFSET(database!K$1,MATCH($A18,database!$AF$2:$AF$2004,0),0),"")</f>
        <v>P</v>
      </c>
      <c r="M18" s="152" t="str">
        <f ca="1">IFERROR(OFFSET(database!L$1,MATCH($A18,database!$AF$2:$AF$2004,0),0),"")</f>
        <v>LO/PERJ/HCD/KSM-H730/008/IX/2025</v>
      </c>
      <c r="N18" s="152" t="str">
        <f ca="1">IFERROR(OFFSET(database!M$1,MATCH($A18,database!$AF$2:$AF$2004,0),0),"")</f>
        <v>6172020504930002</v>
      </c>
    </row>
    <row r="19" spans="1:14" x14ac:dyDescent="0.35">
      <c r="A19" s="151">
        <f t="shared" si="0"/>
        <v>18</v>
      </c>
      <c r="B19" s="152" t="str">
        <f ca="1">IFERROR(OFFSET(database!A$1,MATCH($A19,database!$AF$2:$AF$2004,0),0),"")</f>
        <v>H730</v>
      </c>
      <c r="C19" s="152" t="str">
        <f ca="1">IFERROR(OFFSET(database!B$1,MATCH($A19,database!$AF$2:$AF$2004,0),0),"")</f>
        <v>SAMBAS</v>
      </c>
      <c r="D19" s="152" t="str">
        <f ca="1">IFERROR(OFFSET(database!C$1,MATCH($A19,database!$AF$2:$AF$2004,0),0),"")</f>
        <v>PONTIANAK</v>
      </c>
      <c r="E19" s="152" t="str">
        <f ca="1">IFERROR(OFFSET(database!D$1,MATCH($A19,database!$AF$2:$AF$2004,0),0),"")</f>
        <v>ADINDA</v>
      </c>
      <c r="F19" s="152" t="str">
        <f ca="1">IFERROR(OFFSET(database!E$1,MATCH($A19,database!$AF$2:$AF$2004,0),0),"")</f>
        <v>TEBAS SUNGAI</v>
      </c>
      <c r="G19" s="159">
        <f ca="1">IFERROR(OFFSET(database!F$1,MATCH($A19,database!$AF$2:$AF$2004,0),0),"")</f>
        <v>37949</v>
      </c>
      <c r="H19" s="152" t="str">
        <f ca="1">IFERROR(OFFSET(database!G$1,MATCH($A19,database!$AF$2:$AF$2004,0),0),"")</f>
        <v>NURSINTA</v>
      </c>
      <c r="I19" s="159">
        <f ca="1">IFERROR(OFFSET(database!H$1,MATCH($A19,database!$AF$2:$AF$2004,0),0),"")</f>
        <v>46054</v>
      </c>
      <c r="J19" s="159">
        <f ca="1">IFERROR(OFFSET(database!I$1,MATCH($A19,database!$AF$2:$AF$2004,0),0),"")</f>
        <v>46234</v>
      </c>
      <c r="K19" s="152" t="str">
        <f ca="1">IFERROR(OFFSET(database!J$1,MATCH($A19,database!$AF$2:$AF$2004,0),0),"")</f>
        <v>SALESGIRL</v>
      </c>
      <c r="L19" s="152" t="str">
        <f ca="1">IFERROR(OFFSET(database!K$1,MATCH($A19,database!$AF$2:$AF$2004,0),0),"")</f>
        <v>P</v>
      </c>
      <c r="M19" s="152" t="str">
        <f ca="1">IFERROR(OFFSET(database!L$1,MATCH($A19,database!$AF$2:$AF$2004,0),0),"")</f>
        <v>LO/PERJ/HRD-H730/004/II/2026</v>
      </c>
      <c r="N19" s="152" t="str">
        <f ca="1">IFERROR(OFFSET(database!M$1,MATCH($A19,database!$AF$2:$AF$2004,0),0),"")</f>
        <v>6101125801020001</v>
      </c>
    </row>
    <row r="20" spans="1:14" x14ac:dyDescent="0.35">
      <c r="A20" s="151">
        <f t="shared" si="0"/>
        <v>19</v>
      </c>
      <c r="B20" s="152" t="str">
        <f ca="1">IFERROR(OFFSET(database!A$1,MATCH($A20,database!$AF$2:$AF$2004,0),0),"")</f>
        <v/>
      </c>
      <c r="C20" s="152" t="str">
        <f ca="1">IFERROR(OFFSET(database!B$1,MATCH($A20,database!$AF$2:$AF$2004,0),0),"")</f>
        <v/>
      </c>
      <c r="D20" s="152" t="str">
        <f ca="1">IFERROR(OFFSET(database!C$1,MATCH($A20,database!$AF$2:$AF$2004,0),0),"")</f>
        <v/>
      </c>
      <c r="E20" s="152" t="str">
        <f ca="1">IFERROR(OFFSET(database!D$1,MATCH($A20,database!$AF$2:$AF$2004,0),0),"")</f>
        <v/>
      </c>
      <c r="F20" s="152" t="str">
        <f ca="1">IFERROR(OFFSET(database!E$1,MATCH($A20,database!$AF$2:$AF$2004,0),0),"")</f>
        <v/>
      </c>
      <c r="G20" s="159" t="str">
        <f ca="1">IFERROR(OFFSET(database!F$1,MATCH($A20,database!$AF$2:$AF$2004,0),0),"")</f>
        <v/>
      </c>
      <c r="H20" s="152" t="str">
        <f ca="1">IFERROR(OFFSET(database!G$1,MATCH($A20,database!$AF$2:$AF$2004,0),0),"")</f>
        <v/>
      </c>
      <c r="I20" s="159" t="str">
        <f ca="1">IFERROR(OFFSET(database!H$1,MATCH($A20,database!$AF$2:$AF$2004,0),0),"")</f>
        <v/>
      </c>
      <c r="J20" s="159" t="str">
        <f ca="1">IFERROR(OFFSET(database!I$1,MATCH($A20,database!$AF$2:$AF$2004,0),0),"")</f>
        <v/>
      </c>
      <c r="K20" s="152" t="str">
        <f ca="1">IFERROR(OFFSET(database!J$1,MATCH($A20,database!$AF$2:$AF$2004,0),0),"")</f>
        <v/>
      </c>
      <c r="L20" s="152" t="str">
        <f ca="1">IFERROR(OFFSET(database!K$1,MATCH($A20,database!$AF$2:$AF$2004,0),0),"")</f>
        <v/>
      </c>
      <c r="M20" s="152" t="str">
        <f ca="1">IFERROR(OFFSET(database!L$1,MATCH($A20,database!$AF$2:$AF$2004,0),0),"")</f>
        <v/>
      </c>
      <c r="N20" s="152" t="str">
        <f ca="1">IFERROR(OFFSET(database!M$1,MATCH($A20,database!$AF$2:$AF$2004,0),0),"")</f>
        <v/>
      </c>
    </row>
    <row r="21" spans="1:14" x14ac:dyDescent="0.35">
      <c r="A21" s="151">
        <f t="shared" si="0"/>
        <v>20</v>
      </c>
      <c r="B21" s="152" t="str">
        <f ca="1">IFERROR(OFFSET(database!A$1,MATCH($A21,database!$AF$2:$AF$2004,0),0),"")</f>
        <v/>
      </c>
      <c r="C21" s="152" t="str">
        <f ca="1">IFERROR(OFFSET(database!B$1,MATCH($A21,database!$AF$2:$AF$2004,0),0),"")</f>
        <v/>
      </c>
      <c r="D21" s="152" t="str">
        <f ca="1">IFERROR(OFFSET(database!C$1,MATCH($A21,database!$AF$2:$AF$2004,0),0),"")</f>
        <v/>
      </c>
      <c r="E21" s="152" t="str">
        <f ca="1">IFERROR(OFFSET(database!D$1,MATCH($A21,database!$AF$2:$AF$2004,0),0),"")</f>
        <v/>
      </c>
      <c r="F21" s="152" t="str">
        <f ca="1">IFERROR(OFFSET(database!E$1,MATCH($A21,database!$AF$2:$AF$2004,0),0),"")</f>
        <v/>
      </c>
      <c r="G21" s="159" t="str">
        <f ca="1">IFERROR(OFFSET(database!F$1,MATCH($A21,database!$AF$2:$AF$2004,0),0),"")</f>
        <v/>
      </c>
      <c r="H21" s="152" t="str">
        <f ca="1">IFERROR(OFFSET(database!G$1,MATCH($A21,database!$AF$2:$AF$2004,0),0),"")</f>
        <v/>
      </c>
      <c r="I21" s="159" t="str">
        <f ca="1">IFERROR(OFFSET(database!H$1,MATCH($A21,database!$AF$2:$AF$2004,0),0),"")</f>
        <v/>
      </c>
      <c r="J21" s="159" t="str">
        <f ca="1">IFERROR(OFFSET(database!I$1,MATCH($A21,database!$AF$2:$AF$2004,0),0),"")</f>
        <v/>
      </c>
      <c r="K21" s="152" t="str">
        <f ca="1">IFERROR(OFFSET(database!J$1,MATCH($A21,database!$AF$2:$AF$2004,0),0),"")</f>
        <v/>
      </c>
      <c r="L21" s="152" t="str">
        <f ca="1">IFERROR(OFFSET(database!K$1,MATCH($A21,database!$AF$2:$AF$2004,0),0),"")</f>
        <v/>
      </c>
      <c r="M21" s="152" t="str">
        <f ca="1">IFERROR(OFFSET(database!L$1,MATCH($A21,database!$AF$2:$AF$2004,0),0),"")</f>
        <v/>
      </c>
      <c r="N21" s="152" t="str">
        <f ca="1">IFERROR(OFFSET(database!M$1,MATCH($A21,database!$AF$2:$AF$2004,0),0),"")</f>
        <v/>
      </c>
    </row>
    <row r="22" spans="1:14" x14ac:dyDescent="0.35">
      <c r="A22" s="151">
        <f t="shared" si="0"/>
        <v>21</v>
      </c>
      <c r="B22" s="152" t="str">
        <f ca="1">IFERROR(OFFSET(database!A$1,MATCH($A22,database!$AF$2:$AF$2004,0),0),"")</f>
        <v/>
      </c>
      <c r="C22" s="152" t="str">
        <f ca="1">IFERROR(OFFSET(database!B$1,MATCH($A22,database!$AF$2:$AF$2004,0),0),"")</f>
        <v/>
      </c>
      <c r="D22" s="152" t="str">
        <f ca="1">IFERROR(OFFSET(database!C$1,MATCH($A22,database!$AF$2:$AF$2004,0),0),"")</f>
        <v/>
      </c>
      <c r="E22" s="152" t="str">
        <f ca="1">IFERROR(OFFSET(database!D$1,MATCH($A22,database!$AF$2:$AF$2004,0),0),"")</f>
        <v/>
      </c>
      <c r="F22" s="152" t="str">
        <f ca="1">IFERROR(OFFSET(database!E$1,MATCH($A22,database!$AF$2:$AF$2004,0),0),"")</f>
        <v/>
      </c>
      <c r="G22" s="159" t="str">
        <f ca="1">IFERROR(OFFSET(database!F$1,MATCH($A22,database!$AF$2:$AF$2004,0),0),"")</f>
        <v/>
      </c>
      <c r="H22" s="152" t="str">
        <f ca="1">IFERROR(OFFSET(database!G$1,MATCH($A22,database!$AF$2:$AF$2004,0),0),"")</f>
        <v/>
      </c>
      <c r="I22" s="159" t="str">
        <f ca="1">IFERROR(OFFSET(database!H$1,MATCH($A22,database!$AF$2:$AF$2004,0),0),"")</f>
        <v/>
      </c>
      <c r="J22" s="159" t="str">
        <f ca="1">IFERROR(OFFSET(database!I$1,MATCH($A22,database!$AF$2:$AF$2004,0),0),"")</f>
        <v/>
      </c>
      <c r="K22" s="152" t="str">
        <f ca="1">IFERROR(OFFSET(database!J$1,MATCH($A22,database!$AF$2:$AF$2004,0),0),"")</f>
        <v/>
      </c>
      <c r="L22" s="152" t="str">
        <f ca="1">IFERROR(OFFSET(database!K$1,MATCH($A22,database!$AF$2:$AF$2004,0),0),"")</f>
        <v/>
      </c>
      <c r="M22" s="152" t="str">
        <f ca="1">IFERROR(OFFSET(database!L$1,MATCH($A22,database!$AF$2:$AF$2004,0),0),"")</f>
        <v/>
      </c>
      <c r="N22" s="152" t="str">
        <f ca="1">IFERROR(OFFSET(database!M$1,MATCH($A22,database!$AF$2:$AF$2004,0),0),"")</f>
        <v/>
      </c>
    </row>
    <row r="23" spans="1:14" x14ac:dyDescent="0.35">
      <c r="A23" s="151">
        <f t="shared" si="0"/>
        <v>22</v>
      </c>
      <c r="B23" s="152" t="str">
        <f ca="1">IFERROR(OFFSET(database!A$1,MATCH($A23,database!$AF$2:$AF$2004,0),0),"")</f>
        <v/>
      </c>
      <c r="C23" s="152" t="str">
        <f ca="1">IFERROR(OFFSET(database!B$1,MATCH($A23,database!$AF$2:$AF$2004,0),0),"")</f>
        <v/>
      </c>
      <c r="D23" s="152" t="str">
        <f ca="1">IFERROR(OFFSET(database!C$1,MATCH($A23,database!$AF$2:$AF$2004,0),0),"")</f>
        <v/>
      </c>
      <c r="E23" s="152" t="str">
        <f ca="1">IFERROR(OFFSET(database!D$1,MATCH($A23,database!$AF$2:$AF$2004,0),0),"")</f>
        <v/>
      </c>
      <c r="F23" s="152" t="str">
        <f ca="1">IFERROR(OFFSET(database!E$1,MATCH($A23,database!$AF$2:$AF$2004,0),0),"")</f>
        <v/>
      </c>
      <c r="G23" s="159" t="str">
        <f ca="1">IFERROR(OFFSET(database!F$1,MATCH($A23,database!$AF$2:$AF$2004,0),0),"")</f>
        <v/>
      </c>
      <c r="H23" s="152" t="str">
        <f ca="1">IFERROR(OFFSET(database!G$1,MATCH($A23,database!$AF$2:$AF$2004,0),0),"")</f>
        <v/>
      </c>
      <c r="I23" s="159" t="str">
        <f ca="1">IFERROR(OFFSET(database!H$1,MATCH($A23,database!$AF$2:$AF$2004,0),0),"")</f>
        <v/>
      </c>
      <c r="J23" s="159" t="str">
        <f ca="1">IFERROR(OFFSET(database!I$1,MATCH($A23,database!$AF$2:$AF$2004,0),0),"")</f>
        <v/>
      </c>
      <c r="K23" s="152" t="str">
        <f ca="1">IFERROR(OFFSET(database!J$1,MATCH($A23,database!$AF$2:$AF$2004,0),0),"")</f>
        <v/>
      </c>
      <c r="L23" s="152" t="str">
        <f ca="1">IFERROR(OFFSET(database!K$1,MATCH($A23,database!$AF$2:$AF$2004,0),0),"")</f>
        <v/>
      </c>
      <c r="M23" s="152" t="str">
        <f ca="1">IFERROR(OFFSET(database!L$1,MATCH($A23,database!$AF$2:$AF$2004,0),0),"")</f>
        <v/>
      </c>
      <c r="N23" s="152" t="str">
        <f ca="1">IFERROR(OFFSET(database!M$1,MATCH($A23,database!$AF$2:$AF$2004,0),0),"")</f>
        <v/>
      </c>
    </row>
    <row r="24" spans="1:14" x14ac:dyDescent="0.35">
      <c r="A24" s="151">
        <f t="shared" si="0"/>
        <v>23</v>
      </c>
      <c r="B24" s="152" t="str">
        <f ca="1">IFERROR(OFFSET(database!A$1,MATCH($A24,database!$AF$2:$AF$2004,0),0),"")</f>
        <v/>
      </c>
      <c r="C24" s="152" t="str">
        <f ca="1">IFERROR(OFFSET(database!B$1,MATCH($A24,database!$AF$2:$AF$2004,0),0),"")</f>
        <v/>
      </c>
      <c r="D24" s="152" t="str">
        <f ca="1">IFERROR(OFFSET(database!C$1,MATCH($A24,database!$AF$2:$AF$2004,0),0),"")</f>
        <v/>
      </c>
      <c r="E24" s="152" t="str">
        <f ca="1">IFERROR(OFFSET(database!D$1,MATCH($A24,database!$AF$2:$AF$2004,0),0),"")</f>
        <v/>
      </c>
      <c r="F24" s="152" t="str">
        <f ca="1">IFERROR(OFFSET(database!E$1,MATCH($A24,database!$AF$2:$AF$2004,0),0),"")</f>
        <v/>
      </c>
      <c r="G24" s="159" t="str">
        <f ca="1">IFERROR(OFFSET(database!F$1,MATCH($A24,database!$AF$2:$AF$2004,0),0),"")</f>
        <v/>
      </c>
      <c r="H24" s="152" t="str">
        <f ca="1">IFERROR(OFFSET(database!G$1,MATCH($A24,database!$AF$2:$AF$2004,0),0),"")</f>
        <v/>
      </c>
      <c r="I24" s="159" t="str">
        <f ca="1">IFERROR(OFFSET(database!H$1,MATCH($A24,database!$AF$2:$AF$2004,0),0),"")</f>
        <v/>
      </c>
      <c r="J24" s="159" t="str">
        <f ca="1">IFERROR(OFFSET(database!I$1,MATCH($A24,database!$AF$2:$AF$2004,0),0),"")</f>
        <v/>
      </c>
      <c r="K24" s="152" t="str">
        <f ca="1">IFERROR(OFFSET(database!J$1,MATCH($A24,database!$AF$2:$AF$2004,0),0),"")</f>
        <v/>
      </c>
      <c r="L24" s="152" t="str">
        <f ca="1">IFERROR(OFFSET(database!K$1,MATCH($A24,database!$AF$2:$AF$2004,0),0),"")</f>
        <v/>
      </c>
      <c r="M24" s="152" t="str">
        <f ca="1">IFERROR(OFFSET(database!L$1,MATCH($A24,database!$AF$2:$AF$2004,0),0),"")</f>
        <v/>
      </c>
      <c r="N24" s="152" t="str">
        <f ca="1">IFERROR(OFFSET(database!M$1,MATCH($A24,database!$AF$2:$AF$2004,0),0),"")</f>
        <v/>
      </c>
    </row>
    <row r="25" spans="1:14" x14ac:dyDescent="0.35">
      <c r="A25" s="151">
        <f t="shared" si="0"/>
        <v>24</v>
      </c>
      <c r="B25" s="152" t="str">
        <f ca="1">IFERROR(OFFSET(database!A$1,MATCH($A25,database!$AF$2:$AF$2004,0),0),"")</f>
        <v/>
      </c>
      <c r="C25" s="152" t="str">
        <f ca="1">IFERROR(OFFSET(database!B$1,MATCH($A25,database!$AF$2:$AF$2004,0),0),"")</f>
        <v/>
      </c>
      <c r="D25" s="152" t="str">
        <f ca="1">IFERROR(OFFSET(database!C$1,MATCH($A25,database!$AF$2:$AF$2004,0),0),"")</f>
        <v/>
      </c>
      <c r="E25" s="152" t="str">
        <f ca="1">IFERROR(OFFSET(database!D$1,MATCH($A25,database!$AF$2:$AF$2004,0),0),"")</f>
        <v/>
      </c>
      <c r="F25" s="152" t="str">
        <f ca="1">IFERROR(OFFSET(database!E$1,MATCH($A25,database!$AF$2:$AF$2004,0),0),"")</f>
        <v/>
      </c>
      <c r="G25" s="159" t="str">
        <f ca="1">IFERROR(OFFSET(database!F$1,MATCH($A25,database!$AF$2:$AF$2004,0),0),"")</f>
        <v/>
      </c>
      <c r="H25" s="152" t="str">
        <f ca="1">IFERROR(OFFSET(database!G$1,MATCH($A25,database!$AF$2:$AF$2004,0),0),"")</f>
        <v/>
      </c>
      <c r="I25" s="159" t="str">
        <f ca="1">IFERROR(OFFSET(database!H$1,MATCH($A25,database!$AF$2:$AF$2004,0),0),"")</f>
        <v/>
      </c>
      <c r="J25" s="159" t="str">
        <f ca="1">IFERROR(OFFSET(database!I$1,MATCH($A25,database!$AF$2:$AF$2004,0),0),"")</f>
        <v/>
      </c>
      <c r="K25" s="152" t="str">
        <f ca="1">IFERROR(OFFSET(database!J$1,MATCH($A25,database!$AF$2:$AF$2004,0),0),"")</f>
        <v/>
      </c>
      <c r="L25" s="152" t="str">
        <f ca="1">IFERROR(OFFSET(database!K$1,MATCH($A25,database!$AF$2:$AF$2004,0),0),"")</f>
        <v/>
      </c>
      <c r="M25" s="152" t="str">
        <f ca="1">IFERROR(OFFSET(database!L$1,MATCH($A25,database!$AF$2:$AF$2004,0),0),"")</f>
        <v/>
      </c>
      <c r="N25" s="152" t="str">
        <f ca="1">IFERROR(OFFSET(database!M$1,MATCH($A25,database!$AF$2:$AF$2004,0),0),"")</f>
        <v/>
      </c>
    </row>
    <row r="26" spans="1:14" x14ac:dyDescent="0.35">
      <c r="A26" s="151">
        <f t="shared" si="0"/>
        <v>25</v>
      </c>
      <c r="B26" s="152" t="str">
        <f ca="1">IFERROR(OFFSET(database!A$1,MATCH($A26,database!$AF$2:$AF$2004,0),0),"")</f>
        <v/>
      </c>
      <c r="C26" s="152" t="str">
        <f ca="1">IFERROR(OFFSET(database!B$1,MATCH($A26,database!$AF$2:$AF$2004,0),0),"")</f>
        <v/>
      </c>
      <c r="D26" s="152" t="str">
        <f ca="1">IFERROR(OFFSET(database!C$1,MATCH($A26,database!$AF$2:$AF$2004,0),0),"")</f>
        <v/>
      </c>
      <c r="E26" s="152" t="str">
        <f ca="1">IFERROR(OFFSET(database!D$1,MATCH($A26,database!$AF$2:$AF$2004,0),0),"")</f>
        <v/>
      </c>
      <c r="F26" s="152" t="str">
        <f ca="1">IFERROR(OFFSET(database!E$1,MATCH($A26,database!$AF$2:$AF$2004,0),0),"")</f>
        <v/>
      </c>
      <c r="G26" s="159" t="str">
        <f ca="1">IFERROR(OFFSET(database!F$1,MATCH($A26,database!$AF$2:$AF$2004,0),0),"")</f>
        <v/>
      </c>
      <c r="H26" s="152" t="str">
        <f ca="1">IFERROR(OFFSET(database!G$1,MATCH($A26,database!$AF$2:$AF$2004,0),0),"")</f>
        <v/>
      </c>
      <c r="I26" s="159" t="str">
        <f ca="1">IFERROR(OFFSET(database!H$1,MATCH($A26,database!$AF$2:$AF$2004,0),0),"")</f>
        <v/>
      </c>
      <c r="J26" s="159" t="str">
        <f ca="1">IFERROR(OFFSET(database!I$1,MATCH($A26,database!$AF$2:$AF$2004,0),0),"")</f>
        <v/>
      </c>
      <c r="K26" s="152" t="str">
        <f ca="1">IFERROR(OFFSET(database!J$1,MATCH($A26,database!$AF$2:$AF$2004,0),0),"")</f>
        <v/>
      </c>
      <c r="L26" s="152" t="str">
        <f ca="1">IFERROR(OFFSET(database!K$1,MATCH($A26,database!$AF$2:$AF$2004,0),0),"")</f>
        <v/>
      </c>
      <c r="M26" s="152" t="str">
        <f ca="1">IFERROR(OFFSET(database!L$1,MATCH($A26,database!$AF$2:$AF$2004,0),0),"")</f>
        <v/>
      </c>
      <c r="N26" s="152" t="str">
        <f ca="1">IFERROR(OFFSET(database!M$1,MATCH($A26,database!$AF$2:$AF$2004,0),0),"")</f>
        <v/>
      </c>
    </row>
    <row r="27" spans="1:14" x14ac:dyDescent="0.35">
      <c r="A27" s="151">
        <f t="shared" si="0"/>
        <v>26</v>
      </c>
      <c r="B27" s="152" t="str">
        <f ca="1">IFERROR(OFFSET(database!A$1,MATCH($A27,database!$AF$2:$AF$2004,0),0),"")</f>
        <v/>
      </c>
      <c r="C27" s="152" t="str">
        <f ca="1">IFERROR(OFFSET(database!B$1,MATCH($A27,database!$AF$2:$AF$2004,0),0),"")</f>
        <v/>
      </c>
      <c r="D27" s="152" t="str">
        <f ca="1">IFERROR(OFFSET(database!C$1,MATCH($A27,database!$AF$2:$AF$2004,0),0),"")</f>
        <v/>
      </c>
      <c r="E27" s="152" t="str">
        <f ca="1">IFERROR(OFFSET(database!D$1,MATCH($A27,database!$AF$2:$AF$2004,0),0),"")</f>
        <v/>
      </c>
      <c r="F27" s="152" t="str">
        <f ca="1">IFERROR(OFFSET(database!E$1,MATCH($A27,database!$AF$2:$AF$2004,0),0),"")</f>
        <v/>
      </c>
      <c r="G27" s="159" t="str">
        <f ca="1">IFERROR(OFFSET(database!F$1,MATCH($A27,database!$AF$2:$AF$2004,0),0),"")</f>
        <v/>
      </c>
      <c r="H27" s="152" t="str">
        <f ca="1">IFERROR(OFFSET(database!G$1,MATCH($A27,database!$AF$2:$AF$2004,0),0),"")</f>
        <v/>
      </c>
      <c r="I27" s="159" t="str">
        <f ca="1">IFERROR(OFFSET(database!H$1,MATCH($A27,database!$AF$2:$AF$2004,0),0),"")</f>
        <v/>
      </c>
      <c r="J27" s="159" t="str">
        <f ca="1">IFERROR(OFFSET(database!I$1,MATCH($A27,database!$AF$2:$AF$2004,0),0),"")</f>
        <v/>
      </c>
      <c r="K27" s="152" t="str">
        <f ca="1">IFERROR(OFFSET(database!J$1,MATCH($A27,database!$AF$2:$AF$2004,0),0),"")</f>
        <v/>
      </c>
      <c r="L27" s="152" t="str">
        <f ca="1">IFERROR(OFFSET(database!K$1,MATCH($A27,database!$AF$2:$AF$2004,0),0),"")</f>
        <v/>
      </c>
      <c r="M27" s="152" t="str">
        <f ca="1">IFERROR(OFFSET(database!L$1,MATCH($A27,database!$AF$2:$AF$2004,0),0),"")</f>
        <v/>
      </c>
      <c r="N27" s="152" t="str">
        <f ca="1">IFERROR(OFFSET(database!M$1,MATCH($A27,database!$AF$2:$AF$2004,0),0),"")</f>
        <v/>
      </c>
    </row>
    <row r="28" spans="1:14" x14ac:dyDescent="0.35">
      <c r="A28" s="151">
        <f t="shared" si="0"/>
        <v>27</v>
      </c>
      <c r="B28" s="152" t="str">
        <f ca="1">IFERROR(OFFSET(database!A$1,MATCH($A28,database!$AF$2:$AF$2004,0),0),"")</f>
        <v/>
      </c>
      <c r="C28" s="152" t="str">
        <f ca="1">IFERROR(OFFSET(database!B$1,MATCH($A28,database!$AF$2:$AF$2004,0),0),"")</f>
        <v/>
      </c>
      <c r="D28" s="152" t="str">
        <f ca="1">IFERROR(OFFSET(database!C$1,MATCH($A28,database!$AF$2:$AF$2004,0),0),"")</f>
        <v/>
      </c>
      <c r="E28" s="152" t="str">
        <f ca="1">IFERROR(OFFSET(database!D$1,MATCH($A28,database!$AF$2:$AF$2004,0),0),"")</f>
        <v/>
      </c>
      <c r="F28" s="152" t="str">
        <f ca="1">IFERROR(OFFSET(database!E$1,MATCH($A28,database!$AF$2:$AF$2004,0),0),"")</f>
        <v/>
      </c>
      <c r="G28" s="159" t="str">
        <f ca="1">IFERROR(OFFSET(database!F$1,MATCH($A28,database!$AF$2:$AF$2004,0),0),"")</f>
        <v/>
      </c>
      <c r="H28" s="152" t="str">
        <f ca="1">IFERROR(OFFSET(database!G$1,MATCH($A28,database!$AF$2:$AF$2004,0),0),"")</f>
        <v/>
      </c>
      <c r="I28" s="159" t="str">
        <f ca="1">IFERROR(OFFSET(database!H$1,MATCH($A28,database!$AF$2:$AF$2004,0),0),"")</f>
        <v/>
      </c>
      <c r="J28" s="159" t="str">
        <f ca="1">IFERROR(OFFSET(database!I$1,MATCH($A28,database!$AF$2:$AF$2004,0),0),"")</f>
        <v/>
      </c>
      <c r="K28" s="152" t="str">
        <f ca="1">IFERROR(OFFSET(database!J$1,MATCH($A28,database!$AF$2:$AF$2004,0),0),"")</f>
        <v/>
      </c>
      <c r="L28" s="152" t="str">
        <f ca="1">IFERROR(OFFSET(database!K$1,MATCH($A28,database!$AF$2:$AF$2004,0),0),"")</f>
        <v/>
      </c>
      <c r="M28" s="152" t="str">
        <f ca="1">IFERROR(OFFSET(database!L$1,MATCH($A28,database!$AF$2:$AF$2004,0),0),"")</f>
        <v/>
      </c>
      <c r="N28" s="152" t="str">
        <f ca="1">IFERROR(OFFSET(database!M$1,MATCH($A28,database!$AF$2:$AF$2004,0),0),"")</f>
        <v/>
      </c>
    </row>
    <row r="29" spans="1:14" x14ac:dyDescent="0.35">
      <c r="A29" s="151">
        <f t="shared" si="0"/>
        <v>28</v>
      </c>
      <c r="B29" s="152" t="str">
        <f ca="1">IFERROR(OFFSET(database!A$1,MATCH($A29,database!$AF$2:$AF$2004,0),0),"")</f>
        <v/>
      </c>
      <c r="C29" s="152" t="str">
        <f ca="1">IFERROR(OFFSET(database!B$1,MATCH($A29,database!$AF$2:$AF$2004,0),0),"")</f>
        <v/>
      </c>
      <c r="D29" s="152" t="str">
        <f ca="1">IFERROR(OFFSET(database!C$1,MATCH($A29,database!$AF$2:$AF$2004,0),0),"")</f>
        <v/>
      </c>
      <c r="E29" s="152" t="str">
        <f ca="1">IFERROR(OFFSET(database!D$1,MATCH($A29,database!$AF$2:$AF$2004,0),0),"")</f>
        <v/>
      </c>
      <c r="F29" s="152" t="str">
        <f ca="1">IFERROR(OFFSET(database!E$1,MATCH($A29,database!$AF$2:$AF$2004,0),0),"")</f>
        <v/>
      </c>
      <c r="G29" s="159" t="str">
        <f ca="1">IFERROR(OFFSET(database!F$1,MATCH($A29,database!$AF$2:$AF$2004,0),0),"")</f>
        <v/>
      </c>
      <c r="H29" s="152" t="str">
        <f ca="1">IFERROR(OFFSET(database!G$1,MATCH($A29,database!$AF$2:$AF$2004,0),0),"")</f>
        <v/>
      </c>
      <c r="I29" s="159" t="str">
        <f ca="1">IFERROR(OFFSET(database!H$1,MATCH($A29,database!$AF$2:$AF$2004,0),0),"")</f>
        <v/>
      </c>
      <c r="J29" s="159" t="str">
        <f ca="1">IFERROR(OFFSET(database!I$1,MATCH($A29,database!$AF$2:$AF$2004,0),0),"")</f>
        <v/>
      </c>
      <c r="K29" s="152" t="str">
        <f ca="1">IFERROR(OFFSET(database!J$1,MATCH($A29,database!$AF$2:$AF$2004,0),0),"")</f>
        <v/>
      </c>
      <c r="L29" s="152" t="str">
        <f ca="1">IFERROR(OFFSET(database!K$1,MATCH($A29,database!$AF$2:$AF$2004,0),0),"")</f>
        <v/>
      </c>
      <c r="M29" s="152" t="str">
        <f ca="1">IFERROR(OFFSET(database!L$1,MATCH($A29,database!$AF$2:$AF$2004,0),0),"")</f>
        <v/>
      </c>
      <c r="N29" s="152" t="str">
        <f ca="1">IFERROR(OFFSET(database!M$1,MATCH($A29,database!$AF$2:$AF$2004,0),0),"")</f>
        <v/>
      </c>
    </row>
    <row r="30" spans="1:14" x14ac:dyDescent="0.35">
      <c r="A30" s="151">
        <f t="shared" si="0"/>
        <v>29</v>
      </c>
      <c r="B30" s="152" t="str">
        <f ca="1">IFERROR(OFFSET(database!A$1,MATCH($A30,database!$AF$2:$AF$2004,0),0),"")</f>
        <v/>
      </c>
      <c r="C30" s="152" t="str">
        <f ca="1">IFERROR(OFFSET(database!B$1,MATCH($A30,database!$AF$2:$AF$2004,0),0),"")</f>
        <v/>
      </c>
      <c r="D30" s="152" t="str">
        <f ca="1">IFERROR(OFFSET(database!C$1,MATCH($A30,database!$AF$2:$AF$2004,0),0),"")</f>
        <v/>
      </c>
      <c r="E30" s="152" t="str">
        <f ca="1">IFERROR(OFFSET(database!D$1,MATCH($A30,database!$AF$2:$AF$2004,0),0),"")</f>
        <v/>
      </c>
      <c r="F30" s="152" t="str">
        <f ca="1">IFERROR(OFFSET(database!E$1,MATCH($A30,database!$AF$2:$AF$2004,0),0),"")</f>
        <v/>
      </c>
      <c r="G30" s="159" t="str">
        <f ca="1">IFERROR(OFFSET(database!F$1,MATCH($A30,database!$AF$2:$AF$2004,0),0),"")</f>
        <v/>
      </c>
      <c r="H30" s="152" t="str">
        <f ca="1">IFERROR(OFFSET(database!G$1,MATCH($A30,database!$AF$2:$AF$2004,0),0),"")</f>
        <v/>
      </c>
      <c r="I30" s="159" t="str">
        <f ca="1">IFERROR(OFFSET(database!H$1,MATCH($A30,database!$AF$2:$AF$2004,0),0),"")</f>
        <v/>
      </c>
      <c r="J30" s="159" t="str">
        <f ca="1">IFERROR(OFFSET(database!I$1,MATCH($A30,database!$AF$2:$AF$2004,0),0),"")</f>
        <v/>
      </c>
      <c r="K30" s="152" t="str">
        <f ca="1">IFERROR(OFFSET(database!J$1,MATCH($A30,database!$AF$2:$AF$2004,0),0),"")</f>
        <v/>
      </c>
      <c r="L30" s="152" t="str">
        <f ca="1">IFERROR(OFFSET(database!K$1,MATCH($A30,database!$AF$2:$AF$2004,0),0),"")</f>
        <v/>
      </c>
      <c r="M30" s="152" t="str">
        <f ca="1">IFERROR(OFFSET(database!L$1,MATCH($A30,database!$AF$2:$AF$2004,0),0),"")</f>
        <v/>
      </c>
      <c r="N30" s="152" t="str">
        <f ca="1">IFERROR(OFFSET(database!M$1,MATCH($A30,database!$AF$2:$AF$2004,0),0),"")</f>
        <v/>
      </c>
    </row>
    <row r="31" spans="1:14" x14ac:dyDescent="0.35">
      <c r="A31" s="151">
        <f t="shared" si="0"/>
        <v>30</v>
      </c>
      <c r="B31" s="152" t="str">
        <f ca="1">IFERROR(OFFSET(database!A$1,MATCH($A31,database!$AF$2:$AF$2004,0),0),"")</f>
        <v/>
      </c>
      <c r="C31" s="152" t="str">
        <f ca="1">IFERROR(OFFSET(database!B$1,MATCH($A31,database!$AF$2:$AF$2004,0),0),"")</f>
        <v/>
      </c>
      <c r="D31" s="152" t="str">
        <f ca="1">IFERROR(OFFSET(database!C$1,MATCH($A31,database!$AF$2:$AF$2004,0),0),"")</f>
        <v/>
      </c>
      <c r="E31" s="152" t="str">
        <f ca="1">IFERROR(OFFSET(database!D$1,MATCH($A31,database!$AF$2:$AF$2004,0),0),"")</f>
        <v/>
      </c>
      <c r="F31" s="152" t="str">
        <f ca="1">IFERROR(OFFSET(database!E$1,MATCH($A31,database!$AF$2:$AF$2004,0),0),"")</f>
        <v/>
      </c>
      <c r="G31" s="159" t="str">
        <f ca="1">IFERROR(OFFSET(database!F$1,MATCH($A31,database!$AF$2:$AF$2004,0),0),"")</f>
        <v/>
      </c>
      <c r="H31" s="152" t="str">
        <f ca="1">IFERROR(OFFSET(database!G$1,MATCH($A31,database!$AF$2:$AF$2004,0),0),"")</f>
        <v/>
      </c>
      <c r="I31" s="159" t="str">
        <f ca="1">IFERROR(OFFSET(database!H$1,MATCH($A31,database!$AF$2:$AF$2004,0),0),"")</f>
        <v/>
      </c>
      <c r="J31" s="159" t="str">
        <f ca="1">IFERROR(OFFSET(database!I$1,MATCH($A31,database!$AF$2:$AF$2004,0),0),"")</f>
        <v/>
      </c>
      <c r="K31" s="152" t="str">
        <f ca="1">IFERROR(OFFSET(database!J$1,MATCH($A31,database!$AF$2:$AF$2004,0),0),"")</f>
        <v/>
      </c>
      <c r="L31" s="152" t="str">
        <f ca="1">IFERROR(OFFSET(database!K$1,MATCH($A31,database!$AF$2:$AF$2004,0),0),"")</f>
        <v/>
      </c>
      <c r="M31" s="152" t="str">
        <f ca="1">IFERROR(OFFSET(database!L$1,MATCH($A31,database!$AF$2:$AF$2004,0),0),"")</f>
        <v/>
      </c>
      <c r="N31" s="152" t="str">
        <f ca="1">IFERROR(OFFSET(database!M$1,MATCH($A31,database!$AF$2:$AF$2004,0),0),"")</f>
        <v/>
      </c>
    </row>
    <row r="32" spans="1:14" x14ac:dyDescent="0.35">
      <c r="A32" s="151">
        <f t="shared" si="0"/>
        <v>31</v>
      </c>
      <c r="B32" s="152" t="str">
        <f ca="1">IFERROR(OFFSET(database!A$1,MATCH($A32,database!$AF$2:$AF$2004,0),0),"")</f>
        <v/>
      </c>
      <c r="C32" s="152" t="str">
        <f ca="1">IFERROR(OFFSET(database!B$1,MATCH($A32,database!$AF$2:$AF$2004,0),0),"")</f>
        <v/>
      </c>
      <c r="D32" s="152" t="str">
        <f ca="1">IFERROR(OFFSET(database!C$1,MATCH($A32,database!$AF$2:$AF$2004,0),0),"")</f>
        <v/>
      </c>
      <c r="E32" s="152" t="str">
        <f ca="1">IFERROR(OFFSET(database!D$1,MATCH($A32,database!$AF$2:$AF$2004,0),0),"")</f>
        <v/>
      </c>
      <c r="F32" s="152" t="str">
        <f ca="1">IFERROR(OFFSET(database!E$1,MATCH($A32,database!$AF$2:$AF$2004,0),0),"")</f>
        <v/>
      </c>
      <c r="G32" s="159" t="str">
        <f ca="1">IFERROR(OFFSET(database!F$1,MATCH($A32,database!$AF$2:$AF$2004,0),0),"")</f>
        <v/>
      </c>
      <c r="H32" s="152" t="str">
        <f ca="1">IFERROR(OFFSET(database!G$1,MATCH($A32,database!$AF$2:$AF$2004,0),0),"")</f>
        <v/>
      </c>
      <c r="I32" s="159" t="str">
        <f ca="1">IFERROR(OFFSET(database!H$1,MATCH($A32,database!$AF$2:$AF$2004,0),0),"")</f>
        <v/>
      </c>
      <c r="J32" s="159" t="str">
        <f ca="1">IFERROR(OFFSET(database!I$1,MATCH($A32,database!$AF$2:$AF$2004,0),0),"")</f>
        <v/>
      </c>
      <c r="K32" s="152" t="str">
        <f ca="1">IFERROR(OFFSET(database!J$1,MATCH($A32,database!$AF$2:$AF$2004,0),0),"")</f>
        <v/>
      </c>
      <c r="L32" s="152" t="str">
        <f ca="1">IFERROR(OFFSET(database!K$1,MATCH($A32,database!$AF$2:$AF$2004,0),0),"")</f>
        <v/>
      </c>
      <c r="M32" s="152" t="str">
        <f ca="1">IFERROR(OFFSET(database!L$1,MATCH($A32,database!$AF$2:$AF$2004,0),0),"")</f>
        <v/>
      </c>
      <c r="N32" s="152" t="str">
        <f ca="1">IFERROR(OFFSET(database!M$1,MATCH($A32,database!$AF$2:$AF$2004,0),0),"")</f>
        <v/>
      </c>
    </row>
    <row r="33" spans="1:14" x14ac:dyDescent="0.35">
      <c r="A33" s="151">
        <f t="shared" si="0"/>
        <v>32</v>
      </c>
      <c r="B33" s="152" t="str">
        <f ca="1">IFERROR(OFFSET(database!A$1,MATCH($A33,database!$AF$2:$AF$2004,0),0),"")</f>
        <v/>
      </c>
      <c r="C33" s="152" t="str">
        <f ca="1">IFERROR(OFFSET(database!B$1,MATCH($A33,database!$AF$2:$AF$2004,0),0),"")</f>
        <v/>
      </c>
      <c r="D33" s="152" t="str">
        <f ca="1">IFERROR(OFFSET(database!C$1,MATCH($A33,database!$AF$2:$AF$2004,0),0),"")</f>
        <v/>
      </c>
      <c r="E33" s="152" t="str">
        <f ca="1">IFERROR(OFFSET(database!D$1,MATCH($A33,database!$AF$2:$AF$2004,0),0),"")</f>
        <v/>
      </c>
      <c r="F33" s="152" t="str">
        <f ca="1">IFERROR(OFFSET(database!E$1,MATCH($A33,database!$AF$2:$AF$2004,0),0),"")</f>
        <v/>
      </c>
      <c r="G33" s="159" t="str">
        <f ca="1">IFERROR(OFFSET(database!F$1,MATCH($A33,database!$AF$2:$AF$2004,0),0),"")</f>
        <v/>
      </c>
      <c r="H33" s="152" t="str">
        <f ca="1">IFERROR(OFFSET(database!G$1,MATCH($A33,database!$AF$2:$AF$2004,0),0),"")</f>
        <v/>
      </c>
      <c r="I33" s="159" t="str">
        <f ca="1">IFERROR(OFFSET(database!H$1,MATCH($A33,database!$AF$2:$AF$2004,0),0),"")</f>
        <v/>
      </c>
      <c r="J33" s="159" t="str">
        <f ca="1">IFERROR(OFFSET(database!I$1,MATCH($A33,database!$AF$2:$AF$2004,0),0),"")</f>
        <v/>
      </c>
      <c r="K33" s="152" t="str">
        <f ca="1">IFERROR(OFFSET(database!J$1,MATCH($A33,database!$AF$2:$AF$2004,0),0),"")</f>
        <v/>
      </c>
      <c r="L33" s="152" t="str">
        <f ca="1">IFERROR(OFFSET(database!K$1,MATCH($A33,database!$AF$2:$AF$2004,0),0),"")</f>
        <v/>
      </c>
      <c r="M33" s="152" t="str">
        <f ca="1">IFERROR(OFFSET(database!L$1,MATCH($A33,database!$AF$2:$AF$2004,0),0),"")</f>
        <v/>
      </c>
      <c r="N33" s="152" t="str">
        <f ca="1">IFERROR(OFFSET(database!M$1,MATCH($A33,database!$AF$2:$AF$2004,0),0),"")</f>
        <v/>
      </c>
    </row>
    <row r="34" spans="1:14" x14ac:dyDescent="0.35">
      <c r="A34" s="151">
        <f t="shared" si="0"/>
        <v>33</v>
      </c>
      <c r="B34" s="152" t="str">
        <f ca="1">IFERROR(OFFSET(database!A$1,MATCH($A34,database!$AF$2:$AF$2004,0),0),"")</f>
        <v/>
      </c>
      <c r="C34" s="152" t="str">
        <f ca="1">IFERROR(OFFSET(database!B$1,MATCH($A34,database!$AF$2:$AF$2004,0),0),"")</f>
        <v/>
      </c>
      <c r="D34" s="152" t="str">
        <f ca="1">IFERROR(OFFSET(database!C$1,MATCH($A34,database!$AF$2:$AF$2004,0),0),"")</f>
        <v/>
      </c>
      <c r="E34" s="152" t="str">
        <f ca="1">IFERROR(OFFSET(database!D$1,MATCH($A34,database!$AF$2:$AF$2004,0),0),"")</f>
        <v/>
      </c>
      <c r="F34" s="152" t="str">
        <f ca="1">IFERROR(OFFSET(database!E$1,MATCH($A34,database!$AF$2:$AF$2004,0),0),"")</f>
        <v/>
      </c>
      <c r="G34" s="159" t="str">
        <f ca="1">IFERROR(OFFSET(database!F$1,MATCH($A34,database!$AF$2:$AF$2004,0),0),"")</f>
        <v/>
      </c>
      <c r="H34" s="152" t="str">
        <f ca="1">IFERROR(OFFSET(database!G$1,MATCH($A34,database!$AF$2:$AF$2004,0),0),"")</f>
        <v/>
      </c>
      <c r="I34" s="159" t="str">
        <f ca="1">IFERROR(OFFSET(database!H$1,MATCH($A34,database!$AF$2:$AF$2004,0),0),"")</f>
        <v/>
      </c>
      <c r="J34" s="159" t="str">
        <f ca="1">IFERROR(OFFSET(database!I$1,MATCH($A34,database!$AF$2:$AF$2004,0),0),"")</f>
        <v/>
      </c>
      <c r="K34" s="152" t="str">
        <f ca="1">IFERROR(OFFSET(database!J$1,MATCH($A34,database!$AF$2:$AF$2004,0),0),"")</f>
        <v/>
      </c>
      <c r="L34" s="152" t="str">
        <f ca="1">IFERROR(OFFSET(database!K$1,MATCH($A34,database!$AF$2:$AF$2004,0),0),"")</f>
        <v/>
      </c>
      <c r="M34" s="152" t="str">
        <f ca="1">IFERROR(OFFSET(database!L$1,MATCH($A34,database!$AF$2:$AF$2004,0),0),"")</f>
        <v/>
      </c>
      <c r="N34" s="152" t="str">
        <f ca="1">IFERROR(OFFSET(database!M$1,MATCH($A34,database!$AF$2:$AF$2004,0),0),"")</f>
        <v/>
      </c>
    </row>
    <row r="35" spans="1:14" x14ac:dyDescent="0.35">
      <c r="A35" s="151">
        <f t="shared" ref="A35:A66" si="1">A34+1</f>
        <v>34</v>
      </c>
      <c r="B35" s="152" t="str">
        <f ca="1">IFERROR(OFFSET(database!A$1,MATCH($A35,database!$AF$2:$AF$2004,0),0),"")</f>
        <v/>
      </c>
      <c r="C35" s="152" t="str">
        <f ca="1">IFERROR(OFFSET(database!B$1,MATCH($A35,database!$AF$2:$AF$2004,0),0),"")</f>
        <v/>
      </c>
      <c r="D35" s="152" t="str">
        <f ca="1">IFERROR(OFFSET(database!C$1,MATCH($A35,database!$AF$2:$AF$2004,0),0),"")</f>
        <v/>
      </c>
      <c r="E35" s="152" t="str">
        <f ca="1">IFERROR(OFFSET(database!D$1,MATCH($A35,database!$AF$2:$AF$2004,0),0),"")</f>
        <v/>
      </c>
      <c r="F35" s="152" t="str">
        <f ca="1">IFERROR(OFFSET(database!E$1,MATCH($A35,database!$AF$2:$AF$2004,0),0),"")</f>
        <v/>
      </c>
      <c r="G35" s="159" t="str">
        <f ca="1">IFERROR(OFFSET(database!F$1,MATCH($A35,database!$AF$2:$AF$2004,0),0),"")</f>
        <v/>
      </c>
      <c r="H35" s="152" t="str">
        <f ca="1">IFERROR(OFFSET(database!G$1,MATCH($A35,database!$AF$2:$AF$2004,0),0),"")</f>
        <v/>
      </c>
      <c r="I35" s="159" t="str">
        <f ca="1">IFERROR(OFFSET(database!H$1,MATCH($A35,database!$AF$2:$AF$2004,0),0),"")</f>
        <v/>
      </c>
      <c r="J35" s="159" t="str">
        <f ca="1">IFERROR(OFFSET(database!I$1,MATCH($A35,database!$AF$2:$AF$2004,0),0),"")</f>
        <v/>
      </c>
      <c r="K35" s="152" t="str">
        <f ca="1">IFERROR(OFFSET(database!J$1,MATCH($A35,database!$AF$2:$AF$2004,0),0),"")</f>
        <v/>
      </c>
      <c r="L35" s="152" t="str">
        <f ca="1">IFERROR(OFFSET(database!K$1,MATCH($A35,database!$AF$2:$AF$2004,0),0),"")</f>
        <v/>
      </c>
      <c r="M35" s="152" t="str">
        <f ca="1">IFERROR(OFFSET(database!L$1,MATCH($A35,database!$AF$2:$AF$2004,0),0),"")</f>
        <v/>
      </c>
      <c r="N35" s="152" t="str">
        <f ca="1">IFERROR(OFFSET(database!M$1,MATCH($A35,database!$AF$2:$AF$2004,0),0),"")</f>
        <v/>
      </c>
    </row>
    <row r="36" spans="1:14" x14ac:dyDescent="0.35">
      <c r="A36" s="151">
        <f t="shared" si="1"/>
        <v>35</v>
      </c>
      <c r="B36" s="152" t="str">
        <f ca="1">IFERROR(OFFSET(database!A$1,MATCH($A36,database!$AF$2:$AF$2004,0),0),"")</f>
        <v/>
      </c>
      <c r="C36" s="152" t="str">
        <f ca="1">IFERROR(OFFSET(database!B$1,MATCH($A36,database!$AF$2:$AF$2004,0),0),"")</f>
        <v/>
      </c>
      <c r="D36" s="152" t="str">
        <f ca="1">IFERROR(OFFSET(database!C$1,MATCH($A36,database!$AF$2:$AF$2004,0),0),"")</f>
        <v/>
      </c>
      <c r="E36" s="152" t="str">
        <f ca="1">IFERROR(OFFSET(database!D$1,MATCH($A36,database!$AF$2:$AF$2004,0),0),"")</f>
        <v/>
      </c>
      <c r="F36" s="152" t="str">
        <f ca="1">IFERROR(OFFSET(database!E$1,MATCH($A36,database!$AF$2:$AF$2004,0),0),"")</f>
        <v/>
      </c>
      <c r="G36" s="159" t="str">
        <f ca="1">IFERROR(OFFSET(database!F$1,MATCH($A36,database!$AF$2:$AF$2004,0),0),"")</f>
        <v/>
      </c>
      <c r="H36" s="152" t="str">
        <f ca="1">IFERROR(OFFSET(database!G$1,MATCH($A36,database!$AF$2:$AF$2004,0),0),"")</f>
        <v/>
      </c>
      <c r="I36" s="159" t="str">
        <f ca="1">IFERROR(OFFSET(database!H$1,MATCH($A36,database!$AF$2:$AF$2004,0),0),"")</f>
        <v/>
      </c>
      <c r="J36" s="159" t="str">
        <f ca="1">IFERROR(OFFSET(database!I$1,MATCH($A36,database!$AF$2:$AF$2004,0),0),"")</f>
        <v/>
      </c>
      <c r="K36" s="152" t="str">
        <f ca="1">IFERROR(OFFSET(database!J$1,MATCH($A36,database!$AF$2:$AF$2004,0),0),"")</f>
        <v/>
      </c>
      <c r="L36" s="152" t="str">
        <f ca="1">IFERROR(OFFSET(database!K$1,MATCH($A36,database!$AF$2:$AF$2004,0),0),"")</f>
        <v/>
      </c>
      <c r="M36" s="152" t="str">
        <f ca="1">IFERROR(OFFSET(database!L$1,MATCH($A36,database!$AF$2:$AF$2004,0),0),"")</f>
        <v/>
      </c>
      <c r="N36" s="152" t="str">
        <f ca="1">IFERROR(OFFSET(database!M$1,MATCH($A36,database!$AF$2:$AF$2004,0),0),"")</f>
        <v/>
      </c>
    </row>
    <row r="37" spans="1:14" x14ac:dyDescent="0.35">
      <c r="A37" s="151">
        <f t="shared" si="1"/>
        <v>36</v>
      </c>
      <c r="B37" s="152" t="str">
        <f ca="1">IFERROR(OFFSET(database!A$1,MATCH($A37,database!$AF$2:$AF$2004,0),0),"")</f>
        <v/>
      </c>
      <c r="C37" s="152" t="str">
        <f ca="1">IFERROR(OFFSET(database!B$1,MATCH($A37,database!$AF$2:$AF$2004,0),0),"")</f>
        <v/>
      </c>
      <c r="D37" s="152" t="str">
        <f ca="1">IFERROR(OFFSET(database!C$1,MATCH($A37,database!$AF$2:$AF$2004,0),0),"")</f>
        <v/>
      </c>
      <c r="E37" s="152" t="str">
        <f ca="1">IFERROR(OFFSET(database!D$1,MATCH($A37,database!$AF$2:$AF$2004,0),0),"")</f>
        <v/>
      </c>
      <c r="F37" s="152" t="str">
        <f ca="1">IFERROR(OFFSET(database!E$1,MATCH($A37,database!$AF$2:$AF$2004,0),0),"")</f>
        <v/>
      </c>
      <c r="G37" s="159" t="str">
        <f ca="1">IFERROR(OFFSET(database!F$1,MATCH($A37,database!$AF$2:$AF$2004,0),0),"")</f>
        <v/>
      </c>
      <c r="H37" s="152" t="str">
        <f ca="1">IFERROR(OFFSET(database!G$1,MATCH($A37,database!$AF$2:$AF$2004,0),0),"")</f>
        <v/>
      </c>
      <c r="I37" s="159" t="str">
        <f ca="1">IFERROR(OFFSET(database!H$1,MATCH($A37,database!$AF$2:$AF$2004,0),0),"")</f>
        <v/>
      </c>
      <c r="J37" s="159" t="str">
        <f ca="1">IFERROR(OFFSET(database!I$1,MATCH($A37,database!$AF$2:$AF$2004,0),0),"")</f>
        <v/>
      </c>
      <c r="K37" s="152" t="str">
        <f ca="1">IFERROR(OFFSET(database!J$1,MATCH($A37,database!$AF$2:$AF$2004,0),0),"")</f>
        <v/>
      </c>
      <c r="L37" s="152" t="str">
        <f ca="1">IFERROR(OFFSET(database!K$1,MATCH($A37,database!$AF$2:$AF$2004,0),0),"")</f>
        <v/>
      </c>
      <c r="M37" s="152" t="str">
        <f ca="1">IFERROR(OFFSET(database!L$1,MATCH($A37,database!$AF$2:$AF$2004,0),0),"")</f>
        <v/>
      </c>
      <c r="N37" s="152" t="str">
        <f ca="1">IFERROR(OFFSET(database!M$1,MATCH($A37,database!$AF$2:$AF$2004,0),0),"")</f>
        <v/>
      </c>
    </row>
    <row r="38" spans="1:14" x14ac:dyDescent="0.35">
      <c r="A38" s="151">
        <f t="shared" si="1"/>
        <v>37</v>
      </c>
      <c r="B38" s="152" t="str">
        <f ca="1">IFERROR(OFFSET(database!A$1,MATCH($A38,database!$AF$2:$AF$2004,0),0),"")</f>
        <v/>
      </c>
      <c r="C38" s="152" t="str">
        <f ca="1">IFERROR(OFFSET(database!B$1,MATCH($A38,database!$AF$2:$AF$2004,0),0),"")</f>
        <v/>
      </c>
      <c r="D38" s="152" t="str">
        <f ca="1">IFERROR(OFFSET(database!C$1,MATCH($A38,database!$AF$2:$AF$2004,0),0),"")</f>
        <v/>
      </c>
      <c r="E38" s="152" t="str">
        <f ca="1">IFERROR(OFFSET(database!D$1,MATCH($A38,database!$AF$2:$AF$2004,0),0),"")</f>
        <v/>
      </c>
      <c r="F38" s="152" t="str">
        <f ca="1">IFERROR(OFFSET(database!E$1,MATCH($A38,database!$AF$2:$AF$2004,0),0),"")</f>
        <v/>
      </c>
      <c r="G38" s="159" t="str">
        <f ca="1">IFERROR(OFFSET(database!F$1,MATCH($A38,database!$AF$2:$AF$2004,0),0),"")</f>
        <v/>
      </c>
      <c r="H38" s="152" t="str">
        <f ca="1">IFERROR(OFFSET(database!G$1,MATCH($A38,database!$AF$2:$AF$2004,0),0),"")</f>
        <v/>
      </c>
      <c r="I38" s="159" t="str">
        <f ca="1">IFERROR(OFFSET(database!H$1,MATCH($A38,database!$AF$2:$AF$2004,0),0),"")</f>
        <v/>
      </c>
      <c r="J38" s="159" t="str">
        <f ca="1">IFERROR(OFFSET(database!I$1,MATCH($A38,database!$AF$2:$AF$2004,0),0),"")</f>
        <v/>
      </c>
      <c r="K38" s="152" t="str">
        <f ca="1">IFERROR(OFFSET(database!J$1,MATCH($A38,database!$AF$2:$AF$2004,0),0),"")</f>
        <v/>
      </c>
      <c r="L38" s="152" t="str">
        <f ca="1">IFERROR(OFFSET(database!K$1,MATCH($A38,database!$AF$2:$AF$2004,0),0),"")</f>
        <v/>
      </c>
      <c r="M38" s="152" t="str">
        <f ca="1">IFERROR(OFFSET(database!L$1,MATCH($A38,database!$AF$2:$AF$2004,0),0),"")</f>
        <v/>
      </c>
      <c r="N38" s="152" t="str">
        <f ca="1">IFERROR(OFFSET(database!M$1,MATCH($A38,database!$AF$2:$AF$2004,0),0),"")</f>
        <v/>
      </c>
    </row>
    <row r="39" spans="1:14" x14ac:dyDescent="0.35">
      <c r="A39" s="151">
        <f t="shared" si="1"/>
        <v>38</v>
      </c>
      <c r="B39" s="152" t="str">
        <f ca="1">IFERROR(OFFSET(database!A$1,MATCH($A39,database!$AF$2:$AF$2004,0),0),"")</f>
        <v/>
      </c>
      <c r="C39" s="152" t="str">
        <f ca="1">IFERROR(OFFSET(database!B$1,MATCH($A39,database!$AF$2:$AF$2004,0),0),"")</f>
        <v/>
      </c>
      <c r="D39" s="152" t="str">
        <f ca="1">IFERROR(OFFSET(database!C$1,MATCH($A39,database!$AF$2:$AF$2004,0),0),"")</f>
        <v/>
      </c>
      <c r="E39" s="152" t="str">
        <f ca="1">IFERROR(OFFSET(database!D$1,MATCH($A39,database!$AF$2:$AF$2004,0),0),"")</f>
        <v/>
      </c>
      <c r="F39" s="152" t="str">
        <f ca="1">IFERROR(OFFSET(database!E$1,MATCH($A39,database!$AF$2:$AF$2004,0),0),"")</f>
        <v/>
      </c>
      <c r="G39" s="159" t="str">
        <f ca="1">IFERROR(OFFSET(database!F$1,MATCH($A39,database!$AF$2:$AF$2004,0),0),"")</f>
        <v/>
      </c>
      <c r="H39" s="152" t="str">
        <f ca="1">IFERROR(OFFSET(database!G$1,MATCH($A39,database!$AF$2:$AF$2004,0),0),"")</f>
        <v/>
      </c>
      <c r="I39" s="159" t="str">
        <f ca="1">IFERROR(OFFSET(database!H$1,MATCH($A39,database!$AF$2:$AF$2004,0),0),"")</f>
        <v/>
      </c>
      <c r="J39" s="159" t="str">
        <f ca="1">IFERROR(OFFSET(database!I$1,MATCH($A39,database!$AF$2:$AF$2004,0),0),"")</f>
        <v/>
      </c>
      <c r="K39" s="152" t="str">
        <f ca="1">IFERROR(OFFSET(database!J$1,MATCH($A39,database!$AF$2:$AF$2004,0),0),"")</f>
        <v/>
      </c>
      <c r="L39" s="152" t="str">
        <f ca="1">IFERROR(OFFSET(database!K$1,MATCH($A39,database!$AF$2:$AF$2004,0),0),"")</f>
        <v/>
      </c>
      <c r="M39" s="152" t="str">
        <f ca="1">IFERROR(OFFSET(database!L$1,MATCH($A39,database!$AF$2:$AF$2004,0),0),"")</f>
        <v/>
      </c>
      <c r="N39" s="152" t="str">
        <f ca="1">IFERROR(OFFSET(database!M$1,MATCH($A39,database!$AF$2:$AF$2004,0),0),"")</f>
        <v/>
      </c>
    </row>
    <row r="40" spans="1:14" x14ac:dyDescent="0.35">
      <c r="A40" s="151">
        <f t="shared" si="1"/>
        <v>39</v>
      </c>
      <c r="B40" s="152" t="str">
        <f ca="1">IFERROR(OFFSET(database!A$1,MATCH($A40,database!$AF$2:$AF$2004,0),0),"")</f>
        <v/>
      </c>
      <c r="C40" s="152" t="str">
        <f ca="1">IFERROR(OFFSET(database!B$1,MATCH($A40,database!$AF$2:$AF$2004,0),0),"")</f>
        <v/>
      </c>
      <c r="D40" s="152" t="str">
        <f ca="1">IFERROR(OFFSET(database!C$1,MATCH($A40,database!$AF$2:$AF$2004,0),0),"")</f>
        <v/>
      </c>
      <c r="E40" s="152" t="str">
        <f ca="1">IFERROR(OFFSET(database!D$1,MATCH($A40,database!$AF$2:$AF$2004,0),0),"")</f>
        <v/>
      </c>
      <c r="F40" s="152" t="str">
        <f ca="1">IFERROR(OFFSET(database!E$1,MATCH($A40,database!$AF$2:$AF$2004,0),0),"")</f>
        <v/>
      </c>
      <c r="G40" s="159" t="str">
        <f ca="1">IFERROR(OFFSET(database!F$1,MATCH($A40,database!$AF$2:$AF$2004,0),0),"")</f>
        <v/>
      </c>
      <c r="H40" s="152" t="str">
        <f ca="1">IFERROR(OFFSET(database!G$1,MATCH($A40,database!$AF$2:$AF$2004,0),0),"")</f>
        <v/>
      </c>
      <c r="I40" s="159" t="str">
        <f ca="1">IFERROR(OFFSET(database!H$1,MATCH($A40,database!$AF$2:$AF$2004,0),0),"")</f>
        <v/>
      </c>
      <c r="J40" s="159" t="str">
        <f ca="1">IFERROR(OFFSET(database!I$1,MATCH($A40,database!$AF$2:$AF$2004,0),0),"")</f>
        <v/>
      </c>
      <c r="K40" s="152" t="str">
        <f ca="1">IFERROR(OFFSET(database!J$1,MATCH($A40,database!$AF$2:$AF$2004,0),0),"")</f>
        <v/>
      </c>
      <c r="L40" s="152" t="str">
        <f ca="1">IFERROR(OFFSET(database!K$1,MATCH($A40,database!$AF$2:$AF$2004,0),0),"")</f>
        <v/>
      </c>
      <c r="M40" s="152" t="str">
        <f ca="1">IFERROR(OFFSET(database!L$1,MATCH($A40,database!$AF$2:$AF$2004,0),0),"")</f>
        <v/>
      </c>
      <c r="N40" s="152" t="str">
        <f ca="1">IFERROR(OFFSET(database!M$1,MATCH($A40,database!$AF$2:$AF$2004,0),0),"")</f>
        <v/>
      </c>
    </row>
    <row r="41" spans="1:14" x14ac:dyDescent="0.35">
      <c r="A41" s="151">
        <f t="shared" si="1"/>
        <v>40</v>
      </c>
      <c r="B41" s="152" t="str">
        <f ca="1">IFERROR(OFFSET(database!A$1,MATCH($A41,database!$AF$2:$AF$2004,0),0),"")</f>
        <v/>
      </c>
      <c r="C41" s="152" t="str">
        <f ca="1">IFERROR(OFFSET(database!B$1,MATCH($A41,database!$AF$2:$AF$2004,0),0),"")</f>
        <v/>
      </c>
      <c r="D41" s="152" t="str">
        <f ca="1">IFERROR(OFFSET(database!C$1,MATCH($A41,database!$AF$2:$AF$2004,0),0),"")</f>
        <v/>
      </c>
      <c r="E41" s="152" t="str">
        <f ca="1">IFERROR(OFFSET(database!D$1,MATCH($A41,database!$AF$2:$AF$2004,0),0),"")</f>
        <v/>
      </c>
      <c r="F41" s="152" t="str">
        <f ca="1">IFERROR(OFFSET(database!E$1,MATCH($A41,database!$AF$2:$AF$2004,0),0),"")</f>
        <v/>
      </c>
      <c r="G41" s="159" t="str">
        <f ca="1">IFERROR(OFFSET(database!F$1,MATCH($A41,database!$AF$2:$AF$2004,0),0),"")</f>
        <v/>
      </c>
      <c r="H41" s="152" t="str">
        <f ca="1">IFERROR(OFFSET(database!G$1,MATCH($A41,database!$AF$2:$AF$2004,0),0),"")</f>
        <v/>
      </c>
      <c r="I41" s="159" t="str">
        <f ca="1">IFERROR(OFFSET(database!H$1,MATCH($A41,database!$AF$2:$AF$2004,0),0),"")</f>
        <v/>
      </c>
      <c r="J41" s="159" t="str">
        <f ca="1">IFERROR(OFFSET(database!I$1,MATCH($A41,database!$AF$2:$AF$2004,0),0),"")</f>
        <v/>
      </c>
      <c r="K41" s="152" t="str">
        <f ca="1">IFERROR(OFFSET(database!J$1,MATCH($A41,database!$AF$2:$AF$2004,0),0),"")</f>
        <v/>
      </c>
      <c r="L41" s="152" t="str">
        <f ca="1">IFERROR(OFFSET(database!K$1,MATCH($A41,database!$AF$2:$AF$2004,0),0),"")</f>
        <v/>
      </c>
      <c r="M41" s="152" t="str">
        <f ca="1">IFERROR(OFFSET(database!L$1,MATCH($A41,database!$AF$2:$AF$2004,0),0),"")</f>
        <v/>
      </c>
      <c r="N41" s="152" t="str">
        <f ca="1">IFERROR(OFFSET(database!M$1,MATCH($A41,database!$AF$2:$AF$2004,0),0),"")</f>
        <v/>
      </c>
    </row>
    <row r="42" spans="1:14" x14ac:dyDescent="0.35">
      <c r="A42" s="151">
        <f t="shared" si="1"/>
        <v>41</v>
      </c>
      <c r="B42" s="152" t="str">
        <f ca="1">IFERROR(OFFSET(database!A$1,MATCH($A42,database!$AF$2:$AF$2004,0),0),"")</f>
        <v/>
      </c>
      <c r="C42" s="152" t="str">
        <f ca="1">IFERROR(OFFSET(database!B$1,MATCH($A42,database!$AF$2:$AF$2004,0),0),"")</f>
        <v/>
      </c>
      <c r="D42" s="152" t="str">
        <f ca="1">IFERROR(OFFSET(database!C$1,MATCH($A42,database!$AF$2:$AF$2004,0),0),"")</f>
        <v/>
      </c>
      <c r="E42" s="152" t="str">
        <f ca="1">IFERROR(OFFSET(database!D$1,MATCH($A42,database!$AF$2:$AF$2004,0),0),"")</f>
        <v/>
      </c>
      <c r="F42" s="152" t="str">
        <f ca="1">IFERROR(OFFSET(database!E$1,MATCH($A42,database!$AF$2:$AF$2004,0),0),"")</f>
        <v/>
      </c>
      <c r="G42" s="159" t="str">
        <f ca="1">IFERROR(OFFSET(database!F$1,MATCH($A42,database!$AF$2:$AF$2004,0),0),"")</f>
        <v/>
      </c>
      <c r="H42" s="152" t="str">
        <f ca="1">IFERROR(OFFSET(database!G$1,MATCH($A42,database!$AF$2:$AF$2004,0),0),"")</f>
        <v/>
      </c>
      <c r="I42" s="159" t="str">
        <f ca="1">IFERROR(OFFSET(database!H$1,MATCH($A42,database!$AF$2:$AF$2004,0),0),"")</f>
        <v/>
      </c>
      <c r="J42" s="159" t="str">
        <f ca="1">IFERROR(OFFSET(database!I$1,MATCH($A42,database!$AF$2:$AF$2004,0),0),"")</f>
        <v/>
      </c>
      <c r="K42" s="152" t="str">
        <f ca="1">IFERROR(OFFSET(database!J$1,MATCH($A42,database!$AF$2:$AF$2004,0),0),"")</f>
        <v/>
      </c>
      <c r="L42" s="152" t="str">
        <f ca="1">IFERROR(OFFSET(database!K$1,MATCH($A42,database!$AF$2:$AF$2004,0),0),"")</f>
        <v/>
      </c>
      <c r="M42" s="152" t="str">
        <f ca="1">IFERROR(OFFSET(database!L$1,MATCH($A42,database!$AF$2:$AF$2004,0),0),"")</f>
        <v/>
      </c>
      <c r="N42" s="152" t="str">
        <f ca="1">IFERROR(OFFSET(database!M$1,MATCH($A42,database!$AF$2:$AF$2004,0),0),"")</f>
        <v/>
      </c>
    </row>
    <row r="43" spans="1:14" x14ac:dyDescent="0.35">
      <c r="A43" s="151">
        <f t="shared" si="1"/>
        <v>42</v>
      </c>
      <c r="B43" s="152" t="str">
        <f ca="1">IFERROR(OFFSET(database!A$1,MATCH($A43,database!$AF$2:$AF$2004,0),0),"")</f>
        <v/>
      </c>
      <c r="C43" s="152" t="str">
        <f ca="1">IFERROR(OFFSET(database!B$1,MATCH($A43,database!$AF$2:$AF$2004,0),0),"")</f>
        <v/>
      </c>
      <c r="D43" s="152" t="str">
        <f ca="1">IFERROR(OFFSET(database!C$1,MATCH($A43,database!$AF$2:$AF$2004,0),0),"")</f>
        <v/>
      </c>
      <c r="E43" s="152" t="str">
        <f ca="1">IFERROR(OFFSET(database!D$1,MATCH($A43,database!$AF$2:$AF$2004,0),0),"")</f>
        <v/>
      </c>
      <c r="F43" s="152" t="str">
        <f ca="1">IFERROR(OFFSET(database!E$1,MATCH($A43,database!$AF$2:$AF$2004,0),0),"")</f>
        <v/>
      </c>
      <c r="G43" s="159" t="str">
        <f ca="1">IFERROR(OFFSET(database!F$1,MATCH($A43,database!$AF$2:$AF$2004,0),0),"")</f>
        <v/>
      </c>
      <c r="H43" s="152" t="str">
        <f ca="1">IFERROR(OFFSET(database!G$1,MATCH($A43,database!$AF$2:$AF$2004,0),0),"")</f>
        <v/>
      </c>
      <c r="I43" s="159" t="str">
        <f ca="1">IFERROR(OFFSET(database!H$1,MATCH($A43,database!$AF$2:$AF$2004,0),0),"")</f>
        <v/>
      </c>
      <c r="J43" s="159" t="str">
        <f ca="1">IFERROR(OFFSET(database!I$1,MATCH($A43,database!$AF$2:$AF$2004,0),0),"")</f>
        <v/>
      </c>
      <c r="K43" s="152" t="str">
        <f ca="1">IFERROR(OFFSET(database!J$1,MATCH($A43,database!$AF$2:$AF$2004,0),0),"")</f>
        <v/>
      </c>
      <c r="L43" s="152" t="str">
        <f ca="1">IFERROR(OFFSET(database!K$1,MATCH($A43,database!$AF$2:$AF$2004,0),0),"")</f>
        <v/>
      </c>
      <c r="M43" s="152" t="str">
        <f ca="1">IFERROR(OFFSET(database!L$1,MATCH($A43,database!$AF$2:$AF$2004,0),0),"")</f>
        <v/>
      </c>
      <c r="N43" s="152" t="str">
        <f ca="1">IFERROR(OFFSET(database!M$1,MATCH($A43,database!$AF$2:$AF$2004,0),0),"")</f>
        <v/>
      </c>
    </row>
    <row r="44" spans="1:14" x14ac:dyDescent="0.35">
      <c r="A44" s="151">
        <f t="shared" si="1"/>
        <v>43</v>
      </c>
      <c r="B44" s="152" t="str">
        <f ca="1">IFERROR(OFFSET(database!A$1,MATCH($A44,database!$AF$2:$AF$2004,0),0),"")</f>
        <v/>
      </c>
      <c r="C44" s="152" t="str">
        <f ca="1">IFERROR(OFFSET(database!B$1,MATCH($A44,database!$AF$2:$AF$2004,0),0),"")</f>
        <v/>
      </c>
      <c r="D44" s="152" t="str">
        <f ca="1">IFERROR(OFFSET(database!C$1,MATCH($A44,database!$AF$2:$AF$2004,0),0),"")</f>
        <v/>
      </c>
      <c r="E44" s="152" t="str">
        <f ca="1">IFERROR(OFFSET(database!D$1,MATCH($A44,database!$AF$2:$AF$2004,0),0),"")</f>
        <v/>
      </c>
      <c r="F44" s="152" t="str">
        <f ca="1">IFERROR(OFFSET(database!E$1,MATCH($A44,database!$AF$2:$AF$2004,0),0),"")</f>
        <v/>
      </c>
      <c r="G44" s="159" t="str">
        <f ca="1">IFERROR(OFFSET(database!F$1,MATCH($A44,database!$AF$2:$AF$2004,0),0),"")</f>
        <v/>
      </c>
      <c r="H44" s="152" t="str">
        <f ca="1">IFERROR(OFFSET(database!G$1,MATCH($A44,database!$AF$2:$AF$2004,0),0),"")</f>
        <v/>
      </c>
      <c r="I44" s="159" t="str">
        <f ca="1">IFERROR(OFFSET(database!H$1,MATCH($A44,database!$AF$2:$AF$2004,0),0),"")</f>
        <v/>
      </c>
      <c r="J44" s="159" t="str">
        <f ca="1">IFERROR(OFFSET(database!I$1,MATCH($A44,database!$AF$2:$AF$2004,0),0),"")</f>
        <v/>
      </c>
      <c r="K44" s="152" t="str">
        <f ca="1">IFERROR(OFFSET(database!J$1,MATCH($A44,database!$AF$2:$AF$2004,0),0),"")</f>
        <v/>
      </c>
      <c r="L44" s="152" t="str">
        <f ca="1">IFERROR(OFFSET(database!K$1,MATCH($A44,database!$AF$2:$AF$2004,0),0),"")</f>
        <v/>
      </c>
      <c r="M44" s="152" t="str">
        <f ca="1">IFERROR(OFFSET(database!L$1,MATCH($A44,database!$AF$2:$AF$2004,0),0),"")</f>
        <v/>
      </c>
      <c r="N44" s="152" t="str">
        <f ca="1">IFERROR(OFFSET(database!M$1,MATCH($A44,database!$AF$2:$AF$2004,0),0),"")</f>
        <v/>
      </c>
    </row>
    <row r="45" spans="1:14" x14ac:dyDescent="0.35">
      <c r="A45" s="151">
        <f t="shared" si="1"/>
        <v>44</v>
      </c>
      <c r="B45" s="152" t="str">
        <f ca="1">IFERROR(OFFSET(database!A$1,MATCH($A45,database!$AF$2:$AF$2004,0),0),"")</f>
        <v/>
      </c>
      <c r="C45" s="152" t="str">
        <f ca="1">IFERROR(OFFSET(database!B$1,MATCH($A45,database!$AF$2:$AF$2004,0),0),"")</f>
        <v/>
      </c>
      <c r="D45" s="152" t="str">
        <f ca="1">IFERROR(OFFSET(database!C$1,MATCH($A45,database!$AF$2:$AF$2004,0),0),"")</f>
        <v/>
      </c>
      <c r="E45" s="152" t="str">
        <f ca="1">IFERROR(OFFSET(database!D$1,MATCH($A45,database!$AF$2:$AF$2004,0),0),"")</f>
        <v/>
      </c>
      <c r="F45" s="152" t="str">
        <f ca="1">IFERROR(OFFSET(database!E$1,MATCH($A45,database!$AF$2:$AF$2004,0),0),"")</f>
        <v/>
      </c>
      <c r="G45" s="159" t="str">
        <f ca="1">IFERROR(OFFSET(database!F$1,MATCH($A45,database!$AF$2:$AF$2004,0),0),"")</f>
        <v/>
      </c>
      <c r="H45" s="152" t="str">
        <f ca="1">IFERROR(OFFSET(database!G$1,MATCH($A45,database!$AF$2:$AF$2004,0),0),"")</f>
        <v/>
      </c>
      <c r="I45" s="159" t="str">
        <f ca="1">IFERROR(OFFSET(database!H$1,MATCH($A45,database!$AF$2:$AF$2004,0),0),"")</f>
        <v/>
      </c>
      <c r="J45" s="159" t="str">
        <f ca="1">IFERROR(OFFSET(database!I$1,MATCH($A45,database!$AF$2:$AF$2004,0),0),"")</f>
        <v/>
      </c>
      <c r="K45" s="152" t="str">
        <f ca="1">IFERROR(OFFSET(database!J$1,MATCH($A45,database!$AF$2:$AF$2004,0),0),"")</f>
        <v/>
      </c>
      <c r="L45" s="152" t="str">
        <f ca="1">IFERROR(OFFSET(database!K$1,MATCH($A45,database!$AF$2:$AF$2004,0),0),"")</f>
        <v/>
      </c>
      <c r="M45" s="152" t="str">
        <f ca="1">IFERROR(OFFSET(database!L$1,MATCH($A45,database!$AF$2:$AF$2004,0),0),"")</f>
        <v/>
      </c>
      <c r="N45" s="152" t="str">
        <f ca="1">IFERROR(OFFSET(database!M$1,MATCH($A45,database!$AF$2:$AF$2004,0),0),"")</f>
        <v/>
      </c>
    </row>
    <row r="46" spans="1:14" x14ac:dyDescent="0.35">
      <c r="A46" s="151">
        <f t="shared" si="1"/>
        <v>45</v>
      </c>
      <c r="B46" s="152" t="str">
        <f ca="1">IFERROR(OFFSET(database!A$1,MATCH($A46,database!$AF$2:$AF$2004,0),0),"")</f>
        <v/>
      </c>
      <c r="C46" s="152" t="str">
        <f ca="1">IFERROR(OFFSET(database!B$1,MATCH($A46,database!$AF$2:$AF$2004,0),0),"")</f>
        <v/>
      </c>
      <c r="D46" s="152" t="str">
        <f ca="1">IFERROR(OFFSET(database!C$1,MATCH($A46,database!$AF$2:$AF$2004,0),0),"")</f>
        <v/>
      </c>
      <c r="E46" s="152" t="str">
        <f ca="1">IFERROR(OFFSET(database!D$1,MATCH($A46,database!$AF$2:$AF$2004,0),0),"")</f>
        <v/>
      </c>
      <c r="F46" s="152" t="str">
        <f ca="1">IFERROR(OFFSET(database!E$1,MATCH($A46,database!$AF$2:$AF$2004,0),0),"")</f>
        <v/>
      </c>
      <c r="G46" s="159" t="str">
        <f ca="1">IFERROR(OFFSET(database!F$1,MATCH($A46,database!$AF$2:$AF$2004,0),0),"")</f>
        <v/>
      </c>
      <c r="H46" s="152" t="str">
        <f ca="1">IFERROR(OFFSET(database!G$1,MATCH($A46,database!$AF$2:$AF$2004,0),0),"")</f>
        <v/>
      </c>
      <c r="I46" s="159" t="str">
        <f ca="1">IFERROR(OFFSET(database!H$1,MATCH($A46,database!$AF$2:$AF$2004,0),0),"")</f>
        <v/>
      </c>
      <c r="J46" s="159" t="str">
        <f ca="1">IFERROR(OFFSET(database!I$1,MATCH($A46,database!$AF$2:$AF$2004,0),0),"")</f>
        <v/>
      </c>
      <c r="K46" s="152" t="str">
        <f ca="1">IFERROR(OFFSET(database!J$1,MATCH($A46,database!$AF$2:$AF$2004,0),0),"")</f>
        <v/>
      </c>
      <c r="L46" s="152" t="str">
        <f ca="1">IFERROR(OFFSET(database!K$1,MATCH($A46,database!$AF$2:$AF$2004,0),0),"")</f>
        <v/>
      </c>
      <c r="M46" s="152" t="str">
        <f ca="1">IFERROR(OFFSET(database!L$1,MATCH($A46,database!$AF$2:$AF$2004,0),0),"")</f>
        <v/>
      </c>
      <c r="N46" s="152" t="str">
        <f ca="1">IFERROR(OFFSET(database!M$1,MATCH($A46,database!$AF$2:$AF$2004,0),0),"")</f>
        <v/>
      </c>
    </row>
    <row r="47" spans="1:14" x14ac:dyDescent="0.35">
      <c r="A47" s="151">
        <f t="shared" si="1"/>
        <v>46</v>
      </c>
      <c r="B47" s="152" t="str">
        <f ca="1">IFERROR(OFFSET(database!A$1,MATCH($A47,database!$AF$2:$AF$2004,0),0),"")</f>
        <v/>
      </c>
      <c r="C47" s="152" t="str">
        <f ca="1">IFERROR(OFFSET(database!B$1,MATCH($A47,database!$AF$2:$AF$2004,0),0),"")</f>
        <v/>
      </c>
      <c r="D47" s="152" t="str">
        <f ca="1">IFERROR(OFFSET(database!C$1,MATCH($A47,database!$AF$2:$AF$2004,0),0),"")</f>
        <v/>
      </c>
      <c r="E47" s="152" t="str">
        <f ca="1">IFERROR(OFFSET(database!D$1,MATCH($A47,database!$AF$2:$AF$2004,0),0),"")</f>
        <v/>
      </c>
      <c r="F47" s="152" t="str">
        <f ca="1">IFERROR(OFFSET(database!E$1,MATCH($A47,database!$AF$2:$AF$2004,0),0),"")</f>
        <v/>
      </c>
      <c r="G47" s="159" t="str">
        <f ca="1">IFERROR(OFFSET(database!F$1,MATCH($A47,database!$AF$2:$AF$2004,0),0),"")</f>
        <v/>
      </c>
      <c r="H47" s="152" t="str">
        <f ca="1">IFERROR(OFFSET(database!G$1,MATCH($A47,database!$AF$2:$AF$2004,0),0),"")</f>
        <v/>
      </c>
      <c r="I47" s="159" t="str">
        <f ca="1">IFERROR(OFFSET(database!H$1,MATCH($A47,database!$AF$2:$AF$2004,0),0),"")</f>
        <v/>
      </c>
      <c r="J47" s="159" t="str">
        <f ca="1">IFERROR(OFFSET(database!I$1,MATCH($A47,database!$AF$2:$AF$2004,0),0),"")</f>
        <v/>
      </c>
      <c r="K47" s="152" t="str">
        <f ca="1">IFERROR(OFFSET(database!J$1,MATCH($A47,database!$AF$2:$AF$2004,0),0),"")</f>
        <v/>
      </c>
      <c r="L47" s="152" t="str">
        <f ca="1">IFERROR(OFFSET(database!K$1,MATCH($A47,database!$AF$2:$AF$2004,0),0),"")</f>
        <v/>
      </c>
      <c r="M47" s="152" t="str">
        <f ca="1">IFERROR(OFFSET(database!L$1,MATCH($A47,database!$AF$2:$AF$2004,0),0),"")</f>
        <v/>
      </c>
      <c r="N47" s="152" t="str">
        <f ca="1">IFERROR(OFFSET(database!M$1,MATCH($A47,database!$AF$2:$AF$2004,0),0),"")</f>
        <v/>
      </c>
    </row>
    <row r="48" spans="1:14" x14ac:dyDescent="0.35">
      <c r="A48" s="151">
        <f t="shared" si="1"/>
        <v>47</v>
      </c>
      <c r="B48" s="152" t="str">
        <f ca="1">IFERROR(OFFSET(database!A$1,MATCH($A48,database!$AF$2:$AF$2004,0),0),"")</f>
        <v/>
      </c>
      <c r="C48" s="152" t="str">
        <f ca="1">IFERROR(OFFSET(database!B$1,MATCH($A48,database!$AF$2:$AF$2004,0),0),"")</f>
        <v/>
      </c>
      <c r="D48" s="152" t="str">
        <f ca="1">IFERROR(OFFSET(database!C$1,MATCH($A48,database!$AF$2:$AF$2004,0),0),"")</f>
        <v/>
      </c>
      <c r="E48" s="152" t="str">
        <f ca="1">IFERROR(OFFSET(database!D$1,MATCH($A48,database!$AF$2:$AF$2004,0),0),"")</f>
        <v/>
      </c>
      <c r="F48" s="152" t="str">
        <f ca="1">IFERROR(OFFSET(database!E$1,MATCH($A48,database!$AF$2:$AF$2004,0),0),"")</f>
        <v/>
      </c>
      <c r="G48" s="159" t="str">
        <f ca="1">IFERROR(OFFSET(database!F$1,MATCH($A48,database!$AF$2:$AF$2004,0),0),"")</f>
        <v/>
      </c>
      <c r="H48" s="152" t="str">
        <f ca="1">IFERROR(OFFSET(database!G$1,MATCH($A48,database!$AF$2:$AF$2004,0),0),"")</f>
        <v/>
      </c>
      <c r="I48" s="159" t="str">
        <f ca="1">IFERROR(OFFSET(database!H$1,MATCH($A48,database!$AF$2:$AF$2004,0),0),"")</f>
        <v/>
      </c>
      <c r="J48" s="159" t="str">
        <f ca="1">IFERROR(OFFSET(database!I$1,MATCH($A48,database!$AF$2:$AF$2004,0),0),"")</f>
        <v/>
      </c>
      <c r="K48" s="152" t="str">
        <f ca="1">IFERROR(OFFSET(database!J$1,MATCH($A48,database!$AF$2:$AF$2004,0),0),"")</f>
        <v/>
      </c>
      <c r="L48" s="152" t="str">
        <f ca="1">IFERROR(OFFSET(database!K$1,MATCH($A48,database!$AF$2:$AF$2004,0),0),"")</f>
        <v/>
      </c>
      <c r="M48" s="152" t="str">
        <f ca="1">IFERROR(OFFSET(database!L$1,MATCH($A48,database!$AF$2:$AF$2004,0),0),"")</f>
        <v/>
      </c>
      <c r="N48" s="152" t="str">
        <f ca="1">IFERROR(OFFSET(database!M$1,MATCH($A48,database!$AF$2:$AF$2004,0),0),"")</f>
        <v/>
      </c>
    </row>
    <row r="49" spans="1:14" x14ac:dyDescent="0.35">
      <c r="A49" s="151">
        <f t="shared" si="1"/>
        <v>48</v>
      </c>
      <c r="B49" s="152" t="str">
        <f ca="1">IFERROR(OFFSET(database!A$1,MATCH($A49,database!$AF$2:$AF$2004,0),0),"")</f>
        <v/>
      </c>
      <c r="C49" s="152" t="str">
        <f ca="1">IFERROR(OFFSET(database!B$1,MATCH($A49,database!$AF$2:$AF$2004,0),0),"")</f>
        <v/>
      </c>
      <c r="D49" s="152" t="str">
        <f ca="1">IFERROR(OFFSET(database!C$1,MATCH($A49,database!$AF$2:$AF$2004,0),0),"")</f>
        <v/>
      </c>
      <c r="E49" s="152" t="str">
        <f ca="1">IFERROR(OFFSET(database!D$1,MATCH($A49,database!$AF$2:$AF$2004,0),0),"")</f>
        <v/>
      </c>
      <c r="F49" s="152" t="str">
        <f ca="1">IFERROR(OFFSET(database!E$1,MATCH($A49,database!$AF$2:$AF$2004,0),0),"")</f>
        <v/>
      </c>
      <c r="G49" s="159" t="str">
        <f ca="1">IFERROR(OFFSET(database!F$1,MATCH($A49,database!$AF$2:$AF$2004,0),0),"")</f>
        <v/>
      </c>
      <c r="H49" s="152" t="str">
        <f ca="1">IFERROR(OFFSET(database!G$1,MATCH($A49,database!$AF$2:$AF$2004,0),0),"")</f>
        <v/>
      </c>
      <c r="I49" s="159" t="str">
        <f ca="1">IFERROR(OFFSET(database!H$1,MATCH($A49,database!$AF$2:$AF$2004,0),0),"")</f>
        <v/>
      </c>
      <c r="J49" s="159" t="str">
        <f ca="1">IFERROR(OFFSET(database!I$1,MATCH($A49,database!$AF$2:$AF$2004,0),0),"")</f>
        <v/>
      </c>
      <c r="K49" s="152" t="str">
        <f ca="1">IFERROR(OFFSET(database!J$1,MATCH($A49,database!$AF$2:$AF$2004,0),0),"")</f>
        <v/>
      </c>
      <c r="L49" s="152" t="str">
        <f ca="1">IFERROR(OFFSET(database!K$1,MATCH($A49,database!$AF$2:$AF$2004,0),0),"")</f>
        <v/>
      </c>
      <c r="M49" s="152" t="str">
        <f ca="1">IFERROR(OFFSET(database!L$1,MATCH($A49,database!$AF$2:$AF$2004,0),0),"")</f>
        <v/>
      </c>
      <c r="N49" s="152" t="str">
        <f ca="1">IFERROR(OFFSET(database!M$1,MATCH($A49,database!$AF$2:$AF$2004,0),0),"")</f>
        <v/>
      </c>
    </row>
    <row r="50" spans="1:14" x14ac:dyDescent="0.35">
      <c r="A50" s="151">
        <f t="shared" si="1"/>
        <v>49</v>
      </c>
      <c r="B50" s="152" t="str">
        <f ca="1">IFERROR(OFFSET(database!A$1,MATCH($A50,database!$AF$2:$AF$2004,0),0),"")</f>
        <v/>
      </c>
      <c r="C50" s="152" t="str">
        <f ca="1">IFERROR(OFFSET(database!B$1,MATCH($A50,database!$AF$2:$AF$2004,0),0),"")</f>
        <v/>
      </c>
      <c r="D50" s="152" t="str">
        <f ca="1">IFERROR(OFFSET(database!C$1,MATCH($A50,database!$AF$2:$AF$2004,0),0),"")</f>
        <v/>
      </c>
      <c r="E50" s="152" t="str">
        <f ca="1">IFERROR(OFFSET(database!D$1,MATCH($A50,database!$AF$2:$AF$2004,0),0),"")</f>
        <v/>
      </c>
      <c r="F50" s="152" t="str">
        <f ca="1">IFERROR(OFFSET(database!E$1,MATCH($A50,database!$AF$2:$AF$2004,0),0),"")</f>
        <v/>
      </c>
      <c r="G50" s="159" t="str">
        <f ca="1">IFERROR(OFFSET(database!F$1,MATCH($A50,database!$AF$2:$AF$2004,0),0),"")</f>
        <v/>
      </c>
      <c r="H50" s="152" t="str">
        <f ca="1">IFERROR(OFFSET(database!G$1,MATCH($A50,database!$AF$2:$AF$2004,0),0),"")</f>
        <v/>
      </c>
      <c r="I50" s="159" t="str">
        <f ca="1">IFERROR(OFFSET(database!H$1,MATCH($A50,database!$AF$2:$AF$2004,0),0),"")</f>
        <v/>
      </c>
      <c r="J50" s="159" t="str">
        <f ca="1">IFERROR(OFFSET(database!I$1,MATCH($A50,database!$AF$2:$AF$2004,0),0),"")</f>
        <v/>
      </c>
      <c r="K50" s="152" t="str">
        <f ca="1">IFERROR(OFFSET(database!J$1,MATCH($A50,database!$AF$2:$AF$2004,0),0),"")</f>
        <v/>
      </c>
      <c r="L50" s="152" t="str">
        <f ca="1">IFERROR(OFFSET(database!K$1,MATCH($A50,database!$AF$2:$AF$2004,0),0),"")</f>
        <v/>
      </c>
      <c r="M50" s="152" t="str">
        <f ca="1">IFERROR(OFFSET(database!L$1,MATCH($A50,database!$AF$2:$AF$2004,0),0),"")</f>
        <v/>
      </c>
      <c r="N50" s="152" t="str">
        <f ca="1">IFERROR(OFFSET(database!M$1,MATCH($A50,database!$AF$2:$AF$2004,0),0),"")</f>
        <v/>
      </c>
    </row>
    <row r="51" spans="1:14" x14ac:dyDescent="0.35">
      <c r="A51" s="151">
        <f t="shared" si="1"/>
        <v>50</v>
      </c>
      <c r="B51" s="152" t="str">
        <f ca="1">IFERROR(OFFSET(database!A$1,MATCH($A51,database!$AF$2:$AF$2004,0),0),"")</f>
        <v/>
      </c>
      <c r="C51" s="152" t="str">
        <f ca="1">IFERROR(OFFSET(database!B$1,MATCH($A51,database!$AF$2:$AF$2004,0),0),"")</f>
        <v/>
      </c>
      <c r="D51" s="152" t="str">
        <f ca="1">IFERROR(OFFSET(database!C$1,MATCH($A51,database!$AF$2:$AF$2004,0),0),"")</f>
        <v/>
      </c>
      <c r="E51" s="152" t="str">
        <f ca="1">IFERROR(OFFSET(database!D$1,MATCH($A51,database!$AF$2:$AF$2004,0),0),"")</f>
        <v/>
      </c>
      <c r="F51" s="152" t="str">
        <f ca="1">IFERROR(OFFSET(database!E$1,MATCH($A51,database!$AF$2:$AF$2004,0),0),"")</f>
        <v/>
      </c>
      <c r="G51" s="159" t="str">
        <f ca="1">IFERROR(OFFSET(database!F$1,MATCH($A51,database!$AF$2:$AF$2004,0),0),"")</f>
        <v/>
      </c>
      <c r="H51" s="152" t="str">
        <f ca="1">IFERROR(OFFSET(database!G$1,MATCH($A51,database!$AF$2:$AF$2004,0),0),"")</f>
        <v/>
      </c>
      <c r="I51" s="159" t="str">
        <f ca="1">IFERROR(OFFSET(database!H$1,MATCH($A51,database!$AF$2:$AF$2004,0),0),"")</f>
        <v/>
      </c>
      <c r="J51" s="159" t="str">
        <f ca="1">IFERROR(OFFSET(database!I$1,MATCH($A51,database!$AF$2:$AF$2004,0),0),"")</f>
        <v/>
      </c>
      <c r="K51" s="152" t="str">
        <f ca="1">IFERROR(OFFSET(database!J$1,MATCH($A51,database!$AF$2:$AF$2004,0),0),"")</f>
        <v/>
      </c>
      <c r="L51" s="152" t="str">
        <f ca="1">IFERROR(OFFSET(database!K$1,MATCH($A51,database!$AF$2:$AF$2004,0),0),"")</f>
        <v/>
      </c>
      <c r="M51" s="152" t="str">
        <f ca="1">IFERROR(OFFSET(database!L$1,MATCH($A51,database!$AF$2:$AF$2004,0),0),"")</f>
        <v/>
      </c>
      <c r="N51" s="152" t="str">
        <f ca="1">IFERROR(OFFSET(database!M$1,MATCH($A51,database!$AF$2:$AF$2004,0),0),"")</f>
        <v/>
      </c>
    </row>
    <row r="52" spans="1:14" x14ac:dyDescent="0.35">
      <c r="A52" s="151">
        <f t="shared" si="1"/>
        <v>51</v>
      </c>
      <c r="B52" s="152" t="str">
        <f ca="1">IFERROR(OFFSET(database!A$1,MATCH($A52,database!$AF$2:$AF$2004,0),0),"")</f>
        <v/>
      </c>
      <c r="C52" s="152" t="str">
        <f ca="1">IFERROR(OFFSET(database!B$1,MATCH($A52,database!$AF$2:$AF$2004,0),0),"")</f>
        <v/>
      </c>
      <c r="D52" s="152" t="str">
        <f ca="1">IFERROR(OFFSET(database!C$1,MATCH($A52,database!$AF$2:$AF$2004,0),0),"")</f>
        <v/>
      </c>
      <c r="E52" s="152" t="str">
        <f ca="1">IFERROR(OFFSET(database!D$1,MATCH($A52,database!$AF$2:$AF$2004,0),0),"")</f>
        <v/>
      </c>
      <c r="F52" s="152" t="str">
        <f ca="1">IFERROR(OFFSET(database!E$1,MATCH($A52,database!$AF$2:$AF$2004,0),0),"")</f>
        <v/>
      </c>
      <c r="G52" s="159" t="str">
        <f ca="1">IFERROR(OFFSET(database!F$1,MATCH($A52,database!$AF$2:$AF$2004,0),0),"")</f>
        <v/>
      </c>
      <c r="H52" s="152" t="str">
        <f ca="1">IFERROR(OFFSET(database!G$1,MATCH($A52,database!$AF$2:$AF$2004,0),0),"")</f>
        <v/>
      </c>
      <c r="I52" s="159" t="str">
        <f ca="1">IFERROR(OFFSET(database!H$1,MATCH($A52,database!$AF$2:$AF$2004,0),0),"")</f>
        <v/>
      </c>
      <c r="J52" s="159" t="str">
        <f ca="1">IFERROR(OFFSET(database!I$1,MATCH($A52,database!$AF$2:$AF$2004,0),0),"")</f>
        <v/>
      </c>
      <c r="K52" s="152" t="str">
        <f ca="1">IFERROR(OFFSET(database!J$1,MATCH($A52,database!$AF$2:$AF$2004,0),0),"")</f>
        <v/>
      </c>
      <c r="L52" s="152" t="str">
        <f ca="1">IFERROR(OFFSET(database!K$1,MATCH($A52,database!$AF$2:$AF$2004,0),0),"")</f>
        <v/>
      </c>
      <c r="M52" s="152" t="str">
        <f ca="1">IFERROR(OFFSET(database!L$1,MATCH($A52,database!$AF$2:$AF$2004,0),0),"")</f>
        <v/>
      </c>
      <c r="N52" s="152" t="str">
        <f ca="1">IFERROR(OFFSET(database!M$1,MATCH($A52,database!$AF$2:$AF$2004,0),0),"")</f>
        <v/>
      </c>
    </row>
    <row r="53" spans="1:14" x14ac:dyDescent="0.35">
      <c r="A53" s="151">
        <f t="shared" si="1"/>
        <v>52</v>
      </c>
      <c r="B53" s="152" t="str">
        <f ca="1">IFERROR(OFFSET(database!A$1,MATCH($A53,database!$AF$2:$AF$2004,0),0),"")</f>
        <v/>
      </c>
      <c r="C53" s="152" t="str">
        <f ca="1">IFERROR(OFFSET(database!B$1,MATCH($A53,database!$AF$2:$AF$2004,0),0),"")</f>
        <v/>
      </c>
      <c r="D53" s="152" t="str">
        <f ca="1">IFERROR(OFFSET(database!C$1,MATCH($A53,database!$AF$2:$AF$2004,0),0),"")</f>
        <v/>
      </c>
      <c r="E53" s="152" t="str">
        <f ca="1">IFERROR(OFFSET(database!D$1,MATCH($A53,database!$AF$2:$AF$2004,0),0),"")</f>
        <v/>
      </c>
      <c r="F53" s="152" t="str">
        <f ca="1">IFERROR(OFFSET(database!E$1,MATCH($A53,database!$AF$2:$AF$2004,0),0),"")</f>
        <v/>
      </c>
      <c r="G53" s="159" t="str">
        <f ca="1">IFERROR(OFFSET(database!F$1,MATCH($A53,database!$AF$2:$AF$2004,0),0),"")</f>
        <v/>
      </c>
      <c r="H53" s="152" t="str">
        <f ca="1">IFERROR(OFFSET(database!G$1,MATCH($A53,database!$AF$2:$AF$2004,0),0),"")</f>
        <v/>
      </c>
      <c r="I53" s="159" t="str">
        <f ca="1">IFERROR(OFFSET(database!H$1,MATCH($A53,database!$AF$2:$AF$2004,0),0),"")</f>
        <v/>
      </c>
      <c r="J53" s="159" t="str">
        <f ca="1">IFERROR(OFFSET(database!I$1,MATCH($A53,database!$AF$2:$AF$2004,0),0),"")</f>
        <v/>
      </c>
      <c r="K53" s="152" t="str">
        <f ca="1">IFERROR(OFFSET(database!J$1,MATCH($A53,database!$AF$2:$AF$2004,0),0),"")</f>
        <v/>
      </c>
      <c r="L53" s="152" t="str">
        <f ca="1">IFERROR(OFFSET(database!K$1,MATCH($A53,database!$AF$2:$AF$2004,0),0),"")</f>
        <v/>
      </c>
      <c r="M53" s="152" t="str">
        <f ca="1">IFERROR(OFFSET(database!L$1,MATCH($A53,database!$AF$2:$AF$2004,0),0),"")</f>
        <v/>
      </c>
      <c r="N53" s="152" t="str">
        <f ca="1">IFERROR(OFFSET(database!M$1,MATCH($A53,database!$AF$2:$AF$2004,0),0),"")</f>
        <v/>
      </c>
    </row>
    <row r="54" spans="1:14" x14ac:dyDescent="0.35">
      <c r="A54" s="151">
        <f t="shared" si="1"/>
        <v>53</v>
      </c>
      <c r="B54" s="152" t="str">
        <f ca="1">IFERROR(OFFSET(database!A$1,MATCH($A54,database!$AF$2:$AF$2004,0),0),"")</f>
        <v/>
      </c>
      <c r="C54" s="152" t="str">
        <f ca="1">IFERROR(OFFSET(database!B$1,MATCH($A54,database!$AF$2:$AF$2004,0),0),"")</f>
        <v/>
      </c>
      <c r="D54" s="152" t="str">
        <f ca="1">IFERROR(OFFSET(database!C$1,MATCH($A54,database!$AF$2:$AF$2004,0),0),"")</f>
        <v/>
      </c>
      <c r="E54" s="152" t="str">
        <f ca="1">IFERROR(OFFSET(database!D$1,MATCH($A54,database!$AF$2:$AF$2004,0),0),"")</f>
        <v/>
      </c>
      <c r="F54" s="152" t="str">
        <f ca="1">IFERROR(OFFSET(database!E$1,MATCH($A54,database!$AF$2:$AF$2004,0),0),"")</f>
        <v/>
      </c>
      <c r="G54" s="159" t="str">
        <f ca="1">IFERROR(OFFSET(database!F$1,MATCH($A54,database!$AF$2:$AF$2004,0),0),"")</f>
        <v/>
      </c>
      <c r="H54" s="152" t="str">
        <f ca="1">IFERROR(OFFSET(database!G$1,MATCH($A54,database!$AF$2:$AF$2004,0),0),"")</f>
        <v/>
      </c>
      <c r="I54" s="159" t="str">
        <f ca="1">IFERROR(OFFSET(database!H$1,MATCH($A54,database!$AF$2:$AF$2004,0),0),"")</f>
        <v/>
      </c>
      <c r="J54" s="159" t="str">
        <f ca="1">IFERROR(OFFSET(database!I$1,MATCH($A54,database!$AF$2:$AF$2004,0),0),"")</f>
        <v/>
      </c>
      <c r="K54" s="152" t="str">
        <f ca="1">IFERROR(OFFSET(database!J$1,MATCH($A54,database!$AF$2:$AF$2004,0),0),"")</f>
        <v/>
      </c>
      <c r="L54" s="152" t="str">
        <f ca="1">IFERROR(OFFSET(database!K$1,MATCH($A54,database!$AF$2:$AF$2004,0),0),"")</f>
        <v/>
      </c>
      <c r="M54" s="152" t="str">
        <f ca="1">IFERROR(OFFSET(database!L$1,MATCH($A54,database!$AF$2:$AF$2004,0),0),"")</f>
        <v/>
      </c>
      <c r="N54" s="152" t="str">
        <f ca="1">IFERROR(OFFSET(database!M$1,MATCH($A54,database!$AF$2:$AF$2004,0),0),"")</f>
        <v/>
      </c>
    </row>
    <row r="55" spans="1:14" x14ac:dyDescent="0.35">
      <c r="A55" s="151">
        <f t="shared" si="1"/>
        <v>54</v>
      </c>
      <c r="B55" s="152" t="str">
        <f ca="1">IFERROR(OFFSET(database!A$1,MATCH($A55,database!$AF$2:$AF$2004,0),0),"")</f>
        <v/>
      </c>
      <c r="C55" s="152" t="str">
        <f ca="1">IFERROR(OFFSET(database!B$1,MATCH($A55,database!$AF$2:$AF$2004,0),0),"")</f>
        <v/>
      </c>
      <c r="D55" s="152" t="str">
        <f ca="1">IFERROR(OFFSET(database!C$1,MATCH($A55,database!$AF$2:$AF$2004,0),0),"")</f>
        <v/>
      </c>
      <c r="E55" s="152" t="str">
        <f ca="1">IFERROR(OFFSET(database!D$1,MATCH($A55,database!$AF$2:$AF$2004,0),0),"")</f>
        <v/>
      </c>
      <c r="F55" s="152" t="str">
        <f ca="1">IFERROR(OFFSET(database!E$1,MATCH($A55,database!$AF$2:$AF$2004,0),0),"")</f>
        <v/>
      </c>
      <c r="G55" s="159" t="str">
        <f ca="1">IFERROR(OFFSET(database!F$1,MATCH($A55,database!$AF$2:$AF$2004,0),0),"")</f>
        <v/>
      </c>
      <c r="H55" s="152" t="str">
        <f ca="1">IFERROR(OFFSET(database!G$1,MATCH($A55,database!$AF$2:$AF$2004,0),0),"")</f>
        <v/>
      </c>
      <c r="I55" s="159" t="str">
        <f ca="1">IFERROR(OFFSET(database!H$1,MATCH($A55,database!$AF$2:$AF$2004,0),0),"")</f>
        <v/>
      </c>
      <c r="J55" s="159" t="str">
        <f ca="1">IFERROR(OFFSET(database!I$1,MATCH($A55,database!$AF$2:$AF$2004,0),0),"")</f>
        <v/>
      </c>
      <c r="K55" s="152" t="str">
        <f ca="1">IFERROR(OFFSET(database!J$1,MATCH($A55,database!$AF$2:$AF$2004,0),0),"")</f>
        <v/>
      </c>
      <c r="L55" s="152" t="str">
        <f ca="1">IFERROR(OFFSET(database!K$1,MATCH($A55,database!$AF$2:$AF$2004,0),0),"")</f>
        <v/>
      </c>
      <c r="M55" s="152" t="str">
        <f ca="1">IFERROR(OFFSET(database!L$1,MATCH($A55,database!$AF$2:$AF$2004,0),0),"")</f>
        <v/>
      </c>
      <c r="N55" s="152" t="str">
        <f ca="1">IFERROR(OFFSET(database!M$1,MATCH($A55,database!$AF$2:$AF$2004,0),0),"")</f>
        <v/>
      </c>
    </row>
    <row r="56" spans="1:14" x14ac:dyDescent="0.35">
      <c r="A56" s="151">
        <f t="shared" si="1"/>
        <v>55</v>
      </c>
      <c r="B56" s="152" t="str">
        <f ca="1">IFERROR(OFFSET(database!A$1,MATCH($A56,database!$AF$2:$AF$2004,0),0),"")</f>
        <v/>
      </c>
      <c r="C56" s="152" t="str">
        <f ca="1">IFERROR(OFFSET(database!B$1,MATCH($A56,database!$AF$2:$AF$2004,0),0),"")</f>
        <v/>
      </c>
      <c r="D56" s="152" t="str">
        <f ca="1">IFERROR(OFFSET(database!C$1,MATCH($A56,database!$AF$2:$AF$2004,0),0),"")</f>
        <v/>
      </c>
      <c r="E56" s="152" t="str">
        <f ca="1">IFERROR(OFFSET(database!D$1,MATCH($A56,database!$AF$2:$AF$2004,0),0),"")</f>
        <v/>
      </c>
      <c r="F56" s="152" t="str">
        <f ca="1">IFERROR(OFFSET(database!E$1,MATCH($A56,database!$AF$2:$AF$2004,0),0),"")</f>
        <v/>
      </c>
      <c r="G56" s="159" t="str">
        <f ca="1">IFERROR(OFFSET(database!F$1,MATCH($A56,database!$AF$2:$AF$2004,0),0),"")</f>
        <v/>
      </c>
      <c r="H56" s="152" t="str">
        <f ca="1">IFERROR(OFFSET(database!G$1,MATCH($A56,database!$AF$2:$AF$2004,0),0),"")</f>
        <v/>
      </c>
      <c r="I56" s="159" t="str">
        <f ca="1">IFERROR(OFFSET(database!H$1,MATCH($A56,database!$AF$2:$AF$2004,0),0),"")</f>
        <v/>
      </c>
      <c r="J56" s="159" t="str">
        <f ca="1">IFERROR(OFFSET(database!I$1,MATCH($A56,database!$AF$2:$AF$2004,0),0),"")</f>
        <v/>
      </c>
      <c r="K56" s="152" t="str">
        <f ca="1">IFERROR(OFFSET(database!J$1,MATCH($A56,database!$AF$2:$AF$2004,0),0),"")</f>
        <v/>
      </c>
      <c r="L56" s="152" t="str">
        <f ca="1">IFERROR(OFFSET(database!K$1,MATCH($A56,database!$AF$2:$AF$2004,0),0),"")</f>
        <v/>
      </c>
      <c r="M56" s="152" t="str">
        <f ca="1">IFERROR(OFFSET(database!L$1,MATCH($A56,database!$AF$2:$AF$2004,0),0),"")</f>
        <v/>
      </c>
      <c r="N56" s="152" t="str">
        <f ca="1">IFERROR(OFFSET(database!M$1,MATCH($A56,database!$AF$2:$AF$2004,0),0),"")</f>
        <v/>
      </c>
    </row>
    <row r="57" spans="1:14" x14ac:dyDescent="0.35">
      <c r="A57" s="151">
        <f t="shared" si="1"/>
        <v>56</v>
      </c>
      <c r="B57" s="152" t="str">
        <f ca="1">IFERROR(OFFSET(database!A$1,MATCH($A57,database!$AF$2:$AF$2004,0),0),"")</f>
        <v/>
      </c>
      <c r="C57" s="152" t="str">
        <f ca="1">IFERROR(OFFSET(database!B$1,MATCH($A57,database!$AF$2:$AF$2004,0),0),"")</f>
        <v/>
      </c>
      <c r="D57" s="152" t="str">
        <f ca="1">IFERROR(OFFSET(database!C$1,MATCH($A57,database!$AF$2:$AF$2004,0),0),"")</f>
        <v/>
      </c>
      <c r="E57" s="152" t="str">
        <f ca="1">IFERROR(OFFSET(database!D$1,MATCH($A57,database!$AF$2:$AF$2004,0),0),"")</f>
        <v/>
      </c>
      <c r="F57" s="152" t="str">
        <f ca="1">IFERROR(OFFSET(database!E$1,MATCH($A57,database!$AF$2:$AF$2004,0),0),"")</f>
        <v/>
      </c>
      <c r="G57" s="159" t="str">
        <f ca="1">IFERROR(OFFSET(database!F$1,MATCH($A57,database!$AF$2:$AF$2004,0),0),"")</f>
        <v/>
      </c>
      <c r="H57" s="152" t="str">
        <f ca="1">IFERROR(OFFSET(database!G$1,MATCH($A57,database!$AF$2:$AF$2004,0),0),"")</f>
        <v/>
      </c>
      <c r="I57" s="159" t="str">
        <f ca="1">IFERROR(OFFSET(database!H$1,MATCH($A57,database!$AF$2:$AF$2004,0),0),"")</f>
        <v/>
      </c>
      <c r="J57" s="159" t="str">
        <f ca="1">IFERROR(OFFSET(database!I$1,MATCH($A57,database!$AF$2:$AF$2004,0),0),"")</f>
        <v/>
      </c>
      <c r="K57" s="152" t="str">
        <f ca="1">IFERROR(OFFSET(database!J$1,MATCH($A57,database!$AF$2:$AF$2004,0),0),"")</f>
        <v/>
      </c>
      <c r="L57" s="152" t="str">
        <f ca="1">IFERROR(OFFSET(database!K$1,MATCH($A57,database!$AF$2:$AF$2004,0),0),"")</f>
        <v/>
      </c>
      <c r="M57" s="152" t="str">
        <f ca="1">IFERROR(OFFSET(database!L$1,MATCH($A57,database!$AF$2:$AF$2004,0),0),"")</f>
        <v/>
      </c>
      <c r="N57" s="152" t="str">
        <f ca="1">IFERROR(OFFSET(database!M$1,MATCH($A57,database!$AF$2:$AF$2004,0),0),"")</f>
        <v/>
      </c>
    </row>
    <row r="58" spans="1:14" x14ac:dyDescent="0.35">
      <c r="A58" s="151">
        <f t="shared" si="1"/>
        <v>57</v>
      </c>
      <c r="B58" s="152" t="str">
        <f ca="1">IFERROR(OFFSET(database!A$1,MATCH($A58,database!$AF$2:$AF$2004,0),0),"")</f>
        <v/>
      </c>
      <c r="C58" s="152" t="str">
        <f ca="1">IFERROR(OFFSET(database!B$1,MATCH($A58,database!$AF$2:$AF$2004,0),0),"")</f>
        <v/>
      </c>
      <c r="D58" s="152" t="str">
        <f ca="1">IFERROR(OFFSET(database!C$1,MATCH($A58,database!$AF$2:$AF$2004,0),0),"")</f>
        <v/>
      </c>
      <c r="E58" s="152" t="str">
        <f ca="1">IFERROR(OFFSET(database!D$1,MATCH($A58,database!$AF$2:$AF$2004,0),0),"")</f>
        <v/>
      </c>
      <c r="F58" s="152" t="str">
        <f ca="1">IFERROR(OFFSET(database!E$1,MATCH($A58,database!$AF$2:$AF$2004,0),0),"")</f>
        <v/>
      </c>
      <c r="G58" s="159" t="str">
        <f ca="1">IFERROR(OFFSET(database!F$1,MATCH($A58,database!$AF$2:$AF$2004,0),0),"")</f>
        <v/>
      </c>
      <c r="H58" s="152" t="str">
        <f ca="1">IFERROR(OFFSET(database!G$1,MATCH($A58,database!$AF$2:$AF$2004,0),0),"")</f>
        <v/>
      </c>
      <c r="I58" s="159" t="str">
        <f ca="1">IFERROR(OFFSET(database!H$1,MATCH($A58,database!$AF$2:$AF$2004,0),0),"")</f>
        <v/>
      </c>
      <c r="J58" s="159" t="str">
        <f ca="1">IFERROR(OFFSET(database!I$1,MATCH($A58,database!$AF$2:$AF$2004,0),0),"")</f>
        <v/>
      </c>
      <c r="K58" s="152" t="str">
        <f ca="1">IFERROR(OFFSET(database!J$1,MATCH($A58,database!$AF$2:$AF$2004,0),0),"")</f>
        <v/>
      </c>
      <c r="L58" s="152" t="str">
        <f ca="1">IFERROR(OFFSET(database!K$1,MATCH($A58,database!$AF$2:$AF$2004,0),0),"")</f>
        <v/>
      </c>
      <c r="M58" s="152" t="str">
        <f ca="1">IFERROR(OFFSET(database!L$1,MATCH($A58,database!$AF$2:$AF$2004,0),0),"")</f>
        <v/>
      </c>
      <c r="N58" s="152" t="str">
        <f ca="1">IFERROR(OFFSET(database!M$1,MATCH($A58,database!$AF$2:$AF$2004,0),0),"")</f>
        <v/>
      </c>
    </row>
    <row r="59" spans="1:14" x14ac:dyDescent="0.35">
      <c r="A59" s="151">
        <f t="shared" si="1"/>
        <v>58</v>
      </c>
      <c r="B59" s="152" t="str">
        <f ca="1">IFERROR(OFFSET(database!A$1,MATCH($A59,database!$AF$2:$AF$2004,0),0),"")</f>
        <v/>
      </c>
      <c r="C59" s="152" t="str">
        <f ca="1">IFERROR(OFFSET(database!B$1,MATCH($A59,database!$AF$2:$AF$2004,0),0),"")</f>
        <v/>
      </c>
      <c r="D59" s="152" t="str">
        <f ca="1">IFERROR(OFFSET(database!C$1,MATCH($A59,database!$AF$2:$AF$2004,0),0),"")</f>
        <v/>
      </c>
      <c r="E59" s="152" t="str">
        <f ca="1">IFERROR(OFFSET(database!D$1,MATCH($A59,database!$AF$2:$AF$2004,0),0),"")</f>
        <v/>
      </c>
      <c r="F59" s="152" t="str">
        <f ca="1">IFERROR(OFFSET(database!E$1,MATCH($A59,database!$AF$2:$AF$2004,0),0),"")</f>
        <v/>
      </c>
      <c r="G59" s="159" t="str">
        <f ca="1">IFERROR(OFFSET(database!F$1,MATCH($A59,database!$AF$2:$AF$2004,0),0),"")</f>
        <v/>
      </c>
      <c r="H59" s="152" t="str">
        <f ca="1">IFERROR(OFFSET(database!G$1,MATCH($A59,database!$AF$2:$AF$2004,0),0),"")</f>
        <v/>
      </c>
      <c r="I59" s="159" t="str">
        <f ca="1">IFERROR(OFFSET(database!H$1,MATCH($A59,database!$AF$2:$AF$2004,0),0),"")</f>
        <v/>
      </c>
      <c r="J59" s="159" t="str">
        <f ca="1">IFERROR(OFFSET(database!I$1,MATCH($A59,database!$AF$2:$AF$2004,0),0),"")</f>
        <v/>
      </c>
      <c r="K59" s="152" t="str">
        <f ca="1">IFERROR(OFFSET(database!J$1,MATCH($A59,database!$AF$2:$AF$2004,0),0),"")</f>
        <v/>
      </c>
      <c r="L59" s="152" t="str">
        <f ca="1">IFERROR(OFFSET(database!K$1,MATCH($A59,database!$AF$2:$AF$2004,0),0),"")</f>
        <v/>
      </c>
      <c r="M59" s="152" t="str">
        <f ca="1">IFERROR(OFFSET(database!L$1,MATCH($A59,database!$AF$2:$AF$2004,0),0),"")</f>
        <v/>
      </c>
      <c r="N59" s="152" t="str">
        <f ca="1">IFERROR(OFFSET(database!M$1,MATCH($A59,database!$AF$2:$AF$2004,0),0),"")</f>
        <v/>
      </c>
    </row>
    <row r="60" spans="1:14" x14ac:dyDescent="0.35">
      <c r="A60" s="151">
        <f t="shared" si="1"/>
        <v>59</v>
      </c>
      <c r="B60" s="152" t="str">
        <f ca="1">IFERROR(OFFSET(database!A$1,MATCH($A60,database!$AF$2:$AF$2004,0),0),"")</f>
        <v/>
      </c>
      <c r="C60" s="152" t="str">
        <f ca="1">IFERROR(OFFSET(database!B$1,MATCH($A60,database!$AF$2:$AF$2004,0),0),"")</f>
        <v/>
      </c>
      <c r="D60" s="152" t="str">
        <f ca="1">IFERROR(OFFSET(database!C$1,MATCH($A60,database!$AF$2:$AF$2004,0),0),"")</f>
        <v/>
      </c>
      <c r="E60" s="152" t="str">
        <f ca="1">IFERROR(OFFSET(database!D$1,MATCH($A60,database!$AF$2:$AF$2004,0),0),"")</f>
        <v/>
      </c>
      <c r="F60" s="152" t="str">
        <f ca="1">IFERROR(OFFSET(database!E$1,MATCH($A60,database!$AF$2:$AF$2004,0),0),"")</f>
        <v/>
      </c>
      <c r="G60" s="159" t="str">
        <f ca="1">IFERROR(OFFSET(database!F$1,MATCH($A60,database!$AF$2:$AF$2004,0),0),"")</f>
        <v/>
      </c>
      <c r="H60" s="152" t="str">
        <f ca="1">IFERROR(OFFSET(database!G$1,MATCH($A60,database!$AF$2:$AF$2004,0),0),"")</f>
        <v/>
      </c>
      <c r="I60" s="159" t="str">
        <f ca="1">IFERROR(OFFSET(database!H$1,MATCH($A60,database!$AF$2:$AF$2004,0),0),"")</f>
        <v/>
      </c>
      <c r="J60" s="159" t="str">
        <f ca="1">IFERROR(OFFSET(database!I$1,MATCH($A60,database!$AF$2:$AF$2004,0),0),"")</f>
        <v/>
      </c>
      <c r="K60" s="152" t="str">
        <f ca="1">IFERROR(OFFSET(database!J$1,MATCH($A60,database!$AF$2:$AF$2004,0),0),"")</f>
        <v/>
      </c>
      <c r="L60" s="152" t="str">
        <f ca="1">IFERROR(OFFSET(database!K$1,MATCH($A60,database!$AF$2:$AF$2004,0),0),"")</f>
        <v/>
      </c>
      <c r="M60" s="152" t="str">
        <f ca="1">IFERROR(OFFSET(database!L$1,MATCH($A60,database!$AF$2:$AF$2004,0),0),"")</f>
        <v/>
      </c>
      <c r="N60" s="152" t="str">
        <f ca="1">IFERROR(OFFSET(database!M$1,MATCH($A60,database!$AF$2:$AF$2004,0),0),"")</f>
        <v/>
      </c>
    </row>
    <row r="61" spans="1:14" x14ac:dyDescent="0.35">
      <c r="A61" s="151">
        <f t="shared" si="1"/>
        <v>60</v>
      </c>
      <c r="B61" s="152" t="str">
        <f ca="1">IFERROR(OFFSET(database!A$1,MATCH($A61,database!$AF$2:$AF$2004,0),0),"")</f>
        <v/>
      </c>
      <c r="C61" s="152" t="str">
        <f ca="1">IFERROR(OFFSET(database!B$1,MATCH($A61,database!$AF$2:$AF$2004,0),0),"")</f>
        <v/>
      </c>
      <c r="D61" s="152" t="str">
        <f ca="1">IFERROR(OFFSET(database!C$1,MATCH($A61,database!$AF$2:$AF$2004,0),0),"")</f>
        <v/>
      </c>
      <c r="E61" s="152" t="str">
        <f ca="1">IFERROR(OFFSET(database!D$1,MATCH($A61,database!$AF$2:$AF$2004,0),0),"")</f>
        <v/>
      </c>
      <c r="F61" s="152" t="str">
        <f ca="1">IFERROR(OFFSET(database!E$1,MATCH($A61,database!$AF$2:$AF$2004,0),0),"")</f>
        <v/>
      </c>
      <c r="G61" s="159" t="str">
        <f ca="1">IFERROR(OFFSET(database!F$1,MATCH($A61,database!$AF$2:$AF$2004,0),0),"")</f>
        <v/>
      </c>
      <c r="H61" s="152" t="str">
        <f ca="1">IFERROR(OFFSET(database!G$1,MATCH($A61,database!$AF$2:$AF$2004,0),0),"")</f>
        <v/>
      </c>
      <c r="I61" s="159" t="str">
        <f ca="1">IFERROR(OFFSET(database!H$1,MATCH($A61,database!$AF$2:$AF$2004,0),0),"")</f>
        <v/>
      </c>
      <c r="J61" s="159" t="str">
        <f ca="1">IFERROR(OFFSET(database!I$1,MATCH($A61,database!$AF$2:$AF$2004,0),0),"")</f>
        <v/>
      </c>
      <c r="K61" s="152" t="str">
        <f ca="1">IFERROR(OFFSET(database!J$1,MATCH($A61,database!$AF$2:$AF$2004,0),0),"")</f>
        <v/>
      </c>
      <c r="L61" s="152" t="str">
        <f ca="1">IFERROR(OFFSET(database!K$1,MATCH($A61,database!$AF$2:$AF$2004,0),0),"")</f>
        <v/>
      </c>
      <c r="M61" s="152" t="str">
        <f ca="1">IFERROR(OFFSET(database!L$1,MATCH($A61,database!$AF$2:$AF$2004,0),0),"")</f>
        <v/>
      </c>
      <c r="N61" s="152" t="str">
        <f ca="1">IFERROR(OFFSET(database!M$1,MATCH($A61,database!$AF$2:$AF$2004,0),0),"")</f>
        <v/>
      </c>
    </row>
    <row r="62" spans="1:14" x14ac:dyDescent="0.35">
      <c r="A62" s="151">
        <f t="shared" si="1"/>
        <v>61</v>
      </c>
      <c r="B62" s="152" t="str">
        <f ca="1">IFERROR(OFFSET(database!A$1,MATCH($A62,database!$AF$2:$AF$2004,0),0),"")</f>
        <v/>
      </c>
      <c r="C62" s="152" t="str">
        <f ca="1">IFERROR(OFFSET(database!B$1,MATCH($A62,database!$AF$2:$AF$2004,0),0),"")</f>
        <v/>
      </c>
      <c r="D62" s="152" t="str">
        <f ca="1">IFERROR(OFFSET(database!C$1,MATCH($A62,database!$AF$2:$AF$2004,0),0),"")</f>
        <v/>
      </c>
      <c r="E62" s="152" t="str">
        <f ca="1">IFERROR(OFFSET(database!D$1,MATCH($A62,database!$AF$2:$AF$2004,0),0),"")</f>
        <v/>
      </c>
      <c r="F62" s="152" t="str">
        <f ca="1">IFERROR(OFFSET(database!E$1,MATCH($A62,database!$AF$2:$AF$2004,0),0),"")</f>
        <v/>
      </c>
      <c r="G62" s="159" t="str">
        <f ca="1">IFERROR(OFFSET(database!F$1,MATCH($A62,database!$AF$2:$AF$2004,0),0),"")</f>
        <v/>
      </c>
      <c r="H62" s="152" t="str">
        <f ca="1">IFERROR(OFFSET(database!G$1,MATCH($A62,database!$AF$2:$AF$2004,0),0),"")</f>
        <v/>
      </c>
      <c r="I62" s="159" t="str">
        <f ca="1">IFERROR(OFFSET(database!H$1,MATCH($A62,database!$AF$2:$AF$2004,0),0),"")</f>
        <v/>
      </c>
      <c r="J62" s="159" t="str">
        <f ca="1">IFERROR(OFFSET(database!I$1,MATCH($A62,database!$AF$2:$AF$2004,0),0),"")</f>
        <v/>
      </c>
      <c r="K62" s="152" t="str">
        <f ca="1">IFERROR(OFFSET(database!J$1,MATCH($A62,database!$AF$2:$AF$2004,0),0),"")</f>
        <v/>
      </c>
      <c r="L62" s="152" t="str">
        <f ca="1">IFERROR(OFFSET(database!K$1,MATCH($A62,database!$AF$2:$AF$2004,0),0),"")</f>
        <v/>
      </c>
      <c r="M62" s="152" t="str">
        <f ca="1">IFERROR(OFFSET(database!L$1,MATCH($A62,database!$AF$2:$AF$2004,0),0),"")</f>
        <v/>
      </c>
      <c r="N62" s="152" t="str">
        <f ca="1">IFERROR(OFFSET(database!M$1,MATCH($A62,database!$AF$2:$AF$2004,0),0),"")</f>
        <v/>
      </c>
    </row>
    <row r="63" spans="1:14" x14ac:dyDescent="0.35">
      <c r="A63" s="151">
        <f t="shared" si="1"/>
        <v>62</v>
      </c>
      <c r="B63" s="152" t="str">
        <f ca="1">IFERROR(OFFSET(database!A$1,MATCH($A63,database!$AF$2:$AF$2004,0),0),"")</f>
        <v/>
      </c>
      <c r="C63" s="152" t="str">
        <f ca="1">IFERROR(OFFSET(database!B$1,MATCH($A63,database!$AF$2:$AF$2004,0),0),"")</f>
        <v/>
      </c>
      <c r="D63" s="152" t="str">
        <f ca="1">IFERROR(OFFSET(database!C$1,MATCH($A63,database!$AF$2:$AF$2004,0),0),"")</f>
        <v/>
      </c>
      <c r="E63" s="152" t="str">
        <f ca="1">IFERROR(OFFSET(database!D$1,MATCH($A63,database!$AF$2:$AF$2004,0),0),"")</f>
        <v/>
      </c>
      <c r="F63" s="152" t="str">
        <f ca="1">IFERROR(OFFSET(database!E$1,MATCH($A63,database!$AF$2:$AF$2004,0),0),"")</f>
        <v/>
      </c>
      <c r="G63" s="159" t="str">
        <f ca="1">IFERROR(OFFSET(database!F$1,MATCH($A63,database!$AF$2:$AF$2004,0),0),"")</f>
        <v/>
      </c>
      <c r="H63" s="152" t="str">
        <f ca="1">IFERROR(OFFSET(database!G$1,MATCH($A63,database!$AF$2:$AF$2004,0),0),"")</f>
        <v/>
      </c>
      <c r="I63" s="159" t="str">
        <f ca="1">IFERROR(OFFSET(database!H$1,MATCH($A63,database!$AF$2:$AF$2004,0),0),"")</f>
        <v/>
      </c>
      <c r="J63" s="159" t="str">
        <f ca="1">IFERROR(OFFSET(database!I$1,MATCH($A63,database!$AF$2:$AF$2004,0),0),"")</f>
        <v/>
      </c>
      <c r="K63" s="152" t="str">
        <f ca="1">IFERROR(OFFSET(database!J$1,MATCH($A63,database!$AF$2:$AF$2004,0),0),"")</f>
        <v/>
      </c>
      <c r="L63" s="152" t="str">
        <f ca="1">IFERROR(OFFSET(database!K$1,MATCH($A63,database!$AF$2:$AF$2004,0),0),"")</f>
        <v/>
      </c>
      <c r="M63" s="152" t="str">
        <f ca="1">IFERROR(OFFSET(database!L$1,MATCH($A63,database!$AF$2:$AF$2004,0),0),"")</f>
        <v/>
      </c>
      <c r="N63" s="152" t="str">
        <f ca="1">IFERROR(OFFSET(database!M$1,MATCH($A63,database!$AF$2:$AF$2004,0),0),"")</f>
        <v/>
      </c>
    </row>
    <row r="64" spans="1:14" x14ac:dyDescent="0.35">
      <c r="A64" s="151">
        <f t="shared" si="1"/>
        <v>63</v>
      </c>
      <c r="B64" s="152" t="str">
        <f ca="1">IFERROR(OFFSET(database!A$1,MATCH($A64,database!$AF$2:$AF$2004,0),0),"")</f>
        <v/>
      </c>
      <c r="C64" s="152" t="str">
        <f ca="1">IFERROR(OFFSET(database!B$1,MATCH($A64,database!$AF$2:$AF$2004,0),0),"")</f>
        <v/>
      </c>
      <c r="D64" s="152" t="str">
        <f ca="1">IFERROR(OFFSET(database!C$1,MATCH($A64,database!$AF$2:$AF$2004,0),0),"")</f>
        <v/>
      </c>
      <c r="E64" s="152" t="str">
        <f ca="1">IFERROR(OFFSET(database!D$1,MATCH($A64,database!$AF$2:$AF$2004,0),0),"")</f>
        <v/>
      </c>
      <c r="F64" s="152" t="str">
        <f ca="1">IFERROR(OFFSET(database!E$1,MATCH($A64,database!$AF$2:$AF$2004,0),0),"")</f>
        <v/>
      </c>
      <c r="G64" s="159" t="str">
        <f ca="1">IFERROR(OFFSET(database!F$1,MATCH($A64,database!$AF$2:$AF$2004,0),0),"")</f>
        <v/>
      </c>
      <c r="H64" s="152" t="str">
        <f ca="1">IFERROR(OFFSET(database!G$1,MATCH($A64,database!$AF$2:$AF$2004,0),0),"")</f>
        <v/>
      </c>
      <c r="I64" s="159" t="str">
        <f ca="1">IFERROR(OFFSET(database!H$1,MATCH($A64,database!$AF$2:$AF$2004,0),0),"")</f>
        <v/>
      </c>
      <c r="J64" s="159" t="str">
        <f ca="1">IFERROR(OFFSET(database!I$1,MATCH($A64,database!$AF$2:$AF$2004,0),0),"")</f>
        <v/>
      </c>
      <c r="K64" s="152" t="str">
        <f ca="1">IFERROR(OFFSET(database!J$1,MATCH($A64,database!$AF$2:$AF$2004,0),0),"")</f>
        <v/>
      </c>
      <c r="L64" s="152" t="str">
        <f ca="1">IFERROR(OFFSET(database!K$1,MATCH($A64,database!$AF$2:$AF$2004,0),0),"")</f>
        <v/>
      </c>
      <c r="M64" s="152" t="str">
        <f ca="1">IFERROR(OFFSET(database!L$1,MATCH($A64,database!$AF$2:$AF$2004,0),0),"")</f>
        <v/>
      </c>
      <c r="N64" s="152" t="str">
        <f ca="1">IFERROR(OFFSET(database!M$1,MATCH($A64,database!$AF$2:$AF$2004,0),0),"")</f>
        <v/>
      </c>
    </row>
    <row r="65" spans="1:14" x14ac:dyDescent="0.35">
      <c r="A65" s="151">
        <f t="shared" si="1"/>
        <v>64</v>
      </c>
      <c r="B65" s="152" t="str">
        <f ca="1">IFERROR(OFFSET(database!A$1,MATCH($A65,database!$AF$2:$AF$2004,0),0),"")</f>
        <v/>
      </c>
      <c r="C65" s="152" t="str">
        <f ca="1">IFERROR(OFFSET(database!B$1,MATCH($A65,database!$AF$2:$AF$2004,0),0),"")</f>
        <v/>
      </c>
      <c r="D65" s="152" t="str">
        <f ca="1">IFERROR(OFFSET(database!C$1,MATCH($A65,database!$AF$2:$AF$2004,0),0),"")</f>
        <v/>
      </c>
      <c r="E65" s="152" t="str">
        <f ca="1">IFERROR(OFFSET(database!D$1,MATCH($A65,database!$AF$2:$AF$2004,0),0),"")</f>
        <v/>
      </c>
      <c r="F65" s="152" t="str">
        <f ca="1">IFERROR(OFFSET(database!E$1,MATCH($A65,database!$AF$2:$AF$2004,0),0),"")</f>
        <v/>
      </c>
      <c r="G65" s="159" t="str">
        <f ca="1">IFERROR(OFFSET(database!F$1,MATCH($A65,database!$AF$2:$AF$2004,0),0),"")</f>
        <v/>
      </c>
      <c r="H65" s="152" t="str">
        <f ca="1">IFERROR(OFFSET(database!G$1,MATCH($A65,database!$AF$2:$AF$2004,0),0),"")</f>
        <v/>
      </c>
      <c r="I65" s="159" t="str">
        <f ca="1">IFERROR(OFFSET(database!H$1,MATCH($A65,database!$AF$2:$AF$2004,0),0),"")</f>
        <v/>
      </c>
      <c r="J65" s="159" t="str">
        <f ca="1">IFERROR(OFFSET(database!I$1,MATCH($A65,database!$AF$2:$AF$2004,0),0),"")</f>
        <v/>
      </c>
      <c r="K65" s="152" t="str">
        <f ca="1">IFERROR(OFFSET(database!J$1,MATCH($A65,database!$AF$2:$AF$2004,0),0),"")</f>
        <v/>
      </c>
      <c r="L65" s="152" t="str">
        <f ca="1">IFERROR(OFFSET(database!K$1,MATCH($A65,database!$AF$2:$AF$2004,0),0),"")</f>
        <v/>
      </c>
      <c r="M65" s="152" t="str">
        <f ca="1">IFERROR(OFFSET(database!L$1,MATCH($A65,database!$AF$2:$AF$2004,0),0),"")</f>
        <v/>
      </c>
      <c r="N65" s="152" t="str">
        <f ca="1">IFERROR(OFFSET(database!M$1,MATCH($A65,database!$AF$2:$AF$2004,0),0),"")</f>
        <v/>
      </c>
    </row>
    <row r="66" spans="1:14" x14ac:dyDescent="0.35">
      <c r="A66" s="151">
        <f t="shared" si="1"/>
        <v>65</v>
      </c>
      <c r="B66" s="152" t="str">
        <f ca="1">IFERROR(OFFSET(database!A$1,MATCH($A66,database!$AF$2:$AF$2004,0),0),"")</f>
        <v/>
      </c>
      <c r="C66" s="152" t="str">
        <f ca="1">IFERROR(OFFSET(database!B$1,MATCH($A66,database!$AF$2:$AF$2004,0),0),"")</f>
        <v/>
      </c>
      <c r="D66" s="152" t="str">
        <f ca="1">IFERROR(OFFSET(database!C$1,MATCH($A66,database!$AF$2:$AF$2004,0),0),"")</f>
        <v/>
      </c>
      <c r="E66" s="152" t="str">
        <f ca="1">IFERROR(OFFSET(database!D$1,MATCH($A66,database!$AF$2:$AF$2004,0),0),"")</f>
        <v/>
      </c>
      <c r="F66" s="152" t="str">
        <f ca="1">IFERROR(OFFSET(database!E$1,MATCH($A66,database!$AF$2:$AF$2004,0),0),"")</f>
        <v/>
      </c>
      <c r="G66" s="159" t="str">
        <f ca="1">IFERROR(OFFSET(database!F$1,MATCH($A66,database!$AF$2:$AF$2004,0),0),"")</f>
        <v/>
      </c>
      <c r="H66" s="152" t="str">
        <f ca="1">IFERROR(OFFSET(database!G$1,MATCH($A66,database!$AF$2:$AF$2004,0),0),"")</f>
        <v/>
      </c>
      <c r="I66" s="159" t="str">
        <f ca="1">IFERROR(OFFSET(database!H$1,MATCH($A66,database!$AF$2:$AF$2004,0),0),"")</f>
        <v/>
      </c>
      <c r="J66" s="159" t="str">
        <f ca="1">IFERROR(OFFSET(database!I$1,MATCH($A66,database!$AF$2:$AF$2004,0),0),"")</f>
        <v/>
      </c>
      <c r="K66" s="152" t="str">
        <f ca="1">IFERROR(OFFSET(database!J$1,MATCH($A66,database!$AF$2:$AF$2004,0),0),"")</f>
        <v/>
      </c>
      <c r="L66" s="152" t="str">
        <f ca="1">IFERROR(OFFSET(database!K$1,MATCH($A66,database!$AF$2:$AF$2004,0),0),"")</f>
        <v/>
      </c>
      <c r="M66" s="152" t="str">
        <f ca="1">IFERROR(OFFSET(database!L$1,MATCH($A66,database!$AF$2:$AF$2004,0),0),"")</f>
        <v/>
      </c>
      <c r="N66" s="152" t="str">
        <f ca="1">IFERROR(OFFSET(database!M$1,MATCH($A66,database!$AF$2:$AF$2004,0),0),"")</f>
        <v/>
      </c>
    </row>
    <row r="67" spans="1:14" x14ac:dyDescent="0.35">
      <c r="A67" s="151">
        <f t="shared" ref="A67:A101" si="2">A66+1</f>
        <v>66</v>
      </c>
      <c r="B67" s="152" t="str">
        <f ca="1">IFERROR(OFFSET(database!A$1,MATCH($A67,database!$AF$2:$AF$2004,0),0),"")</f>
        <v/>
      </c>
      <c r="C67" s="152" t="str">
        <f ca="1">IFERROR(OFFSET(database!B$1,MATCH($A67,database!$AF$2:$AF$2004,0),0),"")</f>
        <v/>
      </c>
      <c r="D67" s="152" t="str">
        <f ca="1">IFERROR(OFFSET(database!C$1,MATCH($A67,database!$AF$2:$AF$2004,0),0),"")</f>
        <v/>
      </c>
      <c r="E67" s="152" t="str">
        <f ca="1">IFERROR(OFFSET(database!D$1,MATCH($A67,database!$AF$2:$AF$2004,0),0),"")</f>
        <v/>
      </c>
      <c r="F67" s="152" t="str">
        <f ca="1">IFERROR(OFFSET(database!E$1,MATCH($A67,database!$AF$2:$AF$2004,0),0),"")</f>
        <v/>
      </c>
      <c r="G67" s="159" t="str">
        <f ca="1">IFERROR(OFFSET(database!F$1,MATCH($A67,database!$AF$2:$AF$2004,0),0),"")</f>
        <v/>
      </c>
      <c r="H67" s="152" t="str">
        <f ca="1">IFERROR(OFFSET(database!G$1,MATCH($A67,database!$AF$2:$AF$2004,0),0),"")</f>
        <v/>
      </c>
      <c r="I67" s="159" t="str">
        <f ca="1">IFERROR(OFFSET(database!H$1,MATCH($A67,database!$AF$2:$AF$2004,0),0),"")</f>
        <v/>
      </c>
      <c r="J67" s="159" t="str">
        <f ca="1">IFERROR(OFFSET(database!I$1,MATCH($A67,database!$AF$2:$AF$2004,0),0),"")</f>
        <v/>
      </c>
      <c r="K67" s="152" t="str">
        <f ca="1">IFERROR(OFFSET(database!J$1,MATCH($A67,database!$AF$2:$AF$2004,0),0),"")</f>
        <v/>
      </c>
      <c r="L67" s="152" t="str">
        <f ca="1">IFERROR(OFFSET(database!K$1,MATCH($A67,database!$AF$2:$AF$2004,0),0),"")</f>
        <v/>
      </c>
      <c r="M67" s="152" t="str">
        <f ca="1">IFERROR(OFFSET(database!L$1,MATCH($A67,database!$AF$2:$AF$2004,0),0),"")</f>
        <v/>
      </c>
      <c r="N67" s="152" t="str">
        <f ca="1">IFERROR(OFFSET(database!M$1,MATCH($A67,database!$AF$2:$AF$2004,0),0),"")</f>
        <v/>
      </c>
    </row>
    <row r="68" spans="1:14" x14ac:dyDescent="0.35">
      <c r="A68" s="151">
        <f t="shared" si="2"/>
        <v>67</v>
      </c>
      <c r="B68" s="152" t="str">
        <f ca="1">IFERROR(OFFSET(database!A$1,MATCH($A68,database!$AF$2:$AF$2004,0),0),"")</f>
        <v/>
      </c>
      <c r="C68" s="152" t="str">
        <f ca="1">IFERROR(OFFSET(database!B$1,MATCH($A68,database!$AF$2:$AF$2004,0),0),"")</f>
        <v/>
      </c>
      <c r="D68" s="152" t="str">
        <f ca="1">IFERROR(OFFSET(database!C$1,MATCH($A68,database!$AF$2:$AF$2004,0),0),"")</f>
        <v/>
      </c>
      <c r="E68" s="152" t="str">
        <f ca="1">IFERROR(OFFSET(database!D$1,MATCH($A68,database!$AF$2:$AF$2004,0),0),"")</f>
        <v/>
      </c>
      <c r="F68" s="152" t="str">
        <f ca="1">IFERROR(OFFSET(database!E$1,MATCH($A68,database!$AF$2:$AF$2004,0),0),"")</f>
        <v/>
      </c>
      <c r="G68" s="159" t="str">
        <f ca="1">IFERROR(OFFSET(database!F$1,MATCH($A68,database!$AF$2:$AF$2004,0),0),"")</f>
        <v/>
      </c>
      <c r="H68" s="152" t="str">
        <f ca="1">IFERROR(OFFSET(database!G$1,MATCH($A68,database!$AF$2:$AF$2004,0),0),"")</f>
        <v/>
      </c>
      <c r="I68" s="159" t="str">
        <f ca="1">IFERROR(OFFSET(database!H$1,MATCH($A68,database!$AF$2:$AF$2004,0),0),"")</f>
        <v/>
      </c>
      <c r="J68" s="159" t="str">
        <f ca="1">IFERROR(OFFSET(database!I$1,MATCH($A68,database!$AF$2:$AF$2004,0),0),"")</f>
        <v/>
      </c>
      <c r="K68" s="152" t="str">
        <f ca="1">IFERROR(OFFSET(database!J$1,MATCH($A68,database!$AF$2:$AF$2004,0),0),"")</f>
        <v/>
      </c>
      <c r="L68" s="152" t="str">
        <f ca="1">IFERROR(OFFSET(database!K$1,MATCH($A68,database!$AF$2:$AF$2004,0),0),"")</f>
        <v/>
      </c>
      <c r="M68" s="152" t="str">
        <f ca="1">IFERROR(OFFSET(database!L$1,MATCH($A68,database!$AF$2:$AF$2004,0),0),"")</f>
        <v/>
      </c>
      <c r="N68" s="152" t="str">
        <f ca="1">IFERROR(OFFSET(database!M$1,MATCH($A68,database!$AF$2:$AF$2004,0),0),"")</f>
        <v/>
      </c>
    </row>
    <row r="69" spans="1:14" x14ac:dyDescent="0.35">
      <c r="A69" s="151">
        <f t="shared" si="2"/>
        <v>68</v>
      </c>
      <c r="B69" s="152" t="str">
        <f ca="1">IFERROR(OFFSET(database!A$1,MATCH($A69,database!$AF$2:$AF$2004,0),0),"")</f>
        <v/>
      </c>
      <c r="C69" s="152" t="str">
        <f ca="1">IFERROR(OFFSET(database!B$1,MATCH($A69,database!$AF$2:$AF$2004,0),0),"")</f>
        <v/>
      </c>
      <c r="D69" s="152" t="str">
        <f ca="1">IFERROR(OFFSET(database!C$1,MATCH($A69,database!$AF$2:$AF$2004,0),0),"")</f>
        <v/>
      </c>
      <c r="E69" s="152" t="str">
        <f ca="1">IFERROR(OFFSET(database!D$1,MATCH($A69,database!$AF$2:$AF$2004,0),0),"")</f>
        <v/>
      </c>
      <c r="F69" s="152" t="str">
        <f ca="1">IFERROR(OFFSET(database!E$1,MATCH($A69,database!$AF$2:$AF$2004,0),0),"")</f>
        <v/>
      </c>
      <c r="G69" s="159" t="str">
        <f ca="1">IFERROR(OFFSET(database!F$1,MATCH($A69,database!$AF$2:$AF$2004,0),0),"")</f>
        <v/>
      </c>
      <c r="H69" s="152" t="str">
        <f ca="1">IFERROR(OFFSET(database!G$1,MATCH($A69,database!$AF$2:$AF$2004,0),0),"")</f>
        <v/>
      </c>
      <c r="I69" s="159" t="str">
        <f ca="1">IFERROR(OFFSET(database!H$1,MATCH($A69,database!$AF$2:$AF$2004,0),0),"")</f>
        <v/>
      </c>
      <c r="J69" s="159" t="str">
        <f ca="1">IFERROR(OFFSET(database!I$1,MATCH($A69,database!$AF$2:$AF$2004,0),0),"")</f>
        <v/>
      </c>
      <c r="K69" s="152" t="str">
        <f ca="1">IFERROR(OFFSET(database!J$1,MATCH($A69,database!$AF$2:$AF$2004,0),0),"")</f>
        <v/>
      </c>
      <c r="L69" s="152" t="str">
        <f ca="1">IFERROR(OFFSET(database!K$1,MATCH($A69,database!$AF$2:$AF$2004,0),0),"")</f>
        <v/>
      </c>
      <c r="M69" s="152" t="str">
        <f ca="1">IFERROR(OFFSET(database!L$1,MATCH($A69,database!$AF$2:$AF$2004,0),0),"")</f>
        <v/>
      </c>
      <c r="N69" s="152" t="str">
        <f ca="1">IFERROR(OFFSET(database!M$1,MATCH($A69,database!$AF$2:$AF$2004,0),0),"")</f>
        <v/>
      </c>
    </row>
    <row r="70" spans="1:14" x14ac:dyDescent="0.35">
      <c r="A70" s="151">
        <f t="shared" si="2"/>
        <v>69</v>
      </c>
      <c r="B70" s="152" t="str">
        <f ca="1">IFERROR(OFFSET(database!A$1,MATCH($A70,database!$AF$2:$AF$2004,0),0),"")</f>
        <v/>
      </c>
      <c r="C70" s="152" t="str">
        <f ca="1">IFERROR(OFFSET(database!B$1,MATCH($A70,database!$AF$2:$AF$2004,0),0),"")</f>
        <v/>
      </c>
      <c r="D70" s="152" t="str">
        <f ca="1">IFERROR(OFFSET(database!C$1,MATCH($A70,database!$AF$2:$AF$2004,0),0),"")</f>
        <v/>
      </c>
      <c r="E70" s="152" t="str">
        <f ca="1">IFERROR(OFFSET(database!D$1,MATCH($A70,database!$AF$2:$AF$2004,0),0),"")</f>
        <v/>
      </c>
      <c r="F70" s="152" t="str">
        <f ca="1">IFERROR(OFFSET(database!E$1,MATCH($A70,database!$AF$2:$AF$2004,0),0),"")</f>
        <v/>
      </c>
      <c r="G70" s="159" t="str">
        <f ca="1">IFERROR(OFFSET(database!F$1,MATCH($A70,database!$AF$2:$AF$2004,0),0),"")</f>
        <v/>
      </c>
      <c r="H70" s="152" t="str">
        <f ca="1">IFERROR(OFFSET(database!G$1,MATCH($A70,database!$AF$2:$AF$2004,0),0),"")</f>
        <v/>
      </c>
      <c r="I70" s="159" t="str">
        <f ca="1">IFERROR(OFFSET(database!H$1,MATCH($A70,database!$AF$2:$AF$2004,0),0),"")</f>
        <v/>
      </c>
      <c r="J70" s="159" t="str">
        <f ca="1">IFERROR(OFFSET(database!I$1,MATCH($A70,database!$AF$2:$AF$2004,0),0),"")</f>
        <v/>
      </c>
      <c r="K70" s="152" t="str">
        <f ca="1">IFERROR(OFFSET(database!J$1,MATCH($A70,database!$AF$2:$AF$2004,0),0),"")</f>
        <v/>
      </c>
      <c r="L70" s="152" t="str">
        <f ca="1">IFERROR(OFFSET(database!K$1,MATCH($A70,database!$AF$2:$AF$2004,0),0),"")</f>
        <v/>
      </c>
      <c r="M70" s="152" t="str">
        <f ca="1">IFERROR(OFFSET(database!L$1,MATCH($A70,database!$AF$2:$AF$2004,0),0),"")</f>
        <v/>
      </c>
      <c r="N70" s="152" t="str">
        <f ca="1">IFERROR(OFFSET(database!M$1,MATCH($A70,database!$AF$2:$AF$2004,0),0),"")</f>
        <v/>
      </c>
    </row>
    <row r="71" spans="1:14" x14ac:dyDescent="0.35">
      <c r="A71" s="151">
        <f t="shared" si="2"/>
        <v>70</v>
      </c>
      <c r="B71" s="152" t="str">
        <f ca="1">IFERROR(OFFSET(database!A$1,MATCH($A71,database!$AF$2:$AF$2004,0),0),"")</f>
        <v/>
      </c>
      <c r="C71" s="152" t="str">
        <f ca="1">IFERROR(OFFSET(database!B$1,MATCH($A71,database!$AF$2:$AF$2004,0),0),"")</f>
        <v/>
      </c>
      <c r="D71" s="152" t="str">
        <f ca="1">IFERROR(OFFSET(database!C$1,MATCH($A71,database!$AF$2:$AF$2004,0),0),"")</f>
        <v/>
      </c>
      <c r="E71" s="152" t="str">
        <f ca="1">IFERROR(OFFSET(database!D$1,MATCH($A71,database!$AF$2:$AF$2004,0),0),"")</f>
        <v/>
      </c>
      <c r="F71" s="152" t="str">
        <f ca="1">IFERROR(OFFSET(database!E$1,MATCH($A71,database!$AF$2:$AF$2004,0),0),"")</f>
        <v/>
      </c>
      <c r="G71" s="159" t="str">
        <f ca="1">IFERROR(OFFSET(database!F$1,MATCH($A71,database!$AF$2:$AF$2004,0),0),"")</f>
        <v/>
      </c>
      <c r="H71" s="152" t="str">
        <f ca="1">IFERROR(OFFSET(database!G$1,MATCH($A71,database!$AF$2:$AF$2004,0),0),"")</f>
        <v/>
      </c>
      <c r="I71" s="159" t="str">
        <f ca="1">IFERROR(OFFSET(database!H$1,MATCH($A71,database!$AF$2:$AF$2004,0),0),"")</f>
        <v/>
      </c>
      <c r="J71" s="159" t="str">
        <f ca="1">IFERROR(OFFSET(database!I$1,MATCH($A71,database!$AF$2:$AF$2004,0),0),"")</f>
        <v/>
      </c>
      <c r="K71" s="152" t="str">
        <f ca="1">IFERROR(OFFSET(database!J$1,MATCH($A71,database!$AF$2:$AF$2004,0),0),"")</f>
        <v/>
      </c>
      <c r="L71" s="152" t="str">
        <f ca="1">IFERROR(OFFSET(database!K$1,MATCH($A71,database!$AF$2:$AF$2004,0),0),"")</f>
        <v/>
      </c>
      <c r="M71" s="152" t="str">
        <f ca="1">IFERROR(OFFSET(database!L$1,MATCH($A71,database!$AF$2:$AF$2004,0),0),"")</f>
        <v/>
      </c>
      <c r="N71" s="152" t="str">
        <f ca="1">IFERROR(OFFSET(database!M$1,MATCH($A71,database!$AF$2:$AF$2004,0),0),"")</f>
        <v/>
      </c>
    </row>
    <row r="72" spans="1:14" x14ac:dyDescent="0.35">
      <c r="A72" s="151">
        <f t="shared" si="2"/>
        <v>71</v>
      </c>
      <c r="B72" s="152" t="str">
        <f ca="1">IFERROR(OFFSET(database!A$1,MATCH($A72,database!$AF$2:$AF$2004,0),0),"")</f>
        <v/>
      </c>
      <c r="C72" s="152" t="str">
        <f ca="1">IFERROR(OFFSET(database!B$1,MATCH($A72,database!$AF$2:$AF$2004,0),0),"")</f>
        <v/>
      </c>
      <c r="D72" s="152" t="str">
        <f ca="1">IFERROR(OFFSET(database!C$1,MATCH($A72,database!$AF$2:$AF$2004,0),0),"")</f>
        <v/>
      </c>
      <c r="E72" s="152" t="str">
        <f ca="1">IFERROR(OFFSET(database!D$1,MATCH($A72,database!$AF$2:$AF$2004,0),0),"")</f>
        <v/>
      </c>
      <c r="F72" s="152" t="str">
        <f ca="1">IFERROR(OFFSET(database!E$1,MATCH($A72,database!$AF$2:$AF$2004,0),0),"")</f>
        <v/>
      </c>
      <c r="G72" s="159" t="str">
        <f ca="1">IFERROR(OFFSET(database!F$1,MATCH($A72,database!$AF$2:$AF$2004,0),0),"")</f>
        <v/>
      </c>
      <c r="H72" s="152" t="str">
        <f ca="1">IFERROR(OFFSET(database!G$1,MATCH($A72,database!$AF$2:$AF$2004,0),0),"")</f>
        <v/>
      </c>
      <c r="I72" s="159" t="str">
        <f ca="1">IFERROR(OFFSET(database!H$1,MATCH($A72,database!$AF$2:$AF$2004,0),0),"")</f>
        <v/>
      </c>
      <c r="J72" s="159" t="str">
        <f ca="1">IFERROR(OFFSET(database!I$1,MATCH($A72,database!$AF$2:$AF$2004,0),0),"")</f>
        <v/>
      </c>
      <c r="K72" s="152" t="str">
        <f ca="1">IFERROR(OFFSET(database!J$1,MATCH($A72,database!$AF$2:$AF$2004,0),0),"")</f>
        <v/>
      </c>
      <c r="L72" s="152" t="str">
        <f ca="1">IFERROR(OFFSET(database!K$1,MATCH($A72,database!$AF$2:$AF$2004,0),0),"")</f>
        <v/>
      </c>
      <c r="M72" s="152" t="str">
        <f ca="1">IFERROR(OFFSET(database!L$1,MATCH($A72,database!$AF$2:$AF$2004,0),0),"")</f>
        <v/>
      </c>
      <c r="N72" s="152" t="str">
        <f ca="1">IFERROR(OFFSET(database!M$1,MATCH($A72,database!$AF$2:$AF$2004,0),0),"")</f>
        <v/>
      </c>
    </row>
    <row r="73" spans="1:14" x14ac:dyDescent="0.35">
      <c r="A73" s="151">
        <f t="shared" si="2"/>
        <v>72</v>
      </c>
      <c r="B73" s="152" t="str">
        <f ca="1">IFERROR(OFFSET(database!A$1,MATCH($A73,database!$AF$2:$AF$2004,0),0),"")</f>
        <v/>
      </c>
      <c r="C73" s="152" t="str">
        <f ca="1">IFERROR(OFFSET(database!B$1,MATCH($A73,database!$AF$2:$AF$2004,0),0),"")</f>
        <v/>
      </c>
      <c r="D73" s="152" t="str">
        <f ca="1">IFERROR(OFFSET(database!C$1,MATCH($A73,database!$AF$2:$AF$2004,0),0),"")</f>
        <v/>
      </c>
      <c r="E73" s="152" t="str">
        <f ca="1">IFERROR(OFFSET(database!D$1,MATCH($A73,database!$AF$2:$AF$2004,0),0),"")</f>
        <v/>
      </c>
      <c r="F73" s="152" t="str">
        <f ca="1">IFERROR(OFFSET(database!E$1,MATCH($A73,database!$AF$2:$AF$2004,0),0),"")</f>
        <v/>
      </c>
      <c r="G73" s="159" t="str">
        <f ca="1">IFERROR(OFFSET(database!F$1,MATCH($A73,database!$AF$2:$AF$2004,0),0),"")</f>
        <v/>
      </c>
      <c r="H73" s="152" t="str">
        <f ca="1">IFERROR(OFFSET(database!G$1,MATCH($A73,database!$AF$2:$AF$2004,0),0),"")</f>
        <v/>
      </c>
      <c r="I73" s="159" t="str">
        <f ca="1">IFERROR(OFFSET(database!H$1,MATCH($A73,database!$AF$2:$AF$2004,0),0),"")</f>
        <v/>
      </c>
      <c r="J73" s="159" t="str">
        <f ca="1">IFERROR(OFFSET(database!I$1,MATCH($A73,database!$AF$2:$AF$2004,0),0),"")</f>
        <v/>
      </c>
      <c r="K73" s="152" t="str">
        <f ca="1">IFERROR(OFFSET(database!J$1,MATCH($A73,database!$AF$2:$AF$2004,0),0),"")</f>
        <v/>
      </c>
      <c r="L73" s="152" t="str">
        <f ca="1">IFERROR(OFFSET(database!K$1,MATCH($A73,database!$AF$2:$AF$2004,0),0),"")</f>
        <v/>
      </c>
      <c r="M73" s="152" t="str">
        <f ca="1">IFERROR(OFFSET(database!L$1,MATCH($A73,database!$AF$2:$AF$2004,0),0),"")</f>
        <v/>
      </c>
      <c r="N73" s="152" t="str">
        <f ca="1">IFERROR(OFFSET(database!M$1,MATCH($A73,database!$AF$2:$AF$2004,0),0),"")</f>
        <v/>
      </c>
    </row>
    <row r="74" spans="1:14" x14ac:dyDescent="0.35">
      <c r="A74" s="151">
        <f t="shared" si="2"/>
        <v>73</v>
      </c>
      <c r="B74" s="152" t="str">
        <f ca="1">IFERROR(OFFSET(database!A$1,MATCH($A74,database!$AF$2:$AF$2004,0),0),"")</f>
        <v/>
      </c>
      <c r="C74" s="152" t="str">
        <f ca="1">IFERROR(OFFSET(database!B$1,MATCH($A74,database!$AF$2:$AF$2004,0),0),"")</f>
        <v/>
      </c>
      <c r="D74" s="152" t="str">
        <f ca="1">IFERROR(OFFSET(database!C$1,MATCH($A74,database!$AF$2:$AF$2004,0),0),"")</f>
        <v/>
      </c>
      <c r="E74" s="152" t="str">
        <f ca="1">IFERROR(OFFSET(database!D$1,MATCH($A74,database!$AF$2:$AF$2004,0),0),"")</f>
        <v/>
      </c>
      <c r="F74" s="152" t="str">
        <f ca="1">IFERROR(OFFSET(database!E$1,MATCH($A74,database!$AF$2:$AF$2004,0),0),"")</f>
        <v/>
      </c>
      <c r="G74" s="159" t="str">
        <f ca="1">IFERROR(OFFSET(database!F$1,MATCH($A74,database!$AF$2:$AF$2004,0),0),"")</f>
        <v/>
      </c>
      <c r="H74" s="152" t="str">
        <f ca="1">IFERROR(OFFSET(database!G$1,MATCH($A74,database!$AF$2:$AF$2004,0),0),"")</f>
        <v/>
      </c>
      <c r="I74" s="159" t="str">
        <f ca="1">IFERROR(OFFSET(database!H$1,MATCH($A74,database!$AF$2:$AF$2004,0),0),"")</f>
        <v/>
      </c>
      <c r="J74" s="159" t="str">
        <f ca="1">IFERROR(OFFSET(database!I$1,MATCH($A74,database!$AF$2:$AF$2004,0),0),"")</f>
        <v/>
      </c>
      <c r="K74" s="152" t="str">
        <f ca="1">IFERROR(OFFSET(database!J$1,MATCH($A74,database!$AF$2:$AF$2004,0),0),"")</f>
        <v/>
      </c>
      <c r="L74" s="152" t="str">
        <f ca="1">IFERROR(OFFSET(database!K$1,MATCH($A74,database!$AF$2:$AF$2004,0),0),"")</f>
        <v/>
      </c>
      <c r="M74" s="152" t="str">
        <f ca="1">IFERROR(OFFSET(database!L$1,MATCH($A74,database!$AF$2:$AF$2004,0),0),"")</f>
        <v/>
      </c>
      <c r="N74" s="152" t="str">
        <f ca="1">IFERROR(OFFSET(database!M$1,MATCH($A74,database!$AF$2:$AF$2004,0),0),"")</f>
        <v/>
      </c>
    </row>
    <row r="75" spans="1:14" x14ac:dyDescent="0.35">
      <c r="A75" s="151">
        <f t="shared" si="2"/>
        <v>74</v>
      </c>
      <c r="B75" s="152" t="str">
        <f ca="1">IFERROR(OFFSET(database!A$1,MATCH($A75,database!$AF$2:$AF$2004,0),0),"")</f>
        <v/>
      </c>
      <c r="C75" s="152" t="str">
        <f ca="1">IFERROR(OFFSET(database!B$1,MATCH($A75,database!$AF$2:$AF$2004,0),0),"")</f>
        <v/>
      </c>
      <c r="D75" s="152" t="str">
        <f ca="1">IFERROR(OFFSET(database!C$1,MATCH($A75,database!$AF$2:$AF$2004,0),0),"")</f>
        <v/>
      </c>
      <c r="E75" s="152" t="str">
        <f ca="1">IFERROR(OFFSET(database!D$1,MATCH($A75,database!$AF$2:$AF$2004,0),0),"")</f>
        <v/>
      </c>
      <c r="F75" s="152" t="str">
        <f ca="1">IFERROR(OFFSET(database!E$1,MATCH($A75,database!$AF$2:$AF$2004,0),0),"")</f>
        <v/>
      </c>
      <c r="G75" s="159" t="str">
        <f ca="1">IFERROR(OFFSET(database!F$1,MATCH($A75,database!$AF$2:$AF$2004,0),0),"")</f>
        <v/>
      </c>
      <c r="H75" s="152" t="str">
        <f ca="1">IFERROR(OFFSET(database!G$1,MATCH($A75,database!$AF$2:$AF$2004,0),0),"")</f>
        <v/>
      </c>
      <c r="I75" s="159" t="str">
        <f ca="1">IFERROR(OFFSET(database!H$1,MATCH($A75,database!$AF$2:$AF$2004,0),0),"")</f>
        <v/>
      </c>
      <c r="J75" s="159" t="str">
        <f ca="1">IFERROR(OFFSET(database!I$1,MATCH($A75,database!$AF$2:$AF$2004,0),0),"")</f>
        <v/>
      </c>
      <c r="K75" s="152" t="str">
        <f ca="1">IFERROR(OFFSET(database!J$1,MATCH($A75,database!$AF$2:$AF$2004,0),0),"")</f>
        <v/>
      </c>
      <c r="L75" s="152" t="str">
        <f ca="1">IFERROR(OFFSET(database!K$1,MATCH($A75,database!$AF$2:$AF$2004,0),0),"")</f>
        <v/>
      </c>
      <c r="M75" s="152" t="str">
        <f ca="1">IFERROR(OFFSET(database!L$1,MATCH($A75,database!$AF$2:$AF$2004,0),0),"")</f>
        <v/>
      </c>
      <c r="N75" s="152" t="str">
        <f ca="1">IFERROR(OFFSET(database!M$1,MATCH($A75,database!$AF$2:$AF$2004,0),0),"")</f>
        <v/>
      </c>
    </row>
    <row r="76" spans="1:14" x14ac:dyDescent="0.35">
      <c r="A76" s="151">
        <f t="shared" si="2"/>
        <v>75</v>
      </c>
      <c r="B76" s="152" t="str">
        <f ca="1">IFERROR(OFFSET(database!A$1,MATCH($A76,database!$AF$2:$AF$2004,0),0),"")</f>
        <v/>
      </c>
      <c r="C76" s="152" t="str">
        <f ca="1">IFERROR(OFFSET(database!B$1,MATCH($A76,database!$AF$2:$AF$2004,0),0),"")</f>
        <v/>
      </c>
      <c r="D76" s="152" t="str">
        <f ca="1">IFERROR(OFFSET(database!C$1,MATCH($A76,database!$AF$2:$AF$2004,0),0),"")</f>
        <v/>
      </c>
      <c r="E76" s="152" t="str">
        <f ca="1">IFERROR(OFFSET(database!D$1,MATCH($A76,database!$AF$2:$AF$2004,0),0),"")</f>
        <v/>
      </c>
      <c r="F76" s="152" t="str">
        <f ca="1">IFERROR(OFFSET(database!E$1,MATCH($A76,database!$AF$2:$AF$2004,0),0),"")</f>
        <v/>
      </c>
      <c r="G76" s="159" t="str">
        <f ca="1">IFERROR(OFFSET(database!F$1,MATCH($A76,database!$AF$2:$AF$2004,0),0),"")</f>
        <v/>
      </c>
      <c r="H76" s="152" t="str">
        <f ca="1">IFERROR(OFFSET(database!G$1,MATCH($A76,database!$AF$2:$AF$2004,0),0),"")</f>
        <v/>
      </c>
      <c r="I76" s="159" t="str">
        <f ca="1">IFERROR(OFFSET(database!H$1,MATCH($A76,database!$AF$2:$AF$2004,0),0),"")</f>
        <v/>
      </c>
      <c r="J76" s="159" t="str">
        <f ca="1">IFERROR(OFFSET(database!I$1,MATCH($A76,database!$AF$2:$AF$2004,0),0),"")</f>
        <v/>
      </c>
      <c r="K76" s="152" t="str">
        <f ca="1">IFERROR(OFFSET(database!J$1,MATCH($A76,database!$AF$2:$AF$2004,0),0),"")</f>
        <v/>
      </c>
      <c r="L76" s="152" t="str">
        <f ca="1">IFERROR(OFFSET(database!K$1,MATCH($A76,database!$AF$2:$AF$2004,0),0),"")</f>
        <v/>
      </c>
      <c r="M76" s="152" t="str">
        <f ca="1">IFERROR(OFFSET(database!L$1,MATCH($A76,database!$AF$2:$AF$2004,0),0),"")</f>
        <v/>
      </c>
      <c r="N76" s="152" t="str">
        <f ca="1">IFERROR(OFFSET(database!M$1,MATCH($A76,database!$AF$2:$AF$2004,0),0),"")</f>
        <v/>
      </c>
    </row>
    <row r="77" spans="1:14" x14ac:dyDescent="0.35">
      <c r="A77" s="151">
        <f t="shared" si="2"/>
        <v>76</v>
      </c>
      <c r="B77" s="152" t="str">
        <f ca="1">IFERROR(OFFSET(database!A$1,MATCH($A77,database!$AF$2:$AF$2004,0),0),"")</f>
        <v/>
      </c>
      <c r="C77" s="152" t="str">
        <f ca="1">IFERROR(OFFSET(database!B$1,MATCH($A77,database!$AF$2:$AF$2004,0),0),"")</f>
        <v/>
      </c>
      <c r="D77" s="152" t="str">
        <f ca="1">IFERROR(OFFSET(database!C$1,MATCH($A77,database!$AF$2:$AF$2004,0),0),"")</f>
        <v/>
      </c>
      <c r="E77" s="152" t="str">
        <f ca="1">IFERROR(OFFSET(database!D$1,MATCH($A77,database!$AF$2:$AF$2004,0),0),"")</f>
        <v/>
      </c>
      <c r="F77" s="152" t="str">
        <f ca="1">IFERROR(OFFSET(database!E$1,MATCH($A77,database!$AF$2:$AF$2004,0),0),"")</f>
        <v/>
      </c>
      <c r="G77" s="159" t="str">
        <f ca="1">IFERROR(OFFSET(database!F$1,MATCH($A77,database!$AF$2:$AF$2004,0),0),"")</f>
        <v/>
      </c>
      <c r="H77" s="152" t="str">
        <f ca="1">IFERROR(OFFSET(database!G$1,MATCH($A77,database!$AF$2:$AF$2004,0),0),"")</f>
        <v/>
      </c>
      <c r="I77" s="159" t="str">
        <f ca="1">IFERROR(OFFSET(database!H$1,MATCH($A77,database!$AF$2:$AF$2004,0),0),"")</f>
        <v/>
      </c>
      <c r="J77" s="159" t="str">
        <f ca="1">IFERROR(OFFSET(database!I$1,MATCH($A77,database!$AF$2:$AF$2004,0),0),"")</f>
        <v/>
      </c>
      <c r="K77" s="152" t="str">
        <f ca="1">IFERROR(OFFSET(database!J$1,MATCH($A77,database!$AF$2:$AF$2004,0),0),"")</f>
        <v/>
      </c>
      <c r="L77" s="152" t="str">
        <f ca="1">IFERROR(OFFSET(database!K$1,MATCH($A77,database!$AF$2:$AF$2004,0),0),"")</f>
        <v/>
      </c>
      <c r="M77" s="152" t="str">
        <f ca="1">IFERROR(OFFSET(database!L$1,MATCH($A77,database!$AF$2:$AF$2004,0),0),"")</f>
        <v/>
      </c>
      <c r="N77" s="152" t="str">
        <f ca="1">IFERROR(OFFSET(database!M$1,MATCH($A77,database!$AF$2:$AF$2004,0),0),"")</f>
        <v/>
      </c>
    </row>
    <row r="78" spans="1:14" x14ac:dyDescent="0.35">
      <c r="A78" s="151">
        <f t="shared" si="2"/>
        <v>77</v>
      </c>
      <c r="B78" s="152" t="str">
        <f ca="1">IFERROR(OFFSET(database!A$1,MATCH($A78,database!$AF$2:$AF$2004,0),0),"")</f>
        <v/>
      </c>
      <c r="C78" s="152" t="str">
        <f ca="1">IFERROR(OFFSET(database!B$1,MATCH($A78,database!$AF$2:$AF$2004,0),0),"")</f>
        <v/>
      </c>
      <c r="D78" s="152" t="str">
        <f ca="1">IFERROR(OFFSET(database!C$1,MATCH($A78,database!$AF$2:$AF$2004,0),0),"")</f>
        <v/>
      </c>
      <c r="E78" s="152" t="str">
        <f ca="1">IFERROR(OFFSET(database!D$1,MATCH($A78,database!$AF$2:$AF$2004,0),0),"")</f>
        <v/>
      </c>
      <c r="F78" s="152" t="str">
        <f ca="1">IFERROR(OFFSET(database!E$1,MATCH($A78,database!$AF$2:$AF$2004,0),0),"")</f>
        <v/>
      </c>
      <c r="G78" s="159" t="str">
        <f ca="1">IFERROR(OFFSET(database!F$1,MATCH($A78,database!$AF$2:$AF$2004,0),0),"")</f>
        <v/>
      </c>
      <c r="H78" s="152" t="str">
        <f ca="1">IFERROR(OFFSET(database!G$1,MATCH($A78,database!$AF$2:$AF$2004,0),0),"")</f>
        <v/>
      </c>
      <c r="I78" s="159" t="str">
        <f ca="1">IFERROR(OFFSET(database!H$1,MATCH($A78,database!$AF$2:$AF$2004,0),0),"")</f>
        <v/>
      </c>
      <c r="J78" s="159" t="str">
        <f ca="1">IFERROR(OFFSET(database!I$1,MATCH($A78,database!$AF$2:$AF$2004,0),0),"")</f>
        <v/>
      </c>
      <c r="K78" s="152" t="str">
        <f ca="1">IFERROR(OFFSET(database!J$1,MATCH($A78,database!$AF$2:$AF$2004,0),0),"")</f>
        <v/>
      </c>
      <c r="L78" s="152" t="str">
        <f ca="1">IFERROR(OFFSET(database!K$1,MATCH($A78,database!$AF$2:$AF$2004,0),0),"")</f>
        <v/>
      </c>
      <c r="M78" s="152" t="str">
        <f ca="1">IFERROR(OFFSET(database!L$1,MATCH($A78,database!$AF$2:$AF$2004,0),0),"")</f>
        <v/>
      </c>
      <c r="N78" s="152" t="str">
        <f ca="1">IFERROR(OFFSET(database!M$1,MATCH($A78,database!$AF$2:$AF$2004,0),0),"")</f>
        <v/>
      </c>
    </row>
    <row r="79" spans="1:14" x14ac:dyDescent="0.35">
      <c r="A79" s="151">
        <f t="shared" si="2"/>
        <v>78</v>
      </c>
      <c r="B79" s="152" t="str">
        <f ca="1">IFERROR(OFFSET(database!A$1,MATCH($A79,database!$AF$2:$AF$2004,0),0),"")</f>
        <v/>
      </c>
      <c r="C79" s="152" t="str">
        <f ca="1">IFERROR(OFFSET(database!B$1,MATCH($A79,database!$AF$2:$AF$2004,0),0),"")</f>
        <v/>
      </c>
      <c r="D79" s="152" t="str">
        <f ca="1">IFERROR(OFFSET(database!C$1,MATCH($A79,database!$AF$2:$AF$2004,0),0),"")</f>
        <v/>
      </c>
      <c r="E79" s="152" t="str">
        <f ca="1">IFERROR(OFFSET(database!D$1,MATCH($A79,database!$AF$2:$AF$2004,0),0),"")</f>
        <v/>
      </c>
      <c r="F79" s="152" t="str">
        <f ca="1">IFERROR(OFFSET(database!E$1,MATCH($A79,database!$AF$2:$AF$2004,0),0),"")</f>
        <v/>
      </c>
      <c r="G79" s="159" t="str">
        <f ca="1">IFERROR(OFFSET(database!F$1,MATCH($A79,database!$AF$2:$AF$2004,0),0),"")</f>
        <v/>
      </c>
      <c r="H79" s="152" t="str">
        <f ca="1">IFERROR(OFFSET(database!G$1,MATCH($A79,database!$AF$2:$AF$2004,0),0),"")</f>
        <v/>
      </c>
      <c r="I79" s="159" t="str">
        <f ca="1">IFERROR(OFFSET(database!H$1,MATCH($A79,database!$AF$2:$AF$2004,0),0),"")</f>
        <v/>
      </c>
      <c r="J79" s="159" t="str">
        <f ca="1">IFERROR(OFFSET(database!I$1,MATCH($A79,database!$AF$2:$AF$2004,0),0),"")</f>
        <v/>
      </c>
      <c r="K79" s="152" t="str">
        <f ca="1">IFERROR(OFFSET(database!J$1,MATCH($A79,database!$AF$2:$AF$2004,0),0),"")</f>
        <v/>
      </c>
      <c r="L79" s="152" t="str">
        <f ca="1">IFERROR(OFFSET(database!K$1,MATCH($A79,database!$AF$2:$AF$2004,0),0),"")</f>
        <v/>
      </c>
      <c r="M79" s="152" t="str">
        <f ca="1">IFERROR(OFFSET(database!L$1,MATCH($A79,database!$AF$2:$AF$2004,0),0),"")</f>
        <v/>
      </c>
      <c r="N79" s="152" t="str">
        <f ca="1">IFERROR(OFFSET(database!M$1,MATCH($A79,database!$AF$2:$AF$2004,0),0),"")</f>
        <v/>
      </c>
    </row>
    <row r="80" spans="1:14" x14ac:dyDescent="0.35">
      <c r="A80" s="151">
        <f t="shared" si="2"/>
        <v>79</v>
      </c>
      <c r="B80" s="152" t="str">
        <f ca="1">IFERROR(OFFSET(database!A$1,MATCH($A80,database!$AF$2:$AF$2004,0),0),"")</f>
        <v/>
      </c>
      <c r="C80" s="152" t="str">
        <f ca="1">IFERROR(OFFSET(database!B$1,MATCH($A80,database!$AF$2:$AF$2004,0),0),"")</f>
        <v/>
      </c>
      <c r="D80" s="152" t="str">
        <f ca="1">IFERROR(OFFSET(database!C$1,MATCH($A80,database!$AF$2:$AF$2004,0),0),"")</f>
        <v/>
      </c>
      <c r="E80" s="152" t="str">
        <f ca="1">IFERROR(OFFSET(database!D$1,MATCH($A80,database!$AF$2:$AF$2004,0),0),"")</f>
        <v/>
      </c>
      <c r="F80" s="152" t="str">
        <f ca="1">IFERROR(OFFSET(database!E$1,MATCH($A80,database!$AF$2:$AF$2004,0),0),"")</f>
        <v/>
      </c>
      <c r="G80" s="159" t="str">
        <f ca="1">IFERROR(OFFSET(database!F$1,MATCH($A80,database!$AF$2:$AF$2004,0),0),"")</f>
        <v/>
      </c>
      <c r="H80" s="152" t="str">
        <f ca="1">IFERROR(OFFSET(database!G$1,MATCH($A80,database!$AF$2:$AF$2004,0),0),"")</f>
        <v/>
      </c>
      <c r="I80" s="159" t="str">
        <f ca="1">IFERROR(OFFSET(database!H$1,MATCH($A80,database!$AF$2:$AF$2004,0),0),"")</f>
        <v/>
      </c>
      <c r="J80" s="159" t="str">
        <f ca="1">IFERROR(OFFSET(database!I$1,MATCH($A80,database!$AF$2:$AF$2004,0),0),"")</f>
        <v/>
      </c>
      <c r="K80" s="152" t="str">
        <f ca="1">IFERROR(OFFSET(database!J$1,MATCH($A80,database!$AF$2:$AF$2004,0),0),"")</f>
        <v/>
      </c>
      <c r="L80" s="152" t="str">
        <f ca="1">IFERROR(OFFSET(database!K$1,MATCH($A80,database!$AF$2:$AF$2004,0),0),"")</f>
        <v/>
      </c>
      <c r="M80" s="152" t="str">
        <f ca="1">IFERROR(OFFSET(database!L$1,MATCH($A80,database!$AF$2:$AF$2004,0),0),"")</f>
        <v/>
      </c>
      <c r="N80" s="152" t="str">
        <f ca="1">IFERROR(OFFSET(database!M$1,MATCH($A80,database!$AF$2:$AF$2004,0),0),"")</f>
        <v/>
      </c>
    </row>
    <row r="81" spans="1:14" x14ac:dyDescent="0.35">
      <c r="A81" s="151">
        <f t="shared" si="2"/>
        <v>80</v>
      </c>
      <c r="B81" s="152" t="str">
        <f ca="1">IFERROR(OFFSET(database!A$1,MATCH($A81,database!$AF$2:$AF$2004,0),0),"")</f>
        <v/>
      </c>
      <c r="C81" s="152" t="str">
        <f ca="1">IFERROR(OFFSET(database!B$1,MATCH($A81,database!$AF$2:$AF$2004,0),0),"")</f>
        <v/>
      </c>
      <c r="D81" s="152" t="str">
        <f ca="1">IFERROR(OFFSET(database!C$1,MATCH($A81,database!$AF$2:$AF$2004,0),0),"")</f>
        <v/>
      </c>
      <c r="E81" s="152" t="str">
        <f ca="1">IFERROR(OFFSET(database!D$1,MATCH($A81,database!$AF$2:$AF$2004,0),0),"")</f>
        <v/>
      </c>
      <c r="F81" s="152" t="str">
        <f ca="1">IFERROR(OFFSET(database!E$1,MATCH($A81,database!$AF$2:$AF$2004,0),0),"")</f>
        <v/>
      </c>
      <c r="G81" s="159" t="str">
        <f ca="1">IFERROR(OFFSET(database!F$1,MATCH($A81,database!$AF$2:$AF$2004,0),0),"")</f>
        <v/>
      </c>
      <c r="H81" s="152" t="str">
        <f ca="1">IFERROR(OFFSET(database!G$1,MATCH($A81,database!$AF$2:$AF$2004,0),0),"")</f>
        <v/>
      </c>
      <c r="I81" s="159" t="str">
        <f ca="1">IFERROR(OFFSET(database!H$1,MATCH($A81,database!$AF$2:$AF$2004,0),0),"")</f>
        <v/>
      </c>
      <c r="J81" s="159" t="str">
        <f ca="1">IFERROR(OFFSET(database!I$1,MATCH($A81,database!$AF$2:$AF$2004,0),0),"")</f>
        <v/>
      </c>
      <c r="K81" s="152" t="str">
        <f ca="1">IFERROR(OFFSET(database!J$1,MATCH($A81,database!$AF$2:$AF$2004,0),0),"")</f>
        <v/>
      </c>
      <c r="L81" s="152" t="str">
        <f ca="1">IFERROR(OFFSET(database!K$1,MATCH($A81,database!$AF$2:$AF$2004,0),0),"")</f>
        <v/>
      </c>
      <c r="M81" s="152" t="str">
        <f ca="1">IFERROR(OFFSET(database!L$1,MATCH($A81,database!$AF$2:$AF$2004,0),0),"")</f>
        <v/>
      </c>
      <c r="N81" s="152" t="str">
        <f ca="1">IFERROR(OFFSET(database!M$1,MATCH($A81,database!$AF$2:$AF$2004,0),0),"")</f>
        <v/>
      </c>
    </row>
    <row r="82" spans="1:14" x14ac:dyDescent="0.35">
      <c r="A82" s="151">
        <f t="shared" si="2"/>
        <v>81</v>
      </c>
      <c r="B82" s="152" t="str">
        <f ca="1">IFERROR(OFFSET(database!A$1,MATCH($A82,database!$AF$2:$AF$2004,0),0),"")</f>
        <v/>
      </c>
      <c r="C82" s="152" t="str">
        <f ca="1">IFERROR(OFFSET(database!B$1,MATCH($A82,database!$AF$2:$AF$2004,0),0),"")</f>
        <v/>
      </c>
      <c r="D82" s="152" t="str">
        <f ca="1">IFERROR(OFFSET(database!C$1,MATCH($A82,database!$AF$2:$AF$2004,0),0),"")</f>
        <v/>
      </c>
      <c r="E82" s="152" t="str">
        <f ca="1">IFERROR(OFFSET(database!D$1,MATCH($A82,database!$AF$2:$AF$2004,0),0),"")</f>
        <v/>
      </c>
      <c r="F82" s="152" t="str">
        <f ca="1">IFERROR(OFFSET(database!E$1,MATCH($A82,database!$AF$2:$AF$2004,0),0),"")</f>
        <v/>
      </c>
      <c r="G82" s="159" t="str">
        <f ca="1">IFERROR(OFFSET(database!F$1,MATCH($A82,database!$AF$2:$AF$2004,0),0),"")</f>
        <v/>
      </c>
      <c r="H82" s="152" t="str">
        <f ca="1">IFERROR(OFFSET(database!G$1,MATCH($A82,database!$AF$2:$AF$2004,0),0),"")</f>
        <v/>
      </c>
      <c r="I82" s="159" t="str">
        <f ca="1">IFERROR(OFFSET(database!H$1,MATCH($A82,database!$AF$2:$AF$2004,0),0),"")</f>
        <v/>
      </c>
      <c r="J82" s="159" t="str">
        <f ca="1">IFERROR(OFFSET(database!I$1,MATCH($A82,database!$AF$2:$AF$2004,0),0),"")</f>
        <v/>
      </c>
      <c r="K82" s="152" t="str">
        <f ca="1">IFERROR(OFFSET(database!J$1,MATCH($A82,database!$AF$2:$AF$2004,0),0),"")</f>
        <v/>
      </c>
      <c r="L82" s="152" t="str">
        <f ca="1">IFERROR(OFFSET(database!K$1,MATCH($A82,database!$AF$2:$AF$2004,0),0),"")</f>
        <v/>
      </c>
      <c r="M82" s="152" t="str">
        <f ca="1">IFERROR(OFFSET(database!L$1,MATCH($A82,database!$AF$2:$AF$2004,0),0),"")</f>
        <v/>
      </c>
      <c r="N82" s="152" t="str">
        <f ca="1">IFERROR(OFFSET(database!M$1,MATCH($A82,database!$AF$2:$AF$2004,0),0),"")</f>
        <v/>
      </c>
    </row>
    <row r="83" spans="1:14" x14ac:dyDescent="0.35">
      <c r="A83" s="151">
        <f t="shared" si="2"/>
        <v>82</v>
      </c>
      <c r="B83" s="152" t="str">
        <f ca="1">IFERROR(OFFSET(database!A$1,MATCH($A83,database!$AF$2:$AF$2004,0),0),"")</f>
        <v/>
      </c>
      <c r="C83" s="152" t="str">
        <f ca="1">IFERROR(OFFSET(database!B$1,MATCH($A83,database!$AF$2:$AF$2004,0),0),"")</f>
        <v/>
      </c>
      <c r="D83" s="152" t="str">
        <f ca="1">IFERROR(OFFSET(database!C$1,MATCH($A83,database!$AF$2:$AF$2004,0),0),"")</f>
        <v/>
      </c>
      <c r="E83" s="152" t="str">
        <f ca="1">IFERROR(OFFSET(database!D$1,MATCH($A83,database!$AF$2:$AF$2004,0),0),"")</f>
        <v/>
      </c>
      <c r="F83" s="152" t="str">
        <f ca="1">IFERROR(OFFSET(database!E$1,MATCH($A83,database!$AF$2:$AF$2004,0),0),"")</f>
        <v/>
      </c>
      <c r="G83" s="159" t="str">
        <f ca="1">IFERROR(OFFSET(database!F$1,MATCH($A83,database!$AF$2:$AF$2004,0),0),"")</f>
        <v/>
      </c>
      <c r="H83" s="152" t="str">
        <f ca="1">IFERROR(OFFSET(database!G$1,MATCH($A83,database!$AF$2:$AF$2004,0),0),"")</f>
        <v/>
      </c>
      <c r="I83" s="159" t="str">
        <f ca="1">IFERROR(OFFSET(database!H$1,MATCH($A83,database!$AF$2:$AF$2004,0),0),"")</f>
        <v/>
      </c>
      <c r="J83" s="159" t="str">
        <f ca="1">IFERROR(OFFSET(database!I$1,MATCH($A83,database!$AF$2:$AF$2004,0),0),"")</f>
        <v/>
      </c>
      <c r="K83" s="152" t="str">
        <f ca="1">IFERROR(OFFSET(database!J$1,MATCH($A83,database!$AF$2:$AF$2004,0),0),"")</f>
        <v/>
      </c>
      <c r="L83" s="152" t="str">
        <f ca="1">IFERROR(OFFSET(database!K$1,MATCH($A83,database!$AF$2:$AF$2004,0),0),"")</f>
        <v/>
      </c>
      <c r="M83" s="152" t="str">
        <f ca="1">IFERROR(OFFSET(database!L$1,MATCH($A83,database!$AF$2:$AF$2004,0),0),"")</f>
        <v/>
      </c>
      <c r="N83" s="152" t="str">
        <f ca="1">IFERROR(OFFSET(database!M$1,MATCH($A83,database!$AF$2:$AF$2004,0),0),"")</f>
        <v/>
      </c>
    </row>
    <row r="84" spans="1:14" x14ac:dyDescent="0.35">
      <c r="A84" s="151">
        <f t="shared" si="2"/>
        <v>83</v>
      </c>
      <c r="B84" s="152" t="str">
        <f ca="1">IFERROR(OFFSET(database!A$1,MATCH($A84,database!$AF$2:$AF$2004,0),0),"")</f>
        <v/>
      </c>
      <c r="C84" s="152" t="str">
        <f ca="1">IFERROR(OFFSET(database!B$1,MATCH($A84,database!$AF$2:$AF$2004,0),0),"")</f>
        <v/>
      </c>
      <c r="D84" s="152" t="str">
        <f ca="1">IFERROR(OFFSET(database!C$1,MATCH($A84,database!$AF$2:$AF$2004,0),0),"")</f>
        <v/>
      </c>
      <c r="E84" s="152" t="str">
        <f ca="1">IFERROR(OFFSET(database!D$1,MATCH($A84,database!$AF$2:$AF$2004,0),0),"")</f>
        <v/>
      </c>
      <c r="F84" s="152" t="str">
        <f ca="1">IFERROR(OFFSET(database!E$1,MATCH($A84,database!$AF$2:$AF$2004,0),0),"")</f>
        <v/>
      </c>
      <c r="G84" s="159" t="str">
        <f ca="1">IFERROR(OFFSET(database!F$1,MATCH($A84,database!$AF$2:$AF$2004,0),0),"")</f>
        <v/>
      </c>
      <c r="H84" s="152" t="str">
        <f ca="1">IFERROR(OFFSET(database!G$1,MATCH($A84,database!$AF$2:$AF$2004,0),0),"")</f>
        <v/>
      </c>
      <c r="I84" s="159" t="str">
        <f ca="1">IFERROR(OFFSET(database!H$1,MATCH($A84,database!$AF$2:$AF$2004,0),0),"")</f>
        <v/>
      </c>
      <c r="J84" s="159" t="str">
        <f ca="1">IFERROR(OFFSET(database!I$1,MATCH($A84,database!$AF$2:$AF$2004,0),0),"")</f>
        <v/>
      </c>
      <c r="K84" s="152" t="str">
        <f ca="1">IFERROR(OFFSET(database!J$1,MATCH($A84,database!$AF$2:$AF$2004,0),0),"")</f>
        <v/>
      </c>
      <c r="L84" s="152" t="str">
        <f ca="1">IFERROR(OFFSET(database!K$1,MATCH($A84,database!$AF$2:$AF$2004,0),0),"")</f>
        <v/>
      </c>
      <c r="M84" s="152" t="str">
        <f ca="1">IFERROR(OFFSET(database!L$1,MATCH($A84,database!$AF$2:$AF$2004,0),0),"")</f>
        <v/>
      </c>
      <c r="N84" s="152" t="str">
        <f ca="1">IFERROR(OFFSET(database!M$1,MATCH($A84,database!$AF$2:$AF$2004,0),0),"")</f>
        <v/>
      </c>
    </row>
    <row r="85" spans="1:14" x14ac:dyDescent="0.35">
      <c r="A85" s="151">
        <f t="shared" si="2"/>
        <v>84</v>
      </c>
      <c r="B85" s="152" t="str">
        <f ca="1">IFERROR(OFFSET(database!A$1,MATCH($A85,database!$AF$2:$AF$2004,0),0),"")</f>
        <v/>
      </c>
      <c r="C85" s="152" t="str">
        <f ca="1">IFERROR(OFFSET(database!B$1,MATCH($A85,database!$AF$2:$AF$2004,0),0),"")</f>
        <v/>
      </c>
      <c r="D85" s="152" t="str">
        <f ca="1">IFERROR(OFFSET(database!C$1,MATCH($A85,database!$AF$2:$AF$2004,0),0),"")</f>
        <v/>
      </c>
      <c r="E85" s="152" t="str">
        <f ca="1">IFERROR(OFFSET(database!D$1,MATCH($A85,database!$AF$2:$AF$2004,0),0),"")</f>
        <v/>
      </c>
      <c r="F85" s="152" t="str">
        <f ca="1">IFERROR(OFFSET(database!E$1,MATCH($A85,database!$AF$2:$AF$2004,0),0),"")</f>
        <v/>
      </c>
      <c r="G85" s="159" t="str">
        <f ca="1">IFERROR(OFFSET(database!F$1,MATCH($A85,database!$AF$2:$AF$2004,0),0),"")</f>
        <v/>
      </c>
      <c r="H85" s="152" t="str">
        <f ca="1">IFERROR(OFFSET(database!G$1,MATCH($A85,database!$AF$2:$AF$2004,0),0),"")</f>
        <v/>
      </c>
      <c r="I85" s="159" t="str">
        <f ca="1">IFERROR(OFFSET(database!H$1,MATCH($A85,database!$AF$2:$AF$2004,0),0),"")</f>
        <v/>
      </c>
      <c r="J85" s="159" t="str">
        <f ca="1">IFERROR(OFFSET(database!I$1,MATCH($A85,database!$AF$2:$AF$2004,0),0),"")</f>
        <v/>
      </c>
      <c r="K85" s="152" t="str">
        <f ca="1">IFERROR(OFFSET(database!J$1,MATCH($A85,database!$AF$2:$AF$2004,0),0),"")</f>
        <v/>
      </c>
      <c r="L85" s="152" t="str">
        <f ca="1">IFERROR(OFFSET(database!K$1,MATCH($A85,database!$AF$2:$AF$2004,0),0),"")</f>
        <v/>
      </c>
      <c r="M85" s="152" t="str">
        <f ca="1">IFERROR(OFFSET(database!L$1,MATCH($A85,database!$AF$2:$AF$2004,0),0),"")</f>
        <v/>
      </c>
      <c r="N85" s="152" t="str">
        <f ca="1">IFERROR(OFFSET(database!M$1,MATCH($A85,database!$AF$2:$AF$2004,0),0),"")</f>
        <v/>
      </c>
    </row>
    <row r="86" spans="1:14" x14ac:dyDescent="0.35">
      <c r="A86" s="151">
        <f t="shared" si="2"/>
        <v>85</v>
      </c>
      <c r="B86" s="152" t="str">
        <f ca="1">IFERROR(OFFSET(database!A$1,MATCH($A86,database!$AF$2:$AF$2004,0),0),"")</f>
        <v/>
      </c>
      <c r="C86" s="152" t="str">
        <f ca="1">IFERROR(OFFSET(database!B$1,MATCH($A86,database!$AF$2:$AF$2004,0),0),"")</f>
        <v/>
      </c>
      <c r="D86" s="152" t="str">
        <f ca="1">IFERROR(OFFSET(database!C$1,MATCH($A86,database!$AF$2:$AF$2004,0),0),"")</f>
        <v/>
      </c>
      <c r="E86" s="152" t="str">
        <f ca="1">IFERROR(OFFSET(database!D$1,MATCH($A86,database!$AF$2:$AF$2004,0),0),"")</f>
        <v/>
      </c>
      <c r="F86" s="152" t="str">
        <f ca="1">IFERROR(OFFSET(database!E$1,MATCH($A86,database!$AF$2:$AF$2004,0),0),"")</f>
        <v/>
      </c>
      <c r="G86" s="159" t="str">
        <f ca="1">IFERROR(OFFSET(database!F$1,MATCH($A86,database!$AF$2:$AF$2004,0),0),"")</f>
        <v/>
      </c>
      <c r="H86" s="152" t="str">
        <f ca="1">IFERROR(OFFSET(database!G$1,MATCH($A86,database!$AF$2:$AF$2004,0),0),"")</f>
        <v/>
      </c>
      <c r="I86" s="159" t="str">
        <f ca="1">IFERROR(OFFSET(database!H$1,MATCH($A86,database!$AF$2:$AF$2004,0),0),"")</f>
        <v/>
      </c>
      <c r="J86" s="159" t="str">
        <f ca="1">IFERROR(OFFSET(database!I$1,MATCH($A86,database!$AF$2:$AF$2004,0),0),"")</f>
        <v/>
      </c>
      <c r="K86" s="152" t="str">
        <f ca="1">IFERROR(OFFSET(database!J$1,MATCH($A86,database!$AF$2:$AF$2004,0),0),"")</f>
        <v/>
      </c>
      <c r="L86" s="152" t="str">
        <f ca="1">IFERROR(OFFSET(database!K$1,MATCH($A86,database!$AF$2:$AF$2004,0),0),"")</f>
        <v/>
      </c>
      <c r="M86" s="152" t="str">
        <f ca="1">IFERROR(OFFSET(database!L$1,MATCH($A86,database!$AF$2:$AF$2004,0),0),"")</f>
        <v/>
      </c>
      <c r="N86" s="152" t="str">
        <f ca="1">IFERROR(OFFSET(database!M$1,MATCH($A86,database!$AF$2:$AF$2004,0),0),"")</f>
        <v/>
      </c>
    </row>
    <row r="87" spans="1:14" x14ac:dyDescent="0.35">
      <c r="A87" s="151">
        <f t="shared" si="2"/>
        <v>86</v>
      </c>
      <c r="B87" s="152" t="str">
        <f ca="1">IFERROR(OFFSET(database!A$1,MATCH($A87,database!$AF$2:$AF$2004,0),0),"")</f>
        <v/>
      </c>
      <c r="C87" s="152" t="str">
        <f ca="1">IFERROR(OFFSET(database!B$1,MATCH($A87,database!$AF$2:$AF$2004,0),0),"")</f>
        <v/>
      </c>
      <c r="D87" s="152" t="str">
        <f ca="1">IFERROR(OFFSET(database!C$1,MATCH($A87,database!$AF$2:$AF$2004,0),0),"")</f>
        <v/>
      </c>
      <c r="E87" s="152" t="str">
        <f ca="1">IFERROR(OFFSET(database!D$1,MATCH($A87,database!$AF$2:$AF$2004,0),0),"")</f>
        <v/>
      </c>
      <c r="F87" s="152" t="str">
        <f ca="1">IFERROR(OFFSET(database!E$1,MATCH($A87,database!$AF$2:$AF$2004,0),0),"")</f>
        <v/>
      </c>
      <c r="G87" s="159" t="str">
        <f ca="1">IFERROR(OFFSET(database!F$1,MATCH($A87,database!$AF$2:$AF$2004,0),0),"")</f>
        <v/>
      </c>
      <c r="H87" s="152" t="str">
        <f ca="1">IFERROR(OFFSET(database!G$1,MATCH($A87,database!$AF$2:$AF$2004,0),0),"")</f>
        <v/>
      </c>
      <c r="I87" s="159" t="str">
        <f ca="1">IFERROR(OFFSET(database!H$1,MATCH($A87,database!$AF$2:$AF$2004,0),0),"")</f>
        <v/>
      </c>
      <c r="J87" s="159" t="str">
        <f ca="1">IFERROR(OFFSET(database!I$1,MATCH($A87,database!$AF$2:$AF$2004,0),0),"")</f>
        <v/>
      </c>
      <c r="K87" s="152" t="str">
        <f ca="1">IFERROR(OFFSET(database!J$1,MATCH($A87,database!$AF$2:$AF$2004,0),0),"")</f>
        <v/>
      </c>
      <c r="L87" s="152" t="str">
        <f ca="1">IFERROR(OFFSET(database!K$1,MATCH($A87,database!$AF$2:$AF$2004,0),0),"")</f>
        <v/>
      </c>
      <c r="M87" s="152" t="str">
        <f ca="1">IFERROR(OFFSET(database!L$1,MATCH($A87,database!$AF$2:$AF$2004,0),0),"")</f>
        <v/>
      </c>
      <c r="N87" s="152" t="str">
        <f ca="1">IFERROR(OFFSET(database!M$1,MATCH($A87,database!$AF$2:$AF$2004,0),0),"")</f>
        <v/>
      </c>
    </row>
    <row r="88" spans="1:14" x14ac:dyDescent="0.35">
      <c r="A88" s="151">
        <f t="shared" si="2"/>
        <v>87</v>
      </c>
      <c r="B88" s="152" t="str">
        <f ca="1">IFERROR(OFFSET(database!A$1,MATCH($A88,database!$AF$2:$AF$2004,0),0),"")</f>
        <v/>
      </c>
      <c r="C88" s="152" t="str">
        <f ca="1">IFERROR(OFFSET(database!B$1,MATCH($A88,database!$AF$2:$AF$2004,0),0),"")</f>
        <v/>
      </c>
      <c r="D88" s="152" t="str">
        <f ca="1">IFERROR(OFFSET(database!C$1,MATCH($A88,database!$AF$2:$AF$2004,0),0),"")</f>
        <v/>
      </c>
      <c r="E88" s="152" t="str">
        <f ca="1">IFERROR(OFFSET(database!D$1,MATCH($A88,database!$AF$2:$AF$2004,0),0),"")</f>
        <v/>
      </c>
      <c r="F88" s="152" t="str">
        <f ca="1">IFERROR(OFFSET(database!E$1,MATCH($A88,database!$AF$2:$AF$2004,0),0),"")</f>
        <v/>
      </c>
      <c r="G88" s="159" t="str">
        <f ca="1">IFERROR(OFFSET(database!F$1,MATCH($A88,database!$AF$2:$AF$2004,0),0),"")</f>
        <v/>
      </c>
      <c r="H88" s="152" t="str">
        <f ca="1">IFERROR(OFFSET(database!G$1,MATCH($A88,database!$AF$2:$AF$2004,0),0),"")</f>
        <v/>
      </c>
      <c r="I88" s="159" t="str">
        <f ca="1">IFERROR(OFFSET(database!H$1,MATCH($A88,database!$AF$2:$AF$2004,0),0),"")</f>
        <v/>
      </c>
      <c r="J88" s="159" t="str">
        <f ca="1">IFERROR(OFFSET(database!I$1,MATCH($A88,database!$AF$2:$AF$2004,0),0),"")</f>
        <v/>
      </c>
      <c r="K88" s="152" t="str">
        <f ca="1">IFERROR(OFFSET(database!J$1,MATCH($A88,database!$AF$2:$AF$2004,0),0),"")</f>
        <v/>
      </c>
      <c r="L88" s="152" t="str">
        <f ca="1">IFERROR(OFFSET(database!K$1,MATCH($A88,database!$AF$2:$AF$2004,0),0),"")</f>
        <v/>
      </c>
      <c r="M88" s="152" t="str">
        <f ca="1">IFERROR(OFFSET(database!L$1,MATCH($A88,database!$AF$2:$AF$2004,0),0),"")</f>
        <v/>
      </c>
      <c r="N88" s="152" t="str">
        <f ca="1">IFERROR(OFFSET(database!M$1,MATCH($A88,database!$AF$2:$AF$2004,0),0),"")</f>
        <v/>
      </c>
    </row>
    <row r="89" spans="1:14" x14ac:dyDescent="0.35">
      <c r="A89" s="151">
        <f t="shared" si="2"/>
        <v>88</v>
      </c>
      <c r="B89" s="152" t="str">
        <f ca="1">IFERROR(OFFSET(database!A$1,MATCH($A89,database!$AF$2:$AF$2004,0),0),"")</f>
        <v/>
      </c>
      <c r="C89" s="152" t="str">
        <f ca="1">IFERROR(OFFSET(database!B$1,MATCH($A89,database!$AF$2:$AF$2004,0),0),"")</f>
        <v/>
      </c>
      <c r="D89" s="152" t="str">
        <f ca="1">IFERROR(OFFSET(database!C$1,MATCH($A89,database!$AF$2:$AF$2004,0),0),"")</f>
        <v/>
      </c>
      <c r="E89" s="152" t="str">
        <f ca="1">IFERROR(OFFSET(database!D$1,MATCH($A89,database!$AF$2:$AF$2004,0),0),"")</f>
        <v/>
      </c>
      <c r="F89" s="152" t="str">
        <f ca="1">IFERROR(OFFSET(database!E$1,MATCH($A89,database!$AF$2:$AF$2004,0),0),"")</f>
        <v/>
      </c>
      <c r="G89" s="159" t="str">
        <f ca="1">IFERROR(OFFSET(database!F$1,MATCH($A89,database!$AF$2:$AF$2004,0),0),"")</f>
        <v/>
      </c>
      <c r="H89" s="152" t="str">
        <f ca="1">IFERROR(OFFSET(database!G$1,MATCH($A89,database!$AF$2:$AF$2004,0),0),"")</f>
        <v/>
      </c>
      <c r="I89" s="159" t="str">
        <f ca="1">IFERROR(OFFSET(database!H$1,MATCH($A89,database!$AF$2:$AF$2004,0),0),"")</f>
        <v/>
      </c>
      <c r="J89" s="159" t="str">
        <f ca="1">IFERROR(OFFSET(database!I$1,MATCH($A89,database!$AF$2:$AF$2004,0),0),"")</f>
        <v/>
      </c>
      <c r="K89" s="152" t="str">
        <f ca="1">IFERROR(OFFSET(database!J$1,MATCH($A89,database!$AF$2:$AF$2004,0),0),"")</f>
        <v/>
      </c>
      <c r="L89" s="152" t="str">
        <f ca="1">IFERROR(OFFSET(database!K$1,MATCH($A89,database!$AF$2:$AF$2004,0),0),"")</f>
        <v/>
      </c>
      <c r="M89" s="152" t="str">
        <f ca="1">IFERROR(OFFSET(database!L$1,MATCH($A89,database!$AF$2:$AF$2004,0),0),"")</f>
        <v/>
      </c>
      <c r="N89" s="152" t="str">
        <f ca="1">IFERROR(OFFSET(database!M$1,MATCH($A89,database!$AF$2:$AF$2004,0),0),"")</f>
        <v/>
      </c>
    </row>
    <row r="90" spans="1:14" x14ac:dyDescent="0.35">
      <c r="A90" s="151">
        <f t="shared" si="2"/>
        <v>89</v>
      </c>
      <c r="B90" s="152" t="str">
        <f ca="1">IFERROR(OFFSET(database!A$1,MATCH($A90,database!$AF$2:$AF$2004,0),0),"")</f>
        <v/>
      </c>
      <c r="C90" s="152" t="str">
        <f ca="1">IFERROR(OFFSET(database!B$1,MATCH($A90,database!$AF$2:$AF$2004,0),0),"")</f>
        <v/>
      </c>
      <c r="D90" s="152" t="str">
        <f ca="1">IFERROR(OFFSET(database!C$1,MATCH($A90,database!$AF$2:$AF$2004,0),0),"")</f>
        <v/>
      </c>
      <c r="E90" s="152" t="str">
        <f ca="1">IFERROR(OFFSET(database!D$1,MATCH($A90,database!$AF$2:$AF$2004,0),0),"")</f>
        <v/>
      </c>
      <c r="F90" s="152" t="str">
        <f ca="1">IFERROR(OFFSET(database!E$1,MATCH($A90,database!$AF$2:$AF$2004,0),0),"")</f>
        <v/>
      </c>
      <c r="G90" s="159" t="str">
        <f ca="1">IFERROR(OFFSET(database!F$1,MATCH($A90,database!$AF$2:$AF$2004,0),0),"")</f>
        <v/>
      </c>
      <c r="H90" s="152" t="str">
        <f ca="1">IFERROR(OFFSET(database!G$1,MATCH($A90,database!$AF$2:$AF$2004,0),0),"")</f>
        <v/>
      </c>
      <c r="I90" s="159" t="str">
        <f ca="1">IFERROR(OFFSET(database!H$1,MATCH($A90,database!$AF$2:$AF$2004,0),0),"")</f>
        <v/>
      </c>
      <c r="J90" s="159" t="str">
        <f ca="1">IFERROR(OFFSET(database!I$1,MATCH($A90,database!$AF$2:$AF$2004,0),0),"")</f>
        <v/>
      </c>
      <c r="K90" s="152" t="str">
        <f ca="1">IFERROR(OFFSET(database!J$1,MATCH($A90,database!$AF$2:$AF$2004,0),0),"")</f>
        <v/>
      </c>
      <c r="L90" s="152" t="str">
        <f ca="1">IFERROR(OFFSET(database!K$1,MATCH($A90,database!$AF$2:$AF$2004,0),0),"")</f>
        <v/>
      </c>
      <c r="M90" s="152" t="str">
        <f ca="1">IFERROR(OFFSET(database!L$1,MATCH($A90,database!$AF$2:$AF$2004,0),0),"")</f>
        <v/>
      </c>
      <c r="N90" s="152" t="str">
        <f ca="1">IFERROR(OFFSET(database!M$1,MATCH($A90,database!$AF$2:$AF$2004,0),0),"")</f>
        <v/>
      </c>
    </row>
    <row r="91" spans="1:14" x14ac:dyDescent="0.35">
      <c r="A91" s="151">
        <f t="shared" si="2"/>
        <v>90</v>
      </c>
      <c r="B91" s="152" t="str">
        <f ca="1">IFERROR(OFFSET(database!A$1,MATCH($A91,database!$AF$2:$AF$2004,0),0),"")</f>
        <v/>
      </c>
      <c r="C91" s="152" t="str">
        <f ca="1">IFERROR(OFFSET(database!B$1,MATCH($A91,database!$AF$2:$AF$2004,0),0),"")</f>
        <v/>
      </c>
      <c r="D91" s="152" t="str">
        <f ca="1">IFERROR(OFFSET(database!C$1,MATCH($A91,database!$AF$2:$AF$2004,0),0),"")</f>
        <v/>
      </c>
      <c r="E91" s="152" t="str">
        <f ca="1">IFERROR(OFFSET(database!D$1,MATCH($A91,database!$AF$2:$AF$2004,0),0),"")</f>
        <v/>
      </c>
      <c r="F91" s="152" t="str">
        <f ca="1">IFERROR(OFFSET(database!E$1,MATCH($A91,database!$AF$2:$AF$2004,0),0),"")</f>
        <v/>
      </c>
      <c r="G91" s="159" t="str">
        <f ca="1">IFERROR(OFFSET(database!F$1,MATCH($A91,database!$AF$2:$AF$2004,0),0),"")</f>
        <v/>
      </c>
      <c r="H91" s="152" t="str">
        <f ca="1">IFERROR(OFFSET(database!G$1,MATCH($A91,database!$AF$2:$AF$2004,0),0),"")</f>
        <v/>
      </c>
      <c r="I91" s="159" t="str">
        <f ca="1">IFERROR(OFFSET(database!H$1,MATCH($A91,database!$AF$2:$AF$2004,0),0),"")</f>
        <v/>
      </c>
      <c r="J91" s="159" t="str">
        <f ca="1">IFERROR(OFFSET(database!I$1,MATCH($A91,database!$AF$2:$AF$2004,0),0),"")</f>
        <v/>
      </c>
      <c r="K91" s="152" t="str">
        <f ca="1">IFERROR(OFFSET(database!J$1,MATCH($A91,database!$AF$2:$AF$2004,0),0),"")</f>
        <v/>
      </c>
      <c r="L91" s="152" t="str">
        <f ca="1">IFERROR(OFFSET(database!K$1,MATCH($A91,database!$AF$2:$AF$2004,0),0),"")</f>
        <v/>
      </c>
      <c r="M91" s="152" t="str">
        <f ca="1">IFERROR(OFFSET(database!L$1,MATCH($A91,database!$AF$2:$AF$2004,0),0),"")</f>
        <v/>
      </c>
      <c r="N91" s="152" t="str">
        <f ca="1">IFERROR(OFFSET(database!M$1,MATCH($A91,database!$AF$2:$AF$2004,0),0),"")</f>
        <v/>
      </c>
    </row>
    <row r="92" spans="1:14" x14ac:dyDescent="0.35">
      <c r="A92" s="151">
        <f t="shared" si="2"/>
        <v>91</v>
      </c>
      <c r="B92" s="152" t="str">
        <f ca="1">IFERROR(OFFSET(database!A$1,MATCH($A92,database!$AF$2:$AF$2004,0),0),"")</f>
        <v/>
      </c>
      <c r="C92" s="152" t="str">
        <f ca="1">IFERROR(OFFSET(database!B$1,MATCH($A92,database!$AF$2:$AF$2004,0),0),"")</f>
        <v/>
      </c>
      <c r="D92" s="152" t="str">
        <f ca="1">IFERROR(OFFSET(database!C$1,MATCH($A92,database!$AF$2:$AF$2004,0),0),"")</f>
        <v/>
      </c>
      <c r="E92" s="152" t="str">
        <f ca="1">IFERROR(OFFSET(database!D$1,MATCH($A92,database!$AF$2:$AF$2004,0),0),"")</f>
        <v/>
      </c>
      <c r="F92" s="152" t="str">
        <f ca="1">IFERROR(OFFSET(database!E$1,MATCH($A92,database!$AF$2:$AF$2004,0),0),"")</f>
        <v/>
      </c>
      <c r="G92" s="159" t="str">
        <f ca="1">IFERROR(OFFSET(database!F$1,MATCH($A92,database!$AF$2:$AF$2004,0),0),"")</f>
        <v/>
      </c>
      <c r="H92" s="152" t="str">
        <f ca="1">IFERROR(OFFSET(database!G$1,MATCH($A92,database!$AF$2:$AF$2004,0),0),"")</f>
        <v/>
      </c>
      <c r="I92" s="159" t="str">
        <f ca="1">IFERROR(OFFSET(database!H$1,MATCH($A92,database!$AF$2:$AF$2004,0),0),"")</f>
        <v/>
      </c>
      <c r="J92" s="159" t="str">
        <f ca="1">IFERROR(OFFSET(database!I$1,MATCH($A92,database!$AF$2:$AF$2004,0),0),"")</f>
        <v/>
      </c>
      <c r="K92" s="152" t="str">
        <f ca="1">IFERROR(OFFSET(database!J$1,MATCH($A92,database!$AF$2:$AF$2004,0),0),"")</f>
        <v/>
      </c>
      <c r="L92" s="152" t="str">
        <f ca="1">IFERROR(OFFSET(database!K$1,MATCH($A92,database!$AF$2:$AF$2004,0),0),"")</f>
        <v/>
      </c>
      <c r="M92" s="152" t="str">
        <f ca="1">IFERROR(OFFSET(database!L$1,MATCH($A92,database!$AF$2:$AF$2004,0),0),"")</f>
        <v/>
      </c>
      <c r="N92" s="152" t="str">
        <f ca="1">IFERROR(OFFSET(database!M$1,MATCH($A92,database!$AF$2:$AF$2004,0),0),"")</f>
        <v/>
      </c>
    </row>
    <row r="93" spans="1:14" x14ac:dyDescent="0.35">
      <c r="A93" s="151">
        <f t="shared" si="2"/>
        <v>92</v>
      </c>
      <c r="B93" s="152" t="str">
        <f ca="1">IFERROR(OFFSET(database!A$1,MATCH($A93,database!$AF$2:$AF$2004,0),0),"")</f>
        <v/>
      </c>
      <c r="C93" s="152" t="str">
        <f ca="1">IFERROR(OFFSET(database!B$1,MATCH($A93,database!$AF$2:$AF$2004,0),0),"")</f>
        <v/>
      </c>
      <c r="D93" s="152" t="str">
        <f ca="1">IFERROR(OFFSET(database!C$1,MATCH($A93,database!$AF$2:$AF$2004,0),0),"")</f>
        <v/>
      </c>
      <c r="E93" s="152" t="str">
        <f ca="1">IFERROR(OFFSET(database!D$1,MATCH($A93,database!$AF$2:$AF$2004,0),0),"")</f>
        <v/>
      </c>
      <c r="F93" s="152" t="str">
        <f ca="1">IFERROR(OFFSET(database!E$1,MATCH($A93,database!$AF$2:$AF$2004,0),0),"")</f>
        <v/>
      </c>
      <c r="G93" s="159" t="str">
        <f ca="1">IFERROR(OFFSET(database!F$1,MATCH($A93,database!$AF$2:$AF$2004,0),0),"")</f>
        <v/>
      </c>
      <c r="H93" s="152" t="str">
        <f ca="1">IFERROR(OFFSET(database!G$1,MATCH($A93,database!$AF$2:$AF$2004,0),0),"")</f>
        <v/>
      </c>
      <c r="I93" s="159" t="str">
        <f ca="1">IFERROR(OFFSET(database!H$1,MATCH($A93,database!$AF$2:$AF$2004,0),0),"")</f>
        <v/>
      </c>
      <c r="J93" s="159" t="str">
        <f ca="1">IFERROR(OFFSET(database!I$1,MATCH($A93,database!$AF$2:$AF$2004,0),0),"")</f>
        <v/>
      </c>
      <c r="K93" s="152" t="str">
        <f ca="1">IFERROR(OFFSET(database!J$1,MATCH($A93,database!$AF$2:$AF$2004,0),0),"")</f>
        <v/>
      </c>
      <c r="L93" s="152" t="str">
        <f ca="1">IFERROR(OFFSET(database!K$1,MATCH($A93,database!$AF$2:$AF$2004,0),0),"")</f>
        <v/>
      </c>
      <c r="M93" s="152" t="str">
        <f ca="1">IFERROR(OFFSET(database!L$1,MATCH($A93,database!$AF$2:$AF$2004,0),0),"")</f>
        <v/>
      </c>
      <c r="N93" s="152" t="str">
        <f ca="1">IFERROR(OFFSET(database!M$1,MATCH($A93,database!$AF$2:$AF$2004,0),0),"")</f>
        <v/>
      </c>
    </row>
    <row r="94" spans="1:14" x14ac:dyDescent="0.35">
      <c r="A94" s="151">
        <f t="shared" si="2"/>
        <v>93</v>
      </c>
      <c r="B94" s="152" t="str">
        <f ca="1">IFERROR(OFFSET(database!A$1,MATCH($A94,database!$AF$2:$AF$2004,0),0),"")</f>
        <v/>
      </c>
      <c r="C94" s="152" t="str">
        <f ca="1">IFERROR(OFFSET(database!B$1,MATCH($A94,database!$AF$2:$AF$2004,0),0),"")</f>
        <v/>
      </c>
      <c r="D94" s="152" t="str">
        <f ca="1">IFERROR(OFFSET(database!C$1,MATCH($A94,database!$AF$2:$AF$2004,0),0),"")</f>
        <v/>
      </c>
      <c r="E94" s="152" t="str">
        <f ca="1">IFERROR(OFFSET(database!D$1,MATCH($A94,database!$AF$2:$AF$2004,0),0),"")</f>
        <v/>
      </c>
      <c r="F94" s="152" t="str">
        <f ca="1">IFERROR(OFFSET(database!E$1,MATCH($A94,database!$AF$2:$AF$2004,0),0),"")</f>
        <v/>
      </c>
      <c r="G94" s="159" t="str">
        <f ca="1">IFERROR(OFFSET(database!F$1,MATCH($A94,database!$AF$2:$AF$2004,0),0),"")</f>
        <v/>
      </c>
      <c r="H94" s="152" t="str">
        <f ca="1">IFERROR(OFFSET(database!G$1,MATCH($A94,database!$AF$2:$AF$2004,0),0),"")</f>
        <v/>
      </c>
      <c r="I94" s="159" t="str">
        <f ca="1">IFERROR(OFFSET(database!H$1,MATCH($A94,database!$AF$2:$AF$2004,0),0),"")</f>
        <v/>
      </c>
      <c r="J94" s="159" t="str">
        <f ca="1">IFERROR(OFFSET(database!I$1,MATCH($A94,database!$AF$2:$AF$2004,0),0),"")</f>
        <v/>
      </c>
      <c r="K94" s="152" t="str">
        <f ca="1">IFERROR(OFFSET(database!J$1,MATCH($A94,database!$AF$2:$AF$2004,0),0),"")</f>
        <v/>
      </c>
      <c r="L94" s="152" t="str">
        <f ca="1">IFERROR(OFFSET(database!K$1,MATCH($A94,database!$AF$2:$AF$2004,0),0),"")</f>
        <v/>
      </c>
      <c r="M94" s="152" t="str">
        <f ca="1">IFERROR(OFFSET(database!L$1,MATCH($A94,database!$AF$2:$AF$2004,0),0),"")</f>
        <v/>
      </c>
      <c r="N94" s="152" t="str">
        <f ca="1">IFERROR(OFFSET(database!M$1,MATCH($A94,database!$AF$2:$AF$2004,0),0),"")</f>
        <v/>
      </c>
    </row>
    <row r="95" spans="1:14" x14ac:dyDescent="0.35">
      <c r="A95" s="151">
        <f t="shared" si="2"/>
        <v>94</v>
      </c>
      <c r="B95" s="152" t="str">
        <f ca="1">IFERROR(OFFSET(database!A$1,MATCH($A95,database!$AF$2:$AF$2004,0),0),"")</f>
        <v/>
      </c>
      <c r="C95" s="152" t="str">
        <f ca="1">IFERROR(OFFSET(database!B$1,MATCH($A95,database!$AF$2:$AF$2004,0),0),"")</f>
        <v/>
      </c>
      <c r="D95" s="152" t="str">
        <f ca="1">IFERROR(OFFSET(database!C$1,MATCH($A95,database!$AF$2:$AF$2004,0),0),"")</f>
        <v/>
      </c>
      <c r="E95" s="152" t="str">
        <f ca="1">IFERROR(OFFSET(database!D$1,MATCH($A95,database!$AF$2:$AF$2004,0),0),"")</f>
        <v/>
      </c>
      <c r="F95" s="152" t="str">
        <f ca="1">IFERROR(OFFSET(database!E$1,MATCH($A95,database!$AF$2:$AF$2004,0),0),"")</f>
        <v/>
      </c>
      <c r="G95" s="159" t="str">
        <f ca="1">IFERROR(OFFSET(database!F$1,MATCH($A95,database!$AF$2:$AF$2004,0),0),"")</f>
        <v/>
      </c>
      <c r="H95" s="152" t="str">
        <f ca="1">IFERROR(OFFSET(database!G$1,MATCH($A95,database!$AF$2:$AF$2004,0),0),"")</f>
        <v/>
      </c>
      <c r="I95" s="159" t="str">
        <f ca="1">IFERROR(OFFSET(database!H$1,MATCH($A95,database!$AF$2:$AF$2004,0),0),"")</f>
        <v/>
      </c>
      <c r="J95" s="159" t="str">
        <f ca="1">IFERROR(OFFSET(database!I$1,MATCH($A95,database!$AF$2:$AF$2004,0),0),"")</f>
        <v/>
      </c>
      <c r="K95" s="152" t="str">
        <f ca="1">IFERROR(OFFSET(database!J$1,MATCH($A95,database!$AF$2:$AF$2004,0),0),"")</f>
        <v/>
      </c>
      <c r="L95" s="152" t="str">
        <f ca="1">IFERROR(OFFSET(database!K$1,MATCH($A95,database!$AF$2:$AF$2004,0),0),"")</f>
        <v/>
      </c>
      <c r="M95" s="152" t="str">
        <f ca="1">IFERROR(OFFSET(database!L$1,MATCH($A95,database!$AF$2:$AF$2004,0),0),"")</f>
        <v/>
      </c>
      <c r="N95" s="152" t="str">
        <f ca="1">IFERROR(OFFSET(database!M$1,MATCH($A95,database!$AF$2:$AF$2004,0),0),"")</f>
        <v/>
      </c>
    </row>
    <row r="96" spans="1:14" x14ac:dyDescent="0.35">
      <c r="A96" s="151">
        <f t="shared" si="2"/>
        <v>95</v>
      </c>
      <c r="B96" s="152" t="str">
        <f ca="1">IFERROR(OFFSET(database!A$1,MATCH($A96,database!$AF$2:$AF$2004,0),0),"")</f>
        <v/>
      </c>
      <c r="C96" s="152" t="str">
        <f ca="1">IFERROR(OFFSET(database!B$1,MATCH($A96,database!$AF$2:$AF$2004,0),0),"")</f>
        <v/>
      </c>
      <c r="D96" s="152" t="str">
        <f ca="1">IFERROR(OFFSET(database!C$1,MATCH($A96,database!$AF$2:$AF$2004,0),0),"")</f>
        <v/>
      </c>
      <c r="E96" s="152" t="str">
        <f ca="1">IFERROR(OFFSET(database!D$1,MATCH($A96,database!$AF$2:$AF$2004,0),0),"")</f>
        <v/>
      </c>
      <c r="F96" s="152" t="str">
        <f ca="1">IFERROR(OFFSET(database!E$1,MATCH($A96,database!$AF$2:$AF$2004,0),0),"")</f>
        <v/>
      </c>
      <c r="G96" s="159" t="str">
        <f ca="1">IFERROR(OFFSET(database!F$1,MATCH($A96,database!$AF$2:$AF$2004,0),0),"")</f>
        <v/>
      </c>
      <c r="H96" s="152" t="str">
        <f ca="1">IFERROR(OFFSET(database!G$1,MATCH($A96,database!$AF$2:$AF$2004,0),0),"")</f>
        <v/>
      </c>
      <c r="I96" s="159" t="str">
        <f ca="1">IFERROR(OFFSET(database!H$1,MATCH($A96,database!$AF$2:$AF$2004,0),0),"")</f>
        <v/>
      </c>
      <c r="J96" s="159" t="str">
        <f ca="1">IFERROR(OFFSET(database!I$1,MATCH($A96,database!$AF$2:$AF$2004,0),0),"")</f>
        <v/>
      </c>
      <c r="K96" s="152" t="str">
        <f ca="1">IFERROR(OFFSET(database!J$1,MATCH($A96,database!$AF$2:$AF$2004,0),0),"")</f>
        <v/>
      </c>
      <c r="L96" s="152" t="str">
        <f ca="1">IFERROR(OFFSET(database!K$1,MATCH($A96,database!$AF$2:$AF$2004,0),0),"")</f>
        <v/>
      </c>
      <c r="M96" s="152" t="str">
        <f ca="1">IFERROR(OFFSET(database!L$1,MATCH($A96,database!$AF$2:$AF$2004,0),0),"")</f>
        <v/>
      </c>
      <c r="N96" s="152" t="str">
        <f ca="1">IFERROR(OFFSET(database!M$1,MATCH($A96,database!$AF$2:$AF$2004,0),0),"")</f>
        <v/>
      </c>
    </row>
    <row r="97" spans="1:14" x14ac:dyDescent="0.35">
      <c r="A97" s="151">
        <f t="shared" si="2"/>
        <v>96</v>
      </c>
      <c r="B97" s="152" t="str">
        <f ca="1">IFERROR(OFFSET(database!A$1,MATCH($A97,database!$AF$2:$AF$2004,0),0),"")</f>
        <v/>
      </c>
      <c r="C97" s="152" t="str">
        <f ca="1">IFERROR(OFFSET(database!B$1,MATCH($A97,database!$AF$2:$AF$2004,0),0),"")</f>
        <v/>
      </c>
      <c r="D97" s="152" t="str">
        <f ca="1">IFERROR(OFFSET(database!C$1,MATCH($A97,database!$AF$2:$AF$2004,0),0),"")</f>
        <v/>
      </c>
      <c r="E97" s="152" t="str">
        <f ca="1">IFERROR(OFFSET(database!D$1,MATCH($A97,database!$AF$2:$AF$2004,0),0),"")</f>
        <v/>
      </c>
      <c r="F97" s="152" t="str">
        <f ca="1">IFERROR(OFFSET(database!E$1,MATCH($A97,database!$AF$2:$AF$2004,0),0),"")</f>
        <v/>
      </c>
      <c r="G97" s="159" t="str">
        <f ca="1">IFERROR(OFFSET(database!F$1,MATCH($A97,database!$AF$2:$AF$2004,0),0),"")</f>
        <v/>
      </c>
      <c r="H97" s="152" t="str">
        <f ca="1">IFERROR(OFFSET(database!G$1,MATCH($A97,database!$AF$2:$AF$2004,0),0),"")</f>
        <v/>
      </c>
      <c r="I97" s="159" t="str">
        <f ca="1">IFERROR(OFFSET(database!H$1,MATCH($A97,database!$AF$2:$AF$2004,0),0),"")</f>
        <v/>
      </c>
      <c r="J97" s="159" t="str">
        <f ca="1">IFERROR(OFFSET(database!I$1,MATCH($A97,database!$AF$2:$AF$2004,0),0),"")</f>
        <v/>
      </c>
      <c r="K97" s="152" t="str">
        <f ca="1">IFERROR(OFFSET(database!J$1,MATCH($A97,database!$AF$2:$AF$2004,0),0),"")</f>
        <v/>
      </c>
      <c r="L97" s="152" t="str">
        <f ca="1">IFERROR(OFFSET(database!K$1,MATCH($A97,database!$AF$2:$AF$2004,0),0),"")</f>
        <v/>
      </c>
      <c r="M97" s="152" t="str">
        <f ca="1">IFERROR(OFFSET(database!L$1,MATCH($A97,database!$AF$2:$AF$2004,0),0),"")</f>
        <v/>
      </c>
      <c r="N97" s="152" t="str">
        <f ca="1">IFERROR(OFFSET(database!M$1,MATCH($A97,database!$AF$2:$AF$2004,0),0),"")</f>
        <v/>
      </c>
    </row>
    <row r="98" spans="1:14" x14ac:dyDescent="0.35">
      <c r="A98" s="151">
        <f t="shared" si="2"/>
        <v>97</v>
      </c>
      <c r="B98" s="152" t="str">
        <f ca="1">IFERROR(OFFSET(database!A$1,MATCH($A98,database!$AF$2:$AF$2004,0),0),"")</f>
        <v/>
      </c>
      <c r="C98" s="152" t="str">
        <f ca="1">IFERROR(OFFSET(database!B$1,MATCH($A98,database!$AF$2:$AF$2004,0),0),"")</f>
        <v/>
      </c>
      <c r="D98" s="152" t="str">
        <f ca="1">IFERROR(OFFSET(database!C$1,MATCH($A98,database!$AF$2:$AF$2004,0),0),"")</f>
        <v/>
      </c>
      <c r="E98" s="152" t="str">
        <f ca="1">IFERROR(OFFSET(database!D$1,MATCH($A98,database!$AF$2:$AF$2004,0),0),"")</f>
        <v/>
      </c>
      <c r="F98" s="152" t="str">
        <f ca="1">IFERROR(OFFSET(database!E$1,MATCH($A98,database!$AF$2:$AF$2004,0),0),"")</f>
        <v/>
      </c>
      <c r="G98" s="159" t="str">
        <f ca="1">IFERROR(OFFSET(database!F$1,MATCH($A98,database!$AF$2:$AF$2004,0),0),"")</f>
        <v/>
      </c>
      <c r="H98" s="152" t="str">
        <f ca="1">IFERROR(OFFSET(database!G$1,MATCH($A98,database!$AF$2:$AF$2004,0),0),"")</f>
        <v/>
      </c>
      <c r="I98" s="159" t="str">
        <f ca="1">IFERROR(OFFSET(database!H$1,MATCH($A98,database!$AF$2:$AF$2004,0),0),"")</f>
        <v/>
      </c>
      <c r="J98" s="159" t="str">
        <f ca="1">IFERROR(OFFSET(database!I$1,MATCH($A98,database!$AF$2:$AF$2004,0),0),"")</f>
        <v/>
      </c>
      <c r="K98" s="152" t="str">
        <f ca="1">IFERROR(OFFSET(database!J$1,MATCH($A98,database!$AF$2:$AF$2004,0),0),"")</f>
        <v/>
      </c>
      <c r="L98" s="152" t="str">
        <f ca="1">IFERROR(OFFSET(database!K$1,MATCH($A98,database!$AF$2:$AF$2004,0),0),"")</f>
        <v/>
      </c>
      <c r="M98" s="152" t="str">
        <f ca="1">IFERROR(OFFSET(database!L$1,MATCH($A98,database!$AF$2:$AF$2004,0),0),"")</f>
        <v/>
      </c>
      <c r="N98" s="152" t="str">
        <f ca="1">IFERROR(OFFSET(database!M$1,MATCH($A98,database!$AF$2:$AF$2004,0),0),"")</f>
        <v/>
      </c>
    </row>
    <row r="99" spans="1:14" x14ac:dyDescent="0.35">
      <c r="A99" s="151">
        <f t="shared" si="2"/>
        <v>98</v>
      </c>
      <c r="B99" s="152" t="str">
        <f ca="1">IFERROR(OFFSET(database!A$1,MATCH($A99,database!$AF$2:$AF$2004,0),0),"")</f>
        <v/>
      </c>
      <c r="C99" s="152" t="str">
        <f ca="1">IFERROR(OFFSET(database!B$1,MATCH($A99,database!$AF$2:$AF$2004,0),0),"")</f>
        <v/>
      </c>
      <c r="D99" s="152" t="str">
        <f ca="1">IFERROR(OFFSET(database!C$1,MATCH($A99,database!$AF$2:$AF$2004,0),0),"")</f>
        <v/>
      </c>
      <c r="E99" s="152" t="str">
        <f ca="1">IFERROR(OFFSET(database!D$1,MATCH($A99,database!$AF$2:$AF$2004,0),0),"")</f>
        <v/>
      </c>
      <c r="F99" s="152" t="str">
        <f ca="1">IFERROR(OFFSET(database!E$1,MATCH($A99,database!$AF$2:$AF$2004,0),0),"")</f>
        <v/>
      </c>
      <c r="G99" s="159" t="str">
        <f ca="1">IFERROR(OFFSET(database!F$1,MATCH($A99,database!$AF$2:$AF$2004,0),0),"")</f>
        <v/>
      </c>
      <c r="H99" s="152" t="str">
        <f ca="1">IFERROR(OFFSET(database!G$1,MATCH($A99,database!$AF$2:$AF$2004,0),0),"")</f>
        <v/>
      </c>
      <c r="I99" s="159" t="str">
        <f ca="1">IFERROR(OFFSET(database!H$1,MATCH($A99,database!$AF$2:$AF$2004,0),0),"")</f>
        <v/>
      </c>
      <c r="J99" s="159" t="str">
        <f ca="1">IFERROR(OFFSET(database!I$1,MATCH($A99,database!$AF$2:$AF$2004,0),0),"")</f>
        <v/>
      </c>
      <c r="K99" s="152" t="str">
        <f ca="1">IFERROR(OFFSET(database!J$1,MATCH($A99,database!$AF$2:$AF$2004,0),0),"")</f>
        <v/>
      </c>
      <c r="L99" s="152" t="str">
        <f ca="1">IFERROR(OFFSET(database!K$1,MATCH($A99,database!$AF$2:$AF$2004,0),0),"")</f>
        <v/>
      </c>
      <c r="M99" s="152" t="str">
        <f ca="1">IFERROR(OFFSET(database!L$1,MATCH($A99,database!$AF$2:$AF$2004,0),0),"")</f>
        <v/>
      </c>
      <c r="N99" s="152" t="str">
        <f ca="1">IFERROR(OFFSET(database!M$1,MATCH($A99,database!$AF$2:$AF$2004,0),0),"")</f>
        <v/>
      </c>
    </row>
    <row r="100" spans="1:14" x14ac:dyDescent="0.35">
      <c r="A100" s="151">
        <f t="shared" si="2"/>
        <v>99</v>
      </c>
      <c r="B100" s="152" t="str">
        <f ca="1">IFERROR(OFFSET(database!A$1,MATCH($A100,database!$AF$2:$AF$2004,0),0),"")</f>
        <v/>
      </c>
      <c r="C100" s="152" t="str">
        <f ca="1">IFERROR(OFFSET(database!B$1,MATCH($A100,database!$AF$2:$AF$2004,0),0),"")</f>
        <v/>
      </c>
      <c r="D100" s="152" t="str">
        <f ca="1">IFERROR(OFFSET(database!C$1,MATCH($A100,database!$AF$2:$AF$2004,0),0),"")</f>
        <v/>
      </c>
      <c r="E100" s="152" t="str">
        <f ca="1">IFERROR(OFFSET(database!D$1,MATCH($A100,database!$AF$2:$AF$2004,0),0),"")</f>
        <v/>
      </c>
      <c r="F100" s="152" t="str">
        <f ca="1">IFERROR(OFFSET(database!E$1,MATCH($A100,database!$AF$2:$AF$2004,0),0),"")</f>
        <v/>
      </c>
      <c r="G100" s="159" t="str">
        <f ca="1">IFERROR(OFFSET(database!F$1,MATCH($A100,database!$AF$2:$AF$2004,0),0),"")</f>
        <v/>
      </c>
      <c r="H100" s="152" t="str">
        <f ca="1">IFERROR(OFFSET(database!G$1,MATCH($A100,database!$AF$2:$AF$2004,0),0),"")</f>
        <v/>
      </c>
      <c r="I100" s="159" t="str">
        <f ca="1">IFERROR(OFFSET(database!H$1,MATCH($A100,database!$AF$2:$AF$2004,0),0),"")</f>
        <v/>
      </c>
      <c r="J100" s="159" t="str">
        <f ca="1">IFERROR(OFFSET(database!I$1,MATCH($A100,database!$AF$2:$AF$2004,0),0),"")</f>
        <v/>
      </c>
      <c r="K100" s="152" t="str">
        <f ca="1">IFERROR(OFFSET(database!J$1,MATCH($A100,database!$AF$2:$AF$2004,0),0),"")</f>
        <v/>
      </c>
      <c r="L100" s="152" t="str">
        <f ca="1">IFERROR(OFFSET(database!K$1,MATCH($A100,database!$AF$2:$AF$2004,0),0),"")</f>
        <v/>
      </c>
      <c r="M100" s="152" t="str">
        <f ca="1">IFERROR(OFFSET(database!L$1,MATCH($A100,database!$AF$2:$AF$2004,0),0),"")</f>
        <v/>
      </c>
      <c r="N100" s="152" t="str">
        <f ca="1">IFERROR(OFFSET(database!M$1,MATCH($A100,database!$AF$2:$AF$2004,0),0),"")</f>
        <v/>
      </c>
    </row>
    <row r="101" spans="1:14" x14ac:dyDescent="0.35">
      <c r="A101" s="151">
        <f t="shared" si="2"/>
        <v>100</v>
      </c>
      <c r="B101" s="152" t="str">
        <f ca="1">IFERROR(OFFSET(database!A$1,MATCH($A101,database!$AF$2:$AF$2004,0),0),"")</f>
        <v/>
      </c>
      <c r="C101" s="152" t="str">
        <f ca="1">IFERROR(OFFSET(database!B$1,MATCH($A101,database!$AF$2:$AF$2004,0),0),"")</f>
        <v/>
      </c>
      <c r="D101" s="152" t="str">
        <f ca="1">IFERROR(OFFSET(database!C$1,MATCH($A101,database!$AF$2:$AF$2004,0),0),"")</f>
        <v/>
      </c>
      <c r="E101" s="152" t="str">
        <f ca="1">IFERROR(OFFSET(database!D$1,MATCH($A101,database!$AF$2:$AF$2004,0),0),"")</f>
        <v/>
      </c>
      <c r="F101" s="152" t="str">
        <f ca="1">IFERROR(OFFSET(database!E$1,MATCH($A101,database!$AF$2:$AF$2004,0),0),"")</f>
        <v/>
      </c>
      <c r="G101" s="159" t="str">
        <f ca="1">IFERROR(OFFSET(database!F$1,MATCH($A101,database!$AF$2:$AF$2004,0),0),"")</f>
        <v/>
      </c>
      <c r="H101" s="152" t="str">
        <f ca="1">IFERROR(OFFSET(database!G$1,MATCH($A101,database!$AF$2:$AF$2004,0),0),"")</f>
        <v/>
      </c>
      <c r="I101" s="159" t="str">
        <f ca="1">IFERROR(OFFSET(database!H$1,MATCH($A101,database!$AF$2:$AF$2004,0),0),"")</f>
        <v/>
      </c>
      <c r="J101" s="159" t="str">
        <f ca="1">IFERROR(OFFSET(database!I$1,MATCH($A101,database!$AF$2:$AF$2004,0),0),"")</f>
        <v/>
      </c>
      <c r="K101" s="152" t="str">
        <f ca="1">IFERROR(OFFSET(database!J$1,MATCH($A101,database!$AF$2:$AF$2004,0),0),"")</f>
        <v/>
      </c>
      <c r="L101" s="152" t="str">
        <f ca="1">IFERROR(OFFSET(database!K$1,MATCH($A101,database!$AF$2:$AF$2004,0),0),"")</f>
        <v/>
      </c>
      <c r="M101" s="152" t="str">
        <f ca="1">IFERROR(OFFSET(database!L$1,MATCH($A101,database!$AF$2:$AF$2004,0),0),"")</f>
        <v/>
      </c>
      <c r="N101" s="152" t="str">
        <f ca="1">IFERROR(OFFSET(database!M$1,MATCH($A101,database!$AF$2:$AF$2004,0),0),"")</f>
        <v/>
      </c>
    </row>
  </sheetData>
  <autoFilter ref="B1:N101" xr:uid="{00000000-0001-0000-0100-000000000000}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AMJ26"/>
  <sheetViews>
    <sheetView zoomScale="80" zoomScaleNormal="80" workbookViewId="0">
      <selection activeCell="C23" sqref="C23"/>
    </sheetView>
  </sheetViews>
  <sheetFormatPr defaultColWidth="8.81640625" defaultRowHeight="14.5" x14ac:dyDescent="0.35"/>
  <cols>
    <col min="1" max="1" width="15.7265625" customWidth="1"/>
    <col min="2" max="2" width="6.26953125" customWidth="1"/>
    <col min="3" max="3" width="28.453125" customWidth="1"/>
    <col min="4" max="4" width="6.7265625" customWidth="1"/>
    <col min="5" max="5" width="8.7265625" customWidth="1"/>
    <col min="6" max="6" width="9.7265625" customWidth="1"/>
    <col min="7" max="7" width="9.1796875" customWidth="1"/>
    <col min="8" max="8" width="8.54296875" customWidth="1"/>
    <col min="9" max="9" width="10.54296875" customWidth="1"/>
    <col min="10" max="10" width="4" customWidth="1"/>
    <col min="11" max="12" width="10.54296875" customWidth="1"/>
    <col min="13" max="13" width="8.7265625" customWidth="1"/>
    <col min="14" max="14" width="4.1796875" customWidth="1"/>
    <col min="15" max="15" width="28.453125" style="136" customWidth="1"/>
    <col min="16" max="16" width="17.26953125" style="136" customWidth="1"/>
    <col min="18" max="18" width="3.1796875" customWidth="1"/>
    <col min="19" max="1024" width="8.81640625" hidden="1"/>
  </cols>
  <sheetData>
    <row r="1" spans="1:17" s="137" customFormat="1" x14ac:dyDescent="0.35">
      <c r="A1" s="137" t="s">
        <v>223</v>
      </c>
      <c r="B1" s="137" t="s">
        <v>224</v>
      </c>
      <c r="C1" s="137" t="s">
        <v>68</v>
      </c>
      <c r="D1" s="137" t="s">
        <v>0</v>
      </c>
      <c r="E1" s="137" t="s">
        <v>1</v>
      </c>
      <c r="F1" s="137" t="s">
        <v>42</v>
      </c>
      <c r="G1" s="137" t="s">
        <v>23</v>
      </c>
      <c r="H1" s="137" t="s">
        <v>49</v>
      </c>
      <c r="I1" s="137" t="s">
        <v>52</v>
      </c>
      <c r="J1" s="137" t="s">
        <v>55</v>
      </c>
      <c r="K1" s="137" t="s">
        <v>59</v>
      </c>
      <c r="L1" s="137" t="s">
        <v>62</v>
      </c>
      <c r="M1" s="137" t="s">
        <v>20</v>
      </c>
      <c r="N1" s="137" t="s">
        <v>66</v>
      </c>
      <c r="O1" s="138" t="s">
        <v>68</v>
      </c>
      <c r="P1" s="138" t="s">
        <v>69</v>
      </c>
      <c r="Q1" s="137" t="s">
        <v>225</v>
      </c>
    </row>
    <row r="2" spans="1:17" x14ac:dyDescent="0.35">
      <c r="A2" s="139">
        <v>45576.904201388897</v>
      </c>
      <c r="B2" t="s">
        <v>226</v>
      </c>
      <c r="C2" t="s">
        <v>227</v>
      </c>
      <c r="D2" t="s">
        <v>32</v>
      </c>
      <c r="E2" t="s">
        <v>33</v>
      </c>
      <c r="F2" t="s">
        <v>34</v>
      </c>
      <c r="G2" t="s">
        <v>228</v>
      </c>
      <c r="H2" t="s">
        <v>33</v>
      </c>
      <c r="I2" s="140">
        <v>34612</v>
      </c>
      <c r="J2" t="s">
        <v>229</v>
      </c>
      <c r="K2" s="140">
        <v>45474</v>
      </c>
      <c r="L2" s="140">
        <v>45596</v>
      </c>
      <c r="M2" t="s">
        <v>230</v>
      </c>
      <c r="N2" t="s">
        <v>231</v>
      </c>
      <c r="O2" s="136" t="s">
        <v>227</v>
      </c>
      <c r="P2" s="136" t="s">
        <v>232</v>
      </c>
      <c r="Q2" t="s">
        <v>233</v>
      </c>
    </row>
    <row r="3" spans="1:17" x14ac:dyDescent="0.35">
      <c r="A3" s="139"/>
      <c r="I3" s="140"/>
      <c r="K3" s="140"/>
      <c r="L3" s="140"/>
    </row>
    <row r="4" spans="1:17" x14ac:dyDescent="0.35">
      <c r="A4" s="139"/>
      <c r="I4" s="140"/>
      <c r="K4" s="140"/>
      <c r="L4" s="140"/>
    </row>
    <row r="5" spans="1:17" x14ac:dyDescent="0.35">
      <c r="A5" s="139"/>
      <c r="I5" s="140"/>
      <c r="K5" s="140"/>
      <c r="L5" s="140"/>
    </row>
    <row r="6" spans="1:17" x14ac:dyDescent="0.35">
      <c r="A6" s="139"/>
      <c r="I6" s="140"/>
      <c r="K6" s="140"/>
      <c r="L6" s="140"/>
    </row>
    <row r="7" spans="1:17" x14ac:dyDescent="0.35">
      <c r="A7" s="139"/>
      <c r="I7" s="140"/>
      <c r="K7" s="140"/>
      <c r="L7" s="140"/>
    </row>
    <row r="8" spans="1:17" x14ac:dyDescent="0.35">
      <c r="A8" s="139"/>
      <c r="I8" s="140"/>
      <c r="K8" s="140"/>
      <c r="L8" s="140"/>
    </row>
    <row r="9" spans="1:17" x14ac:dyDescent="0.35">
      <c r="A9" s="139"/>
      <c r="I9" s="140"/>
      <c r="K9" s="140"/>
      <c r="L9" s="140"/>
    </row>
    <row r="10" spans="1:17" x14ac:dyDescent="0.35">
      <c r="A10" s="139"/>
      <c r="I10" s="140"/>
      <c r="K10" s="140"/>
      <c r="L10" s="140"/>
    </row>
    <row r="11" spans="1:17" x14ac:dyDescent="0.35">
      <c r="A11" s="139"/>
      <c r="I11" s="140"/>
      <c r="K11" s="140"/>
      <c r="L11" s="140"/>
    </row>
    <row r="12" spans="1:17" x14ac:dyDescent="0.35">
      <c r="A12" s="139"/>
      <c r="I12" s="140"/>
      <c r="J12" s="140"/>
      <c r="K12" s="140"/>
      <c r="L12" s="140"/>
      <c r="M12" s="140"/>
    </row>
    <row r="13" spans="1:17" x14ac:dyDescent="0.35">
      <c r="A13" s="139"/>
      <c r="I13" s="140"/>
      <c r="K13" s="140"/>
      <c r="L13" s="140"/>
    </row>
    <row r="14" spans="1:17" x14ac:dyDescent="0.35">
      <c r="A14" s="139"/>
      <c r="I14" s="140"/>
      <c r="K14" s="140"/>
      <c r="L14" s="140"/>
    </row>
    <row r="15" spans="1:17" x14ac:dyDescent="0.35">
      <c r="A15" s="139"/>
      <c r="I15" s="140"/>
      <c r="J15" s="140"/>
      <c r="K15" s="140"/>
      <c r="L15" s="140"/>
      <c r="M15" s="140"/>
    </row>
    <row r="16" spans="1:17" x14ac:dyDescent="0.35">
      <c r="A16" s="139"/>
      <c r="I16" s="140"/>
      <c r="K16" s="140"/>
      <c r="L16" s="140"/>
    </row>
    <row r="17" spans="1:14" x14ac:dyDescent="0.35">
      <c r="A17" s="139"/>
      <c r="I17" s="140"/>
      <c r="K17" s="140"/>
      <c r="L17" s="140"/>
      <c r="M17" s="140"/>
      <c r="N17" s="140"/>
    </row>
    <row r="18" spans="1:14" x14ac:dyDescent="0.35">
      <c r="A18" s="139"/>
      <c r="I18" s="140"/>
      <c r="K18" s="140"/>
      <c r="L18" s="140"/>
    </row>
    <row r="19" spans="1:14" x14ac:dyDescent="0.35">
      <c r="A19" s="139"/>
      <c r="I19" s="140"/>
      <c r="K19" s="140"/>
      <c r="L19" s="140"/>
    </row>
    <row r="20" spans="1:14" x14ac:dyDescent="0.35">
      <c r="A20" s="139"/>
      <c r="I20" s="140"/>
      <c r="K20" s="140"/>
      <c r="L20" s="140"/>
    </row>
    <row r="21" spans="1:14" x14ac:dyDescent="0.35">
      <c r="A21" s="139"/>
      <c r="I21" s="140"/>
      <c r="J21" s="140"/>
      <c r="K21" s="140"/>
      <c r="L21" s="140"/>
      <c r="M21" s="140"/>
    </row>
    <row r="22" spans="1:14" x14ac:dyDescent="0.35">
      <c r="A22" s="139"/>
      <c r="I22" s="140"/>
      <c r="K22" s="140"/>
      <c r="L22" s="140"/>
    </row>
    <row r="23" spans="1:14" x14ac:dyDescent="0.35">
      <c r="A23" s="139"/>
      <c r="I23" s="140"/>
      <c r="K23" s="140"/>
      <c r="L23" s="140"/>
    </row>
    <row r="24" spans="1:14" x14ac:dyDescent="0.35">
      <c r="A24" s="139"/>
      <c r="I24" s="140"/>
      <c r="J24" s="140"/>
      <c r="K24" s="140"/>
      <c r="L24" s="140"/>
      <c r="M24" s="140"/>
    </row>
    <row r="25" spans="1:14" x14ac:dyDescent="0.35">
      <c r="A25" s="139"/>
      <c r="I25" s="140"/>
      <c r="K25" s="140"/>
      <c r="L25" s="140"/>
    </row>
    <row r="26" spans="1:14" x14ac:dyDescent="0.35">
      <c r="A26" s="139"/>
      <c r="J26" s="140"/>
      <c r="L26" s="140"/>
      <c r="M26" s="140"/>
    </row>
  </sheetData>
  <pageMargins left="0.7" right="0.7" top="0.75" bottom="0.75" header="0.511811023622047" footer="0.511811023622047"/>
  <pageSetup paperSize="9" orientation="portrait" horizontalDpi="300" verticalDpi="30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" ma:contentTypeID="0x010100BF429F2B34894149BFF1A176560A5788" ma:contentTypeVersion="4" ma:contentTypeDescription="Buat sebuah dokumen baru." ma:contentTypeScope="" ma:versionID="51e745f91de8552129d00ff9a6206a64">
  <xsd:schema xmlns:xsd="http://www.w3.org/2001/XMLSchema" xmlns:xs="http://www.w3.org/2001/XMLSchema" xmlns:p="http://schemas.microsoft.com/office/2006/metadata/properties" xmlns:ns2="71f33325-6465-4d40-9f6c-1b0f68990e41" targetNamespace="http://schemas.microsoft.com/office/2006/metadata/properties" ma:root="true" ma:fieldsID="1370ecf2d854b57c9dcbfc5a3c250163" ns2:_="">
    <xsd:import namespace="71f33325-6465-4d40-9f6c-1b0f68990e4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f33325-6465-4d40-9f6c-1b0f68990e4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e Isi"/>
        <xsd:element ref="dc:title" minOccurs="0" maxOccurs="1" ma:index="4" ma:displayName="Judu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8B9D215-C885-4E47-8D81-46C0F33D8B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1f33325-6465-4d40-9f6c-1b0f68990e4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370E171-559F-496A-A517-B21F4FEB0481}">
  <ds:schemaRefs>
    <ds:schemaRef ds:uri="http://www.w3.org/XML/1998/namespace"/>
    <ds:schemaRef ds:uri="http://purl.org/dc/terms/"/>
    <ds:schemaRef ds:uri="http://schemas.microsoft.com/office/2006/metadata/properties"/>
    <ds:schemaRef ds:uri="http://purl.org/dc/elements/1.1/"/>
    <ds:schemaRef ds:uri="71f33325-6465-4d40-9f6c-1b0f68990e41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F8DD350D-B6B3-429C-925F-1E2D2B06C3D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Dashboard</vt:lpstr>
      <vt:lpstr>form</vt:lpstr>
      <vt:lpstr>edit data</vt:lpstr>
      <vt:lpstr>View</vt:lpstr>
      <vt:lpstr>database</vt:lpstr>
      <vt:lpstr>Present</vt:lpstr>
      <vt:lpstr>log</vt:lpstr>
      <vt:lpstr>form!Print_Area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Yanti</cp:lastModifiedBy>
  <cp:revision>1</cp:revision>
  <dcterms:created xsi:type="dcterms:W3CDTF">2024-11-10T05:15:55Z</dcterms:created>
  <dcterms:modified xsi:type="dcterms:W3CDTF">2026-04-04T07:26:04Z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0x010100BF429F2B34894149BFF1A176560A5788</vt:lpwstr>
  </property>
</Properties>
</file>